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N\Desktop\New folder\DWELL\"/>
    </mc:Choice>
  </mc:AlternateContent>
  <xr:revisionPtr revIDLastSave="0" documentId="13_ncr:1_{04590801-1724-4DDD-AE95-339C1722799B}" xr6:coauthVersionLast="47" xr6:coauthVersionMax="47" xr10:uidLastSave="{00000000-0000-0000-0000-000000000000}"/>
  <bookViews>
    <workbookView xWindow="22932" yWindow="-108" windowWidth="23256" windowHeight="12576" xr2:uid="{3D776574-4B2E-4176-AF30-C0A51EDC1CED}"/>
  </bookViews>
  <sheets>
    <sheet name="Wave Contact Time" sheetId="1" r:id="rId1"/>
    <sheet name="Data" sheetId="2" r:id="rId2"/>
    <sheet name="Wave Contact Time (OLD formula)" sheetId="5" r:id="rId3"/>
    <sheet name="Note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5" l="1"/>
  <c r="F12" i="5"/>
  <c r="F11" i="5" s="1"/>
  <c r="G12" i="5"/>
  <c r="G11" i="5" s="1"/>
  <c r="H12" i="5"/>
  <c r="H11" i="5" s="1"/>
  <c r="I12" i="5"/>
  <c r="J12" i="5"/>
  <c r="J11" i="5" s="1"/>
  <c r="F8" i="5"/>
  <c r="J8" i="5"/>
  <c r="F9" i="5"/>
  <c r="G9" i="5"/>
  <c r="G8" i="5" s="1"/>
  <c r="H9" i="5"/>
  <c r="H8" i="5" s="1"/>
  <c r="I9" i="5"/>
  <c r="I8" i="5" s="1"/>
  <c r="J9" i="5"/>
  <c r="E10" i="5"/>
  <c r="F21" i="5"/>
  <c r="F20" i="5" s="1"/>
  <c r="G18" i="5"/>
  <c r="G17" i="5" s="1"/>
  <c r="J18" i="5"/>
  <c r="J17" i="5" s="1"/>
  <c r="F18" i="5"/>
  <c r="F17" i="5" s="1"/>
  <c r="I18" i="5" l="1"/>
  <c r="I17" i="5" s="1"/>
  <c r="H18" i="5"/>
  <c r="H17" i="5" s="1"/>
  <c r="J7" i="5"/>
  <c r="I7" i="5"/>
  <c r="F7" i="5"/>
  <c r="G7" i="5"/>
  <c r="H7" i="5"/>
  <c r="E19" i="5" l="1"/>
  <c r="G6" i="5"/>
  <c r="H6" i="5"/>
  <c r="I6" i="5"/>
  <c r="J6" i="5"/>
  <c r="F6" i="5"/>
  <c r="I16" i="5"/>
  <c r="F5" i="5" l="1"/>
  <c r="J5" i="5"/>
  <c r="J4" i="5" s="1"/>
  <c r="I5" i="5"/>
  <c r="I4" i="5" s="1"/>
  <c r="H5" i="5"/>
  <c r="H4" i="5" s="1"/>
  <c r="G5" i="5"/>
  <c r="G4" i="5" s="1"/>
  <c r="E18" i="5"/>
  <c r="E17" i="5" s="1"/>
  <c r="E21" i="5"/>
  <c r="F8" i="1"/>
  <c r="G8" i="1"/>
  <c r="G15" i="1" s="1"/>
  <c r="H8" i="1"/>
  <c r="H7" i="1" s="1"/>
  <c r="I8" i="1"/>
  <c r="I15" i="1" s="1"/>
  <c r="J8" i="1"/>
  <c r="I15" i="5"/>
  <c r="J16" i="5"/>
  <c r="H16" i="5"/>
  <c r="G16" i="5"/>
  <c r="F16" i="5"/>
  <c r="E16" i="5"/>
  <c r="G7" i="1" l="1"/>
  <c r="F15" i="1"/>
  <c r="F14" i="1" s="1"/>
  <c r="H15" i="1"/>
  <c r="H14" i="1" s="1"/>
  <c r="I14" i="5"/>
  <c r="J15" i="1"/>
  <c r="J14" i="1" s="1"/>
  <c r="J7" i="1"/>
  <c r="F7" i="1"/>
  <c r="I7" i="1"/>
  <c r="I14" i="1"/>
  <c r="G14" i="1"/>
  <c r="G6" i="1"/>
  <c r="E15" i="5"/>
  <c r="I6" i="1"/>
  <c r="G15" i="5"/>
  <c r="F15" i="5"/>
  <c r="J15" i="5"/>
  <c r="F13" i="1"/>
  <c r="H6" i="1"/>
  <c r="H15" i="5"/>
  <c r="H13" i="1"/>
  <c r="G5" i="1" l="1"/>
  <c r="J14" i="5"/>
  <c r="G14" i="5"/>
  <c r="E14" i="5"/>
  <c r="H14" i="5"/>
  <c r="F14" i="5"/>
  <c r="F13" i="5" s="1"/>
  <c r="H5" i="1"/>
  <c r="I5" i="1"/>
  <c r="H12" i="1"/>
  <c r="F12" i="1"/>
  <c r="F6" i="1"/>
  <c r="J13" i="1"/>
  <c r="J6" i="1"/>
  <c r="G13" i="1"/>
  <c r="I13" i="1"/>
  <c r="J12" i="1" l="1"/>
  <c r="J5" i="1"/>
  <c r="F5" i="1"/>
  <c r="I12" i="1"/>
  <c r="G12" i="1"/>
  <c r="K2104" i="5" l="1"/>
  <c r="K2105" i="5"/>
  <c r="K2106" i="5"/>
  <c r="L2104" i="5"/>
  <c r="M2104" i="5"/>
  <c r="N2104" i="5"/>
  <c r="O2104" i="5"/>
  <c r="P2104" i="5"/>
  <c r="L2105" i="5"/>
  <c r="M2105" i="5"/>
  <c r="N2105" i="5"/>
  <c r="O2105" i="5"/>
  <c r="P2105" i="5"/>
  <c r="L2106" i="5"/>
  <c r="M2106" i="5"/>
  <c r="N2106" i="5"/>
  <c r="O2106" i="5"/>
  <c r="P2106" i="5"/>
  <c r="K887" i="5"/>
  <c r="K888" i="5"/>
  <c r="K889" i="5"/>
  <c r="K890" i="5"/>
  <c r="K891" i="5"/>
  <c r="K892" i="5"/>
  <c r="K893" i="5"/>
  <c r="K894" i="5"/>
  <c r="K895" i="5"/>
  <c r="K896" i="5"/>
  <c r="K897" i="5"/>
  <c r="K898" i="5"/>
  <c r="K899" i="5"/>
  <c r="K900" i="5"/>
  <c r="K901" i="5"/>
  <c r="K902" i="5"/>
  <c r="K903" i="5"/>
  <c r="K904" i="5"/>
  <c r="K905" i="5"/>
  <c r="K906" i="5"/>
  <c r="K907" i="5"/>
  <c r="K908" i="5"/>
  <c r="K909" i="5"/>
  <c r="K910" i="5"/>
  <c r="K911" i="5"/>
  <c r="K912" i="5"/>
  <c r="K913" i="5"/>
  <c r="K914" i="5"/>
  <c r="K915" i="5"/>
  <c r="K916" i="5"/>
  <c r="K917" i="5"/>
  <c r="K918" i="5"/>
  <c r="K919" i="5"/>
  <c r="K920" i="5"/>
  <c r="K921" i="5"/>
  <c r="K922" i="5"/>
  <c r="K923" i="5"/>
  <c r="K924" i="5"/>
  <c r="K925" i="5"/>
  <c r="K926" i="5"/>
  <c r="K927" i="5"/>
  <c r="K928" i="5"/>
  <c r="K929" i="5"/>
  <c r="K930" i="5"/>
  <c r="K931" i="5"/>
  <c r="K932" i="5"/>
  <c r="K933" i="5"/>
  <c r="K934" i="5"/>
  <c r="K935" i="5"/>
  <c r="K936" i="5"/>
  <c r="K937" i="5"/>
  <c r="K938" i="5"/>
  <c r="K939" i="5"/>
  <c r="K940" i="5"/>
  <c r="K941" i="5"/>
  <c r="K942" i="5"/>
  <c r="K943" i="5"/>
  <c r="K944" i="5"/>
  <c r="K945" i="5"/>
  <c r="K946" i="5"/>
  <c r="K947" i="5"/>
  <c r="K948" i="5"/>
  <c r="K949" i="5"/>
  <c r="K950" i="5"/>
  <c r="K951" i="5"/>
  <c r="K952" i="5"/>
  <c r="K953" i="5"/>
  <c r="K954" i="5"/>
  <c r="K955" i="5"/>
  <c r="K956" i="5"/>
  <c r="K957" i="5"/>
  <c r="K958" i="5"/>
  <c r="K959" i="5"/>
  <c r="K960" i="5"/>
  <c r="K961" i="5"/>
  <c r="K962" i="5"/>
  <c r="K963" i="5"/>
  <c r="K964" i="5"/>
  <c r="K965" i="5"/>
  <c r="K966" i="5"/>
  <c r="K967" i="5"/>
  <c r="K968" i="5"/>
  <c r="K969" i="5"/>
  <c r="K970" i="5"/>
  <c r="K971" i="5"/>
  <c r="K972" i="5"/>
  <c r="K973" i="5"/>
  <c r="K974" i="5"/>
  <c r="K975" i="5"/>
  <c r="K976" i="5"/>
  <c r="K977" i="5"/>
  <c r="K978" i="5"/>
  <c r="K979" i="5"/>
  <c r="K980" i="5"/>
  <c r="K981" i="5"/>
  <c r="K982" i="5"/>
  <c r="K983" i="5"/>
  <c r="K984" i="5"/>
  <c r="K985" i="5"/>
  <c r="K986" i="5"/>
  <c r="K987" i="5"/>
  <c r="K988" i="5"/>
  <c r="K989" i="5"/>
  <c r="K990" i="5"/>
  <c r="K991" i="5"/>
  <c r="K992" i="5"/>
  <c r="K993" i="5"/>
  <c r="K994" i="5"/>
  <c r="K995" i="5"/>
  <c r="K996" i="5"/>
  <c r="K997" i="5"/>
  <c r="K998" i="5"/>
  <c r="K999" i="5"/>
  <c r="K1000" i="5"/>
  <c r="K1001" i="5"/>
  <c r="K1002" i="5"/>
  <c r="K1003" i="5"/>
  <c r="K1004" i="5"/>
  <c r="K1005" i="5"/>
  <c r="K1006" i="5"/>
  <c r="K1007" i="5"/>
  <c r="K1008" i="5"/>
  <c r="K1009" i="5"/>
  <c r="K1010" i="5"/>
  <c r="K1011" i="5"/>
  <c r="K1012" i="5"/>
  <c r="K1013" i="5"/>
  <c r="K1014" i="5"/>
  <c r="K1015" i="5"/>
  <c r="K1016" i="5"/>
  <c r="K1017" i="5"/>
  <c r="K1018" i="5"/>
  <c r="K1019" i="5"/>
  <c r="K1020" i="5"/>
  <c r="K1021" i="5"/>
  <c r="K1022" i="5"/>
  <c r="K1023" i="5"/>
  <c r="K1024" i="5"/>
  <c r="K1025" i="5"/>
  <c r="K1026" i="5"/>
  <c r="K1027" i="5"/>
  <c r="K1028" i="5"/>
  <c r="K1029" i="5"/>
  <c r="K1030" i="5"/>
  <c r="K1031" i="5"/>
  <c r="K1032" i="5"/>
  <c r="K1033" i="5"/>
  <c r="K1034" i="5"/>
  <c r="K1035" i="5"/>
  <c r="K1036" i="5"/>
  <c r="K1037" i="5"/>
  <c r="K1038" i="5"/>
  <c r="K1039" i="5"/>
  <c r="K1040" i="5"/>
  <c r="K1041" i="5"/>
  <c r="K1042" i="5"/>
  <c r="K1043" i="5"/>
  <c r="K1044" i="5"/>
  <c r="K1045" i="5"/>
  <c r="K1046" i="5"/>
  <c r="K1047" i="5"/>
  <c r="K1048" i="5"/>
  <c r="K1049" i="5"/>
  <c r="K1050" i="5"/>
  <c r="K1051" i="5"/>
  <c r="K1052" i="5"/>
  <c r="K1053" i="5"/>
  <c r="K1054" i="5"/>
  <c r="K1055" i="5"/>
  <c r="K1056" i="5"/>
  <c r="K1057" i="5"/>
  <c r="K1058" i="5"/>
  <c r="K1059" i="5"/>
  <c r="K1060" i="5"/>
  <c r="K1061" i="5"/>
  <c r="K1062" i="5"/>
  <c r="K1063" i="5"/>
  <c r="K1064" i="5"/>
  <c r="K1065" i="5"/>
  <c r="K1066" i="5"/>
  <c r="K1067" i="5"/>
  <c r="K1068" i="5"/>
  <c r="K1069" i="5"/>
  <c r="K1070" i="5"/>
  <c r="K1071" i="5"/>
  <c r="K1072" i="5"/>
  <c r="K1073" i="5"/>
  <c r="K1074" i="5"/>
  <c r="K1075" i="5"/>
  <c r="K1076" i="5"/>
  <c r="K1077" i="5"/>
  <c r="K1078" i="5"/>
  <c r="K1079" i="5"/>
  <c r="K1080" i="5"/>
  <c r="K1081" i="5"/>
  <c r="K1082" i="5"/>
  <c r="K1083" i="5"/>
  <c r="K1084" i="5"/>
  <c r="K1085" i="5"/>
  <c r="K1086" i="5"/>
  <c r="K1087" i="5"/>
  <c r="K1088" i="5"/>
  <c r="K1089" i="5"/>
  <c r="K1090" i="5"/>
  <c r="K1091" i="5"/>
  <c r="K1092" i="5"/>
  <c r="K1093" i="5"/>
  <c r="K1094" i="5"/>
  <c r="K1095" i="5"/>
  <c r="K1096" i="5"/>
  <c r="K1097" i="5"/>
  <c r="K1098" i="5"/>
  <c r="K1099" i="5"/>
  <c r="K1100" i="5"/>
  <c r="K1101" i="5"/>
  <c r="K1102" i="5"/>
  <c r="K1103" i="5"/>
  <c r="K1104" i="5"/>
  <c r="K1105" i="5"/>
  <c r="K1106" i="5"/>
  <c r="K1107" i="5"/>
  <c r="K1108" i="5"/>
  <c r="K1109" i="5"/>
  <c r="K1110" i="5"/>
  <c r="K1111" i="5"/>
  <c r="K1112" i="5"/>
  <c r="K1113" i="5"/>
  <c r="K1114" i="5"/>
  <c r="K1115" i="5"/>
  <c r="K1116" i="5"/>
  <c r="K1117" i="5"/>
  <c r="K1118" i="5"/>
  <c r="K1119" i="5"/>
  <c r="K1120" i="5"/>
  <c r="K1121" i="5"/>
  <c r="K1122" i="5"/>
  <c r="K1123" i="5"/>
  <c r="K1124" i="5"/>
  <c r="K1125" i="5"/>
  <c r="K1126" i="5"/>
  <c r="K1127" i="5"/>
  <c r="K1128" i="5"/>
  <c r="K1129" i="5"/>
  <c r="K1130" i="5"/>
  <c r="K1131" i="5"/>
  <c r="K1132" i="5"/>
  <c r="K1133" i="5"/>
  <c r="K1134" i="5"/>
  <c r="K1135" i="5"/>
  <c r="K1136" i="5"/>
  <c r="K1137" i="5"/>
  <c r="K1138" i="5"/>
  <c r="K1139" i="5"/>
  <c r="K1140" i="5"/>
  <c r="K1141" i="5"/>
  <c r="K1142" i="5"/>
  <c r="K1143" i="5"/>
  <c r="K1144" i="5"/>
  <c r="K1145" i="5"/>
  <c r="K1146" i="5"/>
  <c r="K1147" i="5"/>
  <c r="K1148" i="5"/>
  <c r="K1149" i="5"/>
  <c r="K1150" i="5"/>
  <c r="K1151" i="5"/>
  <c r="K1152" i="5"/>
  <c r="K1153" i="5"/>
  <c r="K1154" i="5"/>
  <c r="K1155" i="5"/>
  <c r="K1156" i="5"/>
  <c r="K1157" i="5"/>
  <c r="K1158" i="5"/>
  <c r="K1159" i="5"/>
  <c r="K1160" i="5"/>
  <c r="K1161" i="5"/>
  <c r="K1162" i="5"/>
  <c r="K1163" i="5"/>
  <c r="K1164" i="5"/>
  <c r="K1165" i="5"/>
  <c r="K1166" i="5"/>
  <c r="K1167" i="5"/>
  <c r="K1168" i="5"/>
  <c r="K1169" i="5"/>
  <c r="K1170" i="5"/>
  <c r="K1171" i="5"/>
  <c r="K1172" i="5"/>
  <c r="K1173" i="5"/>
  <c r="K1174" i="5"/>
  <c r="K1175" i="5"/>
  <c r="K1176" i="5"/>
  <c r="K1177" i="5"/>
  <c r="K1178" i="5"/>
  <c r="K1179" i="5"/>
  <c r="K1180" i="5"/>
  <c r="K1181" i="5"/>
  <c r="K1182" i="5"/>
  <c r="K1183" i="5"/>
  <c r="K1184" i="5"/>
  <c r="K1185" i="5"/>
  <c r="K1186" i="5"/>
  <c r="K1187" i="5"/>
  <c r="K1188" i="5"/>
  <c r="K1189" i="5"/>
  <c r="K1190" i="5"/>
  <c r="K1191" i="5"/>
  <c r="K1192" i="5"/>
  <c r="K1193" i="5"/>
  <c r="K1194" i="5"/>
  <c r="K1195" i="5"/>
  <c r="K1196" i="5"/>
  <c r="K1197" i="5"/>
  <c r="K1198" i="5"/>
  <c r="K1199" i="5"/>
  <c r="K1200" i="5"/>
  <c r="K1201" i="5"/>
  <c r="K1202" i="5"/>
  <c r="K1203" i="5"/>
  <c r="K1204" i="5"/>
  <c r="K1205" i="5"/>
  <c r="K1206" i="5"/>
  <c r="K1207" i="5"/>
  <c r="K1208" i="5"/>
  <c r="K1209" i="5"/>
  <c r="K1210" i="5"/>
  <c r="K1211" i="5"/>
  <c r="K1212" i="5"/>
  <c r="K1213" i="5"/>
  <c r="K1214" i="5"/>
  <c r="K1215" i="5"/>
  <c r="K1216" i="5"/>
  <c r="K1217" i="5"/>
  <c r="K1218" i="5"/>
  <c r="K1219" i="5"/>
  <c r="K1220" i="5"/>
  <c r="K1221" i="5"/>
  <c r="K1222" i="5"/>
  <c r="K1223" i="5"/>
  <c r="K1224" i="5"/>
  <c r="K1225" i="5"/>
  <c r="K1226" i="5"/>
  <c r="K1227" i="5"/>
  <c r="K1228" i="5"/>
  <c r="K1229" i="5"/>
  <c r="K1230" i="5"/>
  <c r="K1231" i="5"/>
  <c r="K1232" i="5"/>
  <c r="K1233" i="5"/>
  <c r="K1234" i="5"/>
  <c r="K1235" i="5"/>
  <c r="K1236" i="5"/>
  <c r="K1237" i="5"/>
  <c r="K1238" i="5"/>
  <c r="K1239" i="5"/>
  <c r="K1240" i="5"/>
  <c r="K1241" i="5"/>
  <c r="K1242" i="5"/>
  <c r="K1243" i="5"/>
  <c r="K1244" i="5"/>
  <c r="K1245" i="5"/>
  <c r="K1246" i="5"/>
  <c r="K1247" i="5"/>
  <c r="K1248" i="5"/>
  <c r="K1249" i="5"/>
  <c r="K1250" i="5"/>
  <c r="K1251" i="5"/>
  <c r="K1252" i="5"/>
  <c r="K1253" i="5"/>
  <c r="K1254" i="5"/>
  <c r="K1255" i="5"/>
  <c r="K1256" i="5"/>
  <c r="K1257" i="5"/>
  <c r="K1258" i="5"/>
  <c r="K1259" i="5"/>
  <c r="K1260" i="5"/>
  <c r="K1261" i="5"/>
  <c r="K1262" i="5"/>
  <c r="K1263" i="5"/>
  <c r="K1264" i="5"/>
  <c r="K1265" i="5"/>
  <c r="K1266" i="5"/>
  <c r="K1267" i="5"/>
  <c r="K1268" i="5"/>
  <c r="K1269" i="5"/>
  <c r="K1270" i="5"/>
  <c r="K1271" i="5"/>
  <c r="K1272" i="5"/>
  <c r="K1273" i="5"/>
  <c r="K1274" i="5"/>
  <c r="K1275" i="5"/>
  <c r="K1276" i="5"/>
  <c r="K1277" i="5"/>
  <c r="K1278" i="5"/>
  <c r="K1279" i="5"/>
  <c r="K1280" i="5"/>
  <c r="K1281" i="5"/>
  <c r="K1282" i="5"/>
  <c r="K1283" i="5"/>
  <c r="K1284" i="5"/>
  <c r="K1285" i="5"/>
  <c r="K1286" i="5"/>
  <c r="K1287" i="5"/>
  <c r="K1288" i="5"/>
  <c r="K1289" i="5"/>
  <c r="K1290" i="5"/>
  <c r="K1291" i="5"/>
  <c r="K1292" i="5"/>
  <c r="K1293" i="5"/>
  <c r="K1294" i="5"/>
  <c r="K1295" i="5"/>
  <c r="K1296" i="5"/>
  <c r="K1297" i="5"/>
  <c r="K1298" i="5"/>
  <c r="K1299" i="5"/>
  <c r="K1300" i="5"/>
  <c r="K1301" i="5"/>
  <c r="K1302" i="5"/>
  <c r="K1303" i="5"/>
  <c r="K1304" i="5"/>
  <c r="K1305" i="5"/>
  <c r="K1306" i="5"/>
  <c r="K1307" i="5"/>
  <c r="K1308" i="5"/>
  <c r="K1309" i="5"/>
  <c r="K1310" i="5"/>
  <c r="K1311" i="5"/>
  <c r="K1312" i="5"/>
  <c r="K1313" i="5"/>
  <c r="K1314" i="5"/>
  <c r="K1315" i="5"/>
  <c r="K1316" i="5"/>
  <c r="K1317" i="5"/>
  <c r="K1318" i="5"/>
  <c r="K1319" i="5"/>
  <c r="K1320" i="5"/>
  <c r="K1321" i="5"/>
  <c r="K1322" i="5"/>
  <c r="K1323" i="5"/>
  <c r="K1324" i="5"/>
  <c r="K1325" i="5"/>
  <c r="K1326" i="5"/>
  <c r="K1327" i="5"/>
  <c r="K1328" i="5"/>
  <c r="K1329" i="5"/>
  <c r="K1330" i="5"/>
  <c r="K1331" i="5"/>
  <c r="K1332" i="5"/>
  <c r="K1333" i="5"/>
  <c r="K1334" i="5"/>
  <c r="K1335" i="5"/>
  <c r="K1336" i="5"/>
  <c r="K1337" i="5"/>
  <c r="K1338" i="5"/>
  <c r="K1339" i="5"/>
  <c r="K1340" i="5"/>
  <c r="K1341" i="5"/>
  <c r="K1342" i="5"/>
  <c r="K1343" i="5"/>
  <c r="K1344" i="5"/>
  <c r="K1345" i="5"/>
  <c r="K1346" i="5"/>
  <c r="K1347" i="5"/>
  <c r="K1348" i="5"/>
  <c r="K1349" i="5"/>
  <c r="K1350" i="5"/>
  <c r="K1351" i="5"/>
  <c r="K1352" i="5"/>
  <c r="K1353" i="5"/>
  <c r="K1354" i="5"/>
  <c r="K1355" i="5"/>
  <c r="K1356" i="5"/>
  <c r="K1357" i="5"/>
  <c r="K1358" i="5"/>
  <c r="K1359" i="5"/>
  <c r="K1360" i="5"/>
  <c r="K1361" i="5"/>
  <c r="K1362" i="5"/>
  <c r="K1363" i="5"/>
  <c r="K1364" i="5"/>
  <c r="K1365" i="5"/>
  <c r="K1366" i="5"/>
  <c r="K1367" i="5"/>
  <c r="K1368" i="5"/>
  <c r="K1369" i="5"/>
  <c r="K1370" i="5"/>
  <c r="K1371" i="5"/>
  <c r="K1372" i="5"/>
  <c r="K1373" i="5"/>
  <c r="K1374" i="5"/>
  <c r="K1375" i="5"/>
  <c r="K1376" i="5"/>
  <c r="K1377" i="5"/>
  <c r="K1378" i="5"/>
  <c r="K1379" i="5"/>
  <c r="K1380" i="5"/>
  <c r="K1381" i="5"/>
  <c r="K1382" i="5"/>
  <c r="K1383" i="5"/>
  <c r="K1384" i="5"/>
  <c r="K1385" i="5"/>
  <c r="K1386" i="5"/>
  <c r="K1387" i="5"/>
  <c r="K1388" i="5"/>
  <c r="K1389" i="5"/>
  <c r="K1390" i="5"/>
  <c r="K1391" i="5"/>
  <c r="K1392" i="5"/>
  <c r="K1393" i="5"/>
  <c r="K1394" i="5"/>
  <c r="K1395" i="5"/>
  <c r="K1396" i="5"/>
  <c r="K1397" i="5"/>
  <c r="K1398" i="5"/>
  <c r="K1399" i="5"/>
  <c r="K1400" i="5"/>
  <c r="K1401" i="5"/>
  <c r="K1402" i="5"/>
  <c r="K1403" i="5"/>
  <c r="K1404" i="5"/>
  <c r="K1405" i="5"/>
  <c r="K1406" i="5"/>
  <c r="K1407" i="5"/>
  <c r="K1408" i="5"/>
  <c r="K1409" i="5"/>
  <c r="K1410" i="5"/>
  <c r="K1411" i="5"/>
  <c r="K1412" i="5"/>
  <c r="K1413" i="5"/>
  <c r="K1414" i="5"/>
  <c r="K1415" i="5"/>
  <c r="K1416" i="5"/>
  <c r="K1417" i="5"/>
  <c r="K1418" i="5"/>
  <c r="K1419" i="5"/>
  <c r="K1420" i="5"/>
  <c r="K1421" i="5"/>
  <c r="K1422" i="5"/>
  <c r="K1423" i="5"/>
  <c r="K1424" i="5"/>
  <c r="K1425" i="5"/>
  <c r="K1426" i="5"/>
  <c r="K1427" i="5"/>
  <c r="K1428" i="5"/>
  <c r="K1429" i="5"/>
  <c r="K1430" i="5"/>
  <c r="K1431" i="5"/>
  <c r="K1432" i="5"/>
  <c r="K1433" i="5"/>
  <c r="K1434" i="5"/>
  <c r="K1435" i="5"/>
  <c r="K1436" i="5"/>
  <c r="K1437" i="5"/>
  <c r="K1438" i="5"/>
  <c r="K1439" i="5"/>
  <c r="K1440" i="5"/>
  <c r="K1441" i="5"/>
  <c r="K1442" i="5"/>
  <c r="K1443" i="5"/>
  <c r="K1444" i="5"/>
  <c r="K1445" i="5"/>
  <c r="K1446" i="5"/>
  <c r="K1447" i="5"/>
  <c r="K1448" i="5"/>
  <c r="K1449" i="5"/>
  <c r="K1450" i="5"/>
  <c r="K1451" i="5"/>
  <c r="K1452" i="5"/>
  <c r="K1453" i="5"/>
  <c r="K1454" i="5"/>
  <c r="K1455" i="5"/>
  <c r="K1456" i="5"/>
  <c r="K1457" i="5"/>
  <c r="K1458" i="5"/>
  <c r="K1459" i="5"/>
  <c r="K1460" i="5"/>
  <c r="K1461" i="5"/>
  <c r="K1462" i="5"/>
  <c r="K1463" i="5"/>
  <c r="K1464" i="5"/>
  <c r="K1465" i="5"/>
  <c r="K1466" i="5"/>
  <c r="K1467" i="5"/>
  <c r="K1468" i="5"/>
  <c r="K1469" i="5"/>
  <c r="K1470" i="5"/>
  <c r="K1471" i="5"/>
  <c r="K1472" i="5"/>
  <c r="K1473" i="5"/>
  <c r="K1474" i="5"/>
  <c r="K1475" i="5"/>
  <c r="K1476" i="5"/>
  <c r="K1477" i="5"/>
  <c r="K1478" i="5"/>
  <c r="K1479" i="5"/>
  <c r="K1480" i="5"/>
  <c r="K1481" i="5"/>
  <c r="K1482" i="5"/>
  <c r="K1483" i="5"/>
  <c r="K1484" i="5"/>
  <c r="K1485" i="5"/>
  <c r="K1486" i="5"/>
  <c r="K1487" i="5"/>
  <c r="K1488" i="5"/>
  <c r="K1489" i="5"/>
  <c r="K1490" i="5"/>
  <c r="K1491" i="5"/>
  <c r="K1492" i="5"/>
  <c r="K1493" i="5"/>
  <c r="K1494" i="5"/>
  <c r="K1495" i="5"/>
  <c r="K1496" i="5"/>
  <c r="K1497" i="5"/>
  <c r="K1498" i="5"/>
  <c r="K1499" i="5"/>
  <c r="K1500" i="5"/>
  <c r="K1501" i="5"/>
  <c r="K1502" i="5"/>
  <c r="K1503" i="5"/>
  <c r="K1504" i="5"/>
  <c r="K1505" i="5"/>
  <c r="K1506" i="5"/>
  <c r="K1507" i="5"/>
  <c r="K1508" i="5"/>
  <c r="K1509" i="5"/>
  <c r="K1510" i="5"/>
  <c r="K1511" i="5"/>
  <c r="K1512" i="5"/>
  <c r="K1513" i="5"/>
  <c r="K1514" i="5"/>
  <c r="K1515" i="5"/>
  <c r="K1516" i="5"/>
  <c r="K1517" i="5"/>
  <c r="K1518" i="5"/>
  <c r="K1519" i="5"/>
  <c r="K1520" i="5"/>
  <c r="K1521" i="5"/>
  <c r="K1522" i="5"/>
  <c r="K1523" i="5"/>
  <c r="K1524" i="5"/>
  <c r="K1525" i="5"/>
  <c r="K1526" i="5"/>
  <c r="K1527" i="5"/>
  <c r="K1528" i="5"/>
  <c r="K1529" i="5"/>
  <c r="K1530" i="5"/>
  <c r="K1531" i="5"/>
  <c r="K1532" i="5"/>
  <c r="K1533" i="5"/>
  <c r="K1534" i="5"/>
  <c r="K1535" i="5"/>
  <c r="K1536" i="5"/>
  <c r="K1537" i="5"/>
  <c r="K1538" i="5"/>
  <c r="K1539" i="5"/>
  <c r="K1540" i="5"/>
  <c r="K1541" i="5"/>
  <c r="K1542" i="5"/>
  <c r="K1543" i="5"/>
  <c r="K1544" i="5"/>
  <c r="K1545" i="5"/>
  <c r="K1546" i="5"/>
  <c r="K1547" i="5"/>
  <c r="K1548" i="5"/>
  <c r="K1549" i="5"/>
  <c r="K1550" i="5"/>
  <c r="K1551" i="5"/>
  <c r="K1552" i="5"/>
  <c r="K1553" i="5"/>
  <c r="K1554" i="5"/>
  <c r="K1555" i="5"/>
  <c r="K1556" i="5"/>
  <c r="K1557" i="5"/>
  <c r="K1558" i="5"/>
  <c r="K1559" i="5"/>
  <c r="K1560" i="5"/>
  <c r="K1561" i="5"/>
  <c r="K1562" i="5"/>
  <c r="K1563" i="5"/>
  <c r="K1564" i="5"/>
  <c r="K1565" i="5"/>
  <c r="K1566" i="5"/>
  <c r="K1567" i="5"/>
  <c r="K1568" i="5"/>
  <c r="K1569" i="5"/>
  <c r="K1570" i="5"/>
  <c r="K1571" i="5"/>
  <c r="K1572" i="5"/>
  <c r="K1573" i="5"/>
  <c r="K1574" i="5"/>
  <c r="K1575" i="5"/>
  <c r="K1576" i="5"/>
  <c r="K1577" i="5"/>
  <c r="K1578" i="5"/>
  <c r="K1579" i="5"/>
  <c r="K1580" i="5"/>
  <c r="K1581" i="5"/>
  <c r="K1582" i="5"/>
  <c r="K1583" i="5"/>
  <c r="K1584" i="5"/>
  <c r="K1585" i="5"/>
  <c r="K1586" i="5"/>
  <c r="K1587" i="5"/>
  <c r="K1588" i="5"/>
  <c r="K1589" i="5"/>
  <c r="K1590" i="5"/>
  <c r="K1591" i="5"/>
  <c r="K1592" i="5"/>
  <c r="K1593" i="5"/>
  <c r="K1594" i="5"/>
  <c r="K1595" i="5"/>
  <c r="K1596" i="5"/>
  <c r="K1597" i="5"/>
  <c r="K1598" i="5"/>
  <c r="K1599" i="5"/>
  <c r="K1600" i="5"/>
  <c r="K1601" i="5"/>
  <c r="K1602" i="5"/>
  <c r="K1603" i="5"/>
  <c r="K1604" i="5"/>
  <c r="K1605" i="5"/>
  <c r="K1606" i="5"/>
  <c r="K1607" i="5"/>
  <c r="K1608" i="5"/>
  <c r="K1609" i="5"/>
  <c r="K1610" i="5"/>
  <c r="K1611" i="5"/>
  <c r="K1612" i="5"/>
  <c r="K1613" i="5"/>
  <c r="K1614" i="5"/>
  <c r="K1615" i="5"/>
  <c r="K1616" i="5"/>
  <c r="K1617" i="5"/>
  <c r="K1618" i="5"/>
  <c r="K1619" i="5"/>
  <c r="K1620" i="5"/>
  <c r="K1621" i="5"/>
  <c r="K1622" i="5"/>
  <c r="K1623" i="5"/>
  <c r="K1624" i="5"/>
  <c r="K1625" i="5"/>
  <c r="K1626" i="5"/>
  <c r="K1627" i="5"/>
  <c r="K1628" i="5"/>
  <c r="K1629" i="5"/>
  <c r="K1630" i="5"/>
  <c r="K1631" i="5"/>
  <c r="K1632" i="5"/>
  <c r="K1633" i="5"/>
  <c r="K1634" i="5"/>
  <c r="K1635" i="5"/>
  <c r="K1636" i="5"/>
  <c r="K1637" i="5"/>
  <c r="K1638" i="5"/>
  <c r="K1639" i="5"/>
  <c r="K1640" i="5"/>
  <c r="K1641" i="5"/>
  <c r="K1642" i="5"/>
  <c r="K1643" i="5"/>
  <c r="K1644" i="5"/>
  <c r="K1645" i="5"/>
  <c r="K1646" i="5"/>
  <c r="K1647" i="5"/>
  <c r="K1648" i="5"/>
  <c r="K1649" i="5"/>
  <c r="K1650" i="5"/>
  <c r="K1651" i="5"/>
  <c r="K1652" i="5"/>
  <c r="K1653" i="5"/>
  <c r="K1654" i="5"/>
  <c r="K1655" i="5"/>
  <c r="K1656" i="5"/>
  <c r="K1657" i="5"/>
  <c r="K1658" i="5"/>
  <c r="K1659" i="5"/>
  <c r="K1660" i="5"/>
  <c r="K1661" i="5"/>
  <c r="K1662" i="5"/>
  <c r="K1663" i="5"/>
  <c r="K1664" i="5"/>
  <c r="K1665" i="5"/>
  <c r="K1666" i="5"/>
  <c r="K1667" i="5"/>
  <c r="K1668" i="5"/>
  <c r="K1669" i="5"/>
  <c r="K1670" i="5"/>
  <c r="K1671" i="5"/>
  <c r="K1672" i="5"/>
  <c r="K1673" i="5"/>
  <c r="K1674" i="5"/>
  <c r="K1675" i="5"/>
  <c r="K1676" i="5"/>
  <c r="K1677" i="5"/>
  <c r="K1678" i="5"/>
  <c r="K1679" i="5"/>
  <c r="K1680" i="5"/>
  <c r="K1681" i="5"/>
  <c r="K1682" i="5"/>
  <c r="K1683" i="5"/>
  <c r="K1684" i="5"/>
  <c r="K1685" i="5"/>
  <c r="K1686" i="5"/>
  <c r="K1687" i="5"/>
  <c r="K1688" i="5"/>
  <c r="K1689" i="5"/>
  <c r="K1690" i="5"/>
  <c r="K1691" i="5"/>
  <c r="K1692" i="5"/>
  <c r="K1693" i="5"/>
  <c r="K1694" i="5"/>
  <c r="K1695" i="5"/>
  <c r="K1696" i="5"/>
  <c r="K1697" i="5"/>
  <c r="K1698" i="5"/>
  <c r="K1699" i="5"/>
  <c r="K1700" i="5"/>
  <c r="K1701" i="5"/>
  <c r="K1702" i="5"/>
  <c r="K1703" i="5"/>
  <c r="K1704" i="5"/>
  <c r="K1705" i="5"/>
  <c r="K1706" i="5"/>
  <c r="K1707" i="5"/>
  <c r="K1708" i="5"/>
  <c r="K1709" i="5"/>
  <c r="K1710" i="5"/>
  <c r="K1711" i="5"/>
  <c r="K1712" i="5"/>
  <c r="K1713" i="5"/>
  <c r="K1714" i="5"/>
  <c r="K1715" i="5"/>
  <c r="K1716" i="5"/>
  <c r="K1717" i="5"/>
  <c r="K1718" i="5"/>
  <c r="K1719" i="5"/>
  <c r="K1720" i="5"/>
  <c r="K1721" i="5"/>
  <c r="K1722" i="5"/>
  <c r="K1723" i="5"/>
  <c r="K1724" i="5"/>
  <c r="K1725" i="5"/>
  <c r="K1726" i="5"/>
  <c r="K1727" i="5"/>
  <c r="K1728" i="5"/>
  <c r="K1729" i="5"/>
  <c r="K1730" i="5"/>
  <c r="K1731" i="5"/>
  <c r="K1732" i="5"/>
  <c r="K1733" i="5"/>
  <c r="K1734" i="5"/>
  <c r="K1735" i="5"/>
  <c r="K1736" i="5"/>
  <c r="K1737" i="5"/>
  <c r="K1738" i="5"/>
  <c r="K1739" i="5"/>
  <c r="K1740" i="5"/>
  <c r="K1741" i="5"/>
  <c r="K1742" i="5"/>
  <c r="K1743" i="5"/>
  <c r="K1744" i="5"/>
  <c r="K1745" i="5"/>
  <c r="K1746" i="5"/>
  <c r="K1747" i="5"/>
  <c r="K1748" i="5"/>
  <c r="K1749" i="5"/>
  <c r="K1750" i="5"/>
  <c r="K1751" i="5"/>
  <c r="K1752" i="5"/>
  <c r="K1753" i="5"/>
  <c r="K1754" i="5"/>
  <c r="K1755" i="5"/>
  <c r="K1756" i="5"/>
  <c r="K1757" i="5"/>
  <c r="K1758" i="5"/>
  <c r="K1759" i="5"/>
  <c r="K1760" i="5"/>
  <c r="K1761" i="5"/>
  <c r="K1762" i="5"/>
  <c r="K1763" i="5"/>
  <c r="K1764" i="5"/>
  <c r="K1765" i="5"/>
  <c r="K1766" i="5"/>
  <c r="K1767" i="5"/>
  <c r="K1768" i="5"/>
  <c r="K1769" i="5"/>
  <c r="K1770" i="5"/>
  <c r="K1771" i="5"/>
  <c r="K1772" i="5"/>
  <c r="K1773" i="5"/>
  <c r="K1774" i="5"/>
  <c r="K1775" i="5"/>
  <c r="K1776" i="5"/>
  <c r="K1777" i="5"/>
  <c r="K1778" i="5"/>
  <c r="K1779" i="5"/>
  <c r="K1780" i="5"/>
  <c r="K1781" i="5"/>
  <c r="K1782" i="5"/>
  <c r="K1783" i="5"/>
  <c r="K1784" i="5"/>
  <c r="K1785" i="5"/>
  <c r="K1786" i="5"/>
  <c r="K1787" i="5"/>
  <c r="K1788" i="5"/>
  <c r="K1789" i="5"/>
  <c r="K1790" i="5"/>
  <c r="K1791" i="5"/>
  <c r="K1792" i="5"/>
  <c r="K1793" i="5"/>
  <c r="K1794" i="5"/>
  <c r="K1795" i="5"/>
  <c r="K1796" i="5"/>
  <c r="K1797" i="5"/>
  <c r="K1798" i="5"/>
  <c r="K1799" i="5"/>
  <c r="K1800" i="5"/>
  <c r="K1801" i="5"/>
  <c r="K1802" i="5"/>
  <c r="K1803" i="5"/>
  <c r="K1804" i="5"/>
  <c r="K1805" i="5"/>
  <c r="K1806" i="5"/>
  <c r="K1807" i="5"/>
  <c r="K1808" i="5"/>
  <c r="K1809" i="5"/>
  <c r="K1810" i="5"/>
  <c r="K1811" i="5"/>
  <c r="K1812" i="5"/>
  <c r="K1813" i="5"/>
  <c r="K1814" i="5"/>
  <c r="K1815" i="5"/>
  <c r="K1816" i="5"/>
  <c r="K1817" i="5"/>
  <c r="K1818" i="5"/>
  <c r="K1819" i="5"/>
  <c r="K1820" i="5"/>
  <c r="K1821" i="5"/>
  <c r="K1822" i="5"/>
  <c r="K1823" i="5"/>
  <c r="K1824" i="5"/>
  <c r="K1825" i="5"/>
  <c r="K1826" i="5"/>
  <c r="K1827" i="5"/>
  <c r="K1828" i="5"/>
  <c r="K1829" i="5"/>
  <c r="K1830" i="5"/>
  <c r="K1831" i="5"/>
  <c r="K1832" i="5"/>
  <c r="K1833" i="5"/>
  <c r="K1834" i="5"/>
  <c r="K1835" i="5"/>
  <c r="K1836" i="5"/>
  <c r="K1837" i="5"/>
  <c r="K1838" i="5"/>
  <c r="K1839" i="5"/>
  <c r="K1840" i="5"/>
  <c r="K1841" i="5"/>
  <c r="K1842" i="5"/>
  <c r="K1843" i="5"/>
  <c r="K1844" i="5"/>
  <c r="K1845" i="5"/>
  <c r="K1846" i="5"/>
  <c r="K1847" i="5"/>
  <c r="K1848" i="5"/>
  <c r="K1849" i="5"/>
  <c r="K1850" i="5"/>
  <c r="K1851" i="5"/>
  <c r="K1852" i="5"/>
  <c r="K1853" i="5"/>
  <c r="K1854" i="5"/>
  <c r="K1855" i="5"/>
  <c r="K1856" i="5"/>
  <c r="K1857" i="5"/>
  <c r="K1858" i="5"/>
  <c r="K1859" i="5"/>
  <c r="K1860" i="5"/>
  <c r="K1861" i="5"/>
  <c r="K1862" i="5"/>
  <c r="K1863" i="5"/>
  <c r="K1864" i="5"/>
  <c r="K1865" i="5"/>
  <c r="K1866" i="5"/>
  <c r="K1867" i="5"/>
  <c r="K1868" i="5"/>
  <c r="K1869" i="5"/>
  <c r="K1870" i="5"/>
  <c r="K1871" i="5"/>
  <c r="K1872" i="5"/>
  <c r="K1873" i="5"/>
  <c r="K1874" i="5"/>
  <c r="K1875" i="5"/>
  <c r="K1876" i="5"/>
  <c r="K1877" i="5"/>
  <c r="K1878" i="5"/>
  <c r="K1879" i="5"/>
  <c r="K1880" i="5"/>
  <c r="K1881" i="5"/>
  <c r="K1882" i="5"/>
  <c r="K1883" i="5"/>
  <c r="K1884" i="5"/>
  <c r="K1885" i="5"/>
  <c r="K1886" i="5"/>
  <c r="K1887" i="5"/>
  <c r="K1888" i="5"/>
  <c r="K1889" i="5"/>
  <c r="K1890" i="5"/>
  <c r="K1891" i="5"/>
  <c r="K1892" i="5"/>
  <c r="K1893" i="5"/>
  <c r="K1894" i="5"/>
  <c r="K1895" i="5"/>
  <c r="K1896" i="5"/>
  <c r="K1897" i="5"/>
  <c r="K1898" i="5"/>
  <c r="K1899" i="5"/>
  <c r="K1900" i="5"/>
  <c r="K1901" i="5"/>
  <c r="K1902" i="5"/>
  <c r="K1903" i="5"/>
  <c r="K1904" i="5"/>
  <c r="K1905" i="5"/>
  <c r="K1906" i="5"/>
  <c r="K1907" i="5"/>
  <c r="K1908" i="5"/>
  <c r="K1909" i="5"/>
  <c r="K1910" i="5"/>
  <c r="K1911" i="5"/>
  <c r="K1912" i="5"/>
  <c r="K1913" i="5"/>
  <c r="K1914" i="5"/>
  <c r="K1915" i="5"/>
  <c r="K1916" i="5"/>
  <c r="K1917" i="5"/>
  <c r="K1918" i="5"/>
  <c r="K1919" i="5"/>
  <c r="K1920" i="5"/>
  <c r="K1921" i="5"/>
  <c r="K1922" i="5"/>
  <c r="K1923" i="5"/>
  <c r="K1924" i="5"/>
  <c r="K1925" i="5"/>
  <c r="K1926" i="5"/>
  <c r="K1927" i="5"/>
  <c r="K1928" i="5"/>
  <c r="K1929" i="5"/>
  <c r="K1930" i="5"/>
  <c r="K1931" i="5"/>
  <c r="K1932" i="5"/>
  <c r="K1933" i="5"/>
  <c r="K1934" i="5"/>
  <c r="K1935" i="5"/>
  <c r="K1936" i="5"/>
  <c r="K1937" i="5"/>
  <c r="K1938" i="5"/>
  <c r="K1939" i="5"/>
  <c r="K1940" i="5"/>
  <c r="K1941" i="5"/>
  <c r="K1942" i="5"/>
  <c r="K1943" i="5"/>
  <c r="K1944" i="5"/>
  <c r="K1945" i="5"/>
  <c r="K1946" i="5"/>
  <c r="K1947" i="5"/>
  <c r="K1948" i="5"/>
  <c r="K1949" i="5"/>
  <c r="K1950" i="5"/>
  <c r="K1951" i="5"/>
  <c r="K1952" i="5"/>
  <c r="K1953" i="5"/>
  <c r="K1954" i="5"/>
  <c r="K1955" i="5"/>
  <c r="K1956" i="5"/>
  <c r="K1957" i="5"/>
  <c r="K1958" i="5"/>
  <c r="K1959" i="5"/>
  <c r="K1960" i="5"/>
  <c r="K1961" i="5"/>
  <c r="K1962" i="5"/>
  <c r="K1963" i="5"/>
  <c r="K1964" i="5"/>
  <c r="K1965" i="5"/>
  <c r="K1966" i="5"/>
  <c r="K1967" i="5"/>
  <c r="K1968" i="5"/>
  <c r="K1969" i="5"/>
  <c r="K1970" i="5"/>
  <c r="K1971" i="5"/>
  <c r="K1972" i="5"/>
  <c r="K1973" i="5"/>
  <c r="K1974" i="5"/>
  <c r="K1975" i="5"/>
  <c r="K1976" i="5"/>
  <c r="K1977" i="5"/>
  <c r="K1978" i="5"/>
  <c r="K1979" i="5"/>
  <c r="K1980" i="5"/>
  <c r="K1981" i="5"/>
  <c r="K1982" i="5"/>
  <c r="K1983" i="5"/>
  <c r="K1984" i="5"/>
  <c r="K1985" i="5"/>
  <c r="K1986" i="5"/>
  <c r="K1987" i="5"/>
  <c r="K1988" i="5"/>
  <c r="K1989" i="5"/>
  <c r="K1990" i="5"/>
  <c r="K1991" i="5"/>
  <c r="K1992" i="5"/>
  <c r="K1993" i="5"/>
  <c r="K1994" i="5"/>
  <c r="K1995" i="5"/>
  <c r="K1996" i="5"/>
  <c r="K1997" i="5"/>
  <c r="K1998" i="5"/>
  <c r="K1999" i="5"/>
  <c r="K2000" i="5"/>
  <c r="K2001" i="5"/>
  <c r="K2002" i="5"/>
  <c r="K2003" i="5"/>
  <c r="K2004" i="5"/>
  <c r="K2005" i="5"/>
  <c r="K2006" i="5"/>
  <c r="K2007" i="5"/>
  <c r="K2008" i="5"/>
  <c r="K2009" i="5"/>
  <c r="K2010" i="5"/>
  <c r="K2011" i="5"/>
  <c r="K2012" i="5"/>
  <c r="K2013" i="5"/>
  <c r="K2014" i="5"/>
  <c r="K2015" i="5"/>
  <c r="K2016" i="5"/>
  <c r="K2017" i="5"/>
  <c r="K2018" i="5"/>
  <c r="K2019" i="5"/>
  <c r="K2020" i="5"/>
  <c r="K2021" i="5"/>
  <c r="K2022" i="5"/>
  <c r="K2023" i="5"/>
  <c r="K2024" i="5"/>
  <c r="K2025" i="5"/>
  <c r="K2026" i="5"/>
  <c r="K2027" i="5"/>
  <c r="K2028" i="5"/>
  <c r="K2029" i="5"/>
  <c r="K2030" i="5"/>
  <c r="K2031" i="5"/>
  <c r="K2032" i="5"/>
  <c r="K2033" i="5"/>
  <c r="K2034" i="5"/>
  <c r="K2035" i="5"/>
  <c r="K2036" i="5"/>
  <c r="K2037" i="5"/>
  <c r="K2038" i="5"/>
  <c r="K2039" i="5"/>
  <c r="K2040" i="5"/>
  <c r="K2041" i="5"/>
  <c r="K2042" i="5"/>
  <c r="K2043" i="5"/>
  <c r="K2044" i="5"/>
  <c r="K2045" i="5"/>
  <c r="K2046" i="5"/>
  <c r="K2047" i="5"/>
  <c r="K2048" i="5"/>
  <c r="K2049" i="5"/>
  <c r="K2050" i="5"/>
  <c r="K2051" i="5"/>
  <c r="K2052" i="5"/>
  <c r="K2053" i="5"/>
  <c r="K2054" i="5"/>
  <c r="K2055" i="5"/>
  <c r="K2056" i="5"/>
  <c r="K2057" i="5"/>
  <c r="K2058" i="5"/>
  <c r="K2059" i="5"/>
  <c r="K2060" i="5"/>
  <c r="K2061" i="5"/>
  <c r="K2062" i="5"/>
  <c r="K2063" i="5"/>
  <c r="K2064" i="5"/>
  <c r="K2065" i="5"/>
  <c r="K2066" i="5"/>
  <c r="K2067" i="5"/>
  <c r="K2068" i="5"/>
  <c r="K2069" i="5"/>
  <c r="K2070" i="5"/>
  <c r="K2071" i="5"/>
  <c r="K2072" i="5"/>
  <c r="K2073" i="5"/>
  <c r="K2074" i="5"/>
  <c r="K2075" i="5"/>
  <c r="K2076" i="5"/>
  <c r="K2077" i="5"/>
  <c r="K2078" i="5"/>
  <c r="K2079" i="5"/>
  <c r="K2080" i="5"/>
  <c r="K2081" i="5"/>
  <c r="K2082" i="5"/>
  <c r="K2083" i="5"/>
  <c r="K2084" i="5"/>
  <c r="K2085" i="5"/>
  <c r="K2086" i="5"/>
  <c r="K2087" i="5"/>
  <c r="K2088" i="5"/>
  <c r="K2089" i="5"/>
  <c r="K2090" i="5"/>
  <c r="K2091" i="5"/>
  <c r="K2092" i="5"/>
  <c r="K2093" i="5"/>
  <c r="K2094" i="5"/>
  <c r="K2095" i="5"/>
  <c r="K2096" i="5"/>
  <c r="K2097" i="5"/>
  <c r="K2098" i="5"/>
  <c r="K2099" i="5"/>
  <c r="K2100" i="5"/>
  <c r="K2101" i="5"/>
  <c r="K2102" i="5"/>
  <c r="K2103" i="5"/>
  <c r="Q5" i="5"/>
  <c r="O5" i="5"/>
  <c r="Q4" i="5"/>
  <c r="O4" i="5"/>
  <c r="P2103" i="5"/>
  <c r="O2103" i="5"/>
  <c r="N2103" i="5"/>
  <c r="M2103" i="5"/>
  <c r="L2103" i="5"/>
  <c r="P2102" i="5"/>
  <c r="O2102" i="5"/>
  <c r="N2102" i="5"/>
  <c r="M2102" i="5"/>
  <c r="L2102" i="5"/>
  <c r="P2101" i="5"/>
  <c r="O2101" i="5"/>
  <c r="N2101" i="5"/>
  <c r="M2101" i="5"/>
  <c r="L2101" i="5"/>
  <c r="P2100" i="5"/>
  <c r="O2100" i="5"/>
  <c r="N2100" i="5"/>
  <c r="M2100" i="5"/>
  <c r="L2100" i="5"/>
  <c r="P2099" i="5"/>
  <c r="O2099" i="5"/>
  <c r="N2099" i="5"/>
  <c r="M2099" i="5"/>
  <c r="L2099" i="5"/>
  <c r="P2098" i="5"/>
  <c r="O2098" i="5"/>
  <c r="N2098" i="5"/>
  <c r="M2098" i="5"/>
  <c r="L2098" i="5"/>
  <c r="P2097" i="5"/>
  <c r="O2097" i="5"/>
  <c r="N2097" i="5"/>
  <c r="M2097" i="5"/>
  <c r="L2097" i="5"/>
  <c r="P2096" i="5"/>
  <c r="O2096" i="5"/>
  <c r="N2096" i="5"/>
  <c r="M2096" i="5"/>
  <c r="L2096" i="5"/>
  <c r="P2095" i="5"/>
  <c r="O2095" i="5"/>
  <c r="N2095" i="5"/>
  <c r="M2095" i="5"/>
  <c r="L2095" i="5"/>
  <c r="P2094" i="5"/>
  <c r="O2094" i="5"/>
  <c r="N2094" i="5"/>
  <c r="M2094" i="5"/>
  <c r="L2094" i="5"/>
  <c r="P2093" i="5"/>
  <c r="O2093" i="5"/>
  <c r="N2093" i="5"/>
  <c r="M2093" i="5"/>
  <c r="L2093" i="5"/>
  <c r="P2092" i="5"/>
  <c r="O2092" i="5"/>
  <c r="N2092" i="5"/>
  <c r="M2092" i="5"/>
  <c r="L2092" i="5"/>
  <c r="P2091" i="5"/>
  <c r="O2091" i="5"/>
  <c r="N2091" i="5"/>
  <c r="M2091" i="5"/>
  <c r="L2091" i="5"/>
  <c r="P2090" i="5"/>
  <c r="O2090" i="5"/>
  <c r="N2090" i="5"/>
  <c r="M2090" i="5"/>
  <c r="L2090" i="5"/>
  <c r="P2089" i="5"/>
  <c r="O2089" i="5"/>
  <c r="N2089" i="5"/>
  <c r="M2089" i="5"/>
  <c r="L2089" i="5"/>
  <c r="P2088" i="5"/>
  <c r="O2088" i="5"/>
  <c r="N2088" i="5"/>
  <c r="M2088" i="5"/>
  <c r="L2088" i="5"/>
  <c r="P2087" i="5"/>
  <c r="O2087" i="5"/>
  <c r="N2087" i="5"/>
  <c r="M2087" i="5"/>
  <c r="L2087" i="5"/>
  <c r="P2086" i="5"/>
  <c r="O2086" i="5"/>
  <c r="N2086" i="5"/>
  <c r="M2086" i="5"/>
  <c r="L2086" i="5"/>
  <c r="P2085" i="5"/>
  <c r="O2085" i="5"/>
  <c r="N2085" i="5"/>
  <c r="M2085" i="5"/>
  <c r="L2085" i="5"/>
  <c r="P2084" i="5"/>
  <c r="O2084" i="5"/>
  <c r="N2084" i="5"/>
  <c r="M2084" i="5"/>
  <c r="L2084" i="5"/>
  <c r="P2083" i="5"/>
  <c r="O2083" i="5"/>
  <c r="N2083" i="5"/>
  <c r="M2083" i="5"/>
  <c r="L2083" i="5"/>
  <c r="P2082" i="5"/>
  <c r="O2082" i="5"/>
  <c r="N2082" i="5"/>
  <c r="M2082" i="5"/>
  <c r="L2082" i="5"/>
  <c r="P2081" i="5"/>
  <c r="O2081" i="5"/>
  <c r="N2081" i="5"/>
  <c r="M2081" i="5"/>
  <c r="L2081" i="5"/>
  <c r="P2080" i="5"/>
  <c r="O2080" i="5"/>
  <c r="N2080" i="5"/>
  <c r="M2080" i="5"/>
  <c r="L2080" i="5"/>
  <c r="P2079" i="5"/>
  <c r="O2079" i="5"/>
  <c r="N2079" i="5"/>
  <c r="M2079" i="5"/>
  <c r="L2079" i="5"/>
  <c r="P2078" i="5"/>
  <c r="O2078" i="5"/>
  <c r="N2078" i="5"/>
  <c r="M2078" i="5"/>
  <c r="L2078" i="5"/>
  <c r="P2077" i="5"/>
  <c r="O2077" i="5"/>
  <c r="N2077" i="5"/>
  <c r="M2077" i="5"/>
  <c r="L2077" i="5"/>
  <c r="P2076" i="5"/>
  <c r="O2076" i="5"/>
  <c r="N2076" i="5"/>
  <c r="M2076" i="5"/>
  <c r="L2076" i="5"/>
  <c r="P2075" i="5"/>
  <c r="O2075" i="5"/>
  <c r="N2075" i="5"/>
  <c r="M2075" i="5"/>
  <c r="L2075" i="5"/>
  <c r="P2074" i="5"/>
  <c r="O2074" i="5"/>
  <c r="N2074" i="5"/>
  <c r="M2074" i="5"/>
  <c r="L2074" i="5"/>
  <c r="P2073" i="5"/>
  <c r="O2073" i="5"/>
  <c r="N2073" i="5"/>
  <c r="M2073" i="5"/>
  <c r="L2073" i="5"/>
  <c r="P2072" i="5"/>
  <c r="O2072" i="5"/>
  <c r="N2072" i="5"/>
  <c r="M2072" i="5"/>
  <c r="L2072" i="5"/>
  <c r="P2071" i="5"/>
  <c r="O2071" i="5"/>
  <c r="N2071" i="5"/>
  <c r="M2071" i="5"/>
  <c r="L2071" i="5"/>
  <c r="P2070" i="5"/>
  <c r="O2070" i="5"/>
  <c r="N2070" i="5"/>
  <c r="M2070" i="5"/>
  <c r="L2070" i="5"/>
  <c r="P2069" i="5"/>
  <c r="O2069" i="5"/>
  <c r="N2069" i="5"/>
  <c r="M2069" i="5"/>
  <c r="L2069" i="5"/>
  <c r="P2068" i="5"/>
  <c r="O2068" i="5"/>
  <c r="N2068" i="5"/>
  <c r="M2068" i="5"/>
  <c r="L2068" i="5"/>
  <c r="P2067" i="5"/>
  <c r="O2067" i="5"/>
  <c r="N2067" i="5"/>
  <c r="M2067" i="5"/>
  <c r="L2067" i="5"/>
  <c r="P2066" i="5"/>
  <c r="O2066" i="5"/>
  <c r="N2066" i="5"/>
  <c r="M2066" i="5"/>
  <c r="L2066" i="5"/>
  <c r="P2065" i="5"/>
  <c r="O2065" i="5"/>
  <c r="N2065" i="5"/>
  <c r="M2065" i="5"/>
  <c r="L2065" i="5"/>
  <c r="P2064" i="5"/>
  <c r="O2064" i="5"/>
  <c r="N2064" i="5"/>
  <c r="M2064" i="5"/>
  <c r="L2064" i="5"/>
  <c r="P2063" i="5"/>
  <c r="O2063" i="5"/>
  <c r="N2063" i="5"/>
  <c r="M2063" i="5"/>
  <c r="L2063" i="5"/>
  <c r="P2062" i="5"/>
  <c r="O2062" i="5"/>
  <c r="N2062" i="5"/>
  <c r="M2062" i="5"/>
  <c r="L2062" i="5"/>
  <c r="P2061" i="5"/>
  <c r="O2061" i="5"/>
  <c r="N2061" i="5"/>
  <c r="M2061" i="5"/>
  <c r="L2061" i="5"/>
  <c r="P2060" i="5"/>
  <c r="O2060" i="5"/>
  <c r="N2060" i="5"/>
  <c r="M2060" i="5"/>
  <c r="L2060" i="5"/>
  <c r="P2059" i="5"/>
  <c r="O2059" i="5"/>
  <c r="N2059" i="5"/>
  <c r="M2059" i="5"/>
  <c r="L2059" i="5"/>
  <c r="P2058" i="5"/>
  <c r="O2058" i="5"/>
  <c r="N2058" i="5"/>
  <c r="M2058" i="5"/>
  <c r="L2058" i="5"/>
  <c r="P2057" i="5"/>
  <c r="O2057" i="5"/>
  <c r="N2057" i="5"/>
  <c r="M2057" i="5"/>
  <c r="L2057" i="5"/>
  <c r="P2056" i="5"/>
  <c r="O2056" i="5"/>
  <c r="N2056" i="5"/>
  <c r="M2056" i="5"/>
  <c r="L2056" i="5"/>
  <c r="P2055" i="5"/>
  <c r="O2055" i="5"/>
  <c r="N2055" i="5"/>
  <c r="M2055" i="5"/>
  <c r="L2055" i="5"/>
  <c r="P2054" i="5"/>
  <c r="O2054" i="5"/>
  <c r="N2054" i="5"/>
  <c r="M2054" i="5"/>
  <c r="L2054" i="5"/>
  <c r="P2053" i="5"/>
  <c r="O2053" i="5"/>
  <c r="N2053" i="5"/>
  <c r="M2053" i="5"/>
  <c r="L2053" i="5"/>
  <c r="P2052" i="5"/>
  <c r="O2052" i="5"/>
  <c r="N2052" i="5"/>
  <c r="M2052" i="5"/>
  <c r="L2052" i="5"/>
  <c r="P2051" i="5"/>
  <c r="O2051" i="5"/>
  <c r="N2051" i="5"/>
  <c r="M2051" i="5"/>
  <c r="L2051" i="5"/>
  <c r="P2050" i="5"/>
  <c r="O2050" i="5"/>
  <c r="N2050" i="5"/>
  <c r="M2050" i="5"/>
  <c r="L2050" i="5"/>
  <c r="P2049" i="5"/>
  <c r="O2049" i="5"/>
  <c r="N2049" i="5"/>
  <c r="M2049" i="5"/>
  <c r="L2049" i="5"/>
  <c r="P2048" i="5"/>
  <c r="O2048" i="5"/>
  <c r="N2048" i="5"/>
  <c r="M2048" i="5"/>
  <c r="L2048" i="5"/>
  <c r="P2047" i="5"/>
  <c r="O2047" i="5"/>
  <c r="N2047" i="5"/>
  <c r="M2047" i="5"/>
  <c r="L2047" i="5"/>
  <c r="P2046" i="5"/>
  <c r="O2046" i="5"/>
  <c r="N2046" i="5"/>
  <c r="M2046" i="5"/>
  <c r="L2046" i="5"/>
  <c r="P2045" i="5"/>
  <c r="O2045" i="5"/>
  <c r="N2045" i="5"/>
  <c r="M2045" i="5"/>
  <c r="L2045" i="5"/>
  <c r="P2044" i="5"/>
  <c r="O2044" i="5"/>
  <c r="N2044" i="5"/>
  <c r="M2044" i="5"/>
  <c r="L2044" i="5"/>
  <c r="P2043" i="5"/>
  <c r="O2043" i="5"/>
  <c r="N2043" i="5"/>
  <c r="M2043" i="5"/>
  <c r="L2043" i="5"/>
  <c r="P2042" i="5"/>
  <c r="O2042" i="5"/>
  <c r="N2042" i="5"/>
  <c r="M2042" i="5"/>
  <c r="L2042" i="5"/>
  <c r="P2041" i="5"/>
  <c r="O2041" i="5"/>
  <c r="N2041" i="5"/>
  <c r="M2041" i="5"/>
  <c r="L2041" i="5"/>
  <c r="P2040" i="5"/>
  <c r="O2040" i="5"/>
  <c r="N2040" i="5"/>
  <c r="M2040" i="5"/>
  <c r="L2040" i="5"/>
  <c r="P2039" i="5"/>
  <c r="O2039" i="5"/>
  <c r="N2039" i="5"/>
  <c r="M2039" i="5"/>
  <c r="L2039" i="5"/>
  <c r="P2038" i="5"/>
  <c r="O2038" i="5"/>
  <c r="N2038" i="5"/>
  <c r="M2038" i="5"/>
  <c r="L2038" i="5"/>
  <c r="P2037" i="5"/>
  <c r="O2037" i="5"/>
  <c r="N2037" i="5"/>
  <c r="M2037" i="5"/>
  <c r="L2037" i="5"/>
  <c r="P2036" i="5"/>
  <c r="O2036" i="5"/>
  <c r="N2036" i="5"/>
  <c r="M2036" i="5"/>
  <c r="L2036" i="5"/>
  <c r="P2035" i="5"/>
  <c r="O2035" i="5"/>
  <c r="N2035" i="5"/>
  <c r="M2035" i="5"/>
  <c r="L2035" i="5"/>
  <c r="P2034" i="5"/>
  <c r="O2034" i="5"/>
  <c r="N2034" i="5"/>
  <c r="M2034" i="5"/>
  <c r="L2034" i="5"/>
  <c r="P2033" i="5"/>
  <c r="O2033" i="5"/>
  <c r="N2033" i="5"/>
  <c r="M2033" i="5"/>
  <c r="L2033" i="5"/>
  <c r="P2032" i="5"/>
  <c r="O2032" i="5"/>
  <c r="N2032" i="5"/>
  <c r="M2032" i="5"/>
  <c r="L2032" i="5"/>
  <c r="P2031" i="5"/>
  <c r="O2031" i="5"/>
  <c r="N2031" i="5"/>
  <c r="M2031" i="5"/>
  <c r="L2031" i="5"/>
  <c r="P2030" i="5"/>
  <c r="O2030" i="5"/>
  <c r="N2030" i="5"/>
  <c r="M2030" i="5"/>
  <c r="L2030" i="5"/>
  <c r="P2029" i="5"/>
  <c r="O2029" i="5"/>
  <c r="N2029" i="5"/>
  <c r="M2029" i="5"/>
  <c r="L2029" i="5"/>
  <c r="P2028" i="5"/>
  <c r="O2028" i="5"/>
  <c r="N2028" i="5"/>
  <c r="M2028" i="5"/>
  <c r="L2028" i="5"/>
  <c r="P2027" i="5"/>
  <c r="O2027" i="5"/>
  <c r="N2027" i="5"/>
  <c r="M2027" i="5"/>
  <c r="L2027" i="5"/>
  <c r="P2026" i="5"/>
  <c r="O2026" i="5"/>
  <c r="N2026" i="5"/>
  <c r="M2026" i="5"/>
  <c r="L2026" i="5"/>
  <c r="P2025" i="5"/>
  <c r="O2025" i="5"/>
  <c r="N2025" i="5"/>
  <c r="M2025" i="5"/>
  <c r="L2025" i="5"/>
  <c r="P2024" i="5"/>
  <c r="O2024" i="5"/>
  <c r="N2024" i="5"/>
  <c r="M2024" i="5"/>
  <c r="L2024" i="5"/>
  <c r="P2023" i="5"/>
  <c r="O2023" i="5"/>
  <c r="N2023" i="5"/>
  <c r="M2023" i="5"/>
  <c r="L2023" i="5"/>
  <c r="P2022" i="5"/>
  <c r="O2022" i="5"/>
  <c r="N2022" i="5"/>
  <c r="M2022" i="5"/>
  <c r="L2022" i="5"/>
  <c r="P2021" i="5"/>
  <c r="O2021" i="5"/>
  <c r="N2021" i="5"/>
  <c r="M2021" i="5"/>
  <c r="L2021" i="5"/>
  <c r="P2020" i="5"/>
  <c r="O2020" i="5"/>
  <c r="N2020" i="5"/>
  <c r="M2020" i="5"/>
  <c r="L2020" i="5"/>
  <c r="P2019" i="5"/>
  <c r="O2019" i="5"/>
  <c r="N2019" i="5"/>
  <c r="M2019" i="5"/>
  <c r="L2019" i="5"/>
  <c r="P2018" i="5"/>
  <c r="O2018" i="5"/>
  <c r="N2018" i="5"/>
  <c r="M2018" i="5"/>
  <c r="L2018" i="5"/>
  <c r="P2017" i="5"/>
  <c r="O2017" i="5"/>
  <c r="N2017" i="5"/>
  <c r="M2017" i="5"/>
  <c r="L2017" i="5"/>
  <c r="P2016" i="5"/>
  <c r="O2016" i="5"/>
  <c r="N2016" i="5"/>
  <c r="M2016" i="5"/>
  <c r="L2016" i="5"/>
  <c r="P2015" i="5"/>
  <c r="O2015" i="5"/>
  <c r="N2015" i="5"/>
  <c r="M2015" i="5"/>
  <c r="L2015" i="5"/>
  <c r="P2014" i="5"/>
  <c r="O2014" i="5"/>
  <c r="N2014" i="5"/>
  <c r="M2014" i="5"/>
  <c r="L2014" i="5"/>
  <c r="P2013" i="5"/>
  <c r="O2013" i="5"/>
  <c r="N2013" i="5"/>
  <c r="M2013" i="5"/>
  <c r="L2013" i="5"/>
  <c r="P2012" i="5"/>
  <c r="O2012" i="5"/>
  <c r="N2012" i="5"/>
  <c r="M2012" i="5"/>
  <c r="L2012" i="5"/>
  <c r="P2011" i="5"/>
  <c r="O2011" i="5"/>
  <c r="N2011" i="5"/>
  <c r="M2011" i="5"/>
  <c r="L2011" i="5"/>
  <c r="P2010" i="5"/>
  <c r="O2010" i="5"/>
  <c r="N2010" i="5"/>
  <c r="M2010" i="5"/>
  <c r="L2010" i="5"/>
  <c r="P2009" i="5"/>
  <c r="O2009" i="5"/>
  <c r="N2009" i="5"/>
  <c r="M2009" i="5"/>
  <c r="L2009" i="5"/>
  <c r="P2008" i="5"/>
  <c r="O2008" i="5"/>
  <c r="N2008" i="5"/>
  <c r="M2008" i="5"/>
  <c r="L2008" i="5"/>
  <c r="P2007" i="5"/>
  <c r="O2007" i="5"/>
  <c r="N2007" i="5"/>
  <c r="M2007" i="5"/>
  <c r="L2007" i="5"/>
  <c r="P2006" i="5"/>
  <c r="O2006" i="5"/>
  <c r="N2006" i="5"/>
  <c r="M2006" i="5"/>
  <c r="L2006" i="5"/>
  <c r="P2005" i="5"/>
  <c r="O2005" i="5"/>
  <c r="N2005" i="5"/>
  <c r="M2005" i="5"/>
  <c r="L2005" i="5"/>
  <c r="P2004" i="5"/>
  <c r="O2004" i="5"/>
  <c r="N2004" i="5"/>
  <c r="M2004" i="5"/>
  <c r="L2004" i="5"/>
  <c r="P2003" i="5"/>
  <c r="O2003" i="5"/>
  <c r="N2003" i="5"/>
  <c r="M2003" i="5"/>
  <c r="L2003" i="5"/>
  <c r="P2002" i="5"/>
  <c r="O2002" i="5"/>
  <c r="N2002" i="5"/>
  <c r="M2002" i="5"/>
  <c r="L2002" i="5"/>
  <c r="P2001" i="5"/>
  <c r="O2001" i="5"/>
  <c r="N2001" i="5"/>
  <c r="M2001" i="5"/>
  <c r="L2001" i="5"/>
  <c r="P2000" i="5"/>
  <c r="O2000" i="5"/>
  <c r="N2000" i="5"/>
  <c r="M2000" i="5"/>
  <c r="L2000" i="5"/>
  <c r="P1999" i="5"/>
  <c r="O1999" i="5"/>
  <c r="N1999" i="5"/>
  <c r="M1999" i="5"/>
  <c r="L1999" i="5"/>
  <c r="P1998" i="5"/>
  <c r="O1998" i="5"/>
  <c r="N1998" i="5"/>
  <c r="M1998" i="5"/>
  <c r="L1998" i="5"/>
  <c r="P1997" i="5"/>
  <c r="O1997" i="5"/>
  <c r="N1997" i="5"/>
  <c r="M1997" i="5"/>
  <c r="L1997" i="5"/>
  <c r="P1996" i="5"/>
  <c r="O1996" i="5"/>
  <c r="N1996" i="5"/>
  <c r="M1996" i="5"/>
  <c r="L1996" i="5"/>
  <c r="P1995" i="5"/>
  <c r="O1995" i="5"/>
  <c r="N1995" i="5"/>
  <c r="M1995" i="5"/>
  <c r="L1995" i="5"/>
  <c r="P1994" i="5"/>
  <c r="O1994" i="5"/>
  <c r="N1994" i="5"/>
  <c r="M1994" i="5"/>
  <c r="L1994" i="5"/>
  <c r="P1993" i="5"/>
  <c r="O1993" i="5"/>
  <c r="N1993" i="5"/>
  <c r="M1993" i="5"/>
  <c r="L1993" i="5"/>
  <c r="P1992" i="5"/>
  <c r="O1992" i="5"/>
  <c r="N1992" i="5"/>
  <c r="M1992" i="5"/>
  <c r="L1992" i="5"/>
  <c r="P1991" i="5"/>
  <c r="O1991" i="5"/>
  <c r="N1991" i="5"/>
  <c r="M1991" i="5"/>
  <c r="L1991" i="5"/>
  <c r="P1990" i="5"/>
  <c r="O1990" i="5"/>
  <c r="N1990" i="5"/>
  <c r="M1990" i="5"/>
  <c r="L1990" i="5"/>
  <c r="P1989" i="5"/>
  <c r="O1989" i="5"/>
  <c r="N1989" i="5"/>
  <c r="M1989" i="5"/>
  <c r="L1989" i="5"/>
  <c r="P1988" i="5"/>
  <c r="O1988" i="5"/>
  <c r="N1988" i="5"/>
  <c r="M1988" i="5"/>
  <c r="L1988" i="5"/>
  <c r="P1987" i="5"/>
  <c r="O1987" i="5"/>
  <c r="N1987" i="5"/>
  <c r="M1987" i="5"/>
  <c r="L1987" i="5"/>
  <c r="P1986" i="5"/>
  <c r="O1986" i="5"/>
  <c r="N1986" i="5"/>
  <c r="M1986" i="5"/>
  <c r="L1986" i="5"/>
  <c r="P1985" i="5"/>
  <c r="O1985" i="5"/>
  <c r="N1985" i="5"/>
  <c r="M1985" i="5"/>
  <c r="L1985" i="5"/>
  <c r="P1984" i="5"/>
  <c r="O1984" i="5"/>
  <c r="N1984" i="5"/>
  <c r="M1984" i="5"/>
  <c r="L1984" i="5"/>
  <c r="P1983" i="5"/>
  <c r="O1983" i="5"/>
  <c r="N1983" i="5"/>
  <c r="M1983" i="5"/>
  <c r="L1983" i="5"/>
  <c r="P1982" i="5"/>
  <c r="O1982" i="5"/>
  <c r="N1982" i="5"/>
  <c r="M1982" i="5"/>
  <c r="L1982" i="5"/>
  <c r="P1981" i="5"/>
  <c r="O1981" i="5"/>
  <c r="N1981" i="5"/>
  <c r="M1981" i="5"/>
  <c r="L1981" i="5"/>
  <c r="P1980" i="5"/>
  <c r="O1980" i="5"/>
  <c r="N1980" i="5"/>
  <c r="M1980" i="5"/>
  <c r="L1980" i="5"/>
  <c r="P1979" i="5"/>
  <c r="O1979" i="5"/>
  <c r="N1979" i="5"/>
  <c r="M1979" i="5"/>
  <c r="L1979" i="5"/>
  <c r="P1978" i="5"/>
  <c r="O1978" i="5"/>
  <c r="N1978" i="5"/>
  <c r="M1978" i="5"/>
  <c r="L1978" i="5"/>
  <c r="P1977" i="5"/>
  <c r="O1977" i="5"/>
  <c r="N1977" i="5"/>
  <c r="M1977" i="5"/>
  <c r="L1977" i="5"/>
  <c r="P1976" i="5"/>
  <c r="O1976" i="5"/>
  <c r="N1976" i="5"/>
  <c r="M1976" i="5"/>
  <c r="L1976" i="5"/>
  <c r="P1975" i="5"/>
  <c r="O1975" i="5"/>
  <c r="N1975" i="5"/>
  <c r="M1975" i="5"/>
  <c r="L1975" i="5"/>
  <c r="P1974" i="5"/>
  <c r="O1974" i="5"/>
  <c r="N1974" i="5"/>
  <c r="M1974" i="5"/>
  <c r="L1974" i="5"/>
  <c r="P1973" i="5"/>
  <c r="O1973" i="5"/>
  <c r="N1973" i="5"/>
  <c r="M1973" i="5"/>
  <c r="L1973" i="5"/>
  <c r="P1972" i="5"/>
  <c r="O1972" i="5"/>
  <c r="N1972" i="5"/>
  <c r="M1972" i="5"/>
  <c r="L1972" i="5"/>
  <c r="P1971" i="5"/>
  <c r="O1971" i="5"/>
  <c r="N1971" i="5"/>
  <c r="M1971" i="5"/>
  <c r="L1971" i="5"/>
  <c r="P1970" i="5"/>
  <c r="O1970" i="5"/>
  <c r="N1970" i="5"/>
  <c r="M1970" i="5"/>
  <c r="L1970" i="5"/>
  <c r="P1969" i="5"/>
  <c r="O1969" i="5"/>
  <c r="N1969" i="5"/>
  <c r="M1969" i="5"/>
  <c r="L1969" i="5"/>
  <c r="P1968" i="5"/>
  <c r="O1968" i="5"/>
  <c r="N1968" i="5"/>
  <c r="M1968" i="5"/>
  <c r="L1968" i="5"/>
  <c r="P1967" i="5"/>
  <c r="O1967" i="5"/>
  <c r="N1967" i="5"/>
  <c r="M1967" i="5"/>
  <c r="L1967" i="5"/>
  <c r="P1966" i="5"/>
  <c r="O1966" i="5"/>
  <c r="N1966" i="5"/>
  <c r="M1966" i="5"/>
  <c r="L1966" i="5"/>
  <c r="P1965" i="5"/>
  <c r="O1965" i="5"/>
  <c r="N1965" i="5"/>
  <c r="M1965" i="5"/>
  <c r="L1965" i="5"/>
  <c r="P1964" i="5"/>
  <c r="O1964" i="5"/>
  <c r="N1964" i="5"/>
  <c r="M1964" i="5"/>
  <c r="L1964" i="5"/>
  <c r="P1963" i="5"/>
  <c r="O1963" i="5"/>
  <c r="N1963" i="5"/>
  <c r="M1963" i="5"/>
  <c r="L1963" i="5"/>
  <c r="P1962" i="5"/>
  <c r="O1962" i="5"/>
  <c r="N1962" i="5"/>
  <c r="M1962" i="5"/>
  <c r="L1962" i="5"/>
  <c r="P1961" i="5"/>
  <c r="O1961" i="5"/>
  <c r="N1961" i="5"/>
  <c r="M1961" i="5"/>
  <c r="L1961" i="5"/>
  <c r="P1960" i="5"/>
  <c r="O1960" i="5"/>
  <c r="N1960" i="5"/>
  <c r="M1960" i="5"/>
  <c r="L1960" i="5"/>
  <c r="P1959" i="5"/>
  <c r="O1959" i="5"/>
  <c r="N1959" i="5"/>
  <c r="M1959" i="5"/>
  <c r="L1959" i="5"/>
  <c r="P1958" i="5"/>
  <c r="O1958" i="5"/>
  <c r="N1958" i="5"/>
  <c r="M1958" i="5"/>
  <c r="L1958" i="5"/>
  <c r="P1957" i="5"/>
  <c r="O1957" i="5"/>
  <c r="N1957" i="5"/>
  <c r="M1957" i="5"/>
  <c r="L1957" i="5"/>
  <c r="P1956" i="5"/>
  <c r="O1956" i="5"/>
  <c r="N1956" i="5"/>
  <c r="M1956" i="5"/>
  <c r="L1956" i="5"/>
  <c r="P1955" i="5"/>
  <c r="O1955" i="5"/>
  <c r="N1955" i="5"/>
  <c r="M1955" i="5"/>
  <c r="L1955" i="5"/>
  <c r="P1954" i="5"/>
  <c r="O1954" i="5"/>
  <c r="N1954" i="5"/>
  <c r="M1954" i="5"/>
  <c r="L1954" i="5"/>
  <c r="P1953" i="5"/>
  <c r="O1953" i="5"/>
  <c r="N1953" i="5"/>
  <c r="M1953" i="5"/>
  <c r="L1953" i="5"/>
  <c r="P1952" i="5"/>
  <c r="O1952" i="5"/>
  <c r="N1952" i="5"/>
  <c r="M1952" i="5"/>
  <c r="L1952" i="5"/>
  <c r="P1951" i="5"/>
  <c r="O1951" i="5"/>
  <c r="N1951" i="5"/>
  <c r="M1951" i="5"/>
  <c r="L1951" i="5"/>
  <c r="P1950" i="5"/>
  <c r="O1950" i="5"/>
  <c r="N1950" i="5"/>
  <c r="M1950" i="5"/>
  <c r="L1950" i="5"/>
  <c r="P1949" i="5"/>
  <c r="O1949" i="5"/>
  <c r="N1949" i="5"/>
  <c r="M1949" i="5"/>
  <c r="L1949" i="5"/>
  <c r="P1948" i="5"/>
  <c r="O1948" i="5"/>
  <c r="N1948" i="5"/>
  <c r="M1948" i="5"/>
  <c r="L1948" i="5"/>
  <c r="P1947" i="5"/>
  <c r="O1947" i="5"/>
  <c r="N1947" i="5"/>
  <c r="M1947" i="5"/>
  <c r="L1947" i="5"/>
  <c r="P1946" i="5"/>
  <c r="O1946" i="5"/>
  <c r="N1946" i="5"/>
  <c r="M1946" i="5"/>
  <c r="L1946" i="5"/>
  <c r="P1945" i="5"/>
  <c r="O1945" i="5"/>
  <c r="N1945" i="5"/>
  <c r="M1945" i="5"/>
  <c r="L1945" i="5"/>
  <c r="P1944" i="5"/>
  <c r="O1944" i="5"/>
  <c r="N1944" i="5"/>
  <c r="M1944" i="5"/>
  <c r="L1944" i="5"/>
  <c r="P1943" i="5"/>
  <c r="O1943" i="5"/>
  <c r="N1943" i="5"/>
  <c r="M1943" i="5"/>
  <c r="L1943" i="5"/>
  <c r="P1942" i="5"/>
  <c r="O1942" i="5"/>
  <c r="N1942" i="5"/>
  <c r="M1942" i="5"/>
  <c r="L1942" i="5"/>
  <c r="P1941" i="5"/>
  <c r="O1941" i="5"/>
  <c r="N1941" i="5"/>
  <c r="M1941" i="5"/>
  <c r="L1941" i="5"/>
  <c r="P1940" i="5"/>
  <c r="O1940" i="5"/>
  <c r="N1940" i="5"/>
  <c r="M1940" i="5"/>
  <c r="L1940" i="5"/>
  <c r="P1939" i="5"/>
  <c r="O1939" i="5"/>
  <c r="N1939" i="5"/>
  <c r="M1939" i="5"/>
  <c r="L1939" i="5"/>
  <c r="P1938" i="5"/>
  <c r="O1938" i="5"/>
  <c r="N1938" i="5"/>
  <c r="M1938" i="5"/>
  <c r="L1938" i="5"/>
  <c r="P1937" i="5"/>
  <c r="O1937" i="5"/>
  <c r="N1937" i="5"/>
  <c r="M1937" i="5"/>
  <c r="L1937" i="5"/>
  <c r="P1936" i="5"/>
  <c r="O1936" i="5"/>
  <c r="N1936" i="5"/>
  <c r="M1936" i="5"/>
  <c r="L1936" i="5"/>
  <c r="P1935" i="5"/>
  <c r="O1935" i="5"/>
  <c r="N1935" i="5"/>
  <c r="M1935" i="5"/>
  <c r="L1935" i="5"/>
  <c r="P1934" i="5"/>
  <c r="O1934" i="5"/>
  <c r="N1934" i="5"/>
  <c r="M1934" i="5"/>
  <c r="L1934" i="5"/>
  <c r="P1933" i="5"/>
  <c r="O1933" i="5"/>
  <c r="N1933" i="5"/>
  <c r="M1933" i="5"/>
  <c r="L1933" i="5"/>
  <c r="P1932" i="5"/>
  <c r="O1932" i="5"/>
  <c r="N1932" i="5"/>
  <c r="M1932" i="5"/>
  <c r="L1932" i="5"/>
  <c r="P1931" i="5"/>
  <c r="O1931" i="5"/>
  <c r="N1931" i="5"/>
  <c r="M1931" i="5"/>
  <c r="L1931" i="5"/>
  <c r="P1930" i="5"/>
  <c r="O1930" i="5"/>
  <c r="N1930" i="5"/>
  <c r="M1930" i="5"/>
  <c r="L1930" i="5"/>
  <c r="P1929" i="5"/>
  <c r="O1929" i="5"/>
  <c r="N1929" i="5"/>
  <c r="M1929" i="5"/>
  <c r="L1929" i="5"/>
  <c r="P1928" i="5"/>
  <c r="O1928" i="5"/>
  <c r="N1928" i="5"/>
  <c r="M1928" i="5"/>
  <c r="L1928" i="5"/>
  <c r="P1927" i="5"/>
  <c r="O1927" i="5"/>
  <c r="N1927" i="5"/>
  <c r="M1927" i="5"/>
  <c r="L1927" i="5"/>
  <c r="P1926" i="5"/>
  <c r="O1926" i="5"/>
  <c r="N1926" i="5"/>
  <c r="M1926" i="5"/>
  <c r="L1926" i="5"/>
  <c r="P1925" i="5"/>
  <c r="O1925" i="5"/>
  <c r="N1925" i="5"/>
  <c r="M1925" i="5"/>
  <c r="L1925" i="5"/>
  <c r="P1924" i="5"/>
  <c r="O1924" i="5"/>
  <c r="N1924" i="5"/>
  <c r="M1924" i="5"/>
  <c r="L1924" i="5"/>
  <c r="P1923" i="5"/>
  <c r="O1923" i="5"/>
  <c r="N1923" i="5"/>
  <c r="M1923" i="5"/>
  <c r="L1923" i="5"/>
  <c r="P1922" i="5"/>
  <c r="O1922" i="5"/>
  <c r="N1922" i="5"/>
  <c r="M1922" i="5"/>
  <c r="L1922" i="5"/>
  <c r="P1921" i="5"/>
  <c r="O1921" i="5"/>
  <c r="N1921" i="5"/>
  <c r="M1921" i="5"/>
  <c r="L1921" i="5"/>
  <c r="P1920" i="5"/>
  <c r="O1920" i="5"/>
  <c r="N1920" i="5"/>
  <c r="M1920" i="5"/>
  <c r="L1920" i="5"/>
  <c r="P1919" i="5"/>
  <c r="O1919" i="5"/>
  <c r="N1919" i="5"/>
  <c r="M1919" i="5"/>
  <c r="L1919" i="5"/>
  <c r="P1918" i="5"/>
  <c r="O1918" i="5"/>
  <c r="N1918" i="5"/>
  <c r="M1918" i="5"/>
  <c r="L1918" i="5"/>
  <c r="P1917" i="5"/>
  <c r="O1917" i="5"/>
  <c r="N1917" i="5"/>
  <c r="M1917" i="5"/>
  <c r="L1917" i="5"/>
  <c r="P1916" i="5"/>
  <c r="O1916" i="5"/>
  <c r="N1916" i="5"/>
  <c r="M1916" i="5"/>
  <c r="L1916" i="5"/>
  <c r="P1915" i="5"/>
  <c r="O1915" i="5"/>
  <c r="N1915" i="5"/>
  <c r="M1915" i="5"/>
  <c r="L1915" i="5"/>
  <c r="P1914" i="5"/>
  <c r="O1914" i="5"/>
  <c r="N1914" i="5"/>
  <c r="M1914" i="5"/>
  <c r="L1914" i="5"/>
  <c r="P1913" i="5"/>
  <c r="O1913" i="5"/>
  <c r="N1913" i="5"/>
  <c r="M1913" i="5"/>
  <c r="L1913" i="5"/>
  <c r="P1912" i="5"/>
  <c r="O1912" i="5"/>
  <c r="N1912" i="5"/>
  <c r="M1912" i="5"/>
  <c r="L1912" i="5"/>
  <c r="P1911" i="5"/>
  <c r="O1911" i="5"/>
  <c r="N1911" i="5"/>
  <c r="M1911" i="5"/>
  <c r="L1911" i="5"/>
  <c r="P1910" i="5"/>
  <c r="O1910" i="5"/>
  <c r="N1910" i="5"/>
  <c r="M1910" i="5"/>
  <c r="L1910" i="5"/>
  <c r="P1909" i="5"/>
  <c r="O1909" i="5"/>
  <c r="N1909" i="5"/>
  <c r="M1909" i="5"/>
  <c r="L1909" i="5"/>
  <c r="P1908" i="5"/>
  <c r="O1908" i="5"/>
  <c r="N1908" i="5"/>
  <c r="M1908" i="5"/>
  <c r="L1908" i="5"/>
  <c r="P1907" i="5"/>
  <c r="O1907" i="5"/>
  <c r="N1907" i="5"/>
  <c r="M1907" i="5"/>
  <c r="L1907" i="5"/>
  <c r="P1906" i="5"/>
  <c r="O1906" i="5"/>
  <c r="N1906" i="5"/>
  <c r="M1906" i="5"/>
  <c r="L1906" i="5"/>
  <c r="P1905" i="5"/>
  <c r="O1905" i="5"/>
  <c r="N1905" i="5"/>
  <c r="M1905" i="5"/>
  <c r="L1905" i="5"/>
  <c r="P1904" i="5"/>
  <c r="O1904" i="5"/>
  <c r="N1904" i="5"/>
  <c r="M1904" i="5"/>
  <c r="L1904" i="5"/>
  <c r="P1903" i="5"/>
  <c r="O1903" i="5"/>
  <c r="N1903" i="5"/>
  <c r="M1903" i="5"/>
  <c r="L1903" i="5"/>
  <c r="P1902" i="5"/>
  <c r="O1902" i="5"/>
  <c r="N1902" i="5"/>
  <c r="M1902" i="5"/>
  <c r="L1902" i="5"/>
  <c r="P1901" i="5"/>
  <c r="O1901" i="5"/>
  <c r="N1901" i="5"/>
  <c r="M1901" i="5"/>
  <c r="L1901" i="5"/>
  <c r="P1900" i="5"/>
  <c r="O1900" i="5"/>
  <c r="N1900" i="5"/>
  <c r="M1900" i="5"/>
  <c r="L1900" i="5"/>
  <c r="P1899" i="5"/>
  <c r="O1899" i="5"/>
  <c r="N1899" i="5"/>
  <c r="M1899" i="5"/>
  <c r="L1899" i="5"/>
  <c r="P1898" i="5"/>
  <c r="O1898" i="5"/>
  <c r="N1898" i="5"/>
  <c r="M1898" i="5"/>
  <c r="L1898" i="5"/>
  <c r="P1897" i="5"/>
  <c r="O1897" i="5"/>
  <c r="N1897" i="5"/>
  <c r="M1897" i="5"/>
  <c r="L1897" i="5"/>
  <c r="P1896" i="5"/>
  <c r="O1896" i="5"/>
  <c r="N1896" i="5"/>
  <c r="M1896" i="5"/>
  <c r="L1896" i="5"/>
  <c r="P1895" i="5"/>
  <c r="O1895" i="5"/>
  <c r="N1895" i="5"/>
  <c r="M1895" i="5"/>
  <c r="L1895" i="5"/>
  <c r="P1894" i="5"/>
  <c r="O1894" i="5"/>
  <c r="N1894" i="5"/>
  <c r="M1894" i="5"/>
  <c r="L1894" i="5"/>
  <c r="P1893" i="5"/>
  <c r="O1893" i="5"/>
  <c r="N1893" i="5"/>
  <c r="M1893" i="5"/>
  <c r="L1893" i="5"/>
  <c r="P1892" i="5"/>
  <c r="O1892" i="5"/>
  <c r="N1892" i="5"/>
  <c r="M1892" i="5"/>
  <c r="L1892" i="5"/>
  <c r="P1891" i="5"/>
  <c r="O1891" i="5"/>
  <c r="N1891" i="5"/>
  <c r="M1891" i="5"/>
  <c r="L1891" i="5"/>
  <c r="P1890" i="5"/>
  <c r="O1890" i="5"/>
  <c r="N1890" i="5"/>
  <c r="M1890" i="5"/>
  <c r="L1890" i="5"/>
  <c r="P1889" i="5"/>
  <c r="O1889" i="5"/>
  <c r="N1889" i="5"/>
  <c r="M1889" i="5"/>
  <c r="L1889" i="5"/>
  <c r="P1888" i="5"/>
  <c r="O1888" i="5"/>
  <c r="N1888" i="5"/>
  <c r="M1888" i="5"/>
  <c r="L1888" i="5"/>
  <c r="P1887" i="5"/>
  <c r="O1887" i="5"/>
  <c r="N1887" i="5"/>
  <c r="M1887" i="5"/>
  <c r="L1887" i="5"/>
  <c r="P1886" i="5"/>
  <c r="O1886" i="5"/>
  <c r="N1886" i="5"/>
  <c r="M1886" i="5"/>
  <c r="L1886" i="5"/>
  <c r="P1885" i="5"/>
  <c r="O1885" i="5"/>
  <c r="N1885" i="5"/>
  <c r="M1885" i="5"/>
  <c r="L1885" i="5"/>
  <c r="P1884" i="5"/>
  <c r="O1884" i="5"/>
  <c r="N1884" i="5"/>
  <c r="M1884" i="5"/>
  <c r="L1884" i="5"/>
  <c r="P1883" i="5"/>
  <c r="O1883" i="5"/>
  <c r="N1883" i="5"/>
  <c r="M1883" i="5"/>
  <c r="L1883" i="5"/>
  <c r="P1882" i="5"/>
  <c r="O1882" i="5"/>
  <c r="N1882" i="5"/>
  <c r="M1882" i="5"/>
  <c r="L1882" i="5"/>
  <c r="P1881" i="5"/>
  <c r="O1881" i="5"/>
  <c r="N1881" i="5"/>
  <c r="M1881" i="5"/>
  <c r="L1881" i="5"/>
  <c r="P1880" i="5"/>
  <c r="O1880" i="5"/>
  <c r="N1880" i="5"/>
  <c r="M1880" i="5"/>
  <c r="L1880" i="5"/>
  <c r="P1879" i="5"/>
  <c r="O1879" i="5"/>
  <c r="N1879" i="5"/>
  <c r="M1879" i="5"/>
  <c r="L1879" i="5"/>
  <c r="P1878" i="5"/>
  <c r="O1878" i="5"/>
  <c r="N1878" i="5"/>
  <c r="M1878" i="5"/>
  <c r="L1878" i="5"/>
  <c r="P1877" i="5"/>
  <c r="O1877" i="5"/>
  <c r="N1877" i="5"/>
  <c r="M1877" i="5"/>
  <c r="L1877" i="5"/>
  <c r="P1876" i="5"/>
  <c r="O1876" i="5"/>
  <c r="N1876" i="5"/>
  <c r="M1876" i="5"/>
  <c r="L1876" i="5"/>
  <c r="P1875" i="5"/>
  <c r="O1875" i="5"/>
  <c r="N1875" i="5"/>
  <c r="M1875" i="5"/>
  <c r="L1875" i="5"/>
  <c r="P1874" i="5"/>
  <c r="O1874" i="5"/>
  <c r="N1874" i="5"/>
  <c r="M1874" i="5"/>
  <c r="L1874" i="5"/>
  <c r="P1873" i="5"/>
  <c r="O1873" i="5"/>
  <c r="N1873" i="5"/>
  <c r="M1873" i="5"/>
  <c r="L1873" i="5"/>
  <c r="P1872" i="5"/>
  <c r="O1872" i="5"/>
  <c r="N1872" i="5"/>
  <c r="M1872" i="5"/>
  <c r="L1872" i="5"/>
  <c r="P1871" i="5"/>
  <c r="O1871" i="5"/>
  <c r="N1871" i="5"/>
  <c r="M1871" i="5"/>
  <c r="L1871" i="5"/>
  <c r="P1870" i="5"/>
  <c r="O1870" i="5"/>
  <c r="N1870" i="5"/>
  <c r="M1870" i="5"/>
  <c r="L1870" i="5"/>
  <c r="P1869" i="5"/>
  <c r="O1869" i="5"/>
  <c r="N1869" i="5"/>
  <c r="M1869" i="5"/>
  <c r="L1869" i="5"/>
  <c r="P1868" i="5"/>
  <c r="O1868" i="5"/>
  <c r="N1868" i="5"/>
  <c r="M1868" i="5"/>
  <c r="L1868" i="5"/>
  <c r="P1867" i="5"/>
  <c r="O1867" i="5"/>
  <c r="N1867" i="5"/>
  <c r="M1867" i="5"/>
  <c r="L1867" i="5"/>
  <c r="P1866" i="5"/>
  <c r="O1866" i="5"/>
  <c r="N1866" i="5"/>
  <c r="M1866" i="5"/>
  <c r="L1866" i="5"/>
  <c r="P1865" i="5"/>
  <c r="O1865" i="5"/>
  <c r="N1865" i="5"/>
  <c r="M1865" i="5"/>
  <c r="L1865" i="5"/>
  <c r="P1864" i="5"/>
  <c r="O1864" i="5"/>
  <c r="N1864" i="5"/>
  <c r="M1864" i="5"/>
  <c r="L1864" i="5"/>
  <c r="P1863" i="5"/>
  <c r="O1863" i="5"/>
  <c r="N1863" i="5"/>
  <c r="M1863" i="5"/>
  <c r="L1863" i="5"/>
  <c r="P1862" i="5"/>
  <c r="O1862" i="5"/>
  <c r="N1862" i="5"/>
  <c r="M1862" i="5"/>
  <c r="L1862" i="5"/>
  <c r="P1861" i="5"/>
  <c r="O1861" i="5"/>
  <c r="N1861" i="5"/>
  <c r="M1861" i="5"/>
  <c r="L1861" i="5"/>
  <c r="P1860" i="5"/>
  <c r="O1860" i="5"/>
  <c r="N1860" i="5"/>
  <c r="M1860" i="5"/>
  <c r="L1860" i="5"/>
  <c r="P1859" i="5"/>
  <c r="O1859" i="5"/>
  <c r="N1859" i="5"/>
  <c r="M1859" i="5"/>
  <c r="L1859" i="5"/>
  <c r="P1858" i="5"/>
  <c r="O1858" i="5"/>
  <c r="N1858" i="5"/>
  <c r="M1858" i="5"/>
  <c r="L1858" i="5"/>
  <c r="P1857" i="5"/>
  <c r="O1857" i="5"/>
  <c r="N1857" i="5"/>
  <c r="M1857" i="5"/>
  <c r="L1857" i="5"/>
  <c r="P1856" i="5"/>
  <c r="O1856" i="5"/>
  <c r="N1856" i="5"/>
  <c r="M1856" i="5"/>
  <c r="L1856" i="5"/>
  <c r="P1855" i="5"/>
  <c r="O1855" i="5"/>
  <c r="N1855" i="5"/>
  <c r="M1855" i="5"/>
  <c r="L1855" i="5"/>
  <c r="P1854" i="5"/>
  <c r="O1854" i="5"/>
  <c r="N1854" i="5"/>
  <c r="M1854" i="5"/>
  <c r="L1854" i="5"/>
  <c r="P1853" i="5"/>
  <c r="O1853" i="5"/>
  <c r="N1853" i="5"/>
  <c r="M1853" i="5"/>
  <c r="L1853" i="5"/>
  <c r="P1852" i="5"/>
  <c r="O1852" i="5"/>
  <c r="N1852" i="5"/>
  <c r="M1852" i="5"/>
  <c r="L1852" i="5"/>
  <c r="P1851" i="5"/>
  <c r="O1851" i="5"/>
  <c r="N1851" i="5"/>
  <c r="M1851" i="5"/>
  <c r="L1851" i="5"/>
  <c r="P1850" i="5"/>
  <c r="O1850" i="5"/>
  <c r="N1850" i="5"/>
  <c r="M1850" i="5"/>
  <c r="L1850" i="5"/>
  <c r="P1849" i="5"/>
  <c r="O1849" i="5"/>
  <c r="N1849" i="5"/>
  <c r="M1849" i="5"/>
  <c r="L1849" i="5"/>
  <c r="P1848" i="5"/>
  <c r="O1848" i="5"/>
  <c r="N1848" i="5"/>
  <c r="M1848" i="5"/>
  <c r="L1848" i="5"/>
  <c r="P1847" i="5"/>
  <c r="O1847" i="5"/>
  <c r="N1847" i="5"/>
  <c r="M1847" i="5"/>
  <c r="L1847" i="5"/>
  <c r="P1846" i="5"/>
  <c r="O1846" i="5"/>
  <c r="N1846" i="5"/>
  <c r="M1846" i="5"/>
  <c r="L1846" i="5"/>
  <c r="P1845" i="5"/>
  <c r="O1845" i="5"/>
  <c r="N1845" i="5"/>
  <c r="M1845" i="5"/>
  <c r="L1845" i="5"/>
  <c r="P1844" i="5"/>
  <c r="O1844" i="5"/>
  <c r="N1844" i="5"/>
  <c r="M1844" i="5"/>
  <c r="L1844" i="5"/>
  <c r="P1843" i="5"/>
  <c r="O1843" i="5"/>
  <c r="N1843" i="5"/>
  <c r="M1843" i="5"/>
  <c r="L1843" i="5"/>
  <c r="P1842" i="5"/>
  <c r="O1842" i="5"/>
  <c r="N1842" i="5"/>
  <c r="M1842" i="5"/>
  <c r="L1842" i="5"/>
  <c r="P1841" i="5"/>
  <c r="O1841" i="5"/>
  <c r="N1841" i="5"/>
  <c r="M1841" i="5"/>
  <c r="L1841" i="5"/>
  <c r="P1840" i="5"/>
  <c r="O1840" i="5"/>
  <c r="N1840" i="5"/>
  <c r="M1840" i="5"/>
  <c r="L1840" i="5"/>
  <c r="P1839" i="5"/>
  <c r="O1839" i="5"/>
  <c r="N1839" i="5"/>
  <c r="M1839" i="5"/>
  <c r="L1839" i="5"/>
  <c r="P1838" i="5"/>
  <c r="O1838" i="5"/>
  <c r="N1838" i="5"/>
  <c r="M1838" i="5"/>
  <c r="L1838" i="5"/>
  <c r="P1837" i="5"/>
  <c r="O1837" i="5"/>
  <c r="N1837" i="5"/>
  <c r="M1837" i="5"/>
  <c r="L1837" i="5"/>
  <c r="P1836" i="5"/>
  <c r="O1836" i="5"/>
  <c r="N1836" i="5"/>
  <c r="M1836" i="5"/>
  <c r="L1836" i="5"/>
  <c r="P1835" i="5"/>
  <c r="O1835" i="5"/>
  <c r="N1835" i="5"/>
  <c r="M1835" i="5"/>
  <c r="L1835" i="5"/>
  <c r="P1834" i="5"/>
  <c r="O1834" i="5"/>
  <c r="N1834" i="5"/>
  <c r="M1834" i="5"/>
  <c r="L1834" i="5"/>
  <c r="P1833" i="5"/>
  <c r="O1833" i="5"/>
  <c r="N1833" i="5"/>
  <c r="M1833" i="5"/>
  <c r="L1833" i="5"/>
  <c r="P1832" i="5"/>
  <c r="O1832" i="5"/>
  <c r="N1832" i="5"/>
  <c r="M1832" i="5"/>
  <c r="L1832" i="5"/>
  <c r="P1831" i="5"/>
  <c r="O1831" i="5"/>
  <c r="N1831" i="5"/>
  <c r="M1831" i="5"/>
  <c r="L1831" i="5"/>
  <c r="P1830" i="5"/>
  <c r="O1830" i="5"/>
  <c r="N1830" i="5"/>
  <c r="M1830" i="5"/>
  <c r="L1830" i="5"/>
  <c r="P1829" i="5"/>
  <c r="O1829" i="5"/>
  <c r="N1829" i="5"/>
  <c r="M1829" i="5"/>
  <c r="L1829" i="5"/>
  <c r="P1828" i="5"/>
  <c r="O1828" i="5"/>
  <c r="N1828" i="5"/>
  <c r="M1828" i="5"/>
  <c r="L1828" i="5"/>
  <c r="P1827" i="5"/>
  <c r="O1827" i="5"/>
  <c r="N1827" i="5"/>
  <c r="M1827" i="5"/>
  <c r="L1827" i="5"/>
  <c r="P1826" i="5"/>
  <c r="O1826" i="5"/>
  <c r="N1826" i="5"/>
  <c r="M1826" i="5"/>
  <c r="L1826" i="5"/>
  <c r="P1825" i="5"/>
  <c r="O1825" i="5"/>
  <c r="N1825" i="5"/>
  <c r="M1825" i="5"/>
  <c r="L1825" i="5"/>
  <c r="P1824" i="5"/>
  <c r="O1824" i="5"/>
  <c r="N1824" i="5"/>
  <c r="M1824" i="5"/>
  <c r="L1824" i="5"/>
  <c r="P1823" i="5"/>
  <c r="O1823" i="5"/>
  <c r="N1823" i="5"/>
  <c r="M1823" i="5"/>
  <c r="L1823" i="5"/>
  <c r="P1822" i="5"/>
  <c r="O1822" i="5"/>
  <c r="N1822" i="5"/>
  <c r="M1822" i="5"/>
  <c r="L1822" i="5"/>
  <c r="P1821" i="5"/>
  <c r="O1821" i="5"/>
  <c r="N1821" i="5"/>
  <c r="M1821" i="5"/>
  <c r="L1821" i="5"/>
  <c r="P1820" i="5"/>
  <c r="O1820" i="5"/>
  <c r="N1820" i="5"/>
  <c r="M1820" i="5"/>
  <c r="L1820" i="5"/>
  <c r="P1819" i="5"/>
  <c r="O1819" i="5"/>
  <c r="N1819" i="5"/>
  <c r="M1819" i="5"/>
  <c r="L1819" i="5"/>
  <c r="P1818" i="5"/>
  <c r="O1818" i="5"/>
  <c r="N1818" i="5"/>
  <c r="M1818" i="5"/>
  <c r="L1818" i="5"/>
  <c r="P1817" i="5"/>
  <c r="O1817" i="5"/>
  <c r="N1817" i="5"/>
  <c r="M1817" i="5"/>
  <c r="L1817" i="5"/>
  <c r="P1816" i="5"/>
  <c r="O1816" i="5"/>
  <c r="N1816" i="5"/>
  <c r="M1816" i="5"/>
  <c r="L1816" i="5"/>
  <c r="P1815" i="5"/>
  <c r="O1815" i="5"/>
  <c r="N1815" i="5"/>
  <c r="M1815" i="5"/>
  <c r="L1815" i="5"/>
  <c r="P1814" i="5"/>
  <c r="O1814" i="5"/>
  <c r="N1814" i="5"/>
  <c r="M1814" i="5"/>
  <c r="L1814" i="5"/>
  <c r="P1813" i="5"/>
  <c r="O1813" i="5"/>
  <c r="N1813" i="5"/>
  <c r="M1813" i="5"/>
  <c r="L1813" i="5"/>
  <c r="P1812" i="5"/>
  <c r="O1812" i="5"/>
  <c r="N1812" i="5"/>
  <c r="M1812" i="5"/>
  <c r="L1812" i="5"/>
  <c r="P1811" i="5"/>
  <c r="O1811" i="5"/>
  <c r="N1811" i="5"/>
  <c r="M1811" i="5"/>
  <c r="L1811" i="5"/>
  <c r="P1810" i="5"/>
  <c r="O1810" i="5"/>
  <c r="N1810" i="5"/>
  <c r="M1810" i="5"/>
  <c r="L1810" i="5"/>
  <c r="P1809" i="5"/>
  <c r="O1809" i="5"/>
  <c r="N1809" i="5"/>
  <c r="M1809" i="5"/>
  <c r="L1809" i="5"/>
  <c r="P1808" i="5"/>
  <c r="O1808" i="5"/>
  <c r="N1808" i="5"/>
  <c r="M1808" i="5"/>
  <c r="L1808" i="5"/>
  <c r="P1807" i="5"/>
  <c r="O1807" i="5"/>
  <c r="N1807" i="5"/>
  <c r="M1807" i="5"/>
  <c r="L1807" i="5"/>
  <c r="P1806" i="5"/>
  <c r="O1806" i="5"/>
  <c r="N1806" i="5"/>
  <c r="M1806" i="5"/>
  <c r="L1806" i="5"/>
  <c r="P1805" i="5"/>
  <c r="O1805" i="5"/>
  <c r="N1805" i="5"/>
  <c r="M1805" i="5"/>
  <c r="L1805" i="5"/>
  <c r="P1804" i="5"/>
  <c r="O1804" i="5"/>
  <c r="N1804" i="5"/>
  <c r="M1804" i="5"/>
  <c r="L1804" i="5"/>
  <c r="P1803" i="5"/>
  <c r="O1803" i="5"/>
  <c r="N1803" i="5"/>
  <c r="M1803" i="5"/>
  <c r="L1803" i="5"/>
  <c r="P1802" i="5"/>
  <c r="O1802" i="5"/>
  <c r="N1802" i="5"/>
  <c r="M1802" i="5"/>
  <c r="L1802" i="5"/>
  <c r="P1801" i="5"/>
  <c r="O1801" i="5"/>
  <c r="N1801" i="5"/>
  <c r="M1801" i="5"/>
  <c r="L1801" i="5"/>
  <c r="P1800" i="5"/>
  <c r="O1800" i="5"/>
  <c r="N1800" i="5"/>
  <c r="M1800" i="5"/>
  <c r="L1800" i="5"/>
  <c r="P1799" i="5"/>
  <c r="O1799" i="5"/>
  <c r="N1799" i="5"/>
  <c r="M1799" i="5"/>
  <c r="L1799" i="5"/>
  <c r="P1798" i="5"/>
  <c r="O1798" i="5"/>
  <c r="N1798" i="5"/>
  <c r="M1798" i="5"/>
  <c r="L1798" i="5"/>
  <c r="P1797" i="5"/>
  <c r="O1797" i="5"/>
  <c r="N1797" i="5"/>
  <c r="M1797" i="5"/>
  <c r="L1797" i="5"/>
  <c r="P1796" i="5"/>
  <c r="O1796" i="5"/>
  <c r="N1796" i="5"/>
  <c r="M1796" i="5"/>
  <c r="L1796" i="5"/>
  <c r="P1795" i="5"/>
  <c r="O1795" i="5"/>
  <c r="N1795" i="5"/>
  <c r="M1795" i="5"/>
  <c r="L1795" i="5"/>
  <c r="P1794" i="5"/>
  <c r="O1794" i="5"/>
  <c r="N1794" i="5"/>
  <c r="M1794" i="5"/>
  <c r="L1794" i="5"/>
  <c r="P1793" i="5"/>
  <c r="O1793" i="5"/>
  <c r="N1793" i="5"/>
  <c r="M1793" i="5"/>
  <c r="L1793" i="5"/>
  <c r="P1792" i="5"/>
  <c r="O1792" i="5"/>
  <c r="N1792" i="5"/>
  <c r="M1792" i="5"/>
  <c r="L1792" i="5"/>
  <c r="P1791" i="5"/>
  <c r="O1791" i="5"/>
  <c r="N1791" i="5"/>
  <c r="M1791" i="5"/>
  <c r="L1791" i="5"/>
  <c r="P1790" i="5"/>
  <c r="O1790" i="5"/>
  <c r="N1790" i="5"/>
  <c r="M1790" i="5"/>
  <c r="L1790" i="5"/>
  <c r="P1789" i="5"/>
  <c r="O1789" i="5"/>
  <c r="N1789" i="5"/>
  <c r="M1789" i="5"/>
  <c r="L1789" i="5"/>
  <c r="P1788" i="5"/>
  <c r="O1788" i="5"/>
  <c r="N1788" i="5"/>
  <c r="M1788" i="5"/>
  <c r="L1788" i="5"/>
  <c r="P1787" i="5"/>
  <c r="O1787" i="5"/>
  <c r="N1787" i="5"/>
  <c r="M1787" i="5"/>
  <c r="L1787" i="5"/>
  <c r="P1786" i="5"/>
  <c r="O1786" i="5"/>
  <c r="N1786" i="5"/>
  <c r="M1786" i="5"/>
  <c r="L1786" i="5"/>
  <c r="P1785" i="5"/>
  <c r="O1785" i="5"/>
  <c r="N1785" i="5"/>
  <c r="M1785" i="5"/>
  <c r="L1785" i="5"/>
  <c r="P1784" i="5"/>
  <c r="O1784" i="5"/>
  <c r="N1784" i="5"/>
  <c r="M1784" i="5"/>
  <c r="L1784" i="5"/>
  <c r="P1783" i="5"/>
  <c r="O1783" i="5"/>
  <c r="N1783" i="5"/>
  <c r="M1783" i="5"/>
  <c r="L1783" i="5"/>
  <c r="P1782" i="5"/>
  <c r="O1782" i="5"/>
  <c r="N1782" i="5"/>
  <c r="M1782" i="5"/>
  <c r="L1782" i="5"/>
  <c r="P1781" i="5"/>
  <c r="O1781" i="5"/>
  <c r="N1781" i="5"/>
  <c r="M1781" i="5"/>
  <c r="L1781" i="5"/>
  <c r="P1780" i="5"/>
  <c r="O1780" i="5"/>
  <c r="N1780" i="5"/>
  <c r="M1780" i="5"/>
  <c r="L1780" i="5"/>
  <c r="P1779" i="5"/>
  <c r="O1779" i="5"/>
  <c r="N1779" i="5"/>
  <c r="M1779" i="5"/>
  <c r="L1779" i="5"/>
  <c r="P1778" i="5"/>
  <c r="O1778" i="5"/>
  <c r="N1778" i="5"/>
  <c r="M1778" i="5"/>
  <c r="L1778" i="5"/>
  <c r="P1777" i="5"/>
  <c r="O1777" i="5"/>
  <c r="N1777" i="5"/>
  <c r="M1777" i="5"/>
  <c r="L1777" i="5"/>
  <c r="P1776" i="5"/>
  <c r="O1776" i="5"/>
  <c r="N1776" i="5"/>
  <c r="M1776" i="5"/>
  <c r="L1776" i="5"/>
  <c r="P1775" i="5"/>
  <c r="O1775" i="5"/>
  <c r="N1775" i="5"/>
  <c r="M1775" i="5"/>
  <c r="L1775" i="5"/>
  <c r="P1774" i="5"/>
  <c r="O1774" i="5"/>
  <c r="N1774" i="5"/>
  <c r="M1774" i="5"/>
  <c r="L1774" i="5"/>
  <c r="P1773" i="5"/>
  <c r="O1773" i="5"/>
  <c r="N1773" i="5"/>
  <c r="M1773" i="5"/>
  <c r="L1773" i="5"/>
  <c r="P1772" i="5"/>
  <c r="O1772" i="5"/>
  <c r="N1772" i="5"/>
  <c r="M1772" i="5"/>
  <c r="L1772" i="5"/>
  <c r="P1771" i="5"/>
  <c r="O1771" i="5"/>
  <c r="N1771" i="5"/>
  <c r="M1771" i="5"/>
  <c r="L1771" i="5"/>
  <c r="P1770" i="5"/>
  <c r="O1770" i="5"/>
  <c r="N1770" i="5"/>
  <c r="M1770" i="5"/>
  <c r="L1770" i="5"/>
  <c r="P1769" i="5"/>
  <c r="O1769" i="5"/>
  <c r="N1769" i="5"/>
  <c r="M1769" i="5"/>
  <c r="L1769" i="5"/>
  <c r="P1768" i="5"/>
  <c r="O1768" i="5"/>
  <c r="N1768" i="5"/>
  <c r="M1768" i="5"/>
  <c r="L1768" i="5"/>
  <c r="P1767" i="5"/>
  <c r="O1767" i="5"/>
  <c r="N1767" i="5"/>
  <c r="M1767" i="5"/>
  <c r="L1767" i="5"/>
  <c r="P1766" i="5"/>
  <c r="O1766" i="5"/>
  <c r="N1766" i="5"/>
  <c r="M1766" i="5"/>
  <c r="L1766" i="5"/>
  <c r="P1765" i="5"/>
  <c r="O1765" i="5"/>
  <c r="N1765" i="5"/>
  <c r="M1765" i="5"/>
  <c r="L1765" i="5"/>
  <c r="P1764" i="5"/>
  <c r="O1764" i="5"/>
  <c r="N1764" i="5"/>
  <c r="M1764" i="5"/>
  <c r="L1764" i="5"/>
  <c r="P1763" i="5"/>
  <c r="O1763" i="5"/>
  <c r="N1763" i="5"/>
  <c r="M1763" i="5"/>
  <c r="L1763" i="5"/>
  <c r="P1762" i="5"/>
  <c r="O1762" i="5"/>
  <c r="N1762" i="5"/>
  <c r="M1762" i="5"/>
  <c r="L1762" i="5"/>
  <c r="P1761" i="5"/>
  <c r="O1761" i="5"/>
  <c r="N1761" i="5"/>
  <c r="M1761" i="5"/>
  <c r="L1761" i="5"/>
  <c r="P1760" i="5"/>
  <c r="O1760" i="5"/>
  <c r="N1760" i="5"/>
  <c r="M1760" i="5"/>
  <c r="L1760" i="5"/>
  <c r="P1759" i="5"/>
  <c r="O1759" i="5"/>
  <c r="N1759" i="5"/>
  <c r="M1759" i="5"/>
  <c r="L1759" i="5"/>
  <c r="P1758" i="5"/>
  <c r="O1758" i="5"/>
  <c r="N1758" i="5"/>
  <c r="M1758" i="5"/>
  <c r="L1758" i="5"/>
  <c r="P1757" i="5"/>
  <c r="O1757" i="5"/>
  <c r="N1757" i="5"/>
  <c r="M1757" i="5"/>
  <c r="L1757" i="5"/>
  <c r="P1756" i="5"/>
  <c r="O1756" i="5"/>
  <c r="N1756" i="5"/>
  <c r="M1756" i="5"/>
  <c r="L1756" i="5"/>
  <c r="P1755" i="5"/>
  <c r="O1755" i="5"/>
  <c r="N1755" i="5"/>
  <c r="M1755" i="5"/>
  <c r="L1755" i="5"/>
  <c r="P1754" i="5"/>
  <c r="O1754" i="5"/>
  <c r="N1754" i="5"/>
  <c r="M1754" i="5"/>
  <c r="L1754" i="5"/>
  <c r="P1753" i="5"/>
  <c r="O1753" i="5"/>
  <c r="N1753" i="5"/>
  <c r="M1753" i="5"/>
  <c r="L1753" i="5"/>
  <c r="P1752" i="5"/>
  <c r="O1752" i="5"/>
  <c r="N1752" i="5"/>
  <c r="M1752" i="5"/>
  <c r="L1752" i="5"/>
  <c r="P1751" i="5"/>
  <c r="O1751" i="5"/>
  <c r="N1751" i="5"/>
  <c r="M1751" i="5"/>
  <c r="L1751" i="5"/>
  <c r="P1750" i="5"/>
  <c r="O1750" i="5"/>
  <c r="N1750" i="5"/>
  <c r="M1750" i="5"/>
  <c r="L1750" i="5"/>
  <c r="P1749" i="5"/>
  <c r="O1749" i="5"/>
  <c r="N1749" i="5"/>
  <c r="M1749" i="5"/>
  <c r="L1749" i="5"/>
  <c r="P1748" i="5"/>
  <c r="O1748" i="5"/>
  <c r="N1748" i="5"/>
  <c r="M1748" i="5"/>
  <c r="L1748" i="5"/>
  <c r="P1747" i="5"/>
  <c r="O1747" i="5"/>
  <c r="N1747" i="5"/>
  <c r="M1747" i="5"/>
  <c r="L1747" i="5"/>
  <c r="P1746" i="5"/>
  <c r="O1746" i="5"/>
  <c r="N1746" i="5"/>
  <c r="M1746" i="5"/>
  <c r="L1746" i="5"/>
  <c r="P1745" i="5"/>
  <c r="O1745" i="5"/>
  <c r="N1745" i="5"/>
  <c r="M1745" i="5"/>
  <c r="L1745" i="5"/>
  <c r="P1744" i="5"/>
  <c r="O1744" i="5"/>
  <c r="N1744" i="5"/>
  <c r="M1744" i="5"/>
  <c r="L1744" i="5"/>
  <c r="P1743" i="5"/>
  <c r="O1743" i="5"/>
  <c r="N1743" i="5"/>
  <c r="M1743" i="5"/>
  <c r="L1743" i="5"/>
  <c r="P1742" i="5"/>
  <c r="O1742" i="5"/>
  <c r="N1742" i="5"/>
  <c r="M1742" i="5"/>
  <c r="L1742" i="5"/>
  <c r="P1741" i="5"/>
  <c r="O1741" i="5"/>
  <c r="N1741" i="5"/>
  <c r="M1741" i="5"/>
  <c r="L1741" i="5"/>
  <c r="P1740" i="5"/>
  <c r="O1740" i="5"/>
  <c r="N1740" i="5"/>
  <c r="M1740" i="5"/>
  <c r="L1740" i="5"/>
  <c r="P1739" i="5"/>
  <c r="O1739" i="5"/>
  <c r="N1739" i="5"/>
  <c r="M1739" i="5"/>
  <c r="L1739" i="5"/>
  <c r="P1738" i="5"/>
  <c r="O1738" i="5"/>
  <c r="N1738" i="5"/>
  <c r="M1738" i="5"/>
  <c r="L1738" i="5"/>
  <c r="P1737" i="5"/>
  <c r="O1737" i="5"/>
  <c r="N1737" i="5"/>
  <c r="M1737" i="5"/>
  <c r="L1737" i="5"/>
  <c r="P1736" i="5"/>
  <c r="O1736" i="5"/>
  <c r="N1736" i="5"/>
  <c r="M1736" i="5"/>
  <c r="L1736" i="5"/>
  <c r="P1735" i="5"/>
  <c r="O1735" i="5"/>
  <c r="N1735" i="5"/>
  <c r="M1735" i="5"/>
  <c r="L1735" i="5"/>
  <c r="P1734" i="5"/>
  <c r="O1734" i="5"/>
  <c r="N1734" i="5"/>
  <c r="M1734" i="5"/>
  <c r="L1734" i="5"/>
  <c r="P1733" i="5"/>
  <c r="O1733" i="5"/>
  <c r="N1733" i="5"/>
  <c r="M1733" i="5"/>
  <c r="L1733" i="5"/>
  <c r="P1732" i="5"/>
  <c r="O1732" i="5"/>
  <c r="N1732" i="5"/>
  <c r="M1732" i="5"/>
  <c r="L1732" i="5"/>
  <c r="P1731" i="5"/>
  <c r="O1731" i="5"/>
  <c r="N1731" i="5"/>
  <c r="M1731" i="5"/>
  <c r="L1731" i="5"/>
  <c r="P1730" i="5"/>
  <c r="O1730" i="5"/>
  <c r="N1730" i="5"/>
  <c r="M1730" i="5"/>
  <c r="L1730" i="5"/>
  <c r="P1729" i="5"/>
  <c r="O1729" i="5"/>
  <c r="N1729" i="5"/>
  <c r="M1729" i="5"/>
  <c r="L1729" i="5"/>
  <c r="P1728" i="5"/>
  <c r="O1728" i="5"/>
  <c r="N1728" i="5"/>
  <c r="M1728" i="5"/>
  <c r="L1728" i="5"/>
  <c r="P1727" i="5"/>
  <c r="O1727" i="5"/>
  <c r="N1727" i="5"/>
  <c r="M1727" i="5"/>
  <c r="L1727" i="5"/>
  <c r="P1726" i="5"/>
  <c r="O1726" i="5"/>
  <c r="N1726" i="5"/>
  <c r="M1726" i="5"/>
  <c r="L1726" i="5"/>
  <c r="P1725" i="5"/>
  <c r="O1725" i="5"/>
  <c r="N1725" i="5"/>
  <c r="M1725" i="5"/>
  <c r="L1725" i="5"/>
  <c r="P1724" i="5"/>
  <c r="O1724" i="5"/>
  <c r="N1724" i="5"/>
  <c r="M1724" i="5"/>
  <c r="L1724" i="5"/>
  <c r="P1723" i="5"/>
  <c r="O1723" i="5"/>
  <c r="N1723" i="5"/>
  <c r="M1723" i="5"/>
  <c r="L1723" i="5"/>
  <c r="P1722" i="5"/>
  <c r="O1722" i="5"/>
  <c r="N1722" i="5"/>
  <c r="M1722" i="5"/>
  <c r="L1722" i="5"/>
  <c r="P1721" i="5"/>
  <c r="O1721" i="5"/>
  <c r="N1721" i="5"/>
  <c r="M1721" i="5"/>
  <c r="L1721" i="5"/>
  <c r="P1720" i="5"/>
  <c r="O1720" i="5"/>
  <c r="N1720" i="5"/>
  <c r="M1720" i="5"/>
  <c r="L1720" i="5"/>
  <c r="P1719" i="5"/>
  <c r="O1719" i="5"/>
  <c r="N1719" i="5"/>
  <c r="M1719" i="5"/>
  <c r="L1719" i="5"/>
  <c r="P1718" i="5"/>
  <c r="O1718" i="5"/>
  <c r="N1718" i="5"/>
  <c r="M1718" i="5"/>
  <c r="L1718" i="5"/>
  <c r="P1717" i="5"/>
  <c r="O1717" i="5"/>
  <c r="N1717" i="5"/>
  <c r="M1717" i="5"/>
  <c r="L1717" i="5"/>
  <c r="P1716" i="5"/>
  <c r="O1716" i="5"/>
  <c r="N1716" i="5"/>
  <c r="M1716" i="5"/>
  <c r="L1716" i="5"/>
  <c r="P1715" i="5"/>
  <c r="O1715" i="5"/>
  <c r="N1715" i="5"/>
  <c r="M1715" i="5"/>
  <c r="L1715" i="5"/>
  <c r="P1714" i="5"/>
  <c r="O1714" i="5"/>
  <c r="N1714" i="5"/>
  <c r="M1714" i="5"/>
  <c r="L1714" i="5"/>
  <c r="P1713" i="5"/>
  <c r="O1713" i="5"/>
  <c r="N1713" i="5"/>
  <c r="M1713" i="5"/>
  <c r="L1713" i="5"/>
  <c r="P1712" i="5"/>
  <c r="O1712" i="5"/>
  <c r="N1712" i="5"/>
  <c r="M1712" i="5"/>
  <c r="L1712" i="5"/>
  <c r="P1711" i="5"/>
  <c r="O1711" i="5"/>
  <c r="N1711" i="5"/>
  <c r="M1711" i="5"/>
  <c r="L1711" i="5"/>
  <c r="P1710" i="5"/>
  <c r="O1710" i="5"/>
  <c r="N1710" i="5"/>
  <c r="M1710" i="5"/>
  <c r="L1710" i="5"/>
  <c r="P1709" i="5"/>
  <c r="O1709" i="5"/>
  <c r="N1709" i="5"/>
  <c r="M1709" i="5"/>
  <c r="L1709" i="5"/>
  <c r="P1708" i="5"/>
  <c r="O1708" i="5"/>
  <c r="N1708" i="5"/>
  <c r="M1708" i="5"/>
  <c r="L1708" i="5"/>
  <c r="P1707" i="5"/>
  <c r="O1707" i="5"/>
  <c r="N1707" i="5"/>
  <c r="M1707" i="5"/>
  <c r="L1707" i="5"/>
  <c r="P1706" i="5"/>
  <c r="O1706" i="5"/>
  <c r="N1706" i="5"/>
  <c r="M1706" i="5"/>
  <c r="L1706" i="5"/>
  <c r="P1705" i="5"/>
  <c r="O1705" i="5"/>
  <c r="N1705" i="5"/>
  <c r="M1705" i="5"/>
  <c r="L1705" i="5"/>
  <c r="P1704" i="5"/>
  <c r="O1704" i="5"/>
  <c r="N1704" i="5"/>
  <c r="M1704" i="5"/>
  <c r="L1704" i="5"/>
  <c r="P1703" i="5"/>
  <c r="O1703" i="5"/>
  <c r="N1703" i="5"/>
  <c r="M1703" i="5"/>
  <c r="L1703" i="5"/>
  <c r="P1702" i="5"/>
  <c r="O1702" i="5"/>
  <c r="N1702" i="5"/>
  <c r="M1702" i="5"/>
  <c r="L1702" i="5"/>
  <c r="P1701" i="5"/>
  <c r="O1701" i="5"/>
  <c r="N1701" i="5"/>
  <c r="M1701" i="5"/>
  <c r="L1701" i="5"/>
  <c r="P1700" i="5"/>
  <c r="O1700" i="5"/>
  <c r="N1700" i="5"/>
  <c r="M1700" i="5"/>
  <c r="L1700" i="5"/>
  <c r="P1699" i="5"/>
  <c r="O1699" i="5"/>
  <c r="N1699" i="5"/>
  <c r="M1699" i="5"/>
  <c r="L1699" i="5"/>
  <c r="P1698" i="5"/>
  <c r="O1698" i="5"/>
  <c r="N1698" i="5"/>
  <c r="M1698" i="5"/>
  <c r="L1698" i="5"/>
  <c r="P1697" i="5"/>
  <c r="O1697" i="5"/>
  <c r="N1697" i="5"/>
  <c r="M1697" i="5"/>
  <c r="L1697" i="5"/>
  <c r="P1696" i="5"/>
  <c r="O1696" i="5"/>
  <c r="N1696" i="5"/>
  <c r="M1696" i="5"/>
  <c r="L1696" i="5"/>
  <c r="P1695" i="5"/>
  <c r="O1695" i="5"/>
  <c r="N1695" i="5"/>
  <c r="M1695" i="5"/>
  <c r="L1695" i="5"/>
  <c r="P1694" i="5"/>
  <c r="O1694" i="5"/>
  <c r="N1694" i="5"/>
  <c r="M1694" i="5"/>
  <c r="L1694" i="5"/>
  <c r="P1693" i="5"/>
  <c r="O1693" i="5"/>
  <c r="N1693" i="5"/>
  <c r="M1693" i="5"/>
  <c r="L1693" i="5"/>
  <c r="P1692" i="5"/>
  <c r="O1692" i="5"/>
  <c r="N1692" i="5"/>
  <c r="M1692" i="5"/>
  <c r="L1692" i="5"/>
  <c r="P1691" i="5"/>
  <c r="O1691" i="5"/>
  <c r="N1691" i="5"/>
  <c r="M1691" i="5"/>
  <c r="L1691" i="5"/>
  <c r="P1690" i="5"/>
  <c r="O1690" i="5"/>
  <c r="N1690" i="5"/>
  <c r="M1690" i="5"/>
  <c r="L1690" i="5"/>
  <c r="P1689" i="5"/>
  <c r="O1689" i="5"/>
  <c r="N1689" i="5"/>
  <c r="M1689" i="5"/>
  <c r="L1689" i="5"/>
  <c r="P1688" i="5"/>
  <c r="O1688" i="5"/>
  <c r="N1688" i="5"/>
  <c r="M1688" i="5"/>
  <c r="L1688" i="5"/>
  <c r="P1687" i="5"/>
  <c r="O1687" i="5"/>
  <c r="N1687" i="5"/>
  <c r="M1687" i="5"/>
  <c r="L1687" i="5"/>
  <c r="P1686" i="5"/>
  <c r="O1686" i="5"/>
  <c r="N1686" i="5"/>
  <c r="M1686" i="5"/>
  <c r="L1686" i="5"/>
  <c r="P1685" i="5"/>
  <c r="O1685" i="5"/>
  <c r="N1685" i="5"/>
  <c r="M1685" i="5"/>
  <c r="L1685" i="5"/>
  <c r="P1684" i="5"/>
  <c r="O1684" i="5"/>
  <c r="N1684" i="5"/>
  <c r="M1684" i="5"/>
  <c r="L1684" i="5"/>
  <c r="P1683" i="5"/>
  <c r="O1683" i="5"/>
  <c r="N1683" i="5"/>
  <c r="M1683" i="5"/>
  <c r="L1683" i="5"/>
  <c r="P1682" i="5"/>
  <c r="O1682" i="5"/>
  <c r="N1682" i="5"/>
  <c r="M1682" i="5"/>
  <c r="L1682" i="5"/>
  <c r="P1681" i="5"/>
  <c r="O1681" i="5"/>
  <c r="N1681" i="5"/>
  <c r="M1681" i="5"/>
  <c r="L1681" i="5"/>
  <c r="P1680" i="5"/>
  <c r="O1680" i="5"/>
  <c r="N1680" i="5"/>
  <c r="M1680" i="5"/>
  <c r="L1680" i="5"/>
  <c r="P1679" i="5"/>
  <c r="O1679" i="5"/>
  <c r="N1679" i="5"/>
  <c r="M1679" i="5"/>
  <c r="L1679" i="5"/>
  <c r="P1678" i="5"/>
  <c r="O1678" i="5"/>
  <c r="N1678" i="5"/>
  <c r="M1678" i="5"/>
  <c r="L1678" i="5"/>
  <c r="P1677" i="5"/>
  <c r="O1677" i="5"/>
  <c r="N1677" i="5"/>
  <c r="M1677" i="5"/>
  <c r="L1677" i="5"/>
  <c r="P1676" i="5"/>
  <c r="O1676" i="5"/>
  <c r="N1676" i="5"/>
  <c r="M1676" i="5"/>
  <c r="L1676" i="5"/>
  <c r="P1675" i="5"/>
  <c r="O1675" i="5"/>
  <c r="N1675" i="5"/>
  <c r="M1675" i="5"/>
  <c r="L1675" i="5"/>
  <c r="P1674" i="5"/>
  <c r="O1674" i="5"/>
  <c r="N1674" i="5"/>
  <c r="M1674" i="5"/>
  <c r="L1674" i="5"/>
  <c r="P1673" i="5"/>
  <c r="O1673" i="5"/>
  <c r="N1673" i="5"/>
  <c r="M1673" i="5"/>
  <c r="L1673" i="5"/>
  <c r="P1672" i="5"/>
  <c r="O1672" i="5"/>
  <c r="N1672" i="5"/>
  <c r="M1672" i="5"/>
  <c r="L1672" i="5"/>
  <c r="P1671" i="5"/>
  <c r="O1671" i="5"/>
  <c r="N1671" i="5"/>
  <c r="M1671" i="5"/>
  <c r="L1671" i="5"/>
  <c r="P1670" i="5"/>
  <c r="O1670" i="5"/>
  <c r="N1670" i="5"/>
  <c r="M1670" i="5"/>
  <c r="L1670" i="5"/>
  <c r="P1669" i="5"/>
  <c r="O1669" i="5"/>
  <c r="N1669" i="5"/>
  <c r="M1669" i="5"/>
  <c r="L1669" i="5"/>
  <c r="P1668" i="5"/>
  <c r="O1668" i="5"/>
  <c r="N1668" i="5"/>
  <c r="M1668" i="5"/>
  <c r="L1668" i="5"/>
  <c r="P1667" i="5"/>
  <c r="O1667" i="5"/>
  <c r="N1667" i="5"/>
  <c r="M1667" i="5"/>
  <c r="L1667" i="5"/>
  <c r="P1666" i="5"/>
  <c r="O1666" i="5"/>
  <c r="N1666" i="5"/>
  <c r="M1666" i="5"/>
  <c r="L1666" i="5"/>
  <c r="P1665" i="5"/>
  <c r="O1665" i="5"/>
  <c r="N1665" i="5"/>
  <c r="M1665" i="5"/>
  <c r="L1665" i="5"/>
  <c r="P1664" i="5"/>
  <c r="O1664" i="5"/>
  <c r="N1664" i="5"/>
  <c r="M1664" i="5"/>
  <c r="L1664" i="5"/>
  <c r="P1663" i="5"/>
  <c r="O1663" i="5"/>
  <c r="N1663" i="5"/>
  <c r="M1663" i="5"/>
  <c r="L1663" i="5"/>
  <c r="P1662" i="5"/>
  <c r="O1662" i="5"/>
  <c r="N1662" i="5"/>
  <c r="M1662" i="5"/>
  <c r="L1662" i="5"/>
  <c r="P1661" i="5"/>
  <c r="O1661" i="5"/>
  <c r="N1661" i="5"/>
  <c r="M1661" i="5"/>
  <c r="L1661" i="5"/>
  <c r="P1660" i="5"/>
  <c r="O1660" i="5"/>
  <c r="N1660" i="5"/>
  <c r="M1660" i="5"/>
  <c r="L1660" i="5"/>
  <c r="P1659" i="5"/>
  <c r="O1659" i="5"/>
  <c r="N1659" i="5"/>
  <c r="M1659" i="5"/>
  <c r="L1659" i="5"/>
  <c r="P1658" i="5"/>
  <c r="O1658" i="5"/>
  <c r="N1658" i="5"/>
  <c r="M1658" i="5"/>
  <c r="L1658" i="5"/>
  <c r="P1657" i="5"/>
  <c r="O1657" i="5"/>
  <c r="N1657" i="5"/>
  <c r="M1657" i="5"/>
  <c r="L1657" i="5"/>
  <c r="P1656" i="5"/>
  <c r="O1656" i="5"/>
  <c r="N1656" i="5"/>
  <c r="M1656" i="5"/>
  <c r="L1656" i="5"/>
  <c r="P1655" i="5"/>
  <c r="O1655" i="5"/>
  <c r="N1655" i="5"/>
  <c r="M1655" i="5"/>
  <c r="L1655" i="5"/>
  <c r="P1654" i="5"/>
  <c r="O1654" i="5"/>
  <c r="N1654" i="5"/>
  <c r="M1654" i="5"/>
  <c r="L1654" i="5"/>
  <c r="P1653" i="5"/>
  <c r="O1653" i="5"/>
  <c r="N1653" i="5"/>
  <c r="M1653" i="5"/>
  <c r="L1653" i="5"/>
  <c r="P1652" i="5"/>
  <c r="O1652" i="5"/>
  <c r="N1652" i="5"/>
  <c r="M1652" i="5"/>
  <c r="L1652" i="5"/>
  <c r="P1651" i="5"/>
  <c r="O1651" i="5"/>
  <c r="N1651" i="5"/>
  <c r="M1651" i="5"/>
  <c r="L1651" i="5"/>
  <c r="P1650" i="5"/>
  <c r="O1650" i="5"/>
  <c r="N1650" i="5"/>
  <c r="M1650" i="5"/>
  <c r="L1650" i="5"/>
  <c r="P1649" i="5"/>
  <c r="O1649" i="5"/>
  <c r="N1649" i="5"/>
  <c r="M1649" i="5"/>
  <c r="L1649" i="5"/>
  <c r="P1648" i="5"/>
  <c r="O1648" i="5"/>
  <c r="N1648" i="5"/>
  <c r="M1648" i="5"/>
  <c r="L1648" i="5"/>
  <c r="P1647" i="5"/>
  <c r="O1647" i="5"/>
  <c r="N1647" i="5"/>
  <c r="M1647" i="5"/>
  <c r="L1647" i="5"/>
  <c r="P1646" i="5"/>
  <c r="O1646" i="5"/>
  <c r="N1646" i="5"/>
  <c r="M1646" i="5"/>
  <c r="L1646" i="5"/>
  <c r="P1645" i="5"/>
  <c r="O1645" i="5"/>
  <c r="N1645" i="5"/>
  <c r="M1645" i="5"/>
  <c r="L1645" i="5"/>
  <c r="P1644" i="5"/>
  <c r="O1644" i="5"/>
  <c r="N1644" i="5"/>
  <c r="M1644" i="5"/>
  <c r="L1644" i="5"/>
  <c r="P1643" i="5"/>
  <c r="O1643" i="5"/>
  <c r="N1643" i="5"/>
  <c r="M1643" i="5"/>
  <c r="L1643" i="5"/>
  <c r="P1642" i="5"/>
  <c r="O1642" i="5"/>
  <c r="N1642" i="5"/>
  <c r="M1642" i="5"/>
  <c r="L1642" i="5"/>
  <c r="P1641" i="5"/>
  <c r="O1641" i="5"/>
  <c r="N1641" i="5"/>
  <c r="M1641" i="5"/>
  <c r="L1641" i="5"/>
  <c r="P1640" i="5"/>
  <c r="O1640" i="5"/>
  <c r="N1640" i="5"/>
  <c r="M1640" i="5"/>
  <c r="L1640" i="5"/>
  <c r="P1639" i="5"/>
  <c r="O1639" i="5"/>
  <c r="N1639" i="5"/>
  <c r="M1639" i="5"/>
  <c r="L1639" i="5"/>
  <c r="P1638" i="5"/>
  <c r="O1638" i="5"/>
  <c r="N1638" i="5"/>
  <c r="M1638" i="5"/>
  <c r="L1638" i="5"/>
  <c r="P1637" i="5"/>
  <c r="O1637" i="5"/>
  <c r="N1637" i="5"/>
  <c r="M1637" i="5"/>
  <c r="L1637" i="5"/>
  <c r="P1636" i="5"/>
  <c r="O1636" i="5"/>
  <c r="N1636" i="5"/>
  <c r="M1636" i="5"/>
  <c r="L1636" i="5"/>
  <c r="P1635" i="5"/>
  <c r="O1635" i="5"/>
  <c r="N1635" i="5"/>
  <c r="M1635" i="5"/>
  <c r="L1635" i="5"/>
  <c r="P1634" i="5"/>
  <c r="O1634" i="5"/>
  <c r="N1634" i="5"/>
  <c r="M1634" i="5"/>
  <c r="L1634" i="5"/>
  <c r="P1633" i="5"/>
  <c r="O1633" i="5"/>
  <c r="N1633" i="5"/>
  <c r="M1633" i="5"/>
  <c r="L1633" i="5"/>
  <c r="P1632" i="5"/>
  <c r="O1632" i="5"/>
  <c r="N1632" i="5"/>
  <c r="M1632" i="5"/>
  <c r="L1632" i="5"/>
  <c r="P1631" i="5"/>
  <c r="O1631" i="5"/>
  <c r="N1631" i="5"/>
  <c r="M1631" i="5"/>
  <c r="L1631" i="5"/>
  <c r="P1630" i="5"/>
  <c r="O1630" i="5"/>
  <c r="N1630" i="5"/>
  <c r="M1630" i="5"/>
  <c r="L1630" i="5"/>
  <c r="P1629" i="5"/>
  <c r="O1629" i="5"/>
  <c r="N1629" i="5"/>
  <c r="M1629" i="5"/>
  <c r="L1629" i="5"/>
  <c r="P1628" i="5"/>
  <c r="O1628" i="5"/>
  <c r="N1628" i="5"/>
  <c r="M1628" i="5"/>
  <c r="L1628" i="5"/>
  <c r="P1627" i="5"/>
  <c r="O1627" i="5"/>
  <c r="N1627" i="5"/>
  <c r="M1627" i="5"/>
  <c r="L1627" i="5"/>
  <c r="P1626" i="5"/>
  <c r="O1626" i="5"/>
  <c r="N1626" i="5"/>
  <c r="M1626" i="5"/>
  <c r="L1626" i="5"/>
  <c r="P1625" i="5"/>
  <c r="O1625" i="5"/>
  <c r="N1625" i="5"/>
  <c r="M1625" i="5"/>
  <c r="L1625" i="5"/>
  <c r="P1624" i="5"/>
  <c r="O1624" i="5"/>
  <c r="N1624" i="5"/>
  <c r="M1624" i="5"/>
  <c r="L1624" i="5"/>
  <c r="P1623" i="5"/>
  <c r="O1623" i="5"/>
  <c r="N1623" i="5"/>
  <c r="M1623" i="5"/>
  <c r="L1623" i="5"/>
  <c r="P1622" i="5"/>
  <c r="O1622" i="5"/>
  <c r="N1622" i="5"/>
  <c r="M1622" i="5"/>
  <c r="L1622" i="5"/>
  <c r="P1621" i="5"/>
  <c r="O1621" i="5"/>
  <c r="N1621" i="5"/>
  <c r="M1621" i="5"/>
  <c r="L1621" i="5"/>
  <c r="P1620" i="5"/>
  <c r="O1620" i="5"/>
  <c r="N1620" i="5"/>
  <c r="M1620" i="5"/>
  <c r="L1620" i="5"/>
  <c r="P1619" i="5"/>
  <c r="O1619" i="5"/>
  <c r="N1619" i="5"/>
  <c r="M1619" i="5"/>
  <c r="L1619" i="5"/>
  <c r="P1618" i="5"/>
  <c r="O1618" i="5"/>
  <c r="N1618" i="5"/>
  <c r="M1618" i="5"/>
  <c r="L1618" i="5"/>
  <c r="P1617" i="5"/>
  <c r="O1617" i="5"/>
  <c r="N1617" i="5"/>
  <c r="M1617" i="5"/>
  <c r="L1617" i="5"/>
  <c r="P1616" i="5"/>
  <c r="O1616" i="5"/>
  <c r="N1616" i="5"/>
  <c r="M1616" i="5"/>
  <c r="L1616" i="5"/>
  <c r="P1615" i="5"/>
  <c r="O1615" i="5"/>
  <c r="N1615" i="5"/>
  <c r="M1615" i="5"/>
  <c r="L1615" i="5"/>
  <c r="P1614" i="5"/>
  <c r="O1614" i="5"/>
  <c r="N1614" i="5"/>
  <c r="M1614" i="5"/>
  <c r="L1614" i="5"/>
  <c r="P1613" i="5"/>
  <c r="O1613" i="5"/>
  <c r="N1613" i="5"/>
  <c r="M1613" i="5"/>
  <c r="L1613" i="5"/>
  <c r="P1612" i="5"/>
  <c r="O1612" i="5"/>
  <c r="N1612" i="5"/>
  <c r="M1612" i="5"/>
  <c r="L1612" i="5"/>
  <c r="P1611" i="5"/>
  <c r="O1611" i="5"/>
  <c r="N1611" i="5"/>
  <c r="M1611" i="5"/>
  <c r="L1611" i="5"/>
  <c r="P1610" i="5"/>
  <c r="O1610" i="5"/>
  <c r="N1610" i="5"/>
  <c r="M1610" i="5"/>
  <c r="L1610" i="5"/>
  <c r="P1609" i="5"/>
  <c r="O1609" i="5"/>
  <c r="N1609" i="5"/>
  <c r="M1609" i="5"/>
  <c r="L1609" i="5"/>
  <c r="P1608" i="5"/>
  <c r="O1608" i="5"/>
  <c r="N1608" i="5"/>
  <c r="M1608" i="5"/>
  <c r="L1608" i="5"/>
  <c r="P1607" i="5"/>
  <c r="O1607" i="5"/>
  <c r="N1607" i="5"/>
  <c r="M1607" i="5"/>
  <c r="L1607" i="5"/>
  <c r="P1606" i="5"/>
  <c r="O1606" i="5"/>
  <c r="N1606" i="5"/>
  <c r="M1606" i="5"/>
  <c r="L1606" i="5"/>
  <c r="P1605" i="5"/>
  <c r="O1605" i="5"/>
  <c r="N1605" i="5"/>
  <c r="M1605" i="5"/>
  <c r="L1605" i="5"/>
  <c r="P1604" i="5"/>
  <c r="O1604" i="5"/>
  <c r="N1604" i="5"/>
  <c r="M1604" i="5"/>
  <c r="L1604" i="5"/>
  <c r="P1603" i="5"/>
  <c r="O1603" i="5"/>
  <c r="N1603" i="5"/>
  <c r="M1603" i="5"/>
  <c r="L1603" i="5"/>
  <c r="P1602" i="5"/>
  <c r="O1602" i="5"/>
  <c r="N1602" i="5"/>
  <c r="M1602" i="5"/>
  <c r="L1602" i="5"/>
  <c r="P1601" i="5"/>
  <c r="O1601" i="5"/>
  <c r="N1601" i="5"/>
  <c r="M1601" i="5"/>
  <c r="L1601" i="5"/>
  <c r="P1600" i="5"/>
  <c r="O1600" i="5"/>
  <c r="N1600" i="5"/>
  <c r="M1600" i="5"/>
  <c r="L1600" i="5"/>
  <c r="P1599" i="5"/>
  <c r="O1599" i="5"/>
  <c r="N1599" i="5"/>
  <c r="M1599" i="5"/>
  <c r="L1599" i="5"/>
  <c r="P1598" i="5"/>
  <c r="O1598" i="5"/>
  <c r="N1598" i="5"/>
  <c r="M1598" i="5"/>
  <c r="L1598" i="5"/>
  <c r="P1597" i="5"/>
  <c r="O1597" i="5"/>
  <c r="N1597" i="5"/>
  <c r="M1597" i="5"/>
  <c r="L1597" i="5"/>
  <c r="P1596" i="5"/>
  <c r="O1596" i="5"/>
  <c r="N1596" i="5"/>
  <c r="M1596" i="5"/>
  <c r="L1596" i="5"/>
  <c r="P1595" i="5"/>
  <c r="O1595" i="5"/>
  <c r="N1595" i="5"/>
  <c r="M1595" i="5"/>
  <c r="L1595" i="5"/>
  <c r="P1594" i="5"/>
  <c r="O1594" i="5"/>
  <c r="N1594" i="5"/>
  <c r="M1594" i="5"/>
  <c r="L1594" i="5"/>
  <c r="P1593" i="5"/>
  <c r="O1593" i="5"/>
  <c r="N1593" i="5"/>
  <c r="M1593" i="5"/>
  <c r="L1593" i="5"/>
  <c r="P1592" i="5"/>
  <c r="O1592" i="5"/>
  <c r="N1592" i="5"/>
  <c r="M1592" i="5"/>
  <c r="L1592" i="5"/>
  <c r="P1591" i="5"/>
  <c r="O1591" i="5"/>
  <c r="N1591" i="5"/>
  <c r="M1591" i="5"/>
  <c r="L1591" i="5"/>
  <c r="P1590" i="5"/>
  <c r="O1590" i="5"/>
  <c r="N1590" i="5"/>
  <c r="M1590" i="5"/>
  <c r="L1590" i="5"/>
  <c r="P1589" i="5"/>
  <c r="O1589" i="5"/>
  <c r="N1589" i="5"/>
  <c r="M1589" i="5"/>
  <c r="L1589" i="5"/>
  <c r="P1588" i="5"/>
  <c r="O1588" i="5"/>
  <c r="N1588" i="5"/>
  <c r="M1588" i="5"/>
  <c r="L1588" i="5"/>
  <c r="P1587" i="5"/>
  <c r="O1587" i="5"/>
  <c r="N1587" i="5"/>
  <c r="M1587" i="5"/>
  <c r="L1587" i="5"/>
  <c r="P1586" i="5"/>
  <c r="O1586" i="5"/>
  <c r="N1586" i="5"/>
  <c r="M1586" i="5"/>
  <c r="L1586" i="5"/>
  <c r="P1585" i="5"/>
  <c r="O1585" i="5"/>
  <c r="N1585" i="5"/>
  <c r="M1585" i="5"/>
  <c r="L1585" i="5"/>
  <c r="P1584" i="5"/>
  <c r="O1584" i="5"/>
  <c r="N1584" i="5"/>
  <c r="M1584" i="5"/>
  <c r="L1584" i="5"/>
  <c r="P1583" i="5"/>
  <c r="O1583" i="5"/>
  <c r="N1583" i="5"/>
  <c r="M1583" i="5"/>
  <c r="L1583" i="5"/>
  <c r="P1582" i="5"/>
  <c r="O1582" i="5"/>
  <c r="N1582" i="5"/>
  <c r="M1582" i="5"/>
  <c r="L1582" i="5"/>
  <c r="P1581" i="5"/>
  <c r="O1581" i="5"/>
  <c r="N1581" i="5"/>
  <c r="M1581" i="5"/>
  <c r="L1581" i="5"/>
  <c r="P1580" i="5"/>
  <c r="O1580" i="5"/>
  <c r="N1580" i="5"/>
  <c r="M1580" i="5"/>
  <c r="L1580" i="5"/>
  <c r="P1579" i="5"/>
  <c r="O1579" i="5"/>
  <c r="N1579" i="5"/>
  <c r="M1579" i="5"/>
  <c r="L1579" i="5"/>
  <c r="P1578" i="5"/>
  <c r="O1578" i="5"/>
  <c r="N1578" i="5"/>
  <c r="M1578" i="5"/>
  <c r="L1578" i="5"/>
  <c r="P1577" i="5"/>
  <c r="O1577" i="5"/>
  <c r="N1577" i="5"/>
  <c r="M1577" i="5"/>
  <c r="L1577" i="5"/>
  <c r="P1576" i="5"/>
  <c r="O1576" i="5"/>
  <c r="N1576" i="5"/>
  <c r="M1576" i="5"/>
  <c r="L1576" i="5"/>
  <c r="P1575" i="5"/>
  <c r="O1575" i="5"/>
  <c r="N1575" i="5"/>
  <c r="M1575" i="5"/>
  <c r="L1575" i="5"/>
  <c r="P1574" i="5"/>
  <c r="O1574" i="5"/>
  <c r="N1574" i="5"/>
  <c r="M1574" i="5"/>
  <c r="L1574" i="5"/>
  <c r="P1573" i="5"/>
  <c r="O1573" i="5"/>
  <c r="N1573" i="5"/>
  <c r="M1573" i="5"/>
  <c r="L1573" i="5"/>
  <c r="P1572" i="5"/>
  <c r="O1572" i="5"/>
  <c r="N1572" i="5"/>
  <c r="M1572" i="5"/>
  <c r="L1572" i="5"/>
  <c r="P1571" i="5"/>
  <c r="O1571" i="5"/>
  <c r="N1571" i="5"/>
  <c r="M1571" i="5"/>
  <c r="L1571" i="5"/>
  <c r="P1570" i="5"/>
  <c r="O1570" i="5"/>
  <c r="N1570" i="5"/>
  <c r="M1570" i="5"/>
  <c r="L1570" i="5"/>
  <c r="P1569" i="5"/>
  <c r="O1569" i="5"/>
  <c r="N1569" i="5"/>
  <c r="M1569" i="5"/>
  <c r="L1569" i="5"/>
  <c r="P1568" i="5"/>
  <c r="O1568" i="5"/>
  <c r="N1568" i="5"/>
  <c r="M1568" i="5"/>
  <c r="L1568" i="5"/>
  <c r="P1567" i="5"/>
  <c r="O1567" i="5"/>
  <c r="N1567" i="5"/>
  <c r="M1567" i="5"/>
  <c r="L1567" i="5"/>
  <c r="P1566" i="5"/>
  <c r="O1566" i="5"/>
  <c r="N1566" i="5"/>
  <c r="M1566" i="5"/>
  <c r="L1566" i="5"/>
  <c r="P1565" i="5"/>
  <c r="O1565" i="5"/>
  <c r="N1565" i="5"/>
  <c r="M1565" i="5"/>
  <c r="L1565" i="5"/>
  <c r="P1564" i="5"/>
  <c r="O1564" i="5"/>
  <c r="N1564" i="5"/>
  <c r="M1564" i="5"/>
  <c r="L1564" i="5"/>
  <c r="P1563" i="5"/>
  <c r="O1563" i="5"/>
  <c r="N1563" i="5"/>
  <c r="M1563" i="5"/>
  <c r="L1563" i="5"/>
  <c r="P1562" i="5"/>
  <c r="O1562" i="5"/>
  <c r="N1562" i="5"/>
  <c r="M1562" i="5"/>
  <c r="L1562" i="5"/>
  <c r="P1561" i="5"/>
  <c r="O1561" i="5"/>
  <c r="N1561" i="5"/>
  <c r="M1561" i="5"/>
  <c r="L1561" i="5"/>
  <c r="P1560" i="5"/>
  <c r="O1560" i="5"/>
  <c r="N1560" i="5"/>
  <c r="M1560" i="5"/>
  <c r="L1560" i="5"/>
  <c r="P1559" i="5"/>
  <c r="O1559" i="5"/>
  <c r="N1559" i="5"/>
  <c r="M1559" i="5"/>
  <c r="L1559" i="5"/>
  <c r="P1558" i="5"/>
  <c r="O1558" i="5"/>
  <c r="N1558" i="5"/>
  <c r="M1558" i="5"/>
  <c r="L1558" i="5"/>
  <c r="P1557" i="5"/>
  <c r="O1557" i="5"/>
  <c r="N1557" i="5"/>
  <c r="M1557" i="5"/>
  <c r="L1557" i="5"/>
  <c r="P1556" i="5"/>
  <c r="O1556" i="5"/>
  <c r="N1556" i="5"/>
  <c r="M1556" i="5"/>
  <c r="L1556" i="5"/>
  <c r="P1555" i="5"/>
  <c r="O1555" i="5"/>
  <c r="N1555" i="5"/>
  <c r="M1555" i="5"/>
  <c r="L1555" i="5"/>
  <c r="P1554" i="5"/>
  <c r="O1554" i="5"/>
  <c r="N1554" i="5"/>
  <c r="M1554" i="5"/>
  <c r="L1554" i="5"/>
  <c r="P1553" i="5"/>
  <c r="O1553" i="5"/>
  <c r="N1553" i="5"/>
  <c r="M1553" i="5"/>
  <c r="L1553" i="5"/>
  <c r="P1552" i="5"/>
  <c r="O1552" i="5"/>
  <c r="N1552" i="5"/>
  <c r="M1552" i="5"/>
  <c r="L1552" i="5"/>
  <c r="P1551" i="5"/>
  <c r="O1551" i="5"/>
  <c r="N1551" i="5"/>
  <c r="M1551" i="5"/>
  <c r="L1551" i="5"/>
  <c r="P1550" i="5"/>
  <c r="O1550" i="5"/>
  <c r="N1550" i="5"/>
  <c r="M1550" i="5"/>
  <c r="L1550" i="5"/>
  <c r="P1549" i="5"/>
  <c r="O1549" i="5"/>
  <c r="N1549" i="5"/>
  <c r="M1549" i="5"/>
  <c r="L1549" i="5"/>
  <c r="P1548" i="5"/>
  <c r="O1548" i="5"/>
  <c r="N1548" i="5"/>
  <c r="M1548" i="5"/>
  <c r="L1548" i="5"/>
  <c r="P1547" i="5"/>
  <c r="O1547" i="5"/>
  <c r="N1547" i="5"/>
  <c r="M1547" i="5"/>
  <c r="L1547" i="5"/>
  <c r="P1546" i="5"/>
  <c r="O1546" i="5"/>
  <c r="N1546" i="5"/>
  <c r="M1546" i="5"/>
  <c r="L1546" i="5"/>
  <c r="P1545" i="5"/>
  <c r="O1545" i="5"/>
  <c r="N1545" i="5"/>
  <c r="M1545" i="5"/>
  <c r="L1545" i="5"/>
  <c r="P1544" i="5"/>
  <c r="O1544" i="5"/>
  <c r="N1544" i="5"/>
  <c r="M1544" i="5"/>
  <c r="L1544" i="5"/>
  <c r="P1543" i="5"/>
  <c r="O1543" i="5"/>
  <c r="N1543" i="5"/>
  <c r="M1543" i="5"/>
  <c r="L1543" i="5"/>
  <c r="P1542" i="5"/>
  <c r="O1542" i="5"/>
  <c r="N1542" i="5"/>
  <c r="M1542" i="5"/>
  <c r="L1542" i="5"/>
  <c r="P1541" i="5"/>
  <c r="O1541" i="5"/>
  <c r="N1541" i="5"/>
  <c r="M1541" i="5"/>
  <c r="L1541" i="5"/>
  <c r="P1540" i="5"/>
  <c r="O1540" i="5"/>
  <c r="N1540" i="5"/>
  <c r="M1540" i="5"/>
  <c r="L1540" i="5"/>
  <c r="P1539" i="5"/>
  <c r="O1539" i="5"/>
  <c r="N1539" i="5"/>
  <c r="M1539" i="5"/>
  <c r="L1539" i="5"/>
  <c r="P1538" i="5"/>
  <c r="O1538" i="5"/>
  <c r="N1538" i="5"/>
  <c r="M1538" i="5"/>
  <c r="L1538" i="5"/>
  <c r="P1537" i="5"/>
  <c r="O1537" i="5"/>
  <c r="N1537" i="5"/>
  <c r="M1537" i="5"/>
  <c r="L1537" i="5"/>
  <c r="P1536" i="5"/>
  <c r="O1536" i="5"/>
  <c r="N1536" i="5"/>
  <c r="M1536" i="5"/>
  <c r="L1536" i="5"/>
  <c r="P1535" i="5"/>
  <c r="O1535" i="5"/>
  <c r="N1535" i="5"/>
  <c r="M1535" i="5"/>
  <c r="L1535" i="5"/>
  <c r="P1534" i="5"/>
  <c r="O1534" i="5"/>
  <c r="N1534" i="5"/>
  <c r="M1534" i="5"/>
  <c r="L1534" i="5"/>
  <c r="P1533" i="5"/>
  <c r="O1533" i="5"/>
  <c r="N1533" i="5"/>
  <c r="M1533" i="5"/>
  <c r="L1533" i="5"/>
  <c r="P1532" i="5"/>
  <c r="O1532" i="5"/>
  <c r="N1532" i="5"/>
  <c r="M1532" i="5"/>
  <c r="L1532" i="5"/>
  <c r="P1531" i="5"/>
  <c r="O1531" i="5"/>
  <c r="N1531" i="5"/>
  <c r="M1531" i="5"/>
  <c r="L1531" i="5"/>
  <c r="P1530" i="5"/>
  <c r="O1530" i="5"/>
  <c r="N1530" i="5"/>
  <c r="M1530" i="5"/>
  <c r="L1530" i="5"/>
  <c r="P1529" i="5"/>
  <c r="O1529" i="5"/>
  <c r="N1529" i="5"/>
  <c r="M1529" i="5"/>
  <c r="L1529" i="5"/>
  <c r="P1528" i="5"/>
  <c r="O1528" i="5"/>
  <c r="N1528" i="5"/>
  <c r="M1528" i="5"/>
  <c r="L1528" i="5"/>
  <c r="P1527" i="5"/>
  <c r="O1527" i="5"/>
  <c r="N1527" i="5"/>
  <c r="M1527" i="5"/>
  <c r="L1527" i="5"/>
  <c r="P1526" i="5"/>
  <c r="O1526" i="5"/>
  <c r="N1526" i="5"/>
  <c r="M1526" i="5"/>
  <c r="L1526" i="5"/>
  <c r="P1525" i="5"/>
  <c r="O1525" i="5"/>
  <c r="N1525" i="5"/>
  <c r="M1525" i="5"/>
  <c r="L1525" i="5"/>
  <c r="P1524" i="5"/>
  <c r="O1524" i="5"/>
  <c r="N1524" i="5"/>
  <c r="M1524" i="5"/>
  <c r="L1524" i="5"/>
  <c r="P1523" i="5"/>
  <c r="O1523" i="5"/>
  <c r="N1523" i="5"/>
  <c r="M1523" i="5"/>
  <c r="L1523" i="5"/>
  <c r="P1522" i="5"/>
  <c r="O1522" i="5"/>
  <c r="N1522" i="5"/>
  <c r="M1522" i="5"/>
  <c r="L1522" i="5"/>
  <c r="P1521" i="5"/>
  <c r="O1521" i="5"/>
  <c r="N1521" i="5"/>
  <c r="M1521" i="5"/>
  <c r="L1521" i="5"/>
  <c r="P1520" i="5"/>
  <c r="O1520" i="5"/>
  <c r="N1520" i="5"/>
  <c r="M1520" i="5"/>
  <c r="L1520" i="5"/>
  <c r="P1519" i="5"/>
  <c r="O1519" i="5"/>
  <c r="N1519" i="5"/>
  <c r="M1519" i="5"/>
  <c r="L1519" i="5"/>
  <c r="P1518" i="5"/>
  <c r="O1518" i="5"/>
  <c r="N1518" i="5"/>
  <c r="M1518" i="5"/>
  <c r="L1518" i="5"/>
  <c r="P1517" i="5"/>
  <c r="O1517" i="5"/>
  <c r="N1517" i="5"/>
  <c r="M1517" i="5"/>
  <c r="L1517" i="5"/>
  <c r="P1516" i="5"/>
  <c r="O1516" i="5"/>
  <c r="N1516" i="5"/>
  <c r="M1516" i="5"/>
  <c r="L1516" i="5"/>
  <c r="P1515" i="5"/>
  <c r="O1515" i="5"/>
  <c r="N1515" i="5"/>
  <c r="M1515" i="5"/>
  <c r="L1515" i="5"/>
  <c r="P1514" i="5"/>
  <c r="O1514" i="5"/>
  <c r="N1514" i="5"/>
  <c r="M1514" i="5"/>
  <c r="L1514" i="5"/>
  <c r="P1513" i="5"/>
  <c r="O1513" i="5"/>
  <c r="N1513" i="5"/>
  <c r="M1513" i="5"/>
  <c r="L1513" i="5"/>
  <c r="P1512" i="5"/>
  <c r="O1512" i="5"/>
  <c r="N1512" i="5"/>
  <c r="M1512" i="5"/>
  <c r="L1512" i="5"/>
  <c r="P1511" i="5"/>
  <c r="O1511" i="5"/>
  <c r="N1511" i="5"/>
  <c r="M1511" i="5"/>
  <c r="L1511" i="5"/>
  <c r="P1510" i="5"/>
  <c r="O1510" i="5"/>
  <c r="N1510" i="5"/>
  <c r="M1510" i="5"/>
  <c r="L1510" i="5"/>
  <c r="P1509" i="5"/>
  <c r="O1509" i="5"/>
  <c r="N1509" i="5"/>
  <c r="M1509" i="5"/>
  <c r="L1509" i="5"/>
  <c r="P1508" i="5"/>
  <c r="O1508" i="5"/>
  <c r="N1508" i="5"/>
  <c r="M1508" i="5"/>
  <c r="L1508" i="5"/>
  <c r="P1507" i="5"/>
  <c r="O1507" i="5"/>
  <c r="N1507" i="5"/>
  <c r="M1507" i="5"/>
  <c r="L1507" i="5"/>
  <c r="P1506" i="5"/>
  <c r="O1506" i="5"/>
  <c r="N1506" i="5"/>
  <c r="M1506" i="5"/>
  <c r="L1506" i="5"/>
  <c r="P1505" i="5"/>
  <c r="O1505" i="5"/>
  <c r="N1505" i="5"/>
  <c r="M1505" i="5"/>
  <c r="L1505" i="5"/>
  <c r="P1504" i="5"/>
  <c r="O1504" i="5"/>
  <c r="N1504" i="5"/>
  <c r="M1504" i="5"/>
  <c r="L1504" i="5"/>
  <c r="P1503" i="5"/>
  <c r="O1503" i="5"/>
  <c r="N1503" i="5"/>
  <c r="M1503" i="5"/>
  <c r="L1503" i="5"/>
  <c r="P1502" i="5"/>
  <c r="O1502" i="5"/>
  <c r="N1502" i="5"/>
  <c r="M1502" i="5"/>
  <c r="L1502" i="5"/>
  <c r="P1501" i="5"/>
  <c r="O1501" i="5"/>
  <c r="N1501" i="5"/>
  <c r="M1501" i="5"/>
  <c r="L1501" i="5"/>
  <c r="P1500" i="5"/>
  <c r="O1500" i="5"/>
  <c r="N1500" i="5"/>
  <c r="M1500" i="5"/>
  <c r="L1500" i="5"/>
  <c r="P1499" i="5"/>
  <c r="O1499" i="5"/>
  <c r="N1499" i="5"/>
  <c r="M1499" i="5"/>
  <c r="L1499" i="5"/>
  <c r="P1498" i="5"/>
  <c r="O1498" i="5"/>
  <c r="N1498" i="5"/>
  <c r="M1498" i="5"/>
  <c r="L1498" i="5"/>
  <c r="P1497" i="5"/>
  <c r="O1497" i="5"/>
  <c r="N1497" i="5"/>
  <c r="M1497" i="5"/>
  <c r="L1497" i="5"/>
  <c r="P1496" i="5"/>
  <c r="O1496" i="5"/>
  <c r="N1496" i="5"/>
  <c r="M1496" i="5"/>
  <c r="L1496" i="5"/>
  <c r="P1495" i="5"/>
  <c r="O1495" i="5"/>
  <c r="N1495" i="5"/>
  <c r="M1495" i="5"/>
  <c r="L1495" i="5"/>
  <c r="P1494" i="5"/>
  <c r="O1494" i="5"/>
  <c r="N1494" i="5"/>
  <c r="M1494" i="5"/>
  <c r="L1494" i="5"/>
  <c r="P1493" i="5"/>
  <c r="O1493" i="5"/>
  <c r="N1493" i="5"/>
  <c r="M1493" i="5"/>
  <c r="L1493" i="5"/>
  <c r="P1492" i="5"/>
  <c r="O1492" i="5"/>
  <c r="N1492" i="5"/>
  <c r="M1492" i="5"/>
  <c r="L1492" i="5"/>
  <c r="P1491" i="5"/>
  <c r="O1491" i="5"/>
  <c r="N1491" i="5"/>
  <c r="M1491" i="5"/>
  <c r="L1491" i="5"/>
  <c r="P1490" i="5"/>
  <c r="O1490" i="5"/>
  <c r="N1490" i="5"/>
  <c r="M1490" i="5"/>
  <c r="L1490" i="5"/>
  <c r="P1489" i="5"/>
  <c r="O1489" i="5"/>
  <c r="N1489" i="5"/>
  <c r="M1489" i="5"/>
  <c r="L1489" i="5"/>
  <c r="P1488" i="5"/>
  <c r="O1488" i="5"/>
  <c r="N1488" i="5"/>
  <c r="M1488" i="5"/>
  <c r="L1488" i="5"/>
  <c r="P1487" i="5"/>
  <c r="O1487" i="5"/>
  <c r="N1487" i="5"/>
  <c r="M1487" i="5"/>
  <c r="L1487" i="5"/>
  <c r="P1486" i="5"/>
  <c r="O1486" i="5"/>
  <c r="N1486" i="5"/>
  <c r="M1486" i="5"/>
  <c r="L1486" i="5"/>
  <c r="P1485" i="5"/>
  <c r="O1485" i="5"/>
  <c r="N1485" i="5"/>
  <c r="M1485" i="5"/>
  <c r="L1485" i="5"/>
  <c r="P1484" i="5"/>
  <c r="O1484" i="5"/>
  <c r="N1484" i="5"/>
  <c r="M1484" i="5"/>
  <c r="L1484" i="5"/>
  <c r="P1483" i="5"/>
  <c r="O1483" i="5"/>
  <c r="N1483" i="5"/>
  <c r="M1483" i="5"/>
  <c r="L1483" i="5"/>
  <c r="P1482" i="5"/>
  <c r="O1482" i="5"/>
  <c r="N1482" i="5"/>
  <c r="M1482" i="5"/>
  <c r="L1482" i="5"/>
  <c r="P1481" i="5"/>
  <c r="O1481" i="5"/>
  <c r="N1481" i="5"/>
  <c r="M1481" i="5"/>
  <c r="L1481" i="5"/>
  <c r="P1480" i="5"/>
  <c r="O1480" i="5"/>
  <c r="N1480" i="5"/>
  <c r="M1480" i="5"/>
  <c r="L1480" i="5"/>
  <c r="P1479" i="5"/>
  <c r="O1479" i="5"/>
  <c r="N1479" i="5"/>
  <c r="M1479" i="5"/>
  <c r="L1479" i="5"/>
  <c r="P1478" i="5"/>
  <c r="O1478" i="5"/>
  <c r="N1478" i="5"/>
  <c r="M1478" i="5"/>
  <c r="L1478" i="5"/>
  <c r="P1477" i="5"/>
  <c r="O1477" i="5"/>
  <c r="N1477" i="5"/>
  <c r="M1477" i="5"/>
  <c r="L1477" i="5"/>
  <c r="P1476" i="5"/>
  <c r="O1476" i="5"/>
  <c r="N1476" i="5"/>
  <c r="M1476" i="5"/>
  <c r="L1476" i="5"/>
  <c r="P1475" i="5"/>
  <c r="O1475" i="5"/>
  <c r="N1475" i="5"/>
  <c r="M1475" i="5"/>
  <c r="L1475" i="5"/>
  <c r="P1474" i="5"/>
  <c r="O1474" i="5"/>
  <c r="N1474" i="5"/>
  <c r="M1474" i="5"/>
  <c r="L1474" i="5"/>
  <c r="P1473" i="5"/>
  <c r="O1473" i="5"/>
  <c r="N1473" i="5"/>
  <c r="M1473" i="5"/>
  <c r="L1473" i="5"/>
  <c r="P1472" i="5"/>
  <c r="O1472" i="5"/>
  <c r="N1472" i="5"/>
  <c r="M1472" i="5"/>
  <c r="L1472" i="5"/>
  <c r="P1471" i="5"/>
  <c r="O1471" i="5"/>
  <c r="N1471" i="5"/>
  <c r="M1471" i="5"/>
  <c r="L1471" i="5"/>
  <c r="P1470" i="5"/>
  <c r="O1470" i="5"/>
  <c r="N1470" i="5"/>
  <c r="M1470" i="5"/>
  <c r="L1470" i="5"/>
  <c r="P1469" i="5"/>
  <c r="O1469" i="5"/>
  <c r="N1469" i="5"/>
  <c r="M1469" i="5"/>
  <c r="L1469" i="5"/>
  <c r="P1468" i="5"/>
  <c r="O1468" i="5"/>
  <c r="N1468" i="5"/>
  <c r="M1468" i="5"/>
  <c r="L1468" i="5"/>
  <c r="P1467" i="5"/>
  <c r="O1467" i="5"/>
  <c r="N1467" i="5"/>
  <c r="M1467" i="5"/>
  <c r="L1467" i="5"/>
  <c r="P1466" i="5"/>
  <c r="O1466" i="5"/>
  <c r="N1466" i="5"/>
  <c r="M1466" i="5"/>
  <c r="L1466" i="5"/>
  <c r="P1465" i="5"/>
  <c r="O1465" i="5"/>
  <c r="N1465" i="5"/>
  <c r="M1465" i="5"/>
  <c r="L1465" i="5"/>
  <c r="P1464" i="5"/>
  <c r="O1464" i="5"/>
  <c r="N1464" i="5"/>
  <c r="M1464" i="5"/>
  <c r="L1464" i="5"/>
  <c r="P1463" i="5"/>
  <c r="O1463" i="5"/>
  <c r="N1463" i="5"/>
  <c r="M1463" i="5"/>
  <c r="L1463" i="5"/>
  <c r="P1462" i="5"/>
  <c r="O1462" i="5"/>
  <c r="N1462" i="5"/>
  <c r="M1462" i="5"/>
  <c r="L1462" i="5"/>
  <c r="P1461" i="5"/>
  <c r="O1461" i="5"/>
  <c r="N1461" i="5"/>
  <c r="M1461" i="5"/>
  <c r="L1461" i="5"/>
  <c r="P1460" i="5"/>
  <c r="O1460" i="5"/>
  <c r="N1460" i="5"/>
  <c r="M1460" i="5"/>
  <c r="L1460" i="5"/>
  <c r="P1459" i="5"/>
  <c r="O1459" i="5"/>
  <c r="N1459" i="5"/>
  <c r="M1459" i="5"/>
  <c r="L1459" i="5"/>
  <c r="P1458" i="5"/>
  <c r="O1458" i="5"/>
  <c r="N1458" i="5"/>
  <c r="M1458" i="5"/>
  <c r="L1458" i="5"/>
  <c r="P1457" i="5"/>
  <c r="O1457" i="5"/>
  <c r="N1457" i="5"/>
  <c r="M1457" i="5"/>
  <c r="L1457" i="5"/>
  <c r="P1456" i="5"/>
  <c r="O1456" i="5"/>
  <c r="N1456" i="5"/>
  <c r="M1456" i="5"/>
  <c r="L1456" i="5"/>
  <c r="P1455" i="5"/>
  <c r="O1455" i="5"/>
  <c r="N1455" i="5"/>
  <c r="M1455" i="5"/>
  <c r="L1455" i="5"/>
  <c r="P1454" i="5"/>
  <c r="O1454" i="5"/>
  <c r="N1454" i="5"/>
  <c r="M1454" i="5"/>
  <c r="L1454" i="5"/>
  <c r="P1453" i="5"/>
  <c r="O1453" i="5"/>
  <c r="N1453" i="5"/>
  <c r="M1453" i="5"/>
  <c r="L1453" i="5"/>
  <c r="P1452" i="5"/>
  <c r="O1452" i="5"/>
  <c r="N1452" i="5"/>
  <c r="M1452" i="5"/>
  <c r="L1452" i="5"/>
  <c r="P1451" i="5"/>
  <c r="O1451" i="5"/>
  <c r="N1451" i="5"/>
  <c r="M1451" i="5"/>
  <c r="L1451" i="5"/>
  <c r="P1450" i="5"/>
  <c r="O1450" i="5"/>
  <c r="N1450" i="5"/>
  <c r="M1450" i="5"/>
  <c r="L1450" i="5"/>
  <c r="P1449" i="5"/>
  <c r="O1449" i="5"/>
  <c r="N1449" i="5"/>
  <c r="M1449" i="5"/>
  <c r="L1449" i="5"/>
  <c r="P1448" i="5"/>
  <c r="O1448" i="5"/>
  <c r="N1448" i="5"/>
  <c r="M1448" i="5"/>
  <c r="L1448" i="5"/>
  <c r="P1447" i="5"/>
  <c r="O1447" i="5"/>
  <c r="N1447" i="5"/>
  <c r="M1447" i="5"/>
  <c r="L1447" i="5"/>
  <c r="P1446" i="5"/>
  <c r="O1446" i="5"/>
  <c r="N1446" i="5"/>
  <c r="M1446" i="5"/>
  <c r="L1446" i="5"/>
  <c r="P1445" i="5"/>
  <c r="O1445" i="5"/>
  <c r="N1445" i="5"/>
  <c r="M1445" i="5"/>
  <c r="L1445" i="5"/>
  <c r="P1444" i="5"/>
  <c r="O1444" i="5"/>
  <c r="N1444" i="5"/>
  <c r="M1444" i="5"/>
  <c r="L1444" i="5"/>
  <c r="P1443" i="5"/>
  <c r="O1443" i="5"/>
  <c r="N1443" i="5"/>
  <c r="M1443" i="5"/>
  <c r="L1443" i="5"/>
  <c r="P1442" i="5"/>
  <c r="O1442" i="5"/>
  <c r="N1442" i="5"/>
  <c r="M1442" i="5"/>
  <c r="L1442" i="5"/>
  <c r="P1441" i="5"/>
  <c r="O1441" i="5"/>
  <c r="N1441" i="5"/>
  <c r="M1441" i="5"/>
  <c r="L1441" i="5"/>
  <c r="P1440" i="5"/>
  <c r="O1440" i="5"/>
  <c r="N1440" i="5"/>
  <c r="M1440" i="5"/>
  <c r="L1440" i="5"/>
  <c r="P1439" i="5"/>
  <c r="O1439" i="5"/>
  <c r="N1439" i="5"/>
  <c r="M1439" i="5"/>
  <c r="L1439" i="5"/>
  <c r="P1438" i="5"/>
  <c r="O1438" i="5"/>
  <c r="N1438" i="5"/>
  <c r="M1438" i="5"/>
  <c r="L1438" i="5"/>
  <c r="P1437" i="5"/>
  <c r="O1437" i="5"/>
  <c r="N1437" i="5"/>
  <c r="M1437" i="5"/>
  <c r="L1437" i="5"/>
  <c r="P1436" i="5"/>
  <c r="O1436" i="5"/>
  <c r="N1436" i="5"/>
  <c r="M1436" i="5"/>
  <c r="L1436" i="5"/>
  <c r="P1435" i="5"/>
  <c r="O1435" i="5"/>
  <c r="N1435" i="5"/>
  <c r="M1435" i="5"/>
  <c r="L1435" i="5"/>
  <c r="P1434" i="5"/>
  <c r="O1434" i="5"/>
  <c r="N1434" i="5"/>
  <c r="M1434" i="5"/>
  <c r="L1434" i="5"/>
  <c r="P1433" i="5"/>
  <c r="O1433" i="5"/>
  <c r="N1433" i="5"/>
  <c r="M1433" i="5"/>
  <c r="L1433" i="5"/>
  <c r="P1432" i="5"/>
  <c r="O1432" i="5"/>
  <c r="N1432" i="5"/>
  <c r="M1432" i="5"/>
  <c r="L1432" i="5"/>
  <c r="P1431" i="5"/>
  <c r="O1431" i="5"/>
  <c r="N1431" i="5"/>
  <c r="M1431" i="5"/>
  <c r="L1431" i="5"/>
  <c r="P1430" i="5"/>
  <c r="O1430" i="5"/>
  <c r="N1430" i="5"/>
  <c r="M1430" i="5"/>
  <c r="L1430" i="5"/>
  <c r="P1429" i="5"/>
  <c r="O1429" i="5"/>
  <c r="N1429" i="5"/>
  <c r="M1429" i="5"/>
  <c r="L1429" i="5"/>
  <c r="P1428" i="5"/>
  <c r="O1428" i="5"/>
  <c r="N1428" i="5"/>
  <c r="M1428" i="5"/>
  <c r="L1428" i="5"/>
  <c r="P1427" i="5"/>
  <c r="O1427" i="5"/>
  <c r="N1427" i="5"/>
  <c r="M1427" i="5"/>
  <c r="L1427" i="5"/>
  <c r="P1426" i="5"/>
  <c r="O1426" i="5"/>
  <c r="N1426" i="5"/>
  <c r="M1426" i="5"/>
  <c r="L1426" i="5"/>
  <c r="P1425" i="5"/>
  <c r="O1425" i="5"/>
  <c r="N1425" i="5"/>
  <c r="M1425" i="5"/>
  <c r="L1425" i="5"/>
  <c r="P1424" i="5"/>
  <c r="O1424" i="5"/>
  <c r="N1424" i="5"/>
  <c r="M1424" i="5"/>
  <c r="L1424" i="5"/>
  <c r="P1423" i="5"/>
  <c r="O1423" i="5"/>
  <c r="N1423" i="5"/>
  <c r="M1423" i="5"/>
  <c r="L1423" i="5"/>
  <c r="P1422" i="5"/>
  <c r="O1422" i="5"/>
  <c r="N1422" i="5"/>
  <c r="M1422" i="5"/>
  <c r="L1422" i="5"/>
  <c r="P1421" i="5"/>
  <c r="O1421" i="5"/>
  <c r="N1421" i="5"/>
  <c r="M1421" i="5"/>
  <c r="L1421" i="5"/>
  <c r="P1420" i="5"/>
  <c r="O1420" i="5"/>
  <c r="N1420" i="5"/>
  <c r="M1420" i="5"/>
  <c r="L1420" i="5"/>
  <c r="P1419" i="5"/>
  <c r="O1419" i="5"/>
  <c r="N1419" i="5"/>
  <c r="M1419" i="5"/>
  <c r="L1419" i="5"/>
  <c r="P1418" i="5"/>
  <c r="O1418" i="5"/>
  <c r="N1418" i="5"/>
  <c r="M1418" i="5"/>
  <c r="L1418" i="5"/>
  <c r="P1417" i="5"/>
  <c r="O1417" i="5"/>
  <c r="N1417" i="5"/>
  <c r="M1417" i="5"/>
  <c r="L1417" i="5"/>
  <c r="P1416" i="5"/>
  <c r="O1416" i="5"/>
  <c r="N1416" i="5"/>
  <c r="M1416" i="5"/>
  <c r="L1416" i="5"/>
  <c r="P1415" i="5"/>
  <c r="O1415" i="5"/>
  <c r="N1415" i="5"/>
  <c r="M1415" i="5"/>
  <c r="L1415" i="5"/>
  <c r="P1414" i="5"/>
  <c r="O1414" i="5"/>
  <c r="N1414" i="5"/>
  <c r="M1414" i="5"/>
  <c r="L1414" i="5"/>
  <c r="P1413" i="5"/>
  <c r="O1413" i="5"/>
  <c r="N1413" i="5"/>
  <c r="M1413" i="5"/>
  <c r="L1413" i="5"/>
  <c r="P1412" i="5"/>
  <c r="O1412" i="5"/>
  <c r="N1412" i="5"/>
  <c r="M1412" i="5"/>
  <c r="L1412" i="5"/>
  <c r="P1411" i="5"/>
  <c r="O1411" i="5"/>
  <c r="N1411" i="5"/>
  <c r="M1411" i="5"/>
  <c r="L1411" i="5"/>
  <c r="P1410" i="5"/>
  <c r="O1410" i="5"/>
  <c r="N1410" i="5"/>
  <c r="M1410" i="5"/>
  <c r="L1410" i="5"/>
  <c r="P1409" i="5"/>
  <c r="O1409" i="5"/>
  <c r="N1409" i="5"/>
  <c r="M1409" i="5"/>
  <c r="L1409" i="5"/>
  <c r="P1408" i="5"/>
  <c r="O1408" i="5"/>
  <c r="N1408" i="5"/>
  <c r="M1408" i="5"/>
  <c r="L1408" i="5"/>
  <c r="P1407" i="5"/>
  <c r="O1407" i="5"/>
  <c r="N1407" i="5"/>
  <c r="M1407" i="5"/>
  <c r="L1407" i="5"/>
  <c r="P1406" i="5"/>
  <c r="O1406" i="5"/>
  <c r="N1406" i="5"/>
  <c r="M1406" i="5"/>
  <c r="L1406" i="5"/>
  <c r="P1405" i="5"/>
  <c r="O1405" i="5"/>
  <c r="N1405" i="5"/>
  <c r="M1405" i="5"/>
  <c r="L1405" i="5"/>
  <c r="P1404" i="5"/>
  <c r="O1404" i="5"/>
  <c r="N1404" i="5"/>
  <c r="M1404" i="5"/>
  <c r="L1404" i="5"/>
  <c r="P1403" i="5"/>
  <c r="O1403" i="5"/>
  <c r="N1403" i="5"/>
  <c r="M1403" i="5"/>
  <c r="L1403" i="5"/>
  <c r="P1402" i="5"/>
  <c r="O1402" i="5"/>
  <c r="N1402" i="5"/>
  <c r="M1402" i="5"/>
  <c r="L1402" i="5"/>
  <c r="P1401" i="5"/>
  <c r="O1401" i="5"/>
  <c r="N1401" i="5"/>
  <c r="M1401" i="5"/>
  <c r="L1401" i="5"/>
  <c r="P1400" i="5"/>
  <c r="O1400" i="5"/>
  <c r="N1400" i="5"/>
  <c r="M1400" i="5"/>
  <c r="L1400" i="5"/>
  <c r="P1399" i="5"/>
  <c r="O1399" i="5"/>
  <c r="N1399" i="5"/>
  <c r="M1399" i="5"/>
  <c r="L1399" i="5"/>
  <c r="P1398" i="5"/>
  <c r="O1398" i="5"/>
  <c r="N1398" i="5"/>
  <c r="M1398" i="5"/>
  <c r="L1398" i="5"/>
  <c r="P1397" i="5"/>
  <c r="O1397" i="5"/>
  <c r="N1397" i="5"/>
  <c r="M1397" i="5"/>
  <c r="L1397" i="5"/>
  <c r="P1396" i="5"/>
  <c r="O1396" i="5"/>
  <c r="N1396" i="5"/>
  <c r="M1396" i="5"/>
  <c r="L1396" i="5"/>
  <c r="P1395" i="5"/>
  <c r="O1395" i="5"/>
  <c r="N1395" i="5"/>
  <c r="M1395" i="5"/>
  <c r="L1395" i="5"/>
  <c r="P1394" i="5"/>
  <c r="O1394" i="5"/>
  <c r="N1394" i="5"/>
  <c r="M1394" i="5"/>
  <c r="L1394" i="5"/>
  <c r="P1393" i="5"/>
  <c r="O1393" i="5"/>
  <c r="N1393" i="5"/>
  <c r="M1393" i="5"/>
  <c r="L1393" i="5"/>
  <c r="P1392" i="5"/>
  <c r="O1392" i="5"/>
  <c r="N1392" i="5"/>
  <c r="M1392" i="5"/>
  <c r="L1392" i="5"/>
  <c r="P1391" i="5"/>
  <c r="O1391" i="5"/>
  <c r="N1391" i="5"/>
  <c r="M1391" i="5"/>
  <c r="L1391" i="5"/>
  <c r="P1390" i="5"/>
  <c r="O1390" i="5"/>
  <c r="N1390" i="5"/>
  <c r="M1390" i="5"/>
  <c r="L1390" i="5"/>
  <c r="P1389" i="5"/>
  <c r="O1389" i="5"/>
  <c r="N1389" i="5"/>
  <c r="M1389" i="5"/>
  <c r="L1389" i="5"/>
  <c r="P1388" i="5"/>
  <c r="O1388" i="5"/>
  <c r="N1388" i="5"/>
  <c r="M1388" i="5"/>
  <c r="L1388" i="5"/>
  <c r="P1387" i="5"/>
  <c r="O1387" i="5"/>
  <c r="N1387" i="5"/>
  <c r="M1387" i="5"/>
  <c r="L1387" i="5"/>
  <c r="P1386" i="5"/>
  <c r="O1386" i="5"/>
  <c r="N1386" i="5"/>
  <c r="M1386" i="5"/>
  <c r="L1386" i="5"/>
  <c r="P1385" i="5"/>
  <c r="O1385" i="5"/>
  <c r="N1385" i="5"/>
  <c r="M1385" i="5"/>
  <c r="L1385" i="5"/>
  <c r="P1384" i="5"/>
  <c r="O1384" i="5"/>
  <c r="N1384" i="5"/>
  <c r="M1384" i="5"/>
  <c r="L1384" i="5"/>
  <c r="P1383" i="5"/>
  <c r="O1383" i="5"/>
  <c r="N1383" i="5"/>
  <c r="M1383" i="5"/>
  <c r="L1383" i="5"/>
  <c r="P1382" i="5"/>
  <c r="O1382" i="5"/>
  <c r="N1382" i="5"/>
  <c r="M1382" i="5"/>
  <c r="L1382" i="5"/>
  <c r="P1381" i="5"/>
  <c r="O1381" i="5"/>
  <c r="N1381" i="5"/>
  <c r="M1381" i="5"/>
  <c r="L1381" i="5"/>
  <c r="P1380" i="5"/>
  <c r="O1380" i="5"/>
  <c r="N1380" i="5"/>
  <c r="M1380" i="5"/>
  <c r="L1380" i="5"/>
  <c r="P1379" i="5"/>
  <c r="O1379" i="5"/>
  <c r="N1379" i="5"/>
  <c r="M1379" i="5"/>
  <c r="L1379" i="5"/>
  <c r="P1378" i="5"/>
  <c r="O1378" i="5"/>
  <c r="N1378" i="5"/>
  <c r="M1378" i="5"/>
  <c r="L1378" i="5"/>
  <c r="P1377" i="5"/>
  <c r="O1377" i="5"/>
  <c r="N1377" i="5"/>
  <c r="M1377" i="5"/>
  <c r="L1377" i="5"/>
  <c r="P1376" i="5"/>
  <c r="O1376" i="5"/>
  <c r="N1376" i="5"/>
  <c r="M1376" i="5"/>
  <c r="L1376" i="5"/>
  <c r="P1375" i="5"/>
  <c r="O1375" i="5"/>
  <c r="N1375" i="5"/>
  <c r="M1375" i="5"/>
  <c r="L1375" i="5"/>
  <c r="P1374" i="5"/>
  <c r="O1374" i="5"/>
  <c r="N1374" i="5"/>
  <c r="M1374" i="5"/>
  <c r="L1374" i="5"/>
  <c r="P1373" i="5"/>
  <c r="O1373" i="5"/>
  <c r="N1373" i="5"/>
  <c r="M1373" i="5"/>
  <c r="L1373" i="5"/>
  <c r="P1372" i="5"/>
  <c r="O1372" i="5"/>
  <c r="N1372" i="5"/>
  <c r="M1372" i="5"/>
  <c r="L1372" i="5"/>
  <c r="P1371" i="5"/>
  <c r="O1371" i="5"/>
  <c r="N1371" i="5"/>
  <c r="M1371" i="5"/>
  <c r="L1371" i="5"/>
  <c r="P1370" i="5"/>
  <c r="O1370" i="5"/>
  <c r="N1370" i="5"/>
  <c r="M1370" i="5"/>
  <c r="L1370" i="5"/>
  <c r="P1369" i="5"/>
  <c r="O1369" i="5"/>
  <c r="N1369" i="5"/>
  <c r="M1369" i="5"/>
  <c r="L1369" i="5"/>
  <c r="P1368" i="5"/>
  <c r="O1368" i="5"/>
  <c r="N1368" i="5"/>
  <c r="M1368" i="5"/>
  <c r="L1368" i="5"/>
  <c r="P1367" i="5"/>
  <c r="O1367" i="5"/>
  <c r="N1367" i="5"/>
  <c r="M1367" i="5"/>
  <c r="L1367" i="5"/>
  <c r="P1366" i="5"/>
  <c r="O1366" i="5"/>
  <c r="N1366" i="5"/>
  <c r="M1366" i="5"/>
  <c r="L1366" i="5"/>
  <c r="P1365" i="5"/>
  <c r="O1365" i="5"/>
  <c r="N1365" i="5"/>
  <c r="M1365" i="5"/>
  <c r="L1365" i="5"/>
  <c r="P1364" i="5"/>
  <c r="O1364" i="5"/>
  <c r="N1364" i="5"/>
  <c r="M1364" i="5"/>
  <c r="L1364" i="5"/>
  <c r="P1363" i="5"/>
  <c r="O1363" i="5"/>
  <c r="N1363" i="5"/>
  <c r="M1363" i="5"/>
  <c r="L1363" i="5"/>
  <c r="P1362" i="5"/>
  <c r="O1362" i="5"/>
  <c r="N1362" i="5"/>
  <c r="M1362" i="5"/>
  <c r="L1362" i="5"/>
  <c r="P1361" i="5"/>
  <c r="O1361" i="5"/>
  <c r="N1361" i="5"/>
  <c r="M1361" i="5"/>
  <c r="L1361" i="5"/>
  <c r="P1360" i="5"/>
  <c r="O1360" i="5"/>
  <c r="N1360" i="5"/>
  <c r="M1360" i="5"/>
  <c r="L1360" i="5"/>
  <c r="P1359" i="5"/>
  <c r="O1359" i="5"/>
  <c r="N1359" i="5"/>
  <c r="M1359" i="5"/>
  <c r="L1359" i="5"/>
  <c r="P1358" i="5"/>
  <c r="O1358" i="5"/>
  <c r="N1358" i="5"/>
  <c r="M1358" i="5"/>
  <c r="L1358" i="5"/>
  <c r="P1357" i="5"/>
  <c r="O1357" i="5"/>
  <c r="N1357" i="5"/>
  <c r="M1357" i="5"/>
  <c r="L1357" i="5"/>
  <c r="P1356" i="5"/>
  <c r="O1356" i="5"/>
  <c r="N1356" i="5"/>
  <c r="M1356" i="5"/>
  <c r="L1356" i="5"/>
  <c r="P1355" i="5"/>
  <c r="O1355" i="5"/>
  <c r="N1355" i="5"/>
  <c r="M1355" i="5"/>
  <c r="L1355" i="5"/>
  <c r="P1354" i="5"/>
  <c r="O1354" i="5"/>
  <c r="N1354" i="5"/>
  <c r="M1354" i="5"/>
  <c r="L1354" i="5"/>
  <c r="P1353" i="5"/>
  <c r="O1353" i="5"/>
  <c r="N1353" i="5"/>
  <c r="M1353" i="5"/>
  <c r="L1353" i="5"/>
  <c r="P1352" i="5"/>
  <c r="O1352" i="5"/>
  <c r="N1352" i="5"/>
  <c r="M1352" i="5"/>
  <c r="L1352" i="5"/>
  <c r="P1351" i="5"/>
  <c r="O1351" i="5"/>
  <c r="N1351" i="5"/>
  <c r="M1351" i="5"/>
  <c r="L1351" i="5"/>
  <c r="P1350" i="5"/>
  <c r="O1350" i="5"/>
  <c r="N1350" i="5"/>
  <c r="M1350" i="5"/>
  <c r="L1350" i="5"/>
  <c r="P1349" i="5"/>
  <c r="O1349" i="5"/>
  <c r="N1349" i="5"/>
  <c r="M1349" i="5"/>
  <c r="L1349" i="5"/>
  <c r="P1348" i="5"/>
  <c r="O1348" i="5"/>
  <c r="N1348" i="5"/>
  <c r="M1348" i="5"/>
  <c r="L1348" i="5"/>
  <c r="P1347" i="5"/>
  <c r="O1347" i="5"/>
  <c r="N1347" i="5"/>
  <c r="M1347" i="5"/>
  <c r="L1347" i="5"/>
  <c r="P1346" i="5"/>
  <c r="O1346" i="5"/>
  <c r="N1346" i="5"/>
  <c r="M1346" i="5"/>
  <c r="L1346" i="5"/>
  <c r="P1345" i="5"/>
  <c r="O1345" i="5"/>
  <c r="N1345" i="5"/>
  <c r="M1345" i="5"/>
  <c r="L1345" i="5"/>
  <c r="P1344" i="5"/>
  <c r="O1344" i="5"/>
  <c r="N1344" i="5"/>
  <c r="M1344" i="5"/>
  <c r="L1344" i="5"/>
  <c r="P1343" i="5"/>
  <c r="O1343" i="5"/>
  <c r="N1343" i="5"/>
  <c r="M1343" i="5"/>
  <c r="L1343" i="5"/>
  <c r="P1342" i="5"/>
  <c r="O1342" i="5"/>
  <c r="N1342" i="5"/>
  <c r="M1342" i="5"/>
  <c r="L1342" i="5"/>
  <c r="P1341" i="5"/>
  <c r="O1341" i="5"/>
  <c r="N1341" i="5"/>
  <c r="M1341" i="5"/>
  <c r="L1341" i="5"/>
  <c r="P1340" i="5"/>
  <c r="O1340" i="5"/>
  <c r="N1340" i="5"/>
  <c r="M1340" i="5"/>
  <c r="L1340" i="5"/>
  <c r="P1339" i="5"/>
  <c r="O1339" i="5"/>
  <c r="N1339" i="5"/>
  <c r="M1339" i="5"/>
  <c r="L1339" i="5"/>
  <c r="P1338" i="5"/>
  <c r="O1338" i="5"/>
  <c r="N1338" i="5"/>
  <c r="M1338" i="5"/>
  <c r="L1338" i="5"/>
  <c r="P1337" i="5"/>
  <c r="O1337" i="5"/>
  <c r="N1337" i="5"/>
  <c r="M1337" i="5"/>
  <c r="L1337" i="5"/>
  <c r="P1336" i="5"/>
  <c r="O1336" i="5"/>
  <c r="N1336" i="5"/>
  <c r="M1336" i="5"/>
  <c r="L1336" i="5"/>
  <c r="P1335" i="5"/>
  <c r="O1335" i="5"/>
  <c r="N1335" i="5"/>
  <c r="M1335" i="5"/>
  <c r="L1335" i="5"/>
  <c r="P1334" i="5"/>
  <c r="O1334" i="5"/>
  <c r="N1334" i="5"/>
  <c r="M1334" i="5"/>
  <c r="L1334" i="5"/>
  <c r="P1333" i="5"/>
  <c r="O1333" i="5"/>
  <c r="N1333" i="5"/>
  <c r="M1333" i="5"/>
  <c r="L1333" i="5"/>
  <c r="P1332" i="5"/>
  <c r="O1332" i="5"/>
  <c r="N1332" i="5"/>
  <c r="M1332" i="5"/>
  <c r="L1332" i="5"/>
  <c r="P1331" i="5"/>
  <c r="O1331" i="5"/>
  <c r="N1331" i="5"/>
  <c r="M1331" i="5"/>
  <c r="L1331" i="5"/>
  <c r="P1330" i="5"/>
  <c r="O1330" i="5"/>
  <c r="N1330" i="5"/>
  <c r="M1330" i="5"/>
  <c r="L1330" i="5"/>
  <c r="P1329" i="5"/>
  <c r="O1329" i="5"/>
  <c r="N1329" i="5"/>
  <c r="M1329" i="5"/>
  <c r="L1329" i="5"/>
  <c r="P1328" i="5"/>
  <c r="O1328" i="5"/>
  <c r="N1328" i="5"/>
  <c r="M1328" i="5"/>
  <c r="L1328" i="5"/>
  <c r="P1327" i="5"/>
  <c r="O1327" i="5"/>
  <c r="N1327" i="5"/>
  <c r="M1327" i="5"/>
  <c r="L1327" i="5"/>
  <c r="P1326" i="5"/>
  <c r="O1326" i="5"/>
  <c r="N1326" i="5"/>
  <c r="M1326" i="5"/>
  <c r="L1326" i="5"/>
  <c r="P1325" i="5"/>
  <c r="O1325" i="5"/>
  <c r="N1325" i="5"/>
  <c r="M1325" i="5"/>
  <c r="L1325" i="5"/>
  <c r="P1324" i="5"/>
  <c r="O1324" i="5"/>
  <c r="N1324" i="5"/>
  <c r="M1324" i="5"/>
  <c r="L1324" i="5"/>
  <c r="P1323" i="5"/>
  <c r="O1323" i="5"/>
  <c r="N1323" i="5"/>
  <c r="M1323" i="5"/>
  <c r="L1323" i="5"/>
  <c r="P1322" i="5"/>
  <c r="O1322" i="5"/>
  <c r="N1322" i="5"/>
  <c r="M1322" i="5"/>
  <c r="L1322" i="5"/>
  <c r="P1321" i="5"/>
  <c r="O1321" i="5"/>
  <c r="N1321" i="5"/>
  <c r="M1321" i="5"/>
  <c r="L1321" i="5"/>
  <c r="P1320" i="5"/>
  <c r="O1320" i="5"/>
  <c r="N1320" i="5"/>
  <c r="M1320" i="5"/>
  <c r="L1320" i="5"/>
  <c r="P1319" i="5"/>
  <c r="O1319" i="5"/>
  <c r="N1319" i="5"/>
  <c r="M1319" i="5"/>
  <c r="L1319" i="5"/>
  <c r="P1318" i="5"/>
  <c r="O1318" i="5"/>
  <c r="N1318" i="5"/>
  <c r="M1318" i="5"/>
  <c r="L1318" i="5"/>
  <c r="P1317" i="5"/>
  <c r="O1317" i="5"/>
  <c r="N1317" i="5"/>
  <c r="M1317" i="5"/>
  <c r="L1317" i="5"/>
  <c r="P1316" i="5"/>
  <c r="O1316" i="5"/>
  <c r="N1316" i="5"/>
  <c r="M1316" i="5"/>
  <c r="L1316" i="5"/>
  <c r="P1315" i="5"/>
  <c r="O1315" i="5"/>
  <c r="N1315" i="5"/>
  <c r="M1315" i="5"/>
  <c r="L1315" i="5"/>
  <c r="P1314" i="5"/>
  <c r="O1314" i="5"/>
  <c r="N1314" i="5"/>
  <c r="M1314" i="5"/>
  <c r="L1314" i="5"/>
  <c r="P1313" i="5"/>
  <c r="O1313" i="5"/>
  <c r="N1313" i="5"/>
  <c r="M1313" i="5"/>
  <c r="L1313" i="5"/>
  <c r="P1312" i="5"/>
  <c r="O1312" i="5"/>
  <c r="N1312" i="5"/>
  <c r="M1312" i="5"/>
  <c r="L1312" i="5"/>
  <c r="P1311" i="5"/>
  <c r="O1311" i="5"/>
  <c r="N1311" i="5"/>
  <c r="M1311" i="5"/>
  <c r="L1311" i="5"/>
  <c r="P1310" i="5"/>
  <c r="O1310" i="5"/>
  <c r="N1310" i="5"/>
  <c r="M1310" i="5"/>
  <c r="L1310" i="5"/>
  <c r="P1309" i="5"/>
  <c r="O1309" i="5"/>
  <c r="N1309" i="5"/>
  <c r="M1309" i="5"/>
  <c r="L1309" i="5"/>
  <c r="P1308" i="5"/>
  <c r="O1308" i="5"/>
  <c r="N1308" i="5"/>
  <c r="M1308" i="5"/>
  <c r="L1308" i="5"/>
  <c r="P1307" i="5"/>
  <c r="O1307" i="5"/>
  <c r="N1307" i="5"/>
  <c r="M1307" i="5"/>
  <c r="L1307" i="5"/>
  <c r="P1306" i="5"/>
  <c r="O1306" i="5"/>
  <c r="N1306" i="5"/>
  <c r="M1306" i="5"/>
  <c r="L1306" i="5"/>
  <c r="P1305" i="5"/>
  <c r="O1305" i="5"/>
  <c r="N1305" i="5"/>
  <c r="M1305" i="5"/>
  <c r="L1305" i="5"/>
  <c r="P1304" i="5"/>
  <c r="O1304" i="5"/>
  <c r="N1304" i="5"/>
  <c r="M1304" i="5"/>
  <c r="L1304" i="5"/>
  <c r="P1303" i="5"/>
  <c r="O1303" i="5"/>
  <c r="N1303" i="5"/>
  <c r="M1303" i="5"/>
  <c r="L1303" i="5"/>
  <c r="P1302" i="5"/>
  <c r="O1302" i="5"/>
  <c r="N1302" i="5"/>
  <c r="M1302" i="5"/>
  <c r="L1302" i="5"/>
  <c r="P1301" i="5"/>
  <c r="O1301" i="5"/>
  <c r="N1301" i="5"/>
  <c r="M1301" i="5"/>
  <c r="L1301" i="5"/>
  <c r="P1300" i="5"/>
  <c r="O1300" i="5"/>
  <c r="N1300" i="5"/>
  <c r="M1300" i="5"/>
  <c r="L1300" i="5"/>
  <c r="P1299" i="5"/>
  <c r="O1299" i="5"/>
  <c r="N1299" i="5"/>
  <c r="M1299" i="5"/>
  <c r="L1299" i="5"/>
  <c r="P1298" i="5"/>
  <c r="O1298" i="5"/>
  <c r="N1298" i="5"/>
  <c r="M1298" i="5"/>
  <c r="L1298" i="5"/>
  <c r="P1297" i="5"/>
  <c r="O1297" i="5"/>
  <c r="N1297" i="5"/>
  <c r="M1297" i="5"/>
  <c r="L1297" i="5"/>
  <c r="P1296" i="5"/>
  <c r="O1296" i="5"/>
  <c r="N1296" i="5"/>
  <c r="M1296" i="5"/>
  <c r="L1296" i="5"/>
  <c r="P1295" i="5"/>
  <c r="O1295" i="5"/>
  <c r="N1295" i="5"/>
  <c r="M1295" i="5"/>
  <c r="L1295" i="5"/>
  <c r="P1294" i="5"/>
  <c r="O1294" i="5"/>
  <c r="N1294" i="5"/>
  <c r="M1294" i="5"/>
  <c r="L1294" i="5"/>
  <c r="P1293" i="5"/>
  <c r="O1293" i="5"/>
  <c r="N1293" i="5"/>
  <c r="M1293" i="5"/>
  <c r="L1293" i="5"/>
  <c r="P1292" i="5"/>
  <c r="O1292" i="5"/>
  <c r="N1292" i="5"/>
  <c r="M1292" i="5"/>
  <c r="L1292" i="5"/>
  <c r="P1291" i="5"/>
  <c r="O1291" i="5"/>
  <c r="N1291" i="5"/>
  <c r="M1291" i="5"/>
  <c r="L1291" i="5"/>
  <c r="P1290" i="5"/>
  <c r="O1290" i="5"/>
  <c r="N1290" i="5"/>
  <c r="M1290" i="5"/>
  <c r="L1290" i="5"/>
  <c r="P1289" i="5"/>
  <c r="O1289" i="5"/>
  <c r="N1289" i="5"/>
  <c r="M1289" i="5"/>
  <c r="L1289" i="5"/>
  <c r="P1288" i="5"/>
  <c r="O1288" i="5"/>
  <c r="N1288" i="5"/>
  <c r="M1288" i="5"/>
  <c r="L1288" i="5"/>
  <c r="P1287" i="5"/>
  <c r="O1287" i="5"/>
  <c r="N1287" i="5"/>
  <c r="M1287" i="5"/>
  <c r="L1287" i="5"/>
  <c r="P1286" i="5"/>
  <c r="O1286" i="5"/>
  <c r="N1286" i="5"/>
  <c r="M1286" i="5"/>
  <c r="L1286" i="5"/>
  <c r="P1285" i="5"/>
  <c r="O1285" i="5"/>
  <c r="N1285" i="5"/>
  <c r="M1285" i="5"/>
  <c r="L1285" i="5"/>
  <c r="P1284" i="5"/>
  <c r="O1284" i="5"/>
  <c r="N1284" i="5"/>
  <c r="M1284" i="5"/>
  <c r="L1284" i="5"/>
  <c r="P1283" i="5"/>
  <c r="O1283" i="5"/>
  <c r="N1283" i="5"/>
  <c r="M1283" i="5"/>
  <c r="L1283" i="5"/>
  <c r="P1282" i="5"/>
  <c r="O1282" i="5"/>
  <c r="N1282" i="5"/>
  <c r="M1282" i="5"/>
  <c r="L1282" i="5"/>
  <c r="P1281" i="5"/>
  <c r="O1281" i="5"/>
  <c r="N1281" i="5"/>
  <c r="M1281" i="5"/>
  <c r="L1281" i="5"/>
  <c r="P1280" i="5"/>
  <c r="O1280" i="5"/>
  <c r="N1280" i="5"/>
  <c r="M1280" i="5"/>
  <c r="L1280" i="5"/>
  <c r="P1279" i="5"/>
  <c r="O1279" i="5"/>
  <c r="N1279" i="5"/>
  <c r="M1279" i="5"/>
  <c r="L1279" i="5"/>
  <c r="P1278" i="5"/>
  <c r="O1278" i="5"/>
  <c r="N1278" i="5"/>
  <c r="M1278" i="5"/>
  <c r="L1278" i="5"/>
  <c r="P1277" i="5"/>
  <c r="O1277" i="5"/>
  <c r="N1277" i="5"/>
  <c r="M1277" i="5"/>
  <c r="L1277" i="5"/>
  <c r="P1276" i="5"/>
  <c r="O1276" i="5"/>
  <c r="N1276" i="5"/>
  <c r="M1276" i="5"/>
  <c r="L1276" i="5"/>
  <c r="P1275" i="5"/>
  <c r="O1275" i="5"/>
  <c r="N1275" i="5"/>
  <c r="M1275" i="5"/>
  <c r="L1275" i="5"/>
  <c r="P1274" i="5"/>
  <c r="O1274" i="5"/>
  <c r="N1274" i="5"/>
  <c r="M1274" i="5"/>
  <c r="L1274" i="5"/>
  <c r="P1273" i="5"/>
  <c r="O1273" i="5"/>
  <c r="N1273" i="5"/>
  <c r="M1273" i="5"/>
  <c r="L1273" i="5"/>
  <c r="P1272" i="5"/>
  <c r="O1272" i="5"/>
  <c r="N1272" i="5"/>
  <c r="M1272" i="5"/>
  <c r="L1272" i="5"/>
  <c r="P1271" i="5"/>
  <c r="O1271" i="5"/>
  <c r="N1271" i="5"/>
  <c r="M1271" i="5"/>
  <c r="L1271" i="5"/>
  <c r="P1270" i="5"/>
  <c r="O1270" i="5"/>
  <c r="N1270" i="5"/>
  <c r="M1270" i="5"/>
  <c r="L1270" i="5"/>
  <c r="P1269" i="5"/>
  <c r="O1269" i="5"/>
  <c r="N1269" i="5"/>
  <c r="M1269" i="5"/>
  <c r="L1269" i="5"/>
  <c r="P1268" i="5"/>
  <c r="O1268" i="5"/>
  <c r="N1268" i="5"/>
  <c r="M1268" i="5"/>
  <c r="L1268" i="5"/>
  <c r="P1267" i="5"/>
  <c r="O1267" i="5"/>
  <c r="N1267" i="5"/>
  <c r="M1267" i="5"/>
  <c r="L1267" i="5"/>
  <c r="P1266" i="5"/>
  <c r="O1266" i="5"/>
  <c r="N1266" i="5"/>
  <c r="M1266" i="5"/>
  <c r="L1266" i="5"/>
  <c r="P1265" i="5"/>
  <c r="O1265" i="5"/>
  <c r="N1265" i="5"/>
  <c r="M1265" i="5"/>
  <c r="L1265" i="5"/>
  <c r="P1264" i="5"/>
  <c r="O1264" i="5"/>
  <c r="N1264" i="5"/>
  <c r="M1264" i="5"/>
  <c r="L1264" i="5"/>
  <c r="P1263" i="5"/>
  <c r="O1263" i="5"/>
  <c r="N1263" i="5"/>
  <c r="M1263" i="5"/>
  <c r="L1263" i="5"/>
  <c r="P1262" i="5"/>
  <c r="O1262" i="5"/>
  <c r="N1262" i="5"/>
  <c r="M1262" i="5"/>
  <c r="L1262" i="5"/>
  <c r="P1261" i="5"/>
  <c r="O1261" i="5"/>
  <c r="N1261" i="5"/>
  <c r="M1261" i="5"/>
  <c r="L1261" i="5"/>
  <c r="P1260" i="5"/>
  <c r="O1260" i="5"/>
  <c r="N1260" i="5"/>
  <c r="M1260" i="5"/>
  <c r="L1260" i="5"/>
  <c r="P1259" i="5"/>
  <c r="O1259" i="5"/>
  <c r="N1259" i="5"/>
  <c r="M1259" i="5"/>
  <c r="L1259" i="5"/>
  <c r="P1258" i="5"/>
  <c r="O1258" i="5"/>
  <c r="N1258" i="5"/>
  <c r="M1258" i="5"/>
  <c r="L1258" i="5"/>
  <c r="P1257" i="5"/>
  <c r="O1257" i="5"/>
  <c r="N1257" i="5"/>
  <c r="M1257" i="5"/>
  <c r="L1257" i="5"/>
  <c r="P1256" i="5"/>
  <c r="O1256" i="5"/>
  <c r="N1256" i="5"/>
  <c r="M1256" i="5"/>
  <c r="L1256" i="5"/>
  <c r="P1255" i="5"/>
  <c r="O1255" i="5"/>
  <c r="N1255" i="5"/>
  <c r="M1255" i="5"/>
  <c r="L1255" i="5"/>
  <c r="P1254" i="5"/>
  <c r="O1254" i="5"/>
  <c r="N1254" i="5"/>
  <c r="M1254" i="5"/>
  <c r="L1254" i="5"/>
  <c r="P1253" i="5"/>
  <c r="O1253" i="5"/>
  <c r="N1253" i="5"/>
  <c r="M1253" i="5"/>
  <c r="L1253" i="5"/>
  <c r="P1252" i="5"/>
  <c r="O1252" i="5"/>
  <c r="N1252" i="5"/>
  <c r="M1252" i="5"/>
  <c r="L1252" i="5"/>
  <c r="P1251" i="5"/>
  <c r="O1251" i="5"/>
  <c r="N1251" i="5"/>
  <c r="M1251" i="5"/>
  <c r="L1251" i="5"/>
  <c r="P1250" i="5"/>
  <c r="O1250" i="5"/>
  <c r="N1250" i="5"/>
  <c r="M1250" i="5"/>
  <c r="L1250" i="5"/>
  <c r="P1249" i="5"/>
  <c r="O1249" i="5"/>
  <c r="N1249" i="5"/>
  <c r="M1249" i="5"/>
  <c r="L1249" i="5"/>
  <c r="P1248" i="5"/>
  <c r="O1248" i="5"/>
  <c r="N1248" i="5"/>
  <c r="M1248" i="5"/>
  <c r="L1248" i="5"/>
  <c r="P1247" i="5"/>
  <c r="O1247" i="5"/>
  <c r="N1247" i="5"/>
  <c r="M1247" i="5"/>
  <c r="L1247" i="5"/>
  <c r="P1246" i="5"/>
  <c r="O1246" i="5"/>
  <c r="N1246" i="5"/>
  <c r="M1246" i="5"/>
  <c r="L1246" i="5"/>
  <c r="P1245" i="5"/>
  <c r="O1245" i="5"/>
  <c r="N1245" i="5"/>
  <c r="M1245" i="5"/>
  <c r="L1245" i="5"/>
  <c r="P1244" i="5"/>
  <c r="O1244" i="5"/>
  <c r="N1244" i="5"/>
  <c r="M1244" i="5"/>
  <c r="L1244" i="5"/>
  <c r="P1243" i="5"/>
  <c r="O1243" i="5"/>
  <c r="N1243" i="5"/>
  <c r="M1243" i="5"/>
  <c r="L1243" i="5"/>
  <c r="P1242" i="5"/>
  <c r="O1242" i="5"/>
  <c r="N1242" i="5"/>
  <c r="M1242" i="5"/>
  <c r="L1242" i="5"/>
  <c r="P1241" i="5"/>
  <c r="O1241" i="5"/>
  <c r="N1241" i="5"/>
  <c r="M1241" i="5"/>
  <c r="L1241" i="5"/>
  <c r="P1240" i="5"/>
  <c r="O1240" i="5"/>
  <c r="N1240" i="5"/>
  <c r="M1240" i="5"/>
  <c r="L1240" i="5"/>
  <c r="P1239" i="5"/>
  <c r="O1239" i="5"/>
  <c r="N1239" i="5"/>
  <c r="M1239" i="5"/>
  <c r="L1239" i="5"/>
  <c r="P1238" i="5"/>
  <c r="O1238" i="5"/>
  <c r="N1238" i="5"/>
  <c r="M1238" i="5"/>
  <c r="L1238" i="5"/>
  <c r="P1237" i="5"/>
  <c r="O1237" i="5"/>
  <c r="N1237" i="5"/>
  <c r="M1237" i="5"/>
  <c r="L1237" i="5"/>
  <c r="P1236" i="5"/>
  <c r="O1236" i="5"/>
  <c r="N1236" i="5"/>
  <c r="M1236" i="5"/>
  <c r="L1236" i="5"/>
  <c r="P1235" i="5"/>
  <c r="O1235" i="5"/>
  <c r="N1235" i="5"/>
  <c r="M1235" i="5"/>
  <c r="L1235" i="5"/>
  <c r="P1234" i="5"/>
  <c r="O1234" i="5"/>
  <c r="N1234" i="5"/>
  <c r="M1234" i="5"/>
  <c r="L1234" i="5"/>
  <c r="P1233" i="5"/>
  <c r="O1233" i="5"/>
  <c r="N1233" i="5"/>
  <c r="M1233" i="5"/>
  <c r="L1233" i="5"/>
  <c r="P1232" i="5"/>
  <c r="O1232" i="5"/>
  <c r="N1232" i="5"/>
  <c r="M1232" i="5"/>
  <c r="L1232" i="5"/>
  <c r="P1231" i="5"/>
  <c r="O1231" i="5"/>
  <c r="N1231" i="5"/>
  <c r="M1231" i="5"/>
  <c r="L1231" i="5"/>
  <c r="P1230" i="5"/>
  <c r="O1230" i="5"/>
  <c r="N1230" i="5"/>
  <c r="M1230" i="5"/>
  <c r="L1230" i="5"/>
  <c r="P1229" i="5"/>
  <c r="O1229" i="5"/>
  <c r="N1229" i="5"/>
  <c r="M1229" i="5"/>
  <c r="L1229" i="5"/>
  <c r="P1228" i="5"/>
  <c r="O1228" i="5"/>
  <c r="N1228" i="5"/>
  <c r="M1228" i="5"/>
  <c r="L1228" i="5"/>
  <c r="P1227" i="5"/>
  <c r="O1227" i="5"/>
  <c r="N1227" i="5"/>
  <c r="M1227" i="5"/>
  <c r="L1227" i="5"/>
  <c r="P1226" i="5"/>
  <c r="O1226" i="5"/>
  <c r="N1226" i="5"/>
  <c r="M1226" i="5"/>
  <c r="L1226" i="5"/>
  <c r="P1225" i="5"/>
  <c r="O1225" i="5"/>
  <c r="N1225" i="5"/>
  <c r="M1225" i="5"/>
  <c r="L1225" i="5"/>
  <c r="P1224" i="5"/>
  <c r="O1224" i="5"/>
  <c r="N1224" i="5"/>
  <c r="M1224" i="5"/>
  <c r="L1224" i="5"/>
  <c r="P1223" i="5"/>
  <c r="O1223" i="5"/>
  <c r="N1223" i="5"/>
  <c r="M1223" i="5"/>
  <c r="L1223" i="5"/>
  <c r="P1222" i="5"/>
  <c r="O1222" i="5"/>
  <c r="N1222" i="5"/>
  <c r="M1222" i="5"/>
  <c r="L1222" i="5"/>
  <c r="P1221" i="5"/>
  <c r="O1221" i="5"/>
  <c r="N1221" i="5"/>
  <c r="M1221" i="5"/>
  <c r="L1221" i="5"/>
  <c r="P1220" i="5"/>
  <c r="O1220" i="5"/>
  <c r="N1220" i="5"/>
  <c r="M1220" i="5"/>
  <c r="L1220" i="5"/>
  <c r="P1219" i="5"/>
  <c r="O1219" i="5"/>
  <c r="N1219" i="5"/>
  <c r="M1219" i="5"/>
  <c r="L1219" i="5"/>
  <c r="P1218" i="5"/>
  <c r="O1218" i="5"/>
  <c r="N1218" i="5"/>
  <c r="M1218" i="5"/>
  <c r="L1218" i="5"/>
  <c r="P1217" i="5"/>
  <c r="O1217" i="5"/>
  <c r="N1217" i="5"/>
  <c r="M1217" i="5"/>
  <c r="L1217" i="5"/>
  <c r="P1216" i="5"/>
  <c r="O1216" i="5"/>
  <c r="N1216" i="5"/>
  <c r="M1216" i="5"/>
  <c r="L1216" i="5"/>
  <c r="P1215" i="5"/>
  <c r="O1215" i="5"/>
  <c r="N1215" i="5"/>
  <c r="M1215" i="5"/>
  <c r="L1215" i="5"/>
  <c r="P1214" i="5"/>
  <c r="O1214" i="5"/>
  <c r="N1214" i="5"/>
  <c r="M1214" i="5"/>
  <c r="L1214" i="5"/>
  <c r="P1213" i="5"/>
  <c r="O1213" i="5"/>
  <c r="N1213" i="5"/>
  <c r="M1213" i="5"/>
  <c r="L1213" i="5"/>
  <c r="P1212" i="5"/>
  <c r="O1212" i="5"/>
  <c r="N1212" i="5"/>
  <c r="M1212" i="5"/>
  <c r="L1212" i="5"/>
  <c r="P1211" i="5"/>
  <c r="O1211" i="5"/>
  <c r="N1211" i="5"/>
  <c r="M1211" i="5"/>
  <c r="L1211" i="5"/>
  <c r="P1210" i="5"/>
  <c r="O1210" i="5"/>
  <c r="N1210" i="5"/>
  <c r="M1210" i="5"/>
  <c r="L1210" i="5"/>
  <c r="P1209" i="5"/>
  <c r="O1209" i="5"/>
  <c r="N1209" i="5"/>
  <c r="M1209" i="5"/>
  <c r="L1209" i="5"/>
  <c r="P1208" i="5"/>
  <c r="O1208" i="5"/>
  <c r="N1208" i="5"/>
  <c r="M1208" i="5"/>
  <c r="L1208" i="5"/>
  <c r="P1207" i="5"/>
  <c r="O1207" i="5"/>
  <c r="N1207" i="5"/>
  <c r="M1207" i="5"/>
  <c r="L1207" i="5"/>
  <c r="P1206" i="5"/>
  <c r="O1206" i="5"/>
  <c r="N1206" i="5"/>
  <c r="M1206" i="5"/>
  <c r="L1206" i="5"/>
  <c r="P1205" i="5"/>
  <c r="O1205" i="5"/>
  <c r="N1205" i="5"/>
  <c r="M1205" i="5"/>
  <c r="L1205" i="5"/>
  <c r="P1204" i="5"/>
  <c r="O1204" i="5"/>
  <c r="N1204" i="5"/>
  <c r="M1204" i="5"/>
  <c r="L1204" i="5"/>
  <c r="P1203" i="5"/>
  <c r="O1203" i="5"/>
  <c r="N1203" i="5"/>
  <c r="M1203" i="5"/>
  <c r="L1203" i="5"/>
  <c r="P1202" i="5"/>
  <c r="O1202" i="5"/>
  <c r="N1202" i="5"/>
  <c r="M1202" i="5"/>
  <c r="L1202" i="5"/>
  <c r="P1201" i="5"/>
  <c r="O1201" i="5"/>
  <c r="N1201" i="5"/>
  <c r="M1201" i="5"/>
  <c r="L1201" i="5"/>
  <c r="P1200" i="5"/>
  <c r="O1200" i="5"/>
  <c r="N1200" i="5"/>
  <c r="M1200" i="5"/>
  <c r="L1200" i="5"/>
  <c r="P1199" i="5"/>
  <c r="O1199" i="5"/>
  <c r="N1199" i="5"/>
  <c r="M1199" i="5"/>
  <c r="L1199" i="5"/>
  <c r="P1198" i="5"/>
  <c r="O1198" i="5"/>
  <c r="N1198" i="5"/>
  <c r="M1198" i="5"/>
  <c r="L1198" i="5"/>
  <c r="P1197" i="5"/>
  <c r="O1197" i="5"/>
  <c r="N1197" i="5"/>
  <c r="M1197" i="5"/>
  <c r="L1197" i="5"/>
  <c r="P1196" i="5"/>
  <c r="O1196" i="5"/>
  <c r="N1196" i="5"/>
  <c r="M1196" i="5"/>
  <c r="L1196" i="5"/>
  <c r="P1195" i="5"/>
  <c r="O1195" i="5"/>
  <c r="N1195" i="5"/>
  <c r="M1195" i="5"/>
  <c r="L1195" i="5"/>
  <c r="P1194" i="5"/>
  <c r="O1194" i="5"/>
  <c r="N1194" i="5"/>
  <c r="M1194" i="5"/>
  <c r="L1194" i="5"/>
  <c r="P1193" i="5"/>
  <c r="O1193" i="5"/>
  <c r="N1193" i="5"/>
  <c r="M1193" i="5"/>
  <c r="L1193" i="5"/>
  <c r="P1192" i="5"/>
  <c r="O1192" i="5"/>
  <c r="N1192" i="5"/>
  <c r="M1192" i="5"/>
  <c r="L1192" i="5"/>
  <c r="P1191" i="5"/>
  <c r="O1191" i="5"/>
  <c r="N1191" i="5"/>
  <c r="M1191" i="5"/>
  <c r="L1191" i="5"/>
  <c r="P1190" i="5"/>
  <c r="O1190" i="5"/>
  <c r="N1190" i="5"/>
  <c r="M1190" i="5"/>
  <c r="L1190" i="5"/>
  <c r="P1189" i="5"/>
  <c r="O1189" i="5"/>
  <c r="N1189" i="5"/>
  <c r="M1189" i="5"/>
  <c r="L1189" i="5"/>
  <c r="P1188" i="5"/>
  <c r="O1188" i="5"/>
  <c r="N1188" i="5"/>
  <c r="M1188" i="5"/>
  <c r="L1188" i="5"/>
  <c r="P1187" i="5"/>
  <c r="O1187" i="5"/>
  <c r="N1187" i="5"/>
  <c r="M1187" i="5"/>
  <c r="L1187" i="5"/>
  <c r="P1186" i="5"/>
  <c r="O1186" i="5"/>
  <c r="N1186" i="5"/>
  <c r="M1186" i="5"/>
  <c r="L1186" i="5"/>
  <c r="P1185" i="5"/>
  <c r="O1185" i="5"/>
  <c r="N1185" i="5"/>
  <c r="M1185" i="5"/>
  <c r="L1185" i="5"/>
  <c r="P1184" i="5"/>
  <c r="O1184" i="5"/>
  <c r="N1184" i="5"/>
  <c r="M1184" i="5"/>
  <c r="L1184" i="5"/>
  <c r="P1183" i="5"/>
  <c r="O1183" i="5"/>
  <c r="N1183" i="5"/>
  <c r="M1183" i="5"/>
  <c r="L1183" i="5"/>
  <c r="P1182" i="5"/>
  <c r="O1182" i="5"/>
  <c r="N1182" i="5"/>
  <c r="M1182" i="5"/>
  <c r="L1182" i="5"/>
  <c r="P1181" i="5"/>
  <c r="O1181" i="5"/>
  <c r="N1181" i="5"/>
  <c r="M1181" i="5"/>
  <c r="L1181" i="5"/>
  <c r="P1180" i="5"/>
  <c r="O1180" i="5"/>
  <c r="N1180" i="5"/>
  <c r="M1180" i="5"/>
  <c r="L1180" i="5"/>
  <c r="P1179" i="5"/>
  <c r="O1179" i="5"/>
  <c r="N1179" i="5"/>
  <c r="M1179" i="5"/>
  <c r="L1179" i="5"/>
  <c r="P1178" i="5"/>
  <c r="O1178" i="5"/>
  <c r="N1178" i="5"/>
  <c r="M1178" i="5"/>
  <c r="L1178" i="5"/>
  <c r="P1177" i="5"/>
  <c r="O1177" i="5"/>
  <c r="N1177" i="5"/>
  <c r="M1177" i="5"/>
  <c r="L1177" i="5"/>
  <c r="P1176" i="5"/>
  <c r="O1176" i="5"/>
  <c r="N1176" i="5"/>
  <c r="M1176" i="5"/>
  <c r="L1176" i="5"/>
  <c r="P1175" i="5"/>
  <c r="O1175" i="5"/>
  <c r="N1175" i="5"/>
  <c r="M1175" i="5"/>
  <c r="L1175" i="5"/>
  <c r="P1174" i="5"/>
  <c r="O1174" i="5"/>
  <c r="N1174" i="5"/>
  <c r="M1174" i="5"/>
  <c r="L1174" i="5"/>
  <c r="P1173" i="5"/>
  <c r="O1173" i="5"/>
  <c r="N1173" i="5"/>
  <c r="M1173" i="5"/>
  <c r="L1173" i="5"/>
  <c r="P1172" i="5"/>
  <c r="O1172" i="5"/>
  <c r="N1172" i="5"/>
  <c r="M1172" i="5"/>
  <c r="L1172" i="5"/>
  <c r="P1171" i="5"/>
  <c r="O1171" i="5"/>
  <c r="N1171" i="5"/>
  <c r="M1171" i="5"/>
  <c r="L1171" i="5"/>
  <c r="P1170" i="5"/>
  <c r="O1170" i="5"/>
  <c r="N1170" i="5"/>
  <c r="M1170" i="5"/>
  <c r="L1170" i="5"/>
  <c r="P1169" i="5"/>
  <c r="O1169" i="5"/>
  <c r="N1169" i="5"/>
  <c r="M1169" i="5"/>
  <c r="L1169" i="5"/>
  <c r="P1168" i="5"/>
  <c r="O1168" i="5"/>
  <c r="N1168" i="5"/>
  <c r="M1168" i="5"/>
  <c r="L1168" i="5"/>
  <c r="P1167" i="5"/>
  <c r="O1167" i="5"/>
  <c r="N1167" i="5"/>
  <c r="M1167" i="5"/>
  <c r="L1167" i="5"/>
  <c r="P1166" i="5"/>
  <c r="O1166" i="5"/>
  <c r="N1166" i="5"/>
  <c r="M1166" i="5"/>
  <c r="L1166" i="5"/>
  <c r="P1165" i="5"/>
  <c r="O1165" i="5"/>
  <c r="N1165" i="5"/>
  <c r="M1165" i="5"/>
  <c r="L1165" i="5"/>
  <c r="P1164" i="5"/>
  <c r="O1164" i="5"/>
  <c r="N1164" i="5"/>
  <c r="M1164" i="5"/>
  <c r="L1164" i="5"/>
  <c r="P1163" i="5"/>
  <c r="O1163" i="5"/>
  <c r="N1163" i="5"/>
  <c r="M1163" i="5"/>
  <c r="L1163" i="5"/>
  <c r="P1162" i="5"/>
  <c r="O1162" i="5"/>
  <c r="N1162" i="5"/>
  <c r="M1162" i="5"/>
  <c r="L1162" i="5"/>
  <c r="P1161" i="5"/>
  <c r="O1161" i="5"/>
  <c r="N1161" i="5"/>
  <c r="M1161" i="5"/>
  <c r="L1161" i="5"/>
  <c r="P1160" i="5"/>
  <c r="O1160" i="5"/>
  <c r="N1160" i="5"/>
  <c r="M1160" i="5"/>
  <c r="L1160" i="5"/>
  <c r="P1159" i="5"/>
  <c r="O1159" i="5"/>
  <c r="N1159" i="5"/>
  <c r="M1159" i="5"/>
  <c r="L1159" i="5"/>
  <c r="P1158" i="5"/>
  <c r="O1158" i="5"/>
  <c r="N1158" i="5"/>
  <c r="M1158" i="5"/>
  <c r="L1158" i="5"/>
  <c r="P1157" i="5"/>
  <c r="O1157" i="5"/>
  <c r="N1157" i="5"/>
  <c r="M1157" i="5"/>
  <c r="L1157" i="5"/>
  <c r="P1156" i="5"/>
  <c r="O1156" i="5"/>
  <c r="N1156" i="5"/>
  <c r="M1156" i="5"/>
  <c r="L1156" i="5"/>
  <c r="P1155" i="5"/>
  <c r="O1155" i="5"/>
  <c r="N1155" i="5"/>
  <c r="M1155" i="5"/>
  <c r="L1155" i="5"/>
  <c r="P1154" i="5"/>
  <c r="O1154" i="5"/>
  <c r="N1154" i="5"/>
  <c r="M1154" i="5"/>
  <c r="L1154" i="5"/>
  <c r="P1153" i="5"/>
  <c r="O1153" i="5"/>
  <c r="N1153" i="5"/>
  <c r="M1153" i="5"/>
  <c r="L1153" i="5"/>
  <c r="P1152" i="5"/>
  <c r="O1152" i="5"/>
  <c r="N1152" i="5"/>
  <c r="M1152" i="5"/>
  <c r="L1152" i="5"/>
  <c r="P1151" i="5"/>
  <c r="O1151" i="5"/>
  <c r="N1151" i="5"/>
  <c r="M1151" i="5"/>
  <c r="L1151" i="5"/>
  <c r="P1150" i="5"/>
  <c r="O1150" i="5"/>
  <c r="N1150" i="5"/>
  <c r="M1150" i="5"/>
  <c r="L1150" i="5"/>
  <c r="P1149" i="5"/>
  <c r="O1149" i="5"/>
  <c r="N1149" i="5"/>
  <c r="M1149" i="5"/>
  <c r="L1149" i="5"/>
  <c r="P1148" i="5"/>
  <c r="O1148" i="5"/>
  <c r="N1148" i="5"/>
  <c r="M1148" i="5"/>
  <c r="L1148" i="5"/>
  <c r="P1147" i="5"/>
  <c r="O1147" i="5"/>
  <c r="N1147" i="5"/>
  <c r="M1147" i="5"/>
  <c r="L1147" i="5"/>
  <c r="P1146" i="5"/>
  <c r="O1146" i="5"/>
  <c r="N1146" i="5"/>
  <c r="M1146" i="5"/>
  <c r="L1146" i="5"/>
  <c r="P1145" i="5"/>
  <c r="O1145" i="5"/>
  <c r="N1145" i="5"/>
  <c r="M1145" i="5"/>
  <c r="L1145" i="5"/>
  <c r="P1144" i="5"/>
  <c r="O1144" i="5"/>
  <c r="N1144" i="5"/>
  <c r="M1144" i="5"/>
  <c r="L1144" i="5"/>
  <c r="P1143" i="5"/>
  <c r="O1143" i="5"/>
  <c r="N1143" i="5"/>
  <c r="M1143" i="5"/>
  <c r="L1143" i="5"/>
  <c r="P1142" i="5"/>
  <c r="O1142" i="5"/>
  <c r="N1142" i="5"/>
  <c r="M1142" i="5"/>
  <c r="L1142" i="5"/>
  <c r="P1141" i="5"/>
  <c r="O1141" i="5"/>
  <c r="N1141" i="5"/>
  <c r="M1141" i="5"/>
  <c r="L1141" i="5"/>
  <c r="P1140" i="5"/>
  <c r="O1140" i="5"/>
  <c r="N1140" i="5"/>
  <c r="M1140" i="5"/>
  <c r="L1140" i="5"/>
  <c r="P1139" i="5"/>
  <c r="O1139" i="5"/>
  <c r="N1139" i="5"/>
  <c r="M1139" i="5"/>
  <c r="L1139" i="5"/>
  <c r="P1138" i="5"/>
  <c r="O1138" i="5"/>
  <c r="N1138" i="5"/>
  <c r="M1138" i="5"/>
  <c r="L1138" i="5"/>
  <c r="P1137" i="5"/>
  <c r="O1137" i="5"/>
  <c r="N1137" i="5"/>
  <c r="M1137" i="5"/>
  <c r="L1137" i="5"/>
  <c r="P1136" i="5"/>
  <c r="O1136" i="5"/>
  <c r="N1136" i="5"/>
  <c r="M1136" i="5"/>
  <c r="L1136" i="5"/>
  <c r="P1135" i="5"/>
  <c r="O1135" i="5"/>
  <c r="N1135" i="5"/>
  <c r="M1135" i="5"/>
  <c r="L1135" i="5"/>
  <c r="P1134" i="5"/>
  <c r="O1134" i="5"/>
  <c r="N1134" i="5"/>
  <c r="M1134" i="5"/>
  <c r="L1134" i="5"/>
  <c r="P1133" i="5"/>
  <c r="O1133" i="5"/>
  <c r="N1133" i="5"/>
  <c r="M1133" i="5"/>
  <c r="L1133" i="5"/>
  <c r="P1132" i="5"/>
  <c r="O1132" i="5"/>
  <c r="N1132" i="5"/>
  <c r="M1132" i="5"/>
  <c r="L1132" i="5"/>
  <c r="P1131" i="5"/>
  <c r="O1131" i="5"/>
  <c r="N1131" i="5"/>
  <c r="M1131" i="5"/>
  <c r="L1131" i="5"/>
  <c r="P1130" i="5"/>
  <c r="O1130" i="5"/>
  <c r="N1130" i="5"/>
  <c r="M1130" i="5"/>
  <c r="L1130" i="5"/>
  <c r="P1129" i="5"/>
  <c r="O1129" i="5"/>
  <c r="N1129" i="5"/>
  <c r="M1129" i="5"/>
  <c r="L1129" i="5"/>
  <c r="P1128" i="5"/>
  <c r="O1128" i="5"/>
  <c r="N1128" i="5"/>
  <c r="M1128" i="5"/>
  <c r="L1128" i="5"/>
  <c r="P1127" i="5"/>
  <c r="O1127" i="5"/>
  <c r="N1127" i="5"/>
  <c r="M1127" i="5"/>
  <c r="L1127" i="5"/>
  <c r="P1126" i="5"/>
  <c r="O1126" i="5"/>
  <c r="N1126" i="5"/>
  <c r="M1126" i="5"/>
  <c r="L1126" i="5"/>
  <c r="P1125" i="5"/>
  <c r="O1125" i="5"/>
  <c r="N1125" i="5"/>
  <c r="M1125" i="5"/>
  <c r="L1125" i="5"/>
  <c r="P1124" i="5"/>
  <c r="O1124" i="5"/>
  <c r="N1124" i="5"/>
  <c r="M1124" i="5"/>
  <c r="L1124" i="5"/>
  <c r="P1123" i="5"/>
  <c r="O1123" i="5"/>
  <c r="N1123" i="5"/>
  <c r="M1123" i="5"/>
  <c r="L1123" i="5"/>
  <c r="P1122" i="5"/>
  <c r="O1122" i="5"/>
  <c r="N1122" i="5"/>
  <c r="M1122" i="5"/>
  <c r="L1122" i="5"/>
  <c r="P1121" i="5"/>
  <c r="O1121" i="5"/>
  <c r="N1121" i="5"/>
  <c r="M1121" i="5"/>
  <c r="L1121" i="5"/>
  <c r="P1120" i="5"/>
  <c r="O1120" i="5"/>
  <c r="N1120" i="5"/>
  <c r="M1120" i="5"/>
  <c r="L1120" i="5"/>
  <c r="P1119" i="5"/>
  <c r="O1119" i="5"/>
  <c r="N1119" i="5"/>
  <c r="M1119" i="5"/>
  <c r="L1119" i="5"/>
  <c r="P1118" i="5"/>
  <c r="O1118" i="5"/>
  <c r="N1118" i="5"/>
  <c r="M1118" i="5"/>
  <c r="L1118" i="5"/>
  <c r="P1117" i="5"/>
  <c r="O1117" i="5"/>
  <c r="N1117" i="5"/>
  <c r="M1117" i="5"/>
  <c r="L1117" i="5"/>
  <c r="P1116" i="5"/>
  <c r="O1116" i="5"/>
  <c r="N1116" i="5"/>
  <c r="M1116" i="5"/>
  <c r="L1116" i="5"/>
  <c r="P1115" i="5"/>
  <c r="O1115" i="5"/>
  <c r="N1115" i="5"/>
  <c r="M1115" i="5"/>
  <c r="L1115" i="5"/>
  <c r="P1114" i="5"/>
  <c r="O1114" i="5"/>
  <c r="N1114" i="5"/>
  <c r="M1114" i="5"/>
  <c r="L1114" i="5"/>
  <c r="P1113" i="5"/>
  <c r="O1113" i="5"/>
  <c r="N1113" i="5"/>
  <c r="M1113" i="5"/>
  <c r="L1113" i="5"/>
  <c r="P1112" i="5"/>
  <c r="O1112" i="5"/>
  <c r="N1112" i="5"/>
  <c r="M1112" i="5"/>
  <c r="L1112" i="5"/>
  <c r="P1111" i="5"/>
  <c r="O1111" i="5"/>
  <c r="N1111" i="5"/>
  <c r="M1111" i="5"/>
  <c r="L1111" i="5"/>
  <c r="P1110" i="5"/>
  <c r="O1110" i="5"/>
  <c r="N1110" i="5"/>
  <c r="M1110" i="5"/>
  <c r="L1110" i="5"/>
  <c r="P1109" i="5"/>
  <c r="O1109" i="5"/>
  <c r="N1109" i="5"/>
  <c r="M1109" i="5"/>
  <c r="L1109" i="5"/>
  <c r="P1108" i="5"/>
  <c r="O1108" i="5"/>
  <c r="N1108" i="5"/>
  <c r="M1108" i="5"/>
  <c r="L1108" i="5"/>
  <c r="P1107" i="5"/>
  <c r="O1107" i="5"/>
  <c r="N1107" i="5"/>
  <c r="M1107" i="5"/>
  <c r="L1107" i="5"/>
  <c r="P1106" i="5"/>
  <c r="O1106" i="5"/>
  <c r="N1106" i="5"/>
  <c r="M1106" i="5"/>
  <c r="L1106" i="5"/>
  <c r="P1105" i="5"/>
  <c r="O1105" i="5"/>
  <c r="N1105" i="5"/>
  <c r="M1105" i="5"/>
  <c r="L1105" i="5"/>
  <c r="P1104" i="5"/>
  <c r="O1104" i="5"/>
  <c r="N1104" i="5"/>
  <c r="M1104" i="5"/>
  <c r="L1104" i="5"/>
  <c r="P1103" i="5"/>
  <c r="O1103" i="5"/>
  <c r="N1103" i="5"/>
  <c r="M1103" i="5"/>
  <c r="L1103" i="5"/>
  <c r="P1102" i="5"/>
  <c r="O1102" i="5"/>
  <c r="N1102" i="5"/>
  <c r="M1102" i="5"/>
  <c r="L1102" i="5"/>
  <c r="P1101" i="5"/>
  <c r="O1101" i="5"/>
  <c r="N1101" i="5"/>
  <c r="M1101" i="5"/>
  <c r="L1101" i="5"/>
  <c r="P1100" i="5"/>
  <c r="O1100" i="5"/>
  <c r="N1100" i="5"/>
  <c r="M1100" i="5"/>
  <c r="L1100" i="5"/>
  <c r="P1099" i="5"/>
  <c r="O1099" i="5"/>
  <c r="N1099" i="5"/>
  <c r="M1099" i="5"/>
  <c r="L1099" i="5"/>
  <c r="P1098" i="5"/>
  <c r="O1098" i="5"/>
  <c r="N1098" i="5"/>
  <c r="M1098" i="5"/>
  <c r="L1098" i="5"/>
  <c r="P1097" i="5"/>
  <c r="O1097" i="5"/>
  <c r="N1097" i="5"/>
  <c r="M1097" i="5"/>
  <c r="L1097" i="5"/>
  <c r="P1096" i="5"/>
  <c r="O1096" i="5"/>
  <c r="N1096" i="5"/>
  <c r="M1096" i="5"/>
  <c r="L1096" i="5"/>
  <c r="P1095" i="5"/>
  <c r="O1095" i="5"/>
  <c r="N1095" i="5"/>
  <c r="M1095" i="5"/>
  <c r="L1095" i="5"/>
  <c r="P1094" i="5"/>
  <c r="O1094" i="5"/>
  <c r="N1094" i="5"/>
  <c r="M1094" i="5"/>
  <c r="L1094" i="5"/>
  <c r="P1093" i="5"/>
  <c r="O1093" i="5"/>
  <c r="N1093" i="5"/>
  <c r="M1093" i="5"/>
  <c r="L1093" i="5"/>
  <c r="P1092" i="5"/>
  <c r="O1092" i="5"/>
  <c r="N1092" i="5"/>
  <c r="M1092" i="5"/>
  <c r="L1092" i="5"/>
  <c r="P1091" i="5"/>
  <c r="O1091" i="5"/>
  <c r="N1091" i="5"/>
  <c r="M1091" i="5"/>
  <c r="L1091" i="5"/>
  <c r="P1090" i="5"/>
  <c r="O1090" i="5"/>
  <c r="N1090" i="5"/>
  <c r="M1090" i="5"/>
  <c r="L1090" i="5"/>
  <c r="P1089" i="5"/>
  <c r="O1089" i="5"/>
  <c r="N1089" i="5"/>
  <c r="M1089" i="5"/>
  <c r="L1089" i="5"/>
  <c r="P1088" i="5"/>
  <c r="O1088" i="5"/>
  <c r="N1088" i="5"/>
  <c r="M1088" i="5"/>
  <c r="L1088" i="5"/>
  <c r="P1087" i="5"/>
  <c r="O1087" i="5"/>
  <c r="N1087" i="5"/>
  <c r="M1087" i="5"/>
  <c r="L1087" i="5"/>
  <c r="P1086" i="5"/>
  <c r="O1086" i="5"/>
  <c r="N1086" i="5"/>
  <c r="M1086" i="5"/>
  <c r="L1086" i="5"/>
  <c r="P1085" i="5"/>
  <c r="O1085" i="5"/>
  <c r="N1085" i="5"/>
  <c r="M1085" i="5"/>
  <c r="L1085" i="5"/>
  <c r="P1084" i="5"/>
  <c r="O1084" i="5"/>
  <c r="N1084" i="5"/>
  <c r="M1084" i="5"/>
  <c r="L1084" i="5"/>
  <c r="P1083" i="5"/>
  <c r="O1083" i="5"/>
  <c r="N1083" i="5"/>
  <c r="M1083" i="5"/>
  <c r="L1083" i="5"/>
  <c r="P1082" i="5"/>
  <c r="O1082" i="5"/>
  <c r="N1082" i="5"/>
  <c r="M1082" i="5"/>
  <c r="L1082" i="5"/>
  <c r="P1081" i="5"/>
  <c r="O1081" i="5"/>
  <c r="N1081" i="5"/>
  <c r="M1081" i="5"/>
  <c r="L1081" i="5"/>
  <c r="P1080" i="5"/>
  <c r="O1080" i="5"/>
  <c r="N1080" i="5"/>
  <c r="M1080" i="5"/>
  <c r="L1080" i="5"/>
  <c r="P1079" i="5"/>
  <c r="O1079" i="5"/>
  <c r="N1079" i="5"/>
  <c r="M1079" i="5"/>
  <c r="L1079" i="5"/>
  <c r="P1078" i="5"/>
  <c r="O1078" i="5"/>
  <c r="N1078" i="5"/>
  <c r="M1078" i="5"/>
  <c r="L1078" i="5"/>
  <c r="P1077" i="5"/>
  <c r="O1077" i="5"/>
  <c r="N1077" i="5"/>
  <c r="M1077" i="5"/>
  <c r="L1077" i="5"/>
  <c r="P1076" i="5"/>
  <c r="O1076" i="5"/>
  <c r="N1076" i="5"/>
  <c r="M1076" i="5"/>
  <c r="L1076" i="5"/>
  <c r="P1075" i="5"/>
  <c r="O1075" i="5"/>
  <c r="N1075" i="5"/>
  <c r="M1075" i="5"/>
  <c r="L1075" i="5"/>
  <c r="P1074" i="5"/>
  <c r="O1074" i="5"/>
  <c r="N1074" i="5"/>
  <c r="M1074" i="5"/>
  <c r="L1074" i="5"/>
  <c r="P1073" i="5"/>
  <c r="O1073" i="5"/>
  <c r="N1073" i="5"/>
  <c r="M1073" i="5"/>
  <c r="L1073" i="5"/>
  <c r="P1072" i="5"/>
  <c r="O1072" i="5"/>
  <c r="N1072" i="5"/>
  <c r="M1072" i="5"/>
  <c r="L1072" i="5"/>
  <c r="P1071" i="5"/>
  <c r="O1071" i="5"/>
  <c r="N1071" i="5"/>
  <c r="M1071" i="5"/>
  <c r="L1071" i="5"/>
  <c r="P1070" i="5"/>
  <c r="O1070" i="5"/>
  <c r="N1070" i="5"/>
  <c r="M1070" i="5"/>
  <c r="L1070" i="5"/>
  <c r="P1069" i="5"/>
  <c r="O1069" i="5"/>
  <c r="N1069" i="5"/>
  <c r="M1069" i="5"/>
  <c r="L1069" i="5"/>
  <c r="P1068" i="5"/>
  <c r="O1068" i="5"/>
  <c r="N1068" i="5"/>
  <c r="M1068" i="5"/>
  <c r="L1068" i="5"/>
  <c r="P1067" i="5"/>
  <c r="O1067" i="5"/>
  <c r="N1067" i="5"/>
  <c r="M1067" i="5"/>
  <c r="L1067" i="5"/>
  <c r="P1066" i="5"/>
  <c r="O1066" i="5"/>
  <c r="N1066" i="5"/>
  <c r="M1066" i="5"/>
  <c r="L1066" i="5"/>
  <c r="P1065" i="5"/>
  <c r="O1065" i="5"/>
  <c r="N1065" i="5"/>
  <c r="M1065" i="5"/>
  <c r="L1065" i="5"/>
  <c r="P1064" i="5"/>
  <c r="O1064" i="5"/>
  <c r="N1064" i="5"/>
  <c r="M1064" i="5"/>
  <c r="L1064" i="5"/>
  <c r="P1063" i="5"/>
  <c r="O1063" i="5"/>
  <c r="N1063" i="5"/>
  <c r="M1063" i="5"/>
  <c r="L1063" i="5"/>
  <c r="P1062" i="5"/>
  <c r="O1062" i="5"/>
  <c r="N1062" i="5"/>
  <c r="M1062" i="5"/>
  <c r="L1062" i="5"/>
  <c r="P1061" i="5"/>
  <c r="O1061" i="5"/>
  <c r="N1061" i="5"/>
  <c r="M1061" i="5"/>
  <c r="L1061" i="5"/>
  <c r="P1060" i="5"/>
  <c r="O1060" i="5"/>
  <c r="N1060" i="5"/>
  <c r="M1060" i="5"/>
  <c r="L1060" i="5"/>
  <c r="P1059" i="5"/>
  <c r="O1059" i="5"/>
  <c r="N1059" i="5"/>
  <c r="M1059" i="5"/>
  <c r="L1059" i="5"/>
  <c r="P1058" i="5"/>
  <c r="O1058" i="5"/>
  <c r="N1058" i="5"/>
  <c r="M1058" i="5"/>
  <c r="L1058" i="5"/>
  <c r="P1057" i="5"/>
  <c r="O1057" i="5"/>
  <c r="N1057" i="5"/>
  <c r="M1057" i="5"/>
  <c r="L1057" i="5"/>
  <c r="P1056" i="5"/>
  <c r="O1056" i="5"/>
  <c r="N1056" i="5"/>
  <c r="M1056" i="5"/>
  <c r="L1056" i="5"/>
  <c r="P1055" i="5"/>
  <c r="O1055" i="5"/>
  <c r="N1055" i="5"/>
  <c r="M1055" i="5"/>
  <c r="L1055" i="5"/>
  <c r="P1054" i="5"/>
  <c r="O1054" i="5"/>
  <c r="N1054" i="5"/>
  <c r="M1054" i="5"/>
  <c r="L1054" i="5"/>
  <c r="P1053" i="5"/>
  <c r="O1053" i="5"/>
  <c r="N1053" i="5"/>
  <c r="M1053" i="5"/>
  <c r="L1053" i="5"/>
  <c r="P1052" i="5"/>
  <c r="O1052" i="5"/>
  <c r="N1052" i="5"/>
  <c r="M1052" i="5"/>
  <c r="L1052" i="5"/>
  <c r="P1051" i="5"/>
  <c r="O1051" i="5"/>
  <c r="N1051" i="5"/>
  <c r="M1051" i="5"/>
  <c r="L1051" i="5"/>
  <c r="P1050" i="5"/>
  <c r="O1050" i="5"/>
  <c r="N1050" i="5"/>
  <c r="M1050" i="5"/>
  <c r="L1050" i="5"/>
  <c r="P1049" i="5"/>
  <c r="O1049" i="5"/>
  <c r="N1049" i="5"/>
  <c r="M1049" i="5"/>
  <c r="L1049" i="5"/>
  <c r="P1048" i="5"/>
  <c r="O1048" i="5"/>
  <c r="N1048" i="5"/>
  <c r="M1048" i="5"/>
  <c r="L1048" i="5"/>
  <c r="P1047" i="5"/>
  <c r="O1047" i="5"/>
  <c r="N1047" i="5"/>
  <c r="M1047" i="5"/>
  <c r="L1047" i="5"/>
  <c r="P1046" i="5"/>
  <c r="O1046" i="5"/>
  <c r="N1046" i="5"/>
  <c r="M1046" i="5"/>
  <c r="L1046" i="5"/>
  <c r="P1045" i="5"/>
  <c r="O1045" i="5"/>
  <c r="N1045" i="5"/>
  <c r="M1045" i="5"/>
  <c r="L1045" i="5"/>
  <c r="P1044" i="5"/>
  <c r="O1044" i="5"/>
  <c r="N1044" i="5"/>
  <c r="M1044" i="5"/>
  <c r="L1044" i="5"/>
  <c r="P1043" i="5"/>
  <c r="O1043" i="5"/>
  <c r="N1043" i="5"/>
  <c r="M1043" i="5"/>
  <c r="L1043" i="5"/>
  <c r="P1042" i="5"/>
  <c r="O1042" i="5"/>
  <c r="N1042" i="5"/>
  <c r="M1042" i="5"/>
  <c r="L1042" i="5"/>
  <c r="P1041" i="5"/>
  <c r="O1041" i="5"/>
  <c r="N1041" i="5"/>
  <c r="M1041" i="5"/>
  <c r="L1041" i="5"/>
  <c r="P1040" i="5"/>
  <c r="O1040" i="5"/>
  <c r="N1040" i="5"/>
  <c r="M1040" i="5"/>
  <c r="L1040" i="5"/>
  <c r="P1039" i="5"/>
  <c r="O1039" i="5"/>
  <c r="N1039" i="5"/>
  <c r="M1039" i="5"/>
  <c r="L1039" i="5"/>
  <c r="P1038" i="5"/>
  <c r="O1038" i="5"/>
  <c r="N1038" i="5"/>
  <c r="M1038" i="5"/>
  <c r="L1038" i="5"/>
  <c r="P1037" i="5"/>
  <c r="O1037" i="5"/>
  <c r="N1037" i="5"/>
  <c r="M1037" i="5"/>
  <c r="L1037" i="5"/>
  <c r="P1036" i="5"/>
  <c r="O1036" i="5"/>
  <c r="N1036" i="5"/>
  <c r="M1036" i="5"/>
  <c r="L1036" i="5"/>
  <c r="P1035" i="5"/>
  <c r="O1035" i="5"/>
  <c r="N1035" i="5"/>
  <c r="M1035" i="5"/>
  <c r="L1035" i="5"/>
  <c r="P1034" i="5"/>
  <c r="O1034" i="5"/>
  <c r="N1034" i="5"/>
  <c r="M1034" i="5"/>
  <c r="L1034" i="5"/>
  <c r="P1033" i="5"/>
  <c r="O1033" i="5"/>
  <c r="N1033" i="5"/>
  <c r="M1033" i="5"/>
  <c r="L1033" i="5"/>
  <c r="P1032" i="5"/>
  <c r="O1032" i="5"/>
  <c r="N1032" i="5"/>
  <c r="M1032" i="5"/>
  <c r="L1032" i="5"/>
  <c r="P1031" i="5"/>
  <c r="O1031" i="5"/>
  <c r="N1031" i="5"/>
  <c r="M1031" i="5"/>
  <c r="L1031" i="5"/>
  <c r="P1030" i="5"/>
  <c r="O1030" i="5"/>
  <c r="N1030" i="5"/>
  <c r="M1030" i="5"/>
  <c r="L1030" i="5"/>
  <c r="P1029" i="5"/>
  <c r="O1029" i="5"/>
  <c r="N1029" i="5"/>
  <c r="M1029" i="5"/>
  <c r="L1029" i="5"/>
  <c r="P1028" i="5"/>
  <c r="O1028" i="5"/>
  <c r="N1028" i="5"/>
  <c r="M1028" i="5"/>
  <c r="L1028" i="5"/>
  <c r="P1027" i="5"/>
  <c r="O1027" i="5"/>
  <c r="N1027" i="5"/>
  <c r="M1027" i="5"/>
  <c r="L1027" i="5"/>
  <c r="P1026" i="5"/>
  <c r="O1026" i="5"/>
  <c r="N1026" i="5"/>
  <c r="M1026" i="5"/>
  <c r="L1026" i="5"/>
  <c r="P1025" i="5"/>
  <c r="O1025" i="5"/>
  <c r="N1025" i="5"/>
  <c r="M1025" i="5"/>
  <c r="L1025" i="5"/>
  <c r="P1024" i="5"/>
  <c r="O1024" i="5"/>
  <c r="N1024" i="5"/>
  <c r="M1024" i="5"/>
  <c r="L1024" i="5"/>
  <c r="P1023" i="5"/>
  <c r="O1023" i="5"/>
  <c r="N1023" i="5"/>
  <c r="M1023" i="5"/>
  <c r="L1023" i="5"/>
  <c r="P1022" i="5"/>
  <c r="O1022" i="5"/>
  <c r="N1022" i="5"/>
  <c r="M1022" i="5"/>
  <c r="L1022" i="5"/>
  <c r="P1021" i="5"/>
  <c r="O1021" i="5"/>
  <c r="N1021" i="5"/>
  <c r="M1021" i="5"/>
  <c r="L1021" i="5"/>
  <c r="P1020" i="5"/>
  <c r="O1020" i="5"/>
  <c r="N1020" i="5"/>
  <c r="M1020" i="5"/>
  <c r="L1020" i="5"/>
  <c r="P1019" i="5"/>
  <c r="O1019" i="5"/>
  <c r="N1019" i="5"/>
  <c r="M1019" i="5"/>
  <c r="L1019" i="5"/>
  <c r="P1018" i="5"/>
  <c r="O1018" i="5"/>
  <c r="N1018" i="5"/>
  <c r="M1018" i="5"/>
  <c r="L1018" i="5"/>
  <c r="P1017" i="5"/>
  <c r="O1017" i="5"/>
  <c r="N1017" i="5"/>
  <c r="M1017" i="5"/>
  <c r="L1017" i="5"/>
  <c r="P1016" i="5"/>
  <c r="O1016" i="5"/>
  <c r="N1016" i="5"/>
  <c r="M1016" i="5"/>
  <c r="L1016" i="5"/>
  <c r="P1015" i="5"/>
  <c r="O1015" i="5"/>
  <c r="N1015" i="5"/>
  <c r="M1015" i="5"/>
  <c r="L1015" i="5"/>
  <c r="P1014" i="5"/>
  <c r="O1014" i="5"/>
  <c r="N1014" i="5"/>
  <c r="M1014" i="5"/>
  <c r="L1014" i="5"/>
  <c r="P1013" i="5"/>
  <c r="O1013" i="5"/>
  <c r="N1013" i="5"/>
  <c r="M1013" i="5"/>
  <c r="L1013" i="5"/>
  <c r="P1012" i="5"/>
  <c r="O1012" i="5"/>
  <c r="N1012" i="5"/>
  <c r="M1012" i="5"/>
  <c r="L1012" i="5"/>
  <c r="P1011" i="5"/>
  <c r="O1011" i="5"/>
  <c r="N1011" i="5"/>
  <c r="M1011" i="5"/>
  <c r="L1011" i="5"/>
  <c r="P1010" i="5"/>
  <c r="O1010" i="5"/>
  <c r="N1010" i="5"/>
  <c r="M1010" i="5"/>
  <c r="L1010" i="5"/>
  <c r="P1009" i="5"/>
  <c r="O1009" i="5"/>
  <c r="N1009" i="5"/>
  <c r="M1009" i="5"/>
  <c r="L1009" i="5"/>
  <c r="P1008" i="5"/>
  <c r="O1008" i="5"/>
  <c r="N1008" i="5"/>
  <c r="M1008" i="5"/>
  <c r="L1008" i="5"/>
  <c r="P1007" i="5"/>
  <c r="O1007" i="5"/>
  <c r="N1007" i="5"/>
  <c r="M1007" i="5"/>
  <c r="L1007" i="5"/>
  <c r="P1006" i="5"/>
  <c r="O1006" i="5"/>
  <c r="N1006" i="5"/>
  <c r="M1006" i="5"/>
  <c r="L1006" i="5"/>
  <c r="P1005" i="5"/>
  <c r="O1005" i="5"/>
  <c r="N1005" i="5"/>
  <c r="M1005" i="5"/>
  <c r="L1005" i="5"/>
  <c r="P1004" i="5"/>
  <c r="O1004" i="5"/>
  <c r="N1004" i="5"/>
  <c r="M1004" i="5"/>
  <c r="L1004" i="5"/>
  <c r="P1003" i="5"/>
  <c r="O1003" i="5"/>
  <c r="N1003" i="5"/>
  <c r="M1003" i="5"/>
  <c r="L1003" i="5"/>
  <c r="P1002" i="5"/>
  <c r="O1002" i="5"/>
  <c r="N1002" i="5"/>
  <c r="M1002" i="5"/>
  <c r="L1002" i="5"/>
  <c r="P1001" i="5"/>
  <c r="O1001" i="5"/>
  <c r="N1001" i="5"/>
  <c r="M1001" i="5"/>
  <c r="L1001" i="5"/>
  <c r="P1000" i="5"/>
  <c r="O1000" i="5"/>
  <c r="N1000" i="5"/>
  <c r="M1000" i="5"/>
  <c r="L1000" i="5"/>
  <c r="P999" i="5"/>
  <c r="O999" i="5"/>
  <c r="N999" i="5"/>
  <c r="M999" i="5"/>
  <c r="L999" i="5"/>
  <c r="P998" i="5"/>
  <c r="O998" i="5"/>
  <c r="N998" i="5"/>
  <c r="M998" i="5"/>
  <c r="L998" i="5"/>
  <c r="P997" i="5"/>
  <c r="O997" i="5"/>
  <c r="N997" i="5"/>
  <c r="M997" i="5"/>
  <c r="L997" i="5"/>
  <c r="P996" i="5"/>
  <c r="O996" i="5"/>
  <c r="N996" i="5"/>
  <c r="M996" i="5"/>
  <c r="L996" i="5"/>
  <c r="P995" i="5"/>
  <c r="O995" i="5"/>
  <c r="N995" i="5"/>
  <c r="M995" i="5"/>
  <c r="L995" i="5"/>
  <c r="P994" i="5"/>
  <c r="O994" i="5"/>
  <c r="N994" i="5"/>
  <c r="M994" i="5"/>
  <c r="L994" i="5"/>
  <c r="P993" i="5"/>
  <c r="O993" i="5"/>
  <c r="N993" i="5"/>
  <c r="M993" i="5"/>
  <c r="L993" i="5"/>
  <c r="P992" i="5"/>
  <c r="O992" i="5"/>
  <c r="N992" i="5"/>
  <c r="M992" i="5"/>
  <c r="L992" i="5"/>
  <c r="P991" i="5"/>
  <c r="O991" i="5"/>
  <c r="N991" i="5"/>
  <c r="M991" i="5"/>
  <c r="L991" i="5"/>
  <c r="P990" i="5"/>
  <c r="O990" i="5"/>
  <c r="N990" i="5"/>
  <c r="M990" i="5"/>
  <c r="L990" i="5"/>
  <c r="P989" i="5"/>
  <c r="O989" i="5"/>
  <c r="N989" i="5"/>
  <c r="M989" i="5"/>
  <c r="L989" i="5"/>
  <c r="P988" i="5"/>
  <c r="O988" i="5"/>
  <c r="N988" i="5"/>
  <c r="M988" i="5"/>
  <c r="L988" i="5"/>
  <c r="P987" i="5"/>
  <c r="O987" i="5"/>
  <c r="N987" i="5"/>
  <c r="M987" i="5"/>
  <c r="L987" i="5"/>
  <c r="P986" i="5"/>
  <c r="O986" i="5"/>
  <c r="N986" i="5"/>
  <c r="M986" i="5"/>
  <c r="L986" i="5"/>
  <c r="P985" i="5"/>
  <c r="O985" i="5"/>
  <c r="N985" i="5"/>
  <c r="M985" i="5"/>
  <c r="L985" i="5"/>
  <c r="P984" i="5"/>
  <c r="O984" i="5"/>
  <c r="N984" i="5"/>
  <c r="M984" i="5"/>
  <c r="L984" i="5"/>
  <c r="P983" i="5"/>
  <c r="O983" i="5"/>
  <c r="N983" i="5"/>
  <c r="M983" i="5"/>
  <c r="L983" i="5"/>
  <c r="P982" i="5"/>
  <c r="O982" i="5"/>
  <c r="N982" i="5"/>
  <c r="M982" i="5"/>
  <c r="L982" i="5"/>
  <c r="P981" i="5"/>
  <c r="O981" i="5"/>
  <c r="N981" i="5"/>
  <c r="M981" i="5"/>
  <c r="L981" i="5"/>
  <c r="P980" i="5"/>
  <c r="O980" i="5"/>
  <c r="N980" i="5"/>
  <c r="M980" i="5"/>
  <c r="L980" i="5"/>
  <c r="P979" i="5"/>
  <c r="O979" i="5"/>
  <c r="N979" i="5"/>
  <c r="M979" i="5"/>
  <c r="L979" i="5"/>
  <c r="P978" i="5"/>
  <c r="O978" i="5"/>
  <c r="N978" i="5"/>
  <c r="M978" i="5"/>
  <c r="L978" i="5"/>
  <c r="P977" i="5"/>
  <c r="O977" i="5"/>
  <c r="N977" i="5"/>
  <c r="M977" i="5"/>
  <c r="L977" i="5"/>
  <c r="P976" i="5"/>
  <c r="O976" i="5"/>
  <c r="N976" i="5"/>
  <c r="M976" i="5"/>
  <c r="L976" i="5"/>
  <c r="P975" i="5"/>
  <c r="O975" i="5"/>
  <c r="N975" i="5"/>
  <c r="M975" i="5"/>
  <c r="L975" i="5"/>
  <c r="P974" i="5"/>
  <c r="O974" i="5"/>
  <c r="N974" i="5"/>
  <c r="M974" i="5"/>
  <c r="L974" i="5"/>
  <c r="P973" i="5"/>
  <c r="O973" i="5"/>
  <c r="N973" i="5"/>
  <c r="M973" i="5"/>
  <c r="L973" i="5"/>
  <c r="P972" i="5"/>
  <c r="O972" i="5"/>
  <c r="N972" i="5"/>
  <c r="M972" i="5"/>
  <c r="L972" i="5"/>
  <c r="P971" i="5"/>
  <c r="O971" i="5"/>
  <c r="N971" i="5"/>
  <c r="M971" i="5"/>
  <c r="L971" i="5"/>
  <c r="P970" i="5"/>
  <c r="O970" i="5"/>
  <c r="N970" i="5"/>
  <c r="M970" i="5"/>
  <c r="L970" i="5"/>
  <c r="P969" i="5"/>
  <c r="O969" i="5"/>
  <c r="N969" i="5"/>
  <c r="M969" i="5"/>
  <c r="L969" i="5"/>
  <c r="P968" i="5"/>
  <c r="O968" i="5"/>
  <c r="N968" i="5"/>
  <c r="M968" i="5"/>
  <c r="L968" i="5"/>
  <c r="P967" i="5"/>
  <c r="O967" i="5"/>
  <c r="N967" i="5"/>
  <c r="M967" i="5"/>
  <c r="L967" i="5"/>
  <c r="P966" i="5"/>
  <c r="O966" i="5"/>
  <c r="N966" i="5"/>
  <c r="M966" i="5"/>
  <c r="L966" i="5"/>
  <c r="P965" i="5"/>
  <c r="O965" i="5"/>
  <c r="N965" i="5"/>
  <c r="M965" i="5"/>
  <c r="L965" i="5"/>
  <c r="P964" i="5"/>
  <c r="O964" i="5"/>
  <c r="N964" i="5"/>
  <c r="M964" i="5"/>
  <c r="L964" i="5"/>
  <c r="P963" i="5"/>
  <c r="O963" i="5"/>
  <c r="N963" i="5"/>
  <c r="M963" i="5"/>
  <c r="L963" i="5"/>
  <c r="P962" i="5"/>
  <c r="O962" i="5"/>
  <c r="N962" i="5"/>
  <c r="M962" i="5"/>
  <c r="L962" i="5"/>
  <c r="P961" i="5"/>
  <c r="O961" i="5"/>
  <c r="N961" i="5"/>
  <c r="M961" i="5"/>
  <c r="L961" i="5"/>
  <c r="P960" i="5"/>
  <c r="O960" i="5"/>
  <c r="N960" i="5"/>
  <c r="M960" i="5"/>
  <c r="L960" i="5"/>
  <c r="P959" i="5"/>
  <c r="O959" i="5"/>
  <c r="N959" i="5"/>
  <c r="M959" i="5"/>
  <c r="L959" i="5"/>
  <c r="P958" i="5"/>
  <c r="O958" i="5"/>
  <c r="N958" i="5"/>
  <c r="M958" i="5"/>
  <c r="L958" i="5"/>
  <c r="P957" i="5"/>
  <c r="O957" i="5"/>
  <c r="N957" i="5"/>
  <c r="M957" i="5"/>
  <c r="L957" i="5"/>
  <c r="P956" i="5"/>
  <c r="O956" i="5"/>
  <c r="N956" i="5"/>
  <c r="M956" i="5"/>
  <c r="L956" i="5"/>
  <c r="P955" i="5"/>
  <c r="O955" i="5"/>
  <c r="N955" i="5"/>
  <c r="M955" i="5"/>
  <c r="L955" i="5"/>
  <c r="P954" i="5"/>
  <c r="O954" i="5"/>
  <c r="N954" i="5"/>
  <c r="M954" i="5"/>
  <c r="L954" i="5"/>
  <c r="P953" i="5"/>
  <c r="O953" i="5"/>
  <c r="N953" i="5"/>
  <c r="M953" i="5"/>
  <c r="L953" i="5"/>
  <c r="P952" i="5"/>
  <c r="O952" i="5"/>
  <c r="N952" i="5"/>
  <c r="M952" i="5"/>
  <c r="L952" i="5"/>
  <c r="P951" i="5"/>
  <c r="O951" i="5"/>
  <c r="N951" i="5"/>
  <c r="M951" i="5"/>
  <c r="L951" i="5"/>
  <c r="P950" i="5"/>
  <c r="O950" i="5"/>
  <c r="N950" i="5"/>
  <c r="M950" i="5"/>
  <c r="L950" i="5"/>
  <c r="P949" i="5"/>
  <c r="O949" i="5"/>
  <c r="N949" i="5"/>
  <c r="M949" i="5"/>
  <c r="L949" i="5"/>
  <c r="P948" i="5"/>
  <c r="O948" i="5"/>
  <c r="N948" i="5"/>
  <c r="M948" i="5"/>
  <c r="L948" i="5"/>
  <c r="P947" i="5"/>
  <c r="O947" i="5"/>
  <c r="N947" i="5"/>
  <c r="M947" i="5"/>
  <c r="L947" i="5"/>
  <c r="P946" i="5"/>
  <c r="O946" i="5"/>
  <c r="N946" i="5"/>
  <c r="M946" i="5"/>
  <c r="L946" i="5"/>
  <c r="P945" i="5"/>
  <c r="O945" i="5"/>
  <c r="N945" i="5"/>
  <c r="M945" i="5"/>
  <c r="L945" i="5"/>
  <c r="P944" i="5"/>
  <c r="O944" i="5"/>
  <c r="N944" i="5"/>
  <c r="M944" i="5"/>
  <c r="L944" i="5"/>
  <c r="P943" i="5"/>
  <c r="O943" i="5"/>
  <c r="N943" i="5"/>
  <c r="M943" i="5"/>
  <c r="L943" i="5"/>
  <c r="P942" i="5"/>
  <c r="O942" i="5"/>
  <c r="N942" i="5"/>
  <c r="M942" i="5"/>
  <c r="L942" i="5"/>
  <c r="P941" i="5"/>
  <c r="O941" i="5"/>
  <c r="N941" i="5"/>
  <c r="M941" i="5"/>
  <c r="L941" i="5"/>
  <c r="P940" i="5"/>
  <c r="O940" i="5"/>
  <c r="N940" i="5"/>
  <c r="M940" i="5"/>
  <c r="L940" i="5"/>
  <c r="P939" i="5"/>
  <c r="O939" i="5"/>
  <c r="N939" i="5"/>
  <c r="M939" i="5"/>
  <c r="L939" i="5"/>
  <c r="P938" i="5"/>
  <c r="O938" i="5"/>
  <c r="N938" i="5"/>
  <c r="M938" i="5"/>
  <c r="L938" i="5"/>
  <c r="P937" i="5"/>
  <c r="O937" i="5"/>
  <c r="N937" i="5"/>
  <c r="M937" i="5"/>
  <c r="L937" i="5"/>
  <c r="P936" i="5"/>
  <c r="O936" i="5"/>
  <c r="N936" i="5"/>
  <c r="M936" i="5"/>
  <c r="L936" i="5"/>
  <c r="P935" i="5"/>
  <c r="O935" i="5"/>
  <c r="N935" i="5"/>
  <c r="M935" i="5"/>
  <c r="L935" i="5"/>
  <c r="P934" i="5"/>
  <c r="O934" i="5"/>
  <c r="N934" i="5"/>
  <c r="M934" i="5"/>
  <c r="L934" i="5"/>
  <c r="P933" i="5"/>
  <c r="O933" i="5"/>
  <c r="N933" i="5"/>
  <c r="M933" i="5"/>
  <c r="L933" i="5"/>
  <c r="P932" i="5"/>
  <c r="O932" i="5"/>
  <c r="N932" i="5"/>
  <c r="M932" i="5"/>
  <c r="L932" i="5"/>
  <c r="P931" i="5"/>
  <c r="O931" i="5"/>
  <c r="N931" i="5"/>
  <c r="M931" i="5"/>
  <c r="L931" i="5"/>
  <c r="P930" i="5"/>
  <c r="O930" i="5"/>
  <c r="N930" i="5"/>
  <c r="M930" i="5"/>
  <c r="L930" i="5"/>
  <c r="P929" i="5"/>
  <c r="O929" i="5"/>
  <c r="N929" i="5"/>
  <c r="M929" i="5"/>
  <c r="L929" i="5"/>
  <c r="P928" i="5"/>
  <c r="O928" i="5"/>
  <c r="N928" i="5"/>
  <c r="M928" i="5"/>
  <c r="L928" i="5"/>
  <c r="P927" i="5"/>
  <c r="O927" i="5"/>
  <c r="N927" i="5"/>
  <c r="M927" i="5"/>
  <c r="L927" i="5"/>
  <c r="P926" i="5"/>
  <c r="O926" i="5"/>
  <c r="N926" i="5"/>
  <c r="M926" i="5"/>
  <c r="L926" i="5"/>
  <c r="P925" i="5"/>
  <c r="O925" i="5"/>
  <c r="N925" i="5"/>
  <c r="M925" i="5"/>
  <c r="L925" i="5"/>
  <c r="P924" i="5"/>
  <c r="O924" i="5"/>
  <c r="N924" i="5"/>
  <c r="M924" i="5"/>
  <c r="L924" i="5"/>
  <c r="P923" i="5"/>
  <c r="O923" i="5"/>
  <c r="N923" i="5"/>
  <c r="M923" i="5"/>
  <c r="L923" i="5"/>
  <c r="P922" i="5"/>
  <c r="O922" i="5"/>
  <c r="N922" i="5"/>
  <c r="M922" i="5"/>
  <c r="L922" i="5"/>
  <c r="P921" i="5"/>
  <c r="O921" i="5"/>
  <c r="N921" i="5"/>
  <c r="M921" i="5"/>
  <c r="L921" i="5"/>
  <c r="P920" i="5"/>
  <c r="O920" i="5"/>
  <c r="N920" i="5"/>
  <c r="M920" i="5"/>
  <c r="L920" i="5"/>
  <c r="P919" i="5"/>
  <c r="O919" i="5"/>
  <c r="N919" i="5"/>
  <c r="M919" i="5"/>
  <c r="L919" i="5"/>
  <c r="P918" i="5"/>
  <c r="O918" i="5"/>
  <c r="N918" i="5"/>
  <c r="M918" i="5"/>
  <c r="L918" i="5"/>
  <c r="P917" i="5"/>
  <c r="O917" i="5"/>
  <c r="N917" i="5"/>
  <c r="M917" i="5"/>
  <c r="L917" i="5"/>
  <c r="P916" i="5"/>
  <c r="O916" i="5"/>
  <c r="N916" i="5"/>
  <c r="M916" i="5"/>
  <c r="L916" i="5"/>
  <c r="P915" i="5"/>
  <c r="O915" i="5"/>
  <c r="N915" i="5"/>
  <c r="M915" i="5"/>
  <c r="L915" i="5"/>
  <c r="P914" i="5"/>
  <c r="O914" i="5"/>
  <c r="N914" i="5"/>
  <c r="M914" i="5"/>
  <c r="L914" i="5"/>
  <c r="P913" i="5"/>
  <c r="O913" i="5"/>
  <c r="N913" i="5"/>
  <c r="M913" i="5"/>
  <c r="L913" i="5"/>
  <c r="P912" i="5"/>
  <c r="O912" i="5"/>
  <c r="N912" i="5"/>
  <c r="M912" i="5"/>
  <c r="L912" i="5"/>
  <c r="P911" i="5"/>
  <c r="O911" i="5"/>
  <c r="N911" i="5"/>
  <c r="M911" i="5"/>
  <c r="L911" i="5"/>
  <c r="P910" i="5"/>
  <c r="O910" i="5"/>
  <c r="N910" i="5"/>
  <c r="M910" i="5"/>
  <c r="L910" i="5"/>
  <c r="P909" i="5"/>
  <c r="O909" i="5"/>
  <c r="N909" i="5"/>
  <c r="M909" i="5"/>
  <c r="L909" i="5"/>
  <c r="P908" i="5"/>
  <c r="O908" i="5"/>
  <c r="N908" i="5"/>
  <c r="M908" i="5"/>
  <c r="L908" i="5"/>
  <c r="P907" i="5"/>
  <c r="O907" i="5"/>
  <c r="N907" i="5"/>
  <c r="M907" i="5"/>
  <c r="L907" i="5"/>
  <c r="P906" i="5"/>
  <c r="O906" i="5"/>
  <c r="N906" i="5"/>
  <c r="M906" i="5"/>
  <c r="L906" i="5"/>
  <c r="P905" i="5"/>
  <c r="O905" i="5"/>
  <c r="N905" i="5"/>
  <c r="M905" i="5"/>
  <c r="L905" i="5"/>
  <c r="P904" i="5"/>
  <c r="O904" i="5"/>
  <c r="N904" i="5"/>
  <c r="M904" i="5"/>
  <c r="L904" i="5"/>
  <c r="P903" i="5"/>
  <c r="O903" i="5"/>
  <c r="N903" i="5"/>
  <c r="M903" i="5"/>
  <c r="L903" i="5"/>
  <c r="P902" i="5"/>
  <c r="O902" i="5"/>
  <c r="N902" i="5"/>
  <c r="M902" i="5"/>
  <c r="L902" i="5"/>
  <c r="P901" i="5"/>
  <c r="O901" i="5"/>
  <c r="N901" i="5"/>
  <c r="M901" i="5"/>
  <c r="L901" i="5"/>
  <c r="P900" i="5"/>
  <c r="O900" i="5"/>
  <c r="N900" i="5"/>
  <c r="M900" i="5"/>
  <c r="L900" i="5"/>
  <c r="P899" i="5"/>
  <c r="O899" i="5"/>
  <c r="N899" i="5"/>
  <c r="M899" i="5"/>
  <c r="L899" i="5"/>
  <c r="P898" i="5"/>
  <c r="O898" i="5"/>
  <c r="N898" i="5"/>
  <c r="M898" i="5"/>
  <c r="L898" i="5"/>
  <c r="P897" i="5"/>
  <c r="O897" i="5"/>
  <c r="N897" i="5"/>
  <c r="M897" i="5"/>
  <c r="L897" i="5"/>
  <c r="P896" i="5"/>
  <c r="O896" i="5"/>
  <c r="N896" i="5"/>
  <c r="M896" i="5"/>
  <c r="L896" i="5"/>
  <c r="P895" i="5"/>
  <c r="O895" i="5"/>
  <c r="N895" i="5"/>
  <c r="M895" i="5"/>
  <c r="L895" i="5"/>
  <c r="P894" i="5"/>
  <c r="O894" i="5"/>
  <c r="N894" i="5"/>
  <c r="M894" i="5"/>
  <c r="L894" i="5"/>
  <c r="P893" i="5"/>
  <c r="O893" i="5"/>
  <c r="N893" i="5"/>
  <c r="M893" i="5"/>
  <c r="L893" i="5"/>
  <c r="P892" i="5"/>
  <c r="O892" i="5"/>
  <c r="N892" i="5"/>
  <c r="M892" i="5"/>
  <c r="L892" i="5"/>
  <c r="P891" i="5"/>
  <c r="O891" i="5"/>
  <c r="N891" i="5"/>
  <c r="M891" i="5"/>
  <c r="L891" i="5"/>
  <c r="P890" i="5"/>
  <c r="O890" i="5"/>
  <c r="N890" i="5"/>
  <c r="M890" i="5"/>
  <c r="L890" i="5"/>
  <c r="P889" i="5"/>
  <c r="O889" i="5"/>
  <c r="N889" i="5"/>
  <c r="M889" i="5"/>
  <c r="L889" i="5"/>
  <c r="P888" i="5"/>
  <c r="O888" i="5"/>
  <c r="N888" i="5"/>
  <c r="M888" i="5"/>
  <c r="L888" i="5"/>
  <c r="P887" i="5"/>
  <c r="O887" i="5"/>
  <c r="N887" i="5"/>
  <c r="M887" i="5"/>
  <c r="L887" i="5"/>
  <c r="P886" i="5"/>
  <c r="O886" i="5"/>
  <c r="N886" i="5"/>
  <c r="M886" i="5"/>
  <c r="L886" i="5"/>
  <c r="K886" i="5"/>
  <c r="P885" i="5"/>
  <c r="O885" i="5"/>
  <c r="N885" i="5"/>
  <c r="M885" i="5"/>
  <c r="L885" i="5"/>
  <c r="K885" i="5"/>
  <c r="P884" i="5"/>
  <c r="O884" i="5"/>
  <c r="N884" i="5"/>
  <c r="M884" i="5"/>
  <c r="L884" i="5"/>
  <c r="K884" i="5"/>
  <c r="P883" i="5"/>
  <c r="O883" i="5"/>
  <c r="N883" i="5"/>
  <c r="M883" i="5"/>
  <c r="L883" i="5"/>
  <c r="K883" i="5"/>
  <c r="P882" i="5"/>
  <c r="O882" i="5"/>
  <c r="N882" i="5"/>
  <c r="M882" i="5"/>
  <c r="L882" i="5"/>
  <c r="K882" i="5"/>
  <c r="P881" i="5"/>
  <c r="O881" i="5"/>
  <c r="N881" i="5"/>
  <c r="M881" i="5"/>
  <c r="L881" i="5"/>
  <c r="K881" i="5"/>
  <c r="P880" i="5"/>
  <c r="O880" i="5"/>
  <c r="N880" i="5"/>
  <c r="M880" i="5"/>
  <c r="L880" i="5"/>
  <c r="K880" i="5"/>
  <c r="P879" i="5"/>
  <c r="O879" i="5"/>
  <c r="N879" i="5"/>
  <c r="M879" i="5"/>
  <c r="L879" i="5"/>
  <c r="K879" i="5"/>
  <c r="P878" i="5"/>
  <c r="O878" i="5"/>
  <c r="N878" i="5"/>
  <c r="M878" i="5"/>
  <c r="L878" i="5"/>
  <c r="K878" i="5"/>
  <c r="P877" i="5"/>
  <c r="O877" i="5"/>
  <c r="N877" i="5"/>
  <c r="M877" i="5"/>
  <c r="L877" i="5"/>
  <c r="K877" i="5"/>
  <c r="P876" i="5"/>
  <c r="O876" i="5"/>
  <c r="N876" i="5"/>
  <c r="M876" i="5"/>
  <c r="L876" i="5"/>
  <c r="K876" i="5"/>
  <c r="P875" i="5"/>
  <c r="O875" i="5"/>
  <c r="N875" i="5"/>
  <c r="M875" i="5"/>
  <c r="L875" i="5"/>
  <c r="K875" i="5"/>
  <c r="P874" i="5"/>
  <c r="O874" i="5"/>
  <c r="N874" i="5"/>
  <c r="M874" i="5"/>
  <c r="L874" i="5"/>
  <c r="K874" i="5"/>
  <c r="P873" i="5"/>
  <c r="O873" i="5"/>
  <c r="N873" i="5"/>
  <c r="M873" i="5"/>
  <c r="L873" i="5"/>
  <c r="K873" i="5"/>
  <c r="P872" i="5"/>
  <c r="O872" i="5"/>
  <c r="N872" i="5"/>
  <c r="M872" i="5"/>
  <c r="L872" i="5"/>
  <c r="K872" i="5"/>
  <c r="P871" i="5"/>
  <c r="O871" i="5"/>
  <c r="N871" i="5"/>
  <c r="M871" i="5"/>
  <c r="L871" i="5"/>
  <c r="K871" i="5"/>
  <c r="P870" i="5"/>
  <c r="O870" i="5"/>
  <c r="N870" i="5"/>
  <c r="M870" i="5"/>
  <c r="L870" i="5"/>
  <c r="K870" i="5"/>
  <c r="P869" i="5"/>
  <c r="O869" i="5"/>
  <c r="N869" i="5"/>
  <c r="M869" i="5"/>
  <c r="L869" i="5"/>
  <c r="K869" i="5"/>
  <c r="P868" i="5"/>
  <c r="O868" i="5"/>
  <c r="N868" i="5"/>
  <c r="M868" i="5"/>
  <c r="L868" i="5"/>
  <c r="K868" i="5"/>
  <c r="P867" i="5"/>
  <c r="O867" i="5"/>
  <c r="N867" i="5"/>
  <c r="M867" i="5"/>
  <c r="L867" i="5"/>
  <c r="K867" i="5"/>
  <c r="P866" i="5"/>
  <c r="O866" i="5"/>
  <c r="N866" i="5"/>
  <c r="M866" i="5"/>
  <c r="L866" i="5"/>
  <c r="K866" i="5"/>
  <c r="P865" i="5"/>
  <c r="O865" i="5"/>
  <c r="N865" i="5"/>
  <c r="M865" i="5"/>
  <c r="L865" i="5"/>
  <c r="K865" i="5"/>
  <c r="P864" i="5"/>
  <c r="O864" i="5"/>
  <c r="N864" i="5"/>
  <c r="M864" i="5"/>
  <c r="L864" i="5"/>
  <c r="K864" i="5"/>
  <c r="P863" i="5"/>
  <c r="O863" i="5"/>
  <c r="N863" i="5"/>
  <c r="M863" i="5"/>
  <c r="L863" i="5"/>
  <c r="K863" i="5"/>
  <c r="P862" i="5"/>
  <c r="O862" i="5"/>
  <c r="N862" i="5"/>
  <c r="M862" i="5"/>
  <c r="L862" i="5"/>
  <c r="K862" i="5"/>
  <c r="P861" i="5"/>
  <c r="O861" i="5"/>
  <c r="N861" i="5"/>
  <c r="M861" i="5"/>
  <c r="L861" i="5"/>
  <c r="K861" i="5"/>
  <c r="P860" i="5"/>
  <c r="O860" i="5"/>
  <c r="N860" i="5"/>
  <c r="M860" i="5"/>
  <c r="L860" i="5"/>
  <c r="K860" i="5"/>
  <c r="P859" i="5"/>
  <c r="O859" i="5"/>
  <c r="N859" i="5"/>
  <c r="M859" i="5"/>
  <c r="L859" i="5"/>
  <c r="K859" i="5"/>
  <c r="P858" i="5"/>
  <c r="O858" i="5"/>
  <c r="N858" i="5"/>
  <c r="M858" i="5"/>
  <c r="L858" i="5"/>
  <c r="K858" i="5"/>
  <c r="P857" i="5"/>
  <c r="O857" i="5"/>
  <c r="N857" i="5"/>
  <c r="M857" i="5"/>
  <c r="L857" i="5"/>
  <c r="K857" i="5"/>
  <c r="P856" i="5"/>
  <c r="O856" i="5"/>
  <c r="N856" i="5"/>
  <c r="M856" i="5"/>
  <c r="L856" i="5"/>
  <c r="K856" i="5"/>
  <c r="P855" i="5"/>
  <c r="O855" i="5"/>
  <c r="N855" i="5"/>
  <c r="M855" i="5"/>
  <c r="L855" i="5"/>
  <c r="K855" i="5"/>
  <c r="P854" i="5"/>
  <c r="O854" i="5"/>
  <c r="N854" i="5"/>
  <c r="M854" i="5"/>
  <c r="L854" i="5"/>
  <c r="K854" i="5"/>
  <c r="P853" i="5"/>
  <c r="O853" i="5"/>
  <c r="N853" i="5"/>
  <c r="M853" i="5"/>
  <c r="L853" i="5"/>
  <c r="K853" i="5"/>
  <c r="P852" i="5"/>
  <c r="O852" i="5"/>
  <c r="N852" i="5"/>
  <c r="M852" i="5"/>
  <c r="L852" i="5"/>
  <c r="K852" i="5"/>
  <c r="P851" i="5"/>
  <c r="O851" i="5"/>
  <c r="N851" i="5"/>
  <c r="M851" i="5"/>
  <c r="L851" i="5"/>
  <c r="K851" i="5"/>
  <c r="P850" i="5"/>
  <c r="O850" i="5"/>
  <c r="N850" i="5"/>
  <c r="M850" i="5"/>
  <c r="L850" i="5"/>
  <c r="K850" i="5"/>
  <c r="P849" i="5"/>
  <c r="O849" i="5"/>
  <c r="N849" i="5"/>
  <c r="M849" i="5"/>
  <c r="L849" i="5"/>
  <c r="K849" i="5"/>
  <c r="P848" i="5"/>
  <c r="O848" i="5"/>
  <c r="N848" i="5"/>
  <c r="M848" i="5"/>
  <c r="L848" i="5"/>
  <c r="K848" i="5"/>
  <c r="P847" i="5"/>
  <c r="O847" i="5"/>
  <c r="N847" i="5"/>
  <c r="M847" i="5"/>
  <c r="L847" i="5"/>
  <c r="K847" i="5"/>
  <c r="P846" i="5"/>
  <c r="O846" i="5"/>
  <c r="N846" i="5"/>
  <c r="M846" i="5"/>
  <c r="L846" i="5"/>
  <c r="K846" i="5"/>
  <c r="P845" i="5"/>
  <c r="O845" i="5"/>
  <c r="N845" i="5"/>
  <c r="M845" i="5"/>
  <c r="L845" i="5"/>
  <c r="K845" i="5"/>
  <c r="P844" i="5"/>
  <c r="O844" i="5"/>
  <c r="N844" i="5"/>
  <c r="M844" i="5"/>
  <c r="L844" i="5"/>
  <c r="K844" i="5"/>
  <c r="P843" i="5"/>
  <c r="O843" i="5"/>
  <c r="N843" i="5"/>
  <c r="M843" i="5"/>
  <c r="L843" i="5"/>
  <c r="K843" i="5"/>
  <c r="P842" i="5"/>
  <c r="O842" i="5"/>
  <c r="N842" i="5"/>
  <c r="M842" i="5"/>
  <c r="L842" i="5"/>
  <c r="K842" i="5"/>
  <c r="P841" i="5"/>
  <c r="O841" i="5"/>
  <c r="N841" i="5"/>
  <c r="M841" i="5"/>
  <c r="L841" i="5"/>
  <c r="K841" i="5"/>
  <c r="P840" i="5"/>
  <c r="O840" i="5"/>
  <c r="N840" i="5"/>
  <c r="M840" i="5"/>
  <c r="L840" i="5"/>
  <c r="K840" i="5"/>
  <c r="P839" i="5"/>
  <c r="O839" i="5"/>
  <c r="N839" i="5"/>
  <c r="M839" i="5"/>
  <c r="L839" i="5"/>
  <c r="K839" i="5"/>
  <c r="P838" i="5"/>
  <c r="O838" i="5"/>
  <c r="N838" i="5"/>
  <c r="M838" i="5"/>
  <c r="L838" i="5"/>
  <c r="K838" i="5"/>
  <c r="P837" i="5"/>
  <c r="O837" i="5"/>
  <c r="N837" i="5"/>
  <c r="M837" i="5"/>
  <c r="L837" i="5"/>
  <c r="K837" i="5"/>
  <c r="P836" i="5"/>
  <c r="O836" i="5"/>
  <c r="N836" i="5"/>
  <c r="M836" i="5"/>
  <c r="L836" i="5"/>
  <c r="K836" i="5"/>
  <c r="P835" i="5"/>
  <c r="O835" i="5"/>
  <c r="N835" i="5"/>
  <c r="M835" i="5"/>
  <c r="L835" i="5"/>
  <c r="K835" i="5"/>
  <c r="P834" i="5"/>
  <c r="O834" i="5"/>
  <c r="N834" i="5"/>
  <c r="M834" i="5"/>
  <c r="L834" i="5"/>
  <c r="K834" i="5"/>
  <c r="P833" i="5"/>
  <c r="O833" i="5"/>
  <c r="N833" i="5"/>
  <c r="M833" i="5"/>
  <c r="L833" i="5"/>
  <c r="K833" i="5"/>
  <c r="P832" i="5"/>
  <c r="O832" i="5"/>
  <c r="N832" i="5"/>
  <c r="M832" i="5"/>
  <c r="L832" i="5"/>
  <c r="K832" i="5"/>
  <c r="P831" i="5"/>
  <c r="O831" i="5"/>
  <c r="N831" i="5"/>
  <c r="M831" i="5"/>
  <c r="L831" i="5"/>
  <c r="K831" i="5"/>
  <c r="P830" i="5"/>
  <c r="O830" i="5"/>
  <c r="N830" i="5"/>
  <c r="M830" i="5"/>
  <c r="L830" i="5"/>
  <c r="K830" i="5"/>
  <c r="P829" i="5"/>
  <c r="O829" i="5"/>
  <c r="N829" i="5"/>
  <c r="M829" i="5"/>
  <c r="L829" i="5"/>
  <c r="K829" i="5"/>
  <c r="P828" i="5"/>
  <c r="O828" i="5"/>
  <c r="N828" i="5"/>
  <c r="M828" i="5"/>
  <c r="L828" i="5"/>
  <c r="K828" i="5"/>
  <c r="P827" i="5"/>
  <c r="O827" i="5"/>
  <c r="N827" i="5"/>
  <c r="M827" i="5"/>
  <c r="L827" i="5"/>
  <c r="K827" i="5"/>
  <c r="P826" i="5"/>
  <c r="O826" i="5"/>
  <c r="N826" i="5"/>
  <c r="M826" i="5"/>
  <c r="L826" i="5"/>
  <c r="K826" i="5"/>
  <c r="P825" i="5"/>
  <c r="O825" i="5"/>
  <c r="N825" i="5"/>
  <c r="M825" i="5"/>
  <c r="L825" i="5"/>
  <c r="K825" i="5"/>
  <c r="P824" i="5"/>
  <c r="O824" i="5"/>
  <c r="N824" i="5"/>
  <c r="M824" i="5"/>
  <c r="L824" i="5"/>
  <c r="K824" i="5"/>
  <c r="P823" i="5"/>
  <c r="O823" i="5"/>
  <c r="N823" i="5"/>
  <c r="M823" i="5"/>
  <c r="L823" i="5"/>
  <c r="K823" i="5"/>
  <c r="P822" i="5"/>
  <c r="O822" i="5"/>
  <c r="N822" i="5"/>
  <c r="M822" i="5"/>
  <c r="L822" i="5"/>
  <c r="K822" i="5"/>
  <c r="P821" i="5"/>
  <c r="O821" i="5"/>
  <c r="N821" i="5"/>
  <c r="M821" i="5"/>
  <c r="L821" i="5"/>
  <c r="K821" i="5"/>
  <c r="P820" i="5"/>
  <c r="O820" i="5"/>
  <c r="N820" i="5"/>
  <c r="M820" i="5"/>
  <c r="L820" i="5"/>
  <c r="K820" i="5"/>
  <c r="P819" i="5"/>
  <c r="O819" i="5"/>
  <c r="N819" i="5"/>
  <c r="M819" i="5"/>
  <c r="L819" i="5"/>
  <c r="K819" i="5"/>
  <c r="P818" i="5"/>
  <c r="O818" i="5"/>
  <c r="N818" i="5"/>
  <c r="M818" i="5"/>
  <c r="L818" i="5"/>
  <c r="K818" i="5"/>
  <c r="P817" i="5"/>
  <c r="O817" i="5"/>
  <c r="N817" i="5"/>
  <c r="M817" i="5"/>
  <c r="L817" i="5"/>
  <c r="K817" i="5"/>
  <c r="P816" i="5"/>
  <c r="O816" i="5"/>
  <c r="N816" i="5"/>
  <c r="M816" i="5"/>
  <c r="L816" i="5"/>
  <c r="K816" i="5"/>
  <c r="P815" i="5"/>
  <c r="O815" i="5"/>
  <c r="N815" i="5"/>
  <c r="M815" i="5"/>
  <c r="L815" i="5"/>
  <c r="K815" i="5"/>
  <c r="P814" i="5"/>
  <c r="O814" i="5"/>
  <c r="N814" i="5"/>
  <c r="M814" i="5"/>
  <c r="L814" i="5"/>
  <c r="K814" i="5"/>
  <c r="P813" i="5"/>
  <c r="O813" i="5"/>
  <c r="N813" i="5"/>
  <c r="M813" i="5"/>
  <c r="L813" i="5"/>
  <c r="K813" i="5"/>
  <c r="P812" i="5"/>
  <c r="O812" i="5"/>
  <c r="N812" i="5"/>
  <c r="M812" i="5"/>
  <c r="L812" i="5"/>
  <c r="K812" i="5"/>
  <c r="P811" i="5"/>
  <c r="O811" i="5"/>
  <c r="N811" i="5"/>
  <c r="M811" i="5"/>
  <c r="L811" i="5"/>
  <c r="K811" i="5"/>
  <c r="P810" i="5"/>
  <c r="O810" i="5"/>
  <c r="N810" i="5"/>
  <c r="M810" i="5"/>
  <c r="L810" i="5"/>
  <c r="K810" i="5"/>
  <c r="P809" i="5"/>
  <c r="O809" i="5"/>
  <c r="N809" i="5"/>
  <c r="M809" i="5"/>
  <c r="L809" i="5"/>
  <c r="K809" i="5"/>
  <c r="P808" i="5"/>
  <c r="O808" i="5"/>
  <c r="N808" i="5"/>
  <c r="M808" i="5"/>
  <c r="L808" i="5"/>
  <c r="K808" i="5"/>
  <c r="P807" i="5"/>
  <c r="O807" i="5"/>
  <c r="N807" i="5"/>
  <c r="M807" i="5"/>
  <c r="L807" i="5"/>
  <c r="K807" i="5"/>
  <c r="P806" i="5"/>
  <c r="O806" i="5"/>
  <c r="N806" i="5"/>
  <c r="M806" i="5"/>
  <c r="L806" i="5"/>
  <c r="K806" i="5"/>
  <c r="P805" i="5"/>
  <c r="O805" i="5"/>
  <c r="N805" i="5"/>
  <c r="M805" i="5"/>
  <c r="L805" i="5"/>
  <c r="K805" i="5"/>
  <c r="P804" i="5"/>
  <c r="O804" i="5"/>
  <c r="N804" i="5"/>
  <c r="M804" i="5"/>
  <c r="L804" i="5"/>
  <c r="K804" i="5"/>
  <c r="P803" i="5"/>
  <c r="O803" i="5"/>
  <c r="N803" i="5"/>
  <c r="M803" i="5"/>
  <c r="L803" i="5"/>
  <c r="K803" i="5"/>
  <c r="P802" i="5"/>
  <c r="O802" i="5"/>
  <c r="N802" i="5"/>
  <c r="M802" i="5"/>
  <c r="L802" i="5"/>
  <c r="K802" i="5"/>
  <c r="P801" i="5"/>
  <c r="O801" i="5"/>
  <c r="N801" i="5"/>
  <c r="M801" i="5"/>
  <c r="L801" i="5"/>
  <c r="K801" i="5"/>
  <c r="P800" i="5"/>
  <c r="O800" i="5"/>
  <c r="N800" i="5"/>
  <c r="M800" i="5"/>
  <c r="L800" i="5"/>
  <c r="K800" i="5"/>
  <c r="P799" i="5"/>
  <c r="O799" i="5"/>
  <c r="N799" i="5"/>
  <c r="M799" i="5"/>
  <c r="L799" i="5"/>
  <c r="K799" i="5"/>
  <c r="P798" i="5"/>
  <c r="O798" i="5"/>
  <c r="N798" i="5"/>
  <c r="M798" i="5"/>
  <c r="L798" i="5"/>
  <c r="K798" i="5"/>
  <c r="P797" i="5"/>
  <c r="O797" i="5"/>
  <c r="N797" i="5"/>
  <c r="M797" i="5"/>
  <c r="L797" i="5"/>
  <c r="K797" i="5"/>
  <c r="P796" i="5"/>
  <c r="O796" i="5"/>
  <c r="N796" i="5"/>
  <c r="M796" i="5"/>
  <c r="L796" i="5"/>
  <c r="K796" i="5"/>
  <c r="P795" i="5"/>
  <c r="O795" i="5"/>
  <c r="N795" i="5"/>
  <c r="M795" i="5"/>
  <c r="L795" i="5"/>
  <c r="K795" i="5"/>
  <c r="P794" i="5"/>
  <c r="O794" i="5"/>
  <c r="N794" i="5"/>
  <c r="M794" i="5"/>
  <c r="L794" i="5"/>
  <c r="K794" i="5"/>
  <c r="P793" i="5"/>
  <c r="O793" i="5"/>
  <c r="N793" i="5"/>
  <c r="M793" i="5"/>
  <c r="L793" i="5"/>
  <c r="K793" i="5"/>
  <c r="P792" i="5"/>
  <c r="O792" i="5"/>
  <c r="N792" i="5"/>
  <c r="M792" i="5"/>
  <c r="L792" i="5"/>
  <c r="K792" i="5"/>
  <c r="P791" i="5"/>
  <c r="O791" i="5"/>
  <c r="N791" i="5"/>
  <c r="M791" i="5"/>
  <c r="L791" i="5"/>
  <c r="K791" i="5"/>
  <c r="P790" i="5"/>
  <c r="O790" i="5"/>
  <c r="N790" i="5"/>
  <c r="M790" i="5"/>
  <c r="L790" i="5"/>
  <c r="K790" i="5"/>
  <c r="P789" i="5"/>
  <c r="O789" i="5"/>
  <c r="N789" i="5"/>
  <c r="M789" i="5"/>
  <c r="L789" i="5"/>
  <c r="K789" i="5"/>
  <c r="P788" i="5"/>
  <c r="O788" i="5"/>
  <c r="N788" i="5"/>
  <c r="M788" i="5"/>
  <c r="L788" i="5"/>
  <c r="K788" i="5"/>
  <c r="P787" i="5"/>
  <c r="O787" i="5"/>
  <c r="N787" i="5"/>
  <c r="M787" i="5"/>
  <c r="L787" i="5"/>
  <c r="K787" i="5"/>
  <c r="P786" i="5"/>
  <c r="O786" i="5"/>
  <c r="N786" i="5"/>
  <c r="M786" i="5"/>
  <c r="L786" i="5"/>
  <c r="K786" i="5"/>
  <c r="P785" i="5"/>
  <c r="O785" i="5"/>
  <c r="N785" i="5"/>
  <c r="M785" i="5"/>
  <c r="L785" i="5"/>
  <c r="K785" i="5"/>
  <c r="P784" i="5"/>
  <c r="O784" i="5"/>
  <c r="N784" i="5"/>
  <c r="M784" i="5"/>
  <c r="L784" i="5"/>
  <c r="K784" i="5"/>
  <c r="P783" i="5"/>
  <c r="O783" i="5"/>
  <c r="N783" i="5"/>
  <c r="M783" i="5"/>
  <c r="L783" i="5"/>
  <c r="K783" i="5"/>
  <c r="P782" i="5"/>
  <c r="O782" i="5"/>
  <c r="N782" i="5"/>
  <c r="M782" i="5"/>
  <c r="L782" i="5"/>
  <c r="K782" i="5"/>
  <c r="P781" i="5"/>
  <c r="O781" i="5"/>
  <c r="N781" i="5"/>
  <c r="M781" i="5"/>
  <c r="L781" i="5"/>
  <c r="K781" i="5"/>
  <c r="P780" i="5"/>
  <c r="O780" i="5"/>
  <c r="N780" i="5"/>
  <c r="M780" i="5"/>
  <c r="L780" i="5"/>
  <c r="K780" i="5"/>
  <c r="P779" i="5"/>
  <c r="O779" i="5"/>
  <c r="N779" i="5"/>
  <c r="M779" i="5"/>
  <c r="L779" i="5"/>
  <c r="K779" i="5"/>
  <c r="P778" i="5"/>
  <c r="O778" i="5"/>
  <c r="N778" i="5"/>
  <c r="M778" i="5"/>
  <c r="L778" i="5"/>
  <c r="K778" i="5"/>
  <c r="P777" i="5"/>
  <c r="O777" i="5"/>
  <c r="N777" i="5"/>
  <c r="M777" i="5"/>
  <c r="L777" i="5"/>
  <c r="K777" i="5"/>
  <c r="P776" i="5"/>
  <c r="O776" i="5"/>
  <c r="N776" i="5"/>
  <c r="M776" i="5"/>
  <c r="L776" i="5"/>
  <c r="K776" i="5"/>
  <c r="P775" i="5"/>
  <c r="O775" i="5"/>
  <c r="N775" i="5"/>
  <c r="M775" i="5"/>
  <c r="L775" i="5"/>
  <c r="K775" i="5"/>
  <c r="P774" i="5"/>
  <c r="O774" i="5"/>
  <c r="N774" i="5"/>
  <c r="M774" i="5"/>
  <c r="L774" i="5"/>
  <c r="K774" i="5"/>
  <c r="P773" i="5"/>
  <c r="O773" i="5"/>
  <c r="N773" i="5"/>
  <c r="M773" i="5"/>
  <c r="L773" i="5"/>
  <c r="K773" i="5"/>
  <c r="P772" i="5"/>
  <c r="O772" i="5"/>
  <c r="N772" i="5"/>
  <c r="M772" i="5"/>
  <c r="L772" i="5"/>
  <c r="K772" i="5"/>
  <c r="P771" i="5"/>
  <c r="O771" i="5"/>
  <c r="N771" i="5"/>
  <c r="M771" i="5"/>
  <c r="L771" i="5"/>
  <c r="K771" i="5"/>
  <c r="P770" i="5"/>
  <c r="O770" i="5"/>
  <c r="N770" i="5"/>
  <c r="M770" i="5"/>
  <c r="L770" i="5"/>
  <c r="K770" i="5"/>
  <c r="P769" i="5"/>
  <c r="O769" i="5"/>
  <c r="N769" i="5"/>
  <c r="M769" i="5"/>
  <c r="L769" i="5"/>
  <c r="K769" i="5"/>
  <c r="P768" i="5"/>
  <c r="O768" i="5"/>
  <c r="N768" i="5"/>
  <c r="M768" i="5"/>
  <c r="L768" i="5"/>
  <c r="K768" i="5"/>
  <c r="P767" i="5"/>
  <c r="O767" i="5"/>
  <c r="N767" i="5"/>
  <c r="M767" i="5"/>
  <c r="L767" i="5"/>
  <c r="K767" i="5"/>
  <c r="P766" i="5"/>
  <c r="O766" i="5"/>
  <c r="N766" i="5"/>
  <c r="M766" i="5"/>
  <c r="L766" i="5"/>
  <c r="K766" i="5"/>
  <c r="P765" i="5"/>
  <c r="O765" i="5"/>
  <c r="N765" i="5"/>
  <c r="M765" i="5"/>
  <c r="L765" i="5"/>
  <c r="K765" i="5"/>
  <c r="P764" i="5"/>
  <c r="O764" i="5"/>
  <c r="N764" i="5"/>
  <c r="M764" i="5"/>
  <c r="L764" i="5"/>
  <c r="K764" i="5"/>
  <c r="P763" i="5"/>
  <c r="O763" i="5"/>
  <c r="N763" i="5"/>
  <c r="M763" i="5"/>
  <c r="L763" i="5"/>
  <c r="K763" i="5"/>
  <c r="P762" i="5"/>
  <c r="O762" i="5"/>
  <c r="N762" i="5"/>
  <c r="M762" i="5"/>
  <c r="L762" i="5"/>
  <c r="K762" i="5"/>
  <c r="P761" i="5"/>
  <c r="O761" i="5"/>
  <c r="N761" i="5"/>
  <c r="M761" i="5"/>
  <c r="L761" i="5"/>
  <c r="K761" i="5"/>
  <c r="P760" i="5"/>
  <c r="O760" i="5"/>
  <c r="N760" i="5"/>
  <c r="M760" i="5"/>
  <c r="L760" i="5"/>
  <c r="K760" i="5"/>
  <c r="P759" i="5"/>
  <c r="O759" i="5"/>
  <c r="N759" i="5"/>
  <c r="M759" i="5"/>
  <c r="L759" i="5"/>
  <c r="K759" i="5"/>
  <c r="P758" i="5"/>
  <c r="O758" i="5"/>
  <c r="N758" i="5"/>
  <c r="M758" i="5"/>
  <c r="L758" i="5"/>
  <c r="K758" i="5"/>
  <c r="P757" i="5"/>
  <c r="O757" i="5"/>
  <c r="N757" i="5"/>
  <c r="M757" i="5"/>
  <c r="L757" i="5"/>
  <c r="K757" i="5"/>
  <c r="P756" i="5"/>
  <c r="O756" i="5"/>
  <c r="N756" i="5"/>
  <c r="M756" i="5"/>
  <c r="L756" i="5"/>
  <c r="K756" i="5"/>
  <c r="P755" i="5"/>
  <c r="O755" i="5"/>
  <c r="N755" i="5"/>
  <c r="M755" i="5"/>
  <c r="L755" i="5"/>
  <c r="K755" i="5"/>
  <c r="P754" i="5"/>
  <c r="O754" i="5"/>
  <c r="N754" i="5"/>
  <c r="M754" i="5"/>
  <c r="L754" i="5"/>
  <c r="K754" i="5"/>
  <c r="P753" i="5"/>
  <c r="O753" i="5"/>
  <c r="N753" i="5"/>
  <c r="M753" i="5"/>
  <c r="L753" i="5"/>
  <c r="K753" i="5"/>
  <c r="P752" i="5"/>
  <c r="O752" i="5"/>
  <c r="N752" i="5"/>
  <c r="M752" i="5"/>
  <c r="L752" i="5"/>
  <c r="K752" i="5"/>
  <c r="P751" i="5"/>
  <c r="O751" i="5"/>
  <c r="N751" i="5"/>
  <c r="M751" i="5"/>
  <c r="L751" i="5"/>
  <c r="K751" i="5"/>
  <c r="P750" i="5"/>
  <c r="O750" i="5"/>
  <c r="N750" i="5"/>
  <c r="M750" i="5"/>
  <c r="L750" i="5"/>
  <c r="K750" i="5"/>
  <c r="P749" i="5"/>
  <c r="O749" i="5"/>
  <c r="N749" i="5"/>
  <c r="M749" i="5"/>
  <c r="L749" i="5"/>
  <c r="K749" i="5"/>
  <c r="P748" i="5"/>
  <c r="O748" i="5"/>
  <c r="N748" i="5"/>
  <c r="M748" i="5"/>
  <c r="L748" i="5"/>
  <c r="K748" i="5"/>
  <c r="P747" i="5"/>
  <c r="O747" i="5"/>
  <c r="N747" i="5"/>
  <c r="M747" i="5"/>
  <c r="L747" i="5"/>
  <c r="K747" i="5"/>
  <c r="P746" i="5"/>
  <c r="O746" i="5"/>
  <c r="N746" i="5"/>
  <c r="M746" i="5"/>
  <c r="L746" i="5"/>
  <c r="K746" i="5"/>
  <c r="P745" i="5"/>
  <c r="O745" i="5"/>
  <c r="N745" i="5"/>
  <c r="M745" i="5"/>
  <c r="L745" i="5"/>
  <c r="K745" i="5"/>
  <c r="P744" i="5"/>
  <c r="O744" i="5"/>
  <c r="N744" i="5"/>
  <c r="M744" i="5"/>
  <c r="L744" i="5"/>
  <c r="K744" i="5"/>
  <c r="P743" i="5"/>
  <c r="O743" i="5"/>
  <c r="N743" i="5"/>
  <c r="M743" i="5"/>
  <c r="L743" i="5"/>
  <c r="K743" i="5"/>
  <c r="P742" i="5"/>
  <c r="O742" i="5"/>
  <c r="N742" i="5"/>
  <c r="M742" i="5"/>
  <c r="L742" i="5"/>
  <c r="K742" i="5"/>
  <c r="P741" i="5"/>
  <c r="O741" i="5"/>
  <c r="N741" i="5"/>
  <c r="M741" i="5"/>
  <c r="L741" i="5"/>
  <c r="K741" i="5"/>
  <c r="P740" i="5"/>
  <c r="O740" i="5"/>
  <c r="N740" i="5"/>
  <c r="M740" i="5"/>
  <c r="L740" i="5"/>
  <c r="K740" i="5"/>
  <c r="P739" i="5"/>
  <c r="O739" i="5"/>
  <c r="N739" i="5"/>
  <c r="M739" i="5"/>
  <c r="L739" i="5"/>
  <c r="K739" i="5"/>
  <c r="P738" i="5"/>
  <c r="O738" i="5"/>
  <c r="N738" i="5"/>
  <c r="M738" i="5"/>
  <c r="L738" i="5"/>
  <c r="K738" i="5"/>
  <c r="P737" i="5"/>
  <c r="O737" i="5"/>
  <c r="N737" i="5"/>
  <c r="M737" i="5"/>
  <c r="L737" i="5"/>
  <c r="K737" i="5"/>
  <c r="P736" i="5"/>
  <c r="O736" i="5"/>
  <c r="N736" i="5"/>
  <c r="M736" i="5"/>
  <c r="L736" i="5"/>
  <c r="K736" i="5"/>
  <c r="P735" i="5"/>
  <c r="O735" i="5"/>
  <c r="N735" i="5"/>
  <c r="M735" i="5"/>
  <c r="L735" i="5"/>
  <c r="K735" i="5"/>
  <c r="P734" i="5"/>
  <c r="O734" i="5"/>
  <c r="N734" i="5"/>
  <c r="M734" i="5"/>
  <c r="L734" i="5"/>
  <c r="K734" i="5"/>
  <c r="P733" i="5"/>
  <c r="O733" i="5"/>
  <c r="N733" i="5"/>
  <c r="M733" i="5"/>
  <c r="L733" i="5"/>
  <c r="K733" i="5"/>
  <c r="P732" i="5"/>
  <c r="O732" i="5"/>
  <c r="N732" i="5"/>
  <c r="M732" i="5"/>
  <c r="L732" i="5"/>
  <c r="K732" i="5"/>
  <c r="P731" i="5"/>
  <c r="O731" i="5"/>
  <c r="N731" i="5"/>
  <c r="M731" i="5"/>
  <c r="L731" i="5"/>
  <c r="K731" i="5"/>
  <c r="P730" i="5"/>
  <c r="O730" i="5"/>
  <c r="N730" i="5"/>
  <c r="M730" i="5"/>
  <c r="L730" i="5"/>
  <c r="K730" i="5"/>
  <c r="P729" i="5"/>
  <c r="O729" i="5"/>
  <c r="N729" i="5"/>
  <c r="M729" i="5"/>
  <c r="L729" i="5"/>
  <c r="K729" i="5"/>
  <c r="P728" i="5"/>
  <c r="O728" i="5"/>
  <c r="N728" i="5"/>
  <c r="M728" i="5"/>
  <c r="L728" i="5"/>
  <c r="K728" i="5"/>
  <c r="P727" i="5"/>
  <c r="O727" i="5"/>
  <c r="N727" i="5"/>
  <c r="M727" i="5"/>
  <c r="L727" i="5"/>
  <c r="K727" i="5"/>
  <c r="P726" i="5"/>
  <c r="O726" i="5"/>
  <c r="N726" i="5"/>
  <c r="M726" i="5"/>
  <c r="L726" i="5"/>
  <c r="K726" i="5"/>
  <c r="P725" i="5"/>
  <c r="O725" i="5"/>
  <c r="N725" i="5"/>
  <c r="M725" i="5"/>
  <c r="L725" i="5"/>
  <c r="K725" i="5"/>
  <c r="P724" i="5"/>
  <c r="O724" i="5"/>
  <c r="N724" i="5"/>
  <c r="M724" i="5"/>
  <c r="L724" i="5"/>
  <c r="K724" i="5"/>
  <c r="P723" i="5"/>
  <c r="O723" i="5"/>
  <c r="N723" i="5"/>
  <c r="M723" i="5"/>
  <c r="L723" i="5"/>
  <c r="K723" i="5"/>
  <c r="P722" i="5"/>
  <c r="O722" i="5"/>
  <c r="N722" i="5"/>
  <c r="M722" i="5"/>
  <c r="L722" i="5"/>
  <c r="K722" i="5"/>
  <c r="P721" i="5"/>
  <c r="O721" i="5"/>
  <c r="N721" i="5"/>
  <c r="M721" i="5"/>
  <c r="L721" i="5"/>
  <c r="K721" i="5"/>
  <c r="P720" i="5"/>
  <c r="O720" i="5"/>
  <c r="N720" i="5"/>
  <c r="M720" i="5"/>
  <c r="L720" i="5"/>
  <c r="K720" i="5"/>
  <c r="P719" i="5"/>
  <c r="O719" i="5"/>
  <c r="N719" i="5"/>
  <c r="M719" i="5"/>
  <c r="L719" i="5"/>
  <c r="K719" i="5"/>
  <c r="P718" i="5"/>
  <c r="O718" i="5"/>
  <c r="N718" i="5"/>
  <c r="M718" i="5"/>
  <c r="L718" i="5"/>
  <c r="K718" i="5"/>
  <c r="P717" i="5"/>
  <c r="O717" i="5"/>
  <c r="N717" i="5"/>
  <c r="M717" i="5"/>
  <c r="L717" i="5"/>
  <c r="K717" i="5"/>
  <c r="P716" i="5"/>
  <c r="O716" i="5"/>
  <c r="N716" i="5"/>
  <c r="M716" i="5"/>
  <c r="L716" i="5"/>
  <c r="K716" i="5"/>
  <c r="P715" i="5"/>
  <c r="O715" i="5"/>
  <c r="N715" i="5"/>
  <c r="M715" i="5"/>
  <c r="L715" i="5"/>
  <c r="K715" i="5"/>
  <c r="P714" i="5"/>
  <c r="O714" i="5"/>
  <c r="N714" i="5"/>
  <c r="M714" i="5"/>
  <c r="L714" i="5"/>
  <c r="K714" i="5"/>
  <c r="P713" i="5"/>
  <c r="O713" i="5"/>
  <c r="N713" i="5"/>
  <c r="M713" i="5"/>
  <c r="L713" i="5"/>
  <c r="K713" i="5"/>
  <c r="P712" i="5"/>
  <c r="O712" i="5"/>
  <c r="N712" i="5"/>
  <c r="M712" i="5"/>
  <c r="L712" i="5"/>
  <c r="K712" i="5"/>
  <c r="P711" i="5"/>
  <c r="O711" i="5"/>
  <c r="N711" i="5"/>
  <c r="M711" i="5"/>
  <c r="L711" i="5"/>
  <c r="K711" i="5"/>
  <c r="P710" i="5"/>
  <c r="O710" i="5"/>
  <c r="N710" i="5"/>
  <c r="M710" i="5"/>
  <c r="L710" i="5"/>
  <c r="K710" i="5"/>
  <c r="P709" i="5"/>
  <c r="O709" i="5"/>
  <c r="N709" i="5"/>
  <c r="M709" i="5"/>
  <c r="L709" i="5"/>
  <c r="K709" i="5"/>
  <c r="P708" i="5"/>
  <c r="O708" i="5"/>
  <c r="N708" i="5"/>
  <c r="M708" i="5"/>
  <c r="L708" i="5"/>
  <c r="K708" i="5"/>
  <c r="P707" i="5"/>
  <c r="O707" i="5"/>
  <c r="N707" i="5"/>
  <c r="M707" i="5"/>
  <c r="L707" i="5"/>
  <c r="K707" i="5"/>
  <c r="P706" i="5"/>
  <c r="O706" i="5"/>
  <c r="N706" i="5"/>
  <c r="M706" i="5"/>
  <c r="L706" i="5"/>
  <c r="K706" i="5"/>
  <c r="P705" i="5"/>
  <c r="O705" i="5"/>
  <c r="N705" i="5"/>
  <c r="M705" i="5"/>
  <c r="L705" i="5"/>
  <c r="K705" i="5"/>
  <c r="P704" i="5"/>
  <c r="O704" i="5"/>
  <c r="N704" i="5"/>
  <c r="M704" i="5"/>
  <c r="L704" i="5"/>
  <c r="K704" i="5"/>
  <c r="P703" i="5"/>
  <c r="O703" i="5"/>
  <c r="N703" i="5"/>
  <c r="M703" i="5"/>
  <c r="L703" i="5"/>
  <c r="K703" i="5"/>
  <c r="P702" i="5"/>
  <c r="O702" i="5"/>
  <c r="N702" i="5"/>
  <c r="M702" i="5"/>
  <c r="L702" i="5"/>
  <c r="K702" i="5"/>
  <c r="P701" i="5"/>
  <c r="O701" i="5"/>
  <c r="N701" i="5"/>
  <c r="M701" i="5"/>
  <c r="L701" i="5"/>
  <c r="K701" i="5"/>
  <c r="P700" i="5"/>
  <c r="O700" i="5"/>
  <c r="N700" i="5"/>
  <c r="M700" i="5"/>
  <c r="L700" i="5"/>
  <c r="K700" i="5"/>
  <c r="P699" i="5"/>
  <c r="O699" i="5"/>
  <c r="N699" i="5"/>
  <c r="M699" i="5"/>
  <c r="L699" i="5"/>
  <c r="K699" i="5"/>
  <c r="P698" i="5"/>
  <c r="O698" i="5"/>
  <c r="N698" i="5"/>
  <c r="M698" i="5"/>
  <c r="L698" i="5"/>
  <c r="K698" i="5"/>
  <c r="P697" i="5"/>
  <c r="O697" i="5"/>
  <c r="N697" i="5"/>
  <c r="M697" i="5"/>
  <c r="L697" i="5"/>
  <c r="K697" i="5"/>
  <c r="P696" i="5"/>
  <c r="O696" i="5"/>
  <c r="N696" i="5"/>
  <c r="M696" i="5"/>
  <c r="L696" i="5"/>
  <c r="K696" i="5"/>
  <c r="P695" i="5"/>
  <c r="O695" i="5"/>
  <c r="N695" i="5"/>
  <c r="M695" i="5"/>
  <c r="L695" i="5"/>
  <c r="K695" i="5"/>
  <c r="P694" i="5"/>
  <c r="O694" i="5"/>
  <c r="N694" i="5"/>
  <c r="M694" i="5"/>
  <c r="L694" i="5"/>
  <c r="K694" i="5"/>
  <c r="P693" i="5"/>
  <c r="O693" i="5"/>
  <c r="N693" i="5"/>
  <c r="M693" i="5"/>
  <c r="L693" i="5"/>
  <c r="K693" i="5"/>
  <c r="P692" i="5"/>
  <c r="O692" i="5"/>
  <c r="N692" i="5"/>
  <c r="M692" i="5"/>
  <c r="L692" i="5"/>
  <c r="K692" i="5"/>
  <c r="P691" i="5"/>
  <c r="O691" i="5"/>
  <c r="N691" i="5"/>
  <c r="M691" i="5"/>
  <c r="L691" i="5"/>
  <c r="K691" i="5"/>
  <c r="P690" i="5"/>
  <c r="O690" i="5"/>
  <c r="N690" i="5"/>
  <c r="M690" i="5"/>
  <c r="L690" i="5"/>
  <c r="K690" i="5"/>
  <c r="P689" i="5"/>
  <c r="O689" i="5"/>
  <c r="N689" i="5"/>
  <c r="M689" i="5"/>
  <c r="L689" i="5"/>
  <c r="K689" i="5"/>
  <c r="P688" i="5"/>
  <c r="O688" i="5"/>
  <c r="N688" i="5"/>
  <c r="M688" i="5"/>
  <c r="L688" i="5"/>
  <c r="K688" i="5"/>
  <c r="P687" i="5"/>
  <c r="O687" i="5"/>
  <c r="N687" i="5"/>
  <c r="M687" i="5"/>
  <c r="L687" i="5"/>
  <c r="K687" i="5"/>
  <c r="P686" i="5"/>
  <c r="O686" i="5"/>
  <c r="N686" i="5"/>
  <c r="M686" i="5"/>
  <c r="L686" i="5"/>
  <c r="K686" i="5"/>
  <c r="P685" i="5"/>
  <c r="O685" i="5"/>
  <c r="N685" i="5"/>
  <c r="M685" i="5"/>
  <c r="L685" i="5"/>
  <c r="K685" i="5"/>
  <c r="P684" i="5"/>
  <c r="O684" i="5"/>
  <c r="N684" i="5"/>
  <c r="M684" i="5"/>
  <c r="L684" i="5"/>
  <c r="K684" i="5"/>
  <c r="P683" i="5"/>
  <c r="O683" i="5"/>
  <c r="N683" i="5"/>
  <c r="M683" i="5"/>
  <c r="L683" i="5"/>
  <c r="K683" i="5"/>
  <c r="P682" i="5"/>
  <c r="O682" i="5"/>
  <c r="N682" i="5"/>
  <c r="M682" i="5"/>
  <c r="L682" i="5"/>
  <c r="K682" i="5"/>
  <c r="P681" i="5"/>
  <c r="O681" i="5"/>
  <c r="N681" i="5"/>
  <c r="M681" i="5"/>
  <c r="L681" i="5"/>
  <c r="K681" i="5"/>
  <c r="P680" i="5"/>
  <c r="O680" i="5"/>
  <c r="N680" i="5"/>
  <c r="M680" i="5"/>
  <c r="L680" i="5"/>
  <c r="K680" i="5"/>
  <c r="P679" i="5"/>
  <c r="O679" i="5"/>
  <c r="N679" i="5"/>
  <c r="M679" i="5"/>
  <c r="L679" i="5"/>
  <c r="K679" i="5"/>
  <c r="P678" i="5"/>
  <c r="O678" i="5"/>
  <c r="N678" i="5"/>
  <c r="M678" i="5"/>
  <c r="L678" i="5"/>
  <c r="K678" i="5"/>
  <c r="P677" i="5"/>
  <c r="O677" i="5"/>
  <c r="N677" i="5"/>
  <c r="M677" i="5"/>
  <c r="L677" i="5"/>
  <c r="K677" i="5"/>
  <c r="P676" i="5"/>
  <c r="O676" i="5"/>
  <c r="N676" i="5"/>
  <c r="M676" i="5"/>
  <c r="L676" i="5"/>
  <c r="K676" i="5"/>
  <c r="P675" i="5"/>
  <c r="O675" i="5"/>
  <c r="N675" i="5"/>
  <c r="M675" i="5"/>
  <c r="L675" i="5"/>
  <c r="K675" i="5"/>
  <c r="P674" i="5"/>
  <c r="O674" i="5"/>
  <c r="N674" i="5"/>
  <c r="M674" i="5"/>
  <c r="L674" i="5"/>
  <c r="K674" i="5"/>
  <c r="P673" i="5"/>
  <c r="O673" i="5"/>
  <c r="N673" i="5"/>
  <c r="M673" i="5"/>
  <c r="L673" i="5"/>
  <c r="K673" i="5"/>
  <c r="P672" i="5"/>
  <c r="O672" i="5"/>
  <c r="N672" i="5"/>
  <c r="M672" i="5"/>
  <c r="L672" i="5"/>
  <c r="K672" i="5"/>
  <c r="P671" i="5"/>
  <c r="O671" i="5"/>
  <c r="N671" i="5"/>
  <c r="M671" i="5"/>
  <c r="L671" i="5"/>
  <c r="K671" i="5"/>
  <c r="P670" i="5"/>
  <c r="O670" i="5"/>
  <c r="N670" i="5"/>
  <c r="M670" i="5"/>
  <c r="L670" i="5"/>
  <c r="K670" i="5"/>
  <c r="P669" i="5"/>
  <c r="O669" i="5"/>
  <c r="N669" i="5"/>
  <c r="M669" i="5"/>
  <c r="L669" i="5"/>
  <c r="K669" i="5"/>
  <c r="P668" i="5"/>
  <c r="O668" i="5"/>
  <c r="N668" i="5"/>
  <c r="M668" i="5"/>
  <c r="L668" i="5"/>
  <c r="K668" i="5"/>
  <c r="P667" i="5"/>
  <c r="O667" i="5"/>
  <c r="N667" i="5"/>
  <c r="M667" i="5"/>
  <c r="L667" i="5"/>
  <c r="K667" i="5"/>
  <c r="P666" i="5"/>
  <c r="O666" i="5"/>
  <c r="N666" i="5"/>
  <c r="M666" i="5"/>
  <c r="L666" i="5"/>
  <c r="K666" i="5"/>
  <c r="P665" i="5"/>
  <c r="O665" i="5"/>
  <c r="N665" i="5"/>
  <c r="M665" i="5"/>
  <c r="L665" i="5"/>
  <c r="K665" i="5"/>
  <c r="P664" i="5"/>
  <c r="O664" i="5"/>
  <c r="N664" i="5"/>
  <c r="M664" i="5"/>
  <c r="L664" i="5"/>
  <c r="K664" i="5"/>
  <c r="P663" i="5"/>
  <c r="O663" i="5"/>
  <c r="N663" i="5"/>
  <c r="M663" i="5"/>
  <c r="L663" i="5"/>
  <c r="K663" i="5"/>
  <c r="P662" i="5"/>
  <c r="O662" i="5"/>
  <c r="N662" i="5"/>
  <c r="M662" i="5"/>
  <c r="L662" i="5"/>
  <c r="K662" i="5"/>
  <c r="P661" i="5"/>
  <c r="O661" i="5"/>
  <c r="N661" i="5"/>
  <c r="M661" i="5"/>
  <c r="L661" i="5"/>
  <c r="K661" i="5"/>
  <c r="P660" i="5"/>
  <c r="O660" i="5"/>
  <c r="N660" i="5"/>
  <c r="M660" i="5"/>
  <c r="L660" i="5"/>
  <c r="K660" i="5"/>
  <c r="P659" i="5"/>
  <c r="O659" i="5"/>
  <c r="N659" i="5"/>
  <c r="M659" i="5"/>
  <c r="L659" i="5"/>
  <c r="K659" i="5"/>
  <c r="P658" i="5"/>
  <c r="O658" i="5"/>
  <c r="N658" i="5"/>
  <c r="M658" i="5"/>
  <c r="L658" i="5"/>
  <c r="K658" i="5"/>
  <c r="P657" i="5"/>
  <c r="O657" i="5"/>
  <c r="N657" i="5"/>
  <c r="M657" i="5"/>
  <c r="L657" i="5"/>
  <c r="K657" i="5"/>
  <c r="P656" i="5"/>
  <c r="O656" i="5"/>
  <c r="N656" i="5"/>
  <c r="M656" i="5"/>
  <c r="L656" i="5"/>
  <c r="K656" i="5"/>
  <c r="P655" i="5"/>
  <c r="O655" i="5"/>
  <c r="N655" i="5"/>
  <c r="M655" i="5"/>
  <c r="L655" i="5"/>
  <c r="K655" i="5"/>
  <c r="P654" i="5"/>
  <c r="O654" i="5"/>
  <c r="N654" i="5"/>
  <c r="M654" i="5"/>
  <c r="L654" i="5"/>
  <c r="K654" i="5"/>
  <c r="P653" i="5"/>
  <c r="O653" i="5"/>
  <c r="N653" i="5"/>
  <c r="M653" i="5"/>
  <c r="L653" i="5"/>
  <c r="K653" i="5"/>
  <c r="P652" i="5"/>
  <c r="O652" i="5"/>
  <c r="N652" i="5"/>
  <c r="M652" i="5"/>
  <c r="L652" i="5"/>
  <c r="K652" i="5"/>
  <c r="P651" i="5"/>
  <c r="O651" i="5"/>
  <c r="N651" i="5"/>
  <c r="M651" i="5"/>
  <c r="L651" i="5"/>
  <c r="K651" i="5"/>
  <c r="P650" i="5"/>
  <c r="O650" i="5"/>
  <c r="N650" i="5"/>
  <c r="M650" i="5"/>
  <c r="L650" i="5"/>
  <c r="K650" i="5"/>
  <c r="P649" i="5"/>
  <c r="O649" i="5"/>
  <c r="N649" i="5"/>
  <c r="M649" i="5"/>
  <c r="L649" i="5"/>
  <c r="K649" i="5"/>
  <c r="P648" i="5"/>
  <c r="O648" i="5"/>
  <c r="N648" i="5"/>
  <c r="M648" i="5"/>
  <c r="L648" i="5"/>
  <c r="K648" i="5"/>
  <c r="P647" i="5"/>
  <c r="O647" i="5"/>
  <c r="N647" i="5"/>
  <c r="M647" i="5"/>
  <c r="L647" i="5"/>
  <c r="K647" i="5"/>
  <c r="P646" i="5"/>
  <c r="O646" i="5"/>
  <c r="N646" i="5"/>
  <c r="M646" i="5"/>
  <c r="L646" i="5"/>
  <c r="K646" i="5"/>
  <c r="P645" i="5"/>
  <c r="O645" i="5"/>
  <c r="N645" i="5"/>
  <c r="M645" i="5"/>
  <c r="L645" i="5"/>
  <c r="K645" i="5"/>
  <c r="P644" i="5"/>
  <c r="O644" i="5"/>
  <c r="N644" i="5"/>
  <c r="M644" i="5"/>
  <c r="L644" i="5"/>
  <c r="K644" i="5"/>
  <c r="P643" i="5"/>
  <c r="O643" i="5"/>
  <c r="N643" i="5"/>
  <c r="M643" i="5"/>
  <c r="L643" i="5"/>
  <c r="K643" i="5"/>
  <c r="P642" i="5"/>
  <c r="O642" i="5"/>
  <c r="N642" i="5"/>
  <c r="M642" i="5"/>
  <c r="L642" i="5"/>
  <c r="K642" i="5"/>
  <c r="P641" i="5"/>
  <c r="O641" i="5"/>
  <c r="N641" i="5"/>
  <c r="M641" i="5"/>
  <c r="L641" i="5"/>
  <c r="K641" i="5"/>
  <c r="P640" i="5"/>
  <c r="O640" i="5"/>
  <c r="N640" i="5"/>
  <c r="M640" i="5"/>
  <c r="L640" i="5"/>
  <c r="K640" i="5"/>
  <c r="P639" i="5"/>
  <c r="O639" i="5"/>
  <c r="N639" i="5"/>
  <c r="M639" i="5"/>
  <c r="L639" i="5"/>
  <c r="K639" i="5"/>
  <c r="P638" i="5"/>
  <c r="O638" i="5"/>
  <c r="N638" i="5"/>
  <c r="M638" i="5"/>
  <c r="L638" i="5"/>
  <c r="K638" i="5"/>
  <c r="P637" i="5"/>
  <c r="O637" i="5"/>
  <c r="N637" i="5"/>
  <c r="M637" i="5"/>
  <c r="L637" i="5"/>
  <c r="K637" i="5"/>
  <c r="P636" i="5"/>
  <c r="O636" i="5"/>
  <c r="N636" i="5"/>
  <c r="M636" i="5"/>
  <c r="L636" i="5"/>
  <c r="K636" i="5"/>
  <c r="P635" i="5"/>
  <c r="O635" i="5"/>
  <c r="N635" i="5"/>
  <c r="M635" i="5"/>
  <c r="L635" i="5"/>
  <c r="K635" i="5"/>
  <c r="P634" i="5"/>
  <c r="O634" i="5"/>
  <c r="N634" i="5"/>
  <c r="M634" i="5"/>
  <c r="L634" i="5"/>
  <c r="K634" i="5"/>
  <c r="P633" i="5"/>
  <c r="O633" i="5"/>
  <c r="N633" i="5"/>
  <c r="M633" i="5"/>
  <c r="L633" i="5"/>
  <c r="K633" i="5"/>
  <c r="P632" i="5"/>
  <c r="O632" i="5"/>
  <c r="N632" i="5"/>
  <c r="M632" i="5"/>
  <c r="L632" i="5"/>
  <c r="K632" i="5"/>
  <c r="P631" i="5"/>
  <c r="O631" i="5"/>
  <c r="N631" i="5"/>
  <c r="M631" i="5"/>
  <c r="L631" i="5"/>
  <c r="K631" i="5"/>
  <c r="P630" i="5"/>
  <c r="O630" i="5"/>
  <c r="N630" i="5"/>
  <c r="M630" i="5"/>
  <c r="L630" i="5"/>
  <c r="K630" i="5"/>
  <c r="P629" i="5"/>
  <c r="O629" i="5"/>
  <c r="N629" i="5"/>
  <c r="M629" i="5"/>
  <c r="L629" i="5"/>
  <c r="K629" i="5"/>
  <c r="P628" i="5"/>
  <c r="O628" i="5"/>
  <c r="N628" i="5"/>
  <c r="M628" i="5"/>
  <c r="L628" i="5"/>
  <c r="K628" i="5"/>
  <c r="P627" i="5"/>
  <c r="O627" i="5"/>
  <c r="N627" i="5"/>
  <c r="M627" i="5"/>
  <c r="L627" i="5"/>
  <c r="K627" i="5"/>
  <c r="P626" i="5"/>
  <c r="O626" i="5"/>
  <c r="N626" i="5"/>
  <c r="M626" i="5"/>
  <c r="L626" i="5"/>
  <c r="K626" i="5"/>
  <c r="P625" i="5"/>
  <c r="O625" i="5"/>
  <c r="N625" i="5"/>
  <c r="M625" i="5"/>
  <c r="L625" i="5"/>
  <c r="K625" i="5"/>
  <c r="P624" i="5"/>
  <c r="O624" i="5"/>
  <c r="N624" i="5"/>
  <c r="M624" i="5"/>
  <c r="L624" i="5"/>
  <c r="K624" i="5"/>
  <c r="P623" i="5"/>
  <c r="O623" i="5"/>
  <c r="N623" i="5"/>
  <c r="M623" i="5"/>
  <c r="L623" i="5"/>
  <c r="K623" i="5"/>
  <c r="P622" i="5"/>
  <c r="O622" i="5"/>
  <c r="N622" i="5"/>
  <c r="M622" i="5"/>
  <c r="L622" i="5"/>
  <c r="K622" i="5"/>
  <c r="P621" i="5"/>
  <c r="O621" i="5"/>
  <c r="N621" i="5"/>
  <c r="M621" i="5"/>
  <c r="L621" i="5"/>
  <c r="K621" i="5"/>
  <c r="P620" i="5"/>
  <c r="O620" i="5"/>
  <c r="N620" i="5"/>
  <c r="M620" i="5"/>
  <c r="L620" i="5"/>
  <c r="K620" i="5"/>
  <c r="P619" i="5"/>
  <c r="O619" i="5"/>
  <c r="N619" i="5"/>
  <c r="M619" i="5"/>
  <c r="L619" i="5"/>
  <c r="K619" i="5"/>
  <c r="P618" i="5"/>
  <c r="O618" i="5"/>
  <c r="N618" i="5"/>
  <c r="M618" i="5"/>
  <c r="L618" i="5"/>
  <c r="K618" i="5"/>
  <c r="P617" i="5"/>
  <c r="O617" i="5"/>
  <c r="N617" i="5"/>
  <c r="M617" i="5"/>
  <c r="L617" i="5"/>
  <c r="K617" i="5"/>
  <c r="P616" i="5"/>
  <c r="O616" i="5"/>
  <c r="N616" i="5"/>
  <c r="M616" i="5"/>
  <c r="L616" i="5"/>
  <c r="K616" i="5"/>
  <c r="P615" i="5"/>
  <c r="O615" i="5"/>
  <c r="N615" i="5"/>
  <c r="M615" i="5"/>
  <c r="L615" i="5"/>
  <c r="K615" i="5"/>
  <c r="P614" i="5"/>
  <c r="O614" i="5"/>
  <c r="N614" i="5"/>
  <c r="M614" i="5"/>
  <c r="L614" i="5"/>
  <c r="K614" i="5"/>
  <c r="P613" i="5"/>
  <c r="O613" i="5"/>
  <c r="N613" i="5"/>
  <c r="M613" i="5"/>
  <c r="L613" i="5"/>
  <c r="K613" i="5"/>
  <c r="P612" i="5"/>
  <c r="O612" i="5"/>
  <c r="N612" i="5"/>
  <c r="M612" i="5"/>
  <c r="L612" i="5"/>
  <c r="K612" i="5"/>
  <c r="P611" i="5"/>
  <c r="O611" i="5"/>
  <c r="N611" i="5"/>
  <c r="M611" i="5"/>
  <c r="L611" i="5"/>
  <c r="K611" i="5"/>
  <c r="P610" i="5"/>
  <c r="O610" i="5"/>
  <c r="N610" i="5"/>
  <c r="M610" i="5"/>
  <c r="L610" i="5"/>
  <c r="K610" i="5"/>
  <c r="P609" i="5"/>
  <c r="O609" i="5"/>
  <c r="N609" i="5"/>
  <c r="M609" i="5"/>
  <c r="L609" i="5"/>
  <c r="K609" i="5"/>
  <c r="P608" i="5"/>
  <c r="O608" i="5"/>
  <c r="N608" i="5"/>
  <c r="M608" i="5"/>
  <c r="L608" i="5"/>
  <c r="K608" i="5"/>
  <c r="P607" i="5"/>
  <c r="O607" i="5"/>
  <c r="N607" i="5"/>
  <c r="M607" i="5"/>
  <c r="L607" i="5"/>
  <c r="K607" i="5"/>
  <c r="P606" i="5"/>
  <c r="O606" i="5"/>
  <c r="N606" i="5"/>
  <c r="M606" i="5"/>
  <c r="L606" i="5"/>
  <c r="K606" i="5"/>
  <c r="P605" i="5"/>
  <c r="O605" i="5"/>
  <c r="N605" i="5"/>
  <c r="M605" i="5"/>
  <c r="L605" i="5"/>
  <c r="K605" i="5"/>
  <c r="P604" i="5"/>
  <c r="O604" i="5"/>
  <c r="N604" i="5"/>
  <c r="M604" i="5"/>
  <c r="L604" i="5"/>
  <c r="K604" i="5"/>
  <c r="P603" i="5"/>
  <c r="O603" i="5"/>
  <c r="N603" i="5"/>
  <c r="M603" i="5"/>
  <c r="L603" i="5"/>
  <c r="K603" i="5"/>
  <c r="P602" i="5"/>
  <c r="O602" i="5"/>
  <c r="N602" i="5"/>
  <c r="M602" i="5"/>
  <c r="L602" i="5"/>
  <c r="K602" i="5"/>
  <c r="P601" i="5"/>
  <c r="O601" i="5"/>
  <c r="N601" i="5"/>
  <c r="M601" i="5"/>
  <c r="L601" i="5"/>
  <c r="K601" i="5"/>
  <c r="P600" i="5"/>
  <c r="O600" i="5"/>
  <c r="N600" i="5"/>
  <c r="M600" i="5"/>
  <c r="L600" i="5"/>
  <c r="K600" i="5"/>
  <c r="P599" i="5"/>
  <c r="O599" i="5"/>
  <c r="N599" i="5"/>
  <c r="M599" i="5"/>
  <c r="L599" i="5"/>
  <c r="K599" i="5"/>
  <c r="P598" i="5"/>
  <c r="O598" i="5"/>
  <c r="N598" i="5"/>
  <c r="M598" i="5"/>
  <c r="L598" i="5"/>
  <c r="K598" i="5"/>
  <c r="P597" i="5"/>
  <c r="O597" i="5"/>
  <c r="N597" i="5"/>
  <c r="M597" i="5"/>
  <c r="L597" i="5"/>
  <c r="K597" i="5"/>
  <c r="P596" i="5"/>
  <c r="O596" i="5"/>
  <c r="N596" i="5"/>
  <c r="M596" i="5"/>
  <c r="L596" i="5"/>
  <c r="K596" i="5"/>
  <c r="P595" i="5"/>
  <c r="O595" i="5"/>
  <c r="N595" i="5"/>
  <c r="M595" i="5"/>
  <c r="L595" i="5"/>
  <c r="K595" i="5"/>
  <c r="P594" i="5"/>
  <c r="O594" i="5"/>
  <c r="N594" i="5"/>
  <c r="M594" i="5"/>
  <c r="L594" i="5"/>
  <c r="K594" i="5"/>
  <c r="P593" i="5"/>
  <c r="O593" i="5"/>
  <c r="N593" i="5"/>
  <c r="M593" i="5"/>
  <c r="L593" i="5"/>
  <c r="K593" i="5"/>
  <c r="P592" i="5"/>
  <c r="O592" i="5"/>
  <c r="N592" i="5"/>
  <c r="M592" i="5"/>
  <c r="L592" i="5"/>
  <c r="K592" i="5"/>
  <c r="P591" i="5"/>
  <c r="O591" i="5"/>
  <c r="N591" i="5"/>
  <c r="M591" i="5"/>
  <c r="L591" i="5"/>
  <c r="K591" i="5"/>
  <c r="P590" i="5"/>
  <c r="O590" i="5"/>
  <c r="N590" i="5"/>
  <c r="M590" i="5"/>
  <c r="L590" i="5"/>
  <c r="K590" i="5"/>
  <c r="P589" i="5"/>
  <c r="O589" i="5"/>
  <c r="N589" i="5"/>
  <c r="M589" i="5"/>
  <c r="L589" i="5"/>
  <c r="K589" i="5"/>
  <c r="P588" i="5"/>
  <c r="O588" i="5"/>
  <c r="N588" i="5"/>
  <c r="M588" i="5"/>
  <c r="L588" i="5"/>
  <c r="K588" i="5"/>
  <c r="P587" i="5"/>
  <c r="O587" i="5"/>
  <c r="N587" i="5"/>
  <c r="M587" i="5"/>
  <c r="L587" i="5"/>
  <c r="K587" i="5"/>
  <c r="P586" i="5"/>
  <c r="O586" i="5"/>
  <c r="N586" i="5"/>
  <c r="M586" i="5"/>
  <c r="L586" i="5"/>
  <c r="K586" i="5"/>
  <c r="P585" i="5"/>
  <c r="O585" i="5"/>
  <c r="N585" i="5"/>
  <c r="M585" i="5"/>
  <c r="L585" i="5"/>
  <c r="K585" i="5"/>
  <c r="P584" i="5"/>
  <c r="O584" i="5"/>
  <c r="N584" i="5"/>
  <c r="M584" i="5"/>
  <c r="L584" i="5"/>
  <c r="K584" i="5"/>
  <c r="P583" i="5"/>
  <c r="O583" i="5"/>
  <c r="N583" i="5"/>
  <c r="M583" i="5"/>
  <c r="L583" i="5"/>
  <c r="K583" i="5"/>
  <c r="P582" i="5"/>
  <c r="O582" i="5"/>
  <c r="N582" i="5"/>
  <c r="M582" i="5"/>
  <c r="L582" i="5"/>
  <c r="K582" i="5"/>
  <c r="P581" i="5"/>
  <c r="O581" i="5"/>
  <c r="N581" i="5"/>
  <c r="M581" i="5"/>
  <c r="L581" i="5"/>
  <c r="K581" i="5"/>
  <c r="P580" i="5"/>
  <c r="O580" i="5"/>
  <c r="N580" i="5"/>
  <c r="M580" i="5"/>
  <c r="L580" i="5"/>
  <c r="K580" i="5"/>
  <c r="P579" i="5"/>
  <c r="O579" i="5"/>
  <c r="N579" i="5"/>
  <c r="M579" i="5"/>
  <c r="L579" i="5"/>
  <c r="K579" i="5"/>
  <c r="P578" i="5"/>
  <c r="O578" i="5"/>
  <c r="N578" i="5"/>
  <c r="M578" i="5"/>
  <c r="L578" i="5"/>
  <c r="K578" i="5"/>
  <c r="P577" i="5"/>
  <c r="O577" i="5"/>
  <c r="N577" i="5"/>
  <c r="M577" i="5"/>
  <c r="L577" i="5"/>
  <c r="K577" i="5"/>
  <c r="P576" i="5"/>
  <c r="O576" i="5"/>
  <c r="N576" i="5"/>
  <c r="M576" i="5"/>
  <c r="L576" i="5"/>
  <c r="K576" i="5"/>
  <c r="P575" i="5"/>
  <c r="O575" i="5"/>
  <c r="N575" i="5"/>
  <c r="M575" i="5"/>
  <c r="L575" i="5"/>
  <c r="K575" i="5"/>
  <c r="P574" i="5"/>
  <c r="O574" i="5"/>
  <c r="N574" i="5"/>
  <c r="M574" i="5"/>
  <c r="L574" i="5"/>
  <c r="K574" i="5"/>
  <c r="P573" i="5"/>
  <c r="O573" i="5"/>
  <c r="N573" i="5"/>
  <c r="M573" i="5"/>
  <c r="L573" i="5"/>
  <c r="K573" i="5"/>
  <c r="P572" i="5"/>
  <c r="O572" i="5"/>
  <c r="N572" i="5"/>
  <c r="M572" i="5"/>
  <c r="L572" i="5"/>
  <c r="K572" i="5"/>
  <c r="P571" i="5"/>
  <c r="O571" i="5"/>
  <c r="N571" i="5"/>
  <c r="M571" i="5"/>
  <c r="L571" i="5"/>
  <c r="K571" i="5"/>
  <c r="P570" i="5"/>
  <c r="O570" i="5"/>
  <c r="N570" i="5"/>
  <c r="M570" i="5"/>
  <c r="L570" i="5"/>
  <c r="K570" i="5"/>
  <c r="P569" i="5"/>
  <c r="O569" i="5"/>
  <c r="N569" i="5"/>
  <c r="M569" i="5"/>
  <c r="L569" i="5"/>
  <c r="K569" i="5"/>
  <c r="P568" i="5"/>
  <c r="O568" i="5"/>
  <c r="N568" i="5"/>
  <c r="M568" i="5"/>
  <c r="L568" i="5"/>
  <c r="K568" i="5"/>
  <c r="P567" i="5"/>
  <c r="O567" i="5"/>
  <c r="N567" i="5"/>
  <c r="M567" i="5"/>
  <c r="L567" i="5"/>
  <c r="K567" i="5"/>
  <c r="P566" i="5"/>
  <c r="O566" i="5"/>
  <c r="N566" i="5"/>
  <c r="M566" i="5"/>
  <c r="L566" i="5"/>
  <c r="K566" i="5"/>
  <c r="P565" i="5"/>
  <c r="O565" i="5"/>
  <c r="N565" i="5"/>
  <c r="M565" i="5"/>
  <c r="L565" i="5"/>
  <c r="K565" i="5"/>
  <c r="P564" i="5"/>
  <c r="O564" i="5"/>
  <c r="N564" i="5"/>
  <c r="M564" i="5"/>
  <c r="L564" i="5"/>
  <c r="K564" i="5"/>
  <c r="P563" i="5"/>
  <c r="O563" i="5"/>
  <c r="N563" i="5"/>
  <c r="M563" i="5"/>
  <c r="L563" i="5"/>
  <c r="K563" i="5"/>
  <c r="P562" i="5"/>
  <c r="O562" i="5"/>
  <c r="N562" i="5"/>
  <c r="M562" i="5"/>
  <c r="L562" i="5"/>
  <c r="K562" i="5"/>
  <c r="P561" i="5"/>
  <c r="O561" i="5"/>
  <c r="N561" i="5"/>
  <c r="M561" i="5"/>
  <c r="L561" i="5"/>
  <c r="K561" i="5"/>
  <c r="P560" i="5"/>
  <c r="O560" i="5"/>
  <c r="N560" i="5"/>
  <c r="M560" i="5"/>
  <c r="L560" i="5"/>
  <c r="K560" i="5"/>
  <c r="P559" i="5"/>
  <c r="O559" i="5"/>
  <c r="N559" i="5"/>
  <c r="M559" i="5"/>
  <c r="L559" i="5"/>
  <c r="K559" i="5"/>
  <c r="P558" i="5"/>
  <c r="O558" i="5"/>
  <c r="N558" i="5"/>
  <c r="M558" i="5"/>
  <c r="L558" i="5"/>
  <c r="K558" i="5"/>
  <c r="P557" i="5"/>
  <c r="O557" i="5"/>
  <c r="N557" i="5"/>
  <c r="M557" i="5"/>
  <c r="L557" i="5"/>
  <c r="K557" i="5"/>
  <c r="P556" i="5"/>
  <c r="O556" i="5"/>
  <c r="N556" i="5"/>
  <c r="M556" i="5"/>
  <c r="L556" i="5"/>
  <c r="K556" i="5"/>
  <c r="P555" i="5"/>
  <c r="O555" i="5"/>
  <c r="N555" i="5"/>
  <c r="M555" i="5"/>
  <c r="L555" i="5"/>
  <c r="K555" i="5"/>
  <c r="P554" i="5"/>
  <c r="O554" i="5"/>
  <c r="N554" i="5"/>
  <c r="M554" i="5"/>
  <c r="L554" i="5"/>
  <c r="K554" i="5"/>
  <c r="P553" i="5"/>
  <c r="O553" i="5"/>
  <c r="N553" i="5"/>
  <c r="M553" i="5"/>
  <c r="L553" i="5"/>
  <c r="K553" i="5"/>
  <c r="P552" i="5"/>
  <c r="O552" i="5"/>
  <c r="N552" i="5"/>
  <c r="M552" i="5"/>
  <c r="L552" i="5"/>
  <c r="K552" i="5"/>
  <c r="P551" i="5"/>
  <c r="O551" i="5"/>
  <c r="N551" i="5"/>
  <c r="M551" i="5"/>
  <c r="L551" i="5"/>
  <c r="K551" i="5"/>
  <c r="P550" i="5"/>
  <c r="O550" i="5"/>
  <c r="N550" i="5"/>
  <c r="M550" i="5"/>
  <c r="L550" i="5"/>
  <c r="K550" i="5"/>
  <c r="P549" i="5"/>
  <c r="O549" i="5"/>
  <c r="N549" i="5"/>
  <c r="M549" i="5"/>
  <c r="L549" i="5"/>
  <c r="K549" i="5"/>
  <c r="P548" i="5"/>
  <c r="O548" i="5"/>
  <c r="N548" i="5"/>
  <c r="M548" i="5"/>
  <c r="L548" i="5"/>
  <c r="K548" i="5"/>
  <c r="P547" i="5"/>
  <c r="O547" i="5"/>
  <c r="N547" i="5"/>
  <c r="M547" i="5"/>
  <c r="L547" i="5"/>
  <c r="K547" i="5"/>
  <c r="P546" i="5"/>
  <c r="O546" i="5"/>
  <c r="N546" i="5"/>
  <c r="M546" i="5"/>
  <c r="L546" i="5"/>
  <c r="K546" i="5"/>
  <c r="P545" i="5"/>
  <c r="O545" i="5"/>
  <c r="N545" i="5"/>
  <c r="M545" i="5"/>
  <c r="L545" i="5"/>
  <c r="K545" i="5"/>
  <c r="P544" i="5"/>
  <c r="O544" i="5"/>
  <c r="N544" i="5"/>
  <c r="M544" i="5"/>
  <c r="L544" i="5"/>
  <c r="K544" i="5"/>
  <c r="P543" i="5"/>
  <c r="O543" i="5"/>
  <c r="N543" i="5"/>
  <c r="M543" i="5"/>
  <c r="L543" i="5"/>
  <c r="K543" i="5"/>
  <c r="P542" i="5"/>
  <c r="O542" i="5"/>
  <c r="N542" i="5"/>
  <c r="M542" i="5"/>
  <c r="L542" i="5"/>
  <c r="K542" i="5"/>
  <c r="P541" i="5"/>
  <c r="O541" i="5"/>
  <c r="N541" i="5"/>
  <c r="M541" i="5"/>
  <c r="L541" i="5"/>
  <c r="K541" i="5"/>
  <c r="P540" i="5"/>
  <c r="O540" i="5"/>
  <c r="N540" i="5"/>
  <c r="M540" i="5"/>
  <c r="L540" i="5"/>
  <c r="K540" i="5"/>
  <c r="P539" i="5"/>
  <c r="O539" i="5"/>
  <c r="N539" i="5"/>
  <c r="M539" i="5"/>
  <c r="L539" i="5"/>
  <c r="K539" i="5"/>
  <c r="P538" i="5"/>
  <c r="O538" i="5"/>
  <c r="N538" i="5"/>
  <c r="M538" i="5"/>
  <c r="L538" i="5"/>
  <c r="K538" i="5"/>
  <c r="P537" i="5"/>
  <c r="O537" i="5"/>
  <c r="N537" i="5"/>
  <c r="M537" i="5"/>
  <c r="L537" i="5"/>
  <c r="K537" i="5"/>
  <c r="P536" i="5"/>
  <c r="O536" i="5"/>
  <c r="N536" i="5"/>
  <c r="M536" i="5"/>
  <c r="L536" i="5"/>
  <c r="K536" i="5"/>
  <c r="P535" i="5"/>
  <c r="O535" i="5"/>
  <c r="N535" i="5"/>
  <c r="M535" i="5"/>
  <c r="L535" i="5"/>
  <c r="K535" i="5"/>
  <c r="P534" i="5"/>
  <c r="O534" i="5"/>
  <c r="N534" i="5"/>
  <c r="M534" i="5"/>
  <c r="L534" i="5"/>
  <c r="K534" i="5"/>
  <c r="P533" i="5"/>
  <c r="O533" i="5"/>
  <c r="N533" i="5"/>
  <c r="M533" i="5"/>
  <c r="L533" i="5"/>
  <c r="K533" i="5"/>
  <c r="P532" i="5"/>
  <c r="O532" i="5"/>
  <c r="N532" i="5"/>
  <c r="M532" i="5"/>
  <c r="L532" i="5"/>
  <c r="K532" i="5"/>
  <c r="P531" i="5"/>
  <c r="O531" i="5"/>
  <c r="N531" i="5"/>
  <c r="M531" i="5"/>
  <c r="L531" i="5"/>
  <c r="K531" i="5"/>
  <c r="P530" i="5"/>
  <c r="O530" i="5"/>
  <c r="N530" i="5"/>
  <c r="M530" i="5"/>
  <c r="L530" i="5"/>
  <c r="K530" i="5"/>
  <c r="P529" i="5"/>
  <c r="O529" i="5"/>
  <c r="N529" i="5"/>
  <c r="M529" i="5"/>
  <c r="L529" i="5"/>
  <c r="K529" i="5"/>
  <c r="P528" i="5"/>
  <c r="O528" i="5"/>
  <c r="N528" i="5"/>
  <c r="M528" i="5"/>
  <c r="L528" i="5"/>
  <c r="K528" i="5"/>
  <c r="P527" i="5"/>
  <c r="O527" i="5"/>
  <c r="N527" i="5"/>
  <c r="M527" i="5"/>
  <c r="L527" i="5"/>
  <c r="K527" i="5"/>
  <c r="P526" i="5"/>
  <c r="O526" i="5"/>
  <c r="N526" i="5"/>
  <c r="M526" i="5"/>
  <c r="L526" i="5"/>
  <c r="K526" i="5"/>
  <c r="P525" i="5"/>
  <c r="O525" i="5"/>
  <c r="N525" i="5"/>
  <c r="M525" i="5"/>
  <c r="L525" i="5"/>
  <c r="K525" i="5"/>
  <c r="P524" i="5"/>
  <c r="O524" i="5"/>
  <c r="N524" i="5"/>
  <c r="M524" i="5"/>
  <c r="L524" i="5"/>
  <c r="K524" i="5"/>
  <c r="P523" i="5"/>
  <c r="O523" i="5"/>
  <c r="N523" i="5"/>
  <c r="M523" i="5"/>
  <c r="L523" i="5"/>
  <c r="K523" i="5"/>
  <c r="P522" i="5"/>
  <c r="O522" i="5"/>
  <c r="N522" i="5"/>
  <c r="M522" i="5"/>
  <c r="L522" i="5"/>
  <c r="K522" i="5"/>
  <c r="P521" i="5"/>
  <c r="O521" i="5"/>
  <c r="N521" i="5"/>
  <c r="M521" i="5"/>
  <c r="L521" i="5"/>
  <c r="K521" i="5"/>
  <c r="P520" i="5"/>
  <c r="O520" i="5"/>
  <c r="N520" i="5"/>
  <c r="M520" i="5"/>
  <c r="L520" i="5"/>
  <c r="K520" i="5"/>
  <c r="P519" i="5"/>
  <c r="O519" i="5"/>
  <c r="N519" i="5"/>
  <c r="M519" i="5"/>
  <c r="L519" i="5"/>
  <c r="K519" i="5"/>
  <c r="P518" i="5"/>
  <c r="O518" i="5"/>
  <c r="N518" i="5"/>
  <c r="M518" i="5"/>
  <c r="L518" i="5"/>
  <c r="K518" i="5"/>
  <c r="P517" i="5"/>
  <c r="O517" i="5"/>
  <c r="N517" i="5"/>
  <c r="M517" i="5"/>
  <c r="L517" i="5"/>
  <c r="K517" i="5"/>
  <c r="P516" i="5"/>
  <c r="O516" i="5"/>
  <c r="N516" i="5"/>
  <c r="M516" i="5"/>
  <c r="L516" i="5"/>
  <c r="K516" i="5"/>
  <c r="P515" i="5"/>
  <c r="O515" i="5"/>
  <c r="N515" i="5"/>
  <c r="M515" i="5"/>
  <c r="L515" i="5"/>
  <c r="K515" i="5"/>
  <c r="P514" i="5"/>
  <c r="O514" i="5"/>
  <c r="N514" i="5"/>
  <c r="M514" i="5"/>
  <c r="L514" i="5"/>
  <c r="K514" i="5"/>
  <c r="P513" i="5"/>
  <c r="O513" i="5"/>
  <c r="N513" i="5"/>
  <c r="M513" i="5"/>
  <c r="L513" i="5"/>
  <c r="K513" i="5"/>
  <c r="P512" i="5"/>
  <c r="O512" i="5"/>
  <c r="N512" i="5"/>
  <c r="M512" i="5"/>
  <c r="L512" i="5"/>
  <c r="K512" i="5"/>
  <c r="P511" i="5"/>
  <c r="O511" i="5"/>
  <c r="N511" i="5"/>
  <c r="M511" i="5"/>
  <c r="L511" i="5"/>
  <c r="K511" i="5"/>
  <c r="P510" i="5"/>
  <c r="O510" i="5"/>
  <c r="N510" i="5"/>
  <c r="M510" i="5"/>
  <c r="L510" i="5"/>
  <c r="K510" i="5"/>
  <c r="P509" i="5"/>
  <c r="O509" i="5"/>
  <c r="N509" i="5"/>
  <c r="M509" i="5"/>
  <c r="L509" i="5"/>
  <c r="K509" i="5"/>
  <c r="P508" i="5"/>
  <c r="O508" i="5"/>
  <c r="N508" i="5"/>
  <c r="M508" i="5"/>
  <c r="L508" i="5"/>
  <c r="K508" i="5"/>
  <c r="P507" i="5"/>
  <c r="O507" i="5"/>
  <c r="N507" i="5"/>
  <c r="M507" i="5"/>
  <c r="L507" i="5"/>
  <c r="K507" i="5"/>
  <c r="P506" i="5"/>
  <c r="O506" i="5"/>
  <c r="N506" i="5"/>
  <c r="M506" i="5"/>
  <c r="L506" i="5"/>
  <c r="K506" i="5"/>
  <c r="P505" i="5"/>
  <c r="O505" i="5"/>
  <c r="N505" i="5"/>
  <c r="M505" i="5"/>
  <c r="L505" i="5"/>
  <c r="K505" i="5"/>
  <c r="P504" i="5"/>
  <c r="O504" i="5"/>
  <c r="N504" i="5"/>
  <c r="M504" i="5"/>
  <c r="L504" i="5"/>
  <c r="K504" i="5"/>
  <c r="P503" i="5"/>
  <c r="O503" i="5"/>
  <c r="N503" i="5"/>
  <c r="M503" i="5"/>
  <c r="L503" i="5"/>
  <c r="K503" i="5"/>
  <c r="P502" i="5"/>
  <c r="O502" i="5"/>
  <c r="N502" i="5"/>
  <c r="M502" i="5"/>
  <c r="L502" i="5"/>
  <c r="K502" i="5"/>
  <c r="P501" i="5"/>
  <c r="O501" i="5"/>
  <c r="N501" i="5"/>
  <c r="M501" i="5"/>
  <c r="L501" i="5"/>
  <c r="K501" i="5"/>
  <c r="P500" i="5"/>
  <c r="O500" i="5"/>
  <c r="N500" i="5"/>
  <c r="M500" i="5"/>
  <c r="L500" i="5"/>
  <c r="K500" i="5"/>
  <c r="P499" i="5"/>
  <c r="O499" i="5"/>
  <c r="N499" i="5"/>
  <c r="M499" i="5"/>
  <c r="L499" i="5"/>
  <c r="K499" i="5"/>
  <c r="P498" i="5"/>
  <c r="O498" i="5"/>
  <c r="N498" i="5"/>
  <c r="M498" i="5"/>
  <c r="L498" i="5"/>
  <c r="K498" i="5"/>
  <c r="P497" i="5"/>
  <c r="O497" i="5"/>
  <c r="N497" i="5"/>
  <c r="M497" i="5"/>
  <c r="L497" i="5"/>
  <c r="K497" i="5"/>
  <c r="P496" i="5"/>
  <c r="O496" i="5"/>
  <c r="N496" i="5"/>
  <c r="M496" i="5"/>
  <c r="L496" i="5"/>
  <c r="K496" i="5"/>
  <c r="P495" i="5"/>
  <c r="O495" i="5"/>
  <c r="N495" i="5"/>
  <c r="M495" i="5"/>
  <c r="L495" i="5"/>
  <c r="K495" i="5"/>
  <c r="P494" i="5"/>
  <c r="O494" i="5"/>
  <c r="N494" i="5"/>
  <c r="M494" i="5"/>
  <c r="L494" i="5"/>
  <c r="K494" i="5"/>
  <c r="P493" i="5"/>
  <c r="O493" i="5"/>
  <c r="N493" i="5"/>
  <c r="M493" i="5"/>
  <c r="L493" i="5"/>
  <c r="K493" i="5"/>
  <c r="P492" i="5"/>
  <c r="O492" i="5"/>
  <c r="N492" i="5"/>
  <c r="M492" i="5"/>
  <c r="L492" i="5"/>
  <c r="K492" i="5"/>
  <c r="P491" i="5"/>
  <c r="O491" i="5"/>
  <c r="N491" i="5"/>
  <c r="M491" i="5"/>
  <c r="L491" i="5"/>
  <c r="K491" i="5"/>
  <c r="P490" i="5"/>
  <c r="O490" i="5"/>
  <c r="N490" i="5"/>
  <c r="M490" i="5"/>
  <c r="L490" i="5"/>
  <c r="K490" i="5"/>
  <c r="P489" i="5"/>
  <c r="O489" i="5"/>
  <c r="N489" i="5"/>
  <c r="M489" i="5"/>
  <c r="L489" i="5"/>
  <c r="K489" i="5"/>
  <c r="P488" i="5"/>
  <c r="O488" i="5"/>
  <c r="N488" i="5"/>
  <c r="M488" i="5"/>
  <c r="L488" i="5"/>
  <c r="K488" i="5"/>
  <c r="P487" i="5"/>
  <c r="O487" i="5"/>
  <c r="N487" i="5"/>
  <c r="M487" i="5"/>
  <c r="L487" i="5"/>
  <c r="K487" i="5"/>
  <c r="P486" i="5"/>
  <c r="O486" i="5"/>
  <c r="N486" i="5"/>
  <c r="M486" i="5"/>
  <c r="L486" i="5"/>
  <c r="K486" i="5"/>
  <c r="P485" i="5"/>
  <c r="O485" i="5"/>
  <c r="N485" i="5"/>
  <c r="M485" i="5"/>
  <c r="L485" i="5"/>
  <c r="K485" i="5"/>
  <c r="P484" i="5"/>
  <c r="O484" i="5"/>
  <c r="N484" i="5"/>
  <c r="M484" i="5"/>
  <c r="L484" i="5"/>
  <c r="K484" i="5"/>
  <c r="P483" i="5"/>
  <c r="O483" i="5"/>
  <c r="N483" i="5"/>
  <c r="M483" i="5"/>
  <c r="L483" i="5"/>
  <c r="K483" i="5"/>
  <c r="P482" i="5"/>
  <c r="O482" i="5"/>
  <c r="N482" i="5"/>
  <c r="M482" i="5"/>
  <c r="L482" i="5"/>
  <c r="K482" i="5"/>
  <c r="P481" i="5"/>
  <c r="O481" i="5"/>
  <c r="N481" i="5"/>
  <c r="M481" i="5"/>
  <c r="L481" i="5"/>
  <c r="K481" i="5"/>
  <c r="P480" i="5"/>
  <c r="O480" i="5"/>
  <c r="N480" i="5"/>
  <c r="M480" i="5"/>
  <c r="L480" i="5"/>
  <c r="K480" i="5"/>
  <c r="P479" i="5"/>
  <c r="O479" i="5"/>
  <c r="N479" i="5"/>
  <c r="M479" i="5"/>
  <c r="L479" i="5"/>
  <c r="K479" i="5"/>
  <c r="P478" i="5"/>
  <c r="O478" i="5"/>
  <c r="N478" i="5"/>
  <c r="M478" i="5"/>
  <c r="L478" i="5"/>
  <c r="K478" i="5"/>
  <c r="P477" i="5"/>
  <c r="O477" i="5"/>
  <c r="N477" i="5"/>
  <c r="M477" i="5"/>
  <c r="L477" i="5"/>
  <c r="K477" i="5"/>
  <c r="P476" i="5"/>
  <c r="O476" i="5"/>
  <c r="N476" i="5"/>
  <c r="M476" i="5"/>
  <c r="L476" i="5"/>
  <c r="K476" i="5"/>
  <c r="P475" i="5"/>
  <c r="O475" i="5"/>
  <c r="N475" i="5"/>
  <c r="M475" i="5"/>
  <c r="L475" i="5"/>
  <c r="K475" i="5"/>
  <c r="P474" i="5"/>
  <c r="O474" i="5"/>
  <c r="N474" i="5"/>
  <c r="M474" i="5"/>
  <c r="L474" i="5"/>
  <c r="K474" i="5"/>
  <c r="P473" i="5"/>
  <c r="O473" i="5"/>
  <c r="N473" i="5"/>
  <c r="M473" i="5"/>
  <c r="L473" i="5"/>
  <c r="K473" i="5"/>
  <c r="P472" i="5"/>
  <c r="O472" i="5"/>
  <c r="N472" i="5"/>
  <c r="M472" i="5"/>
  <c r="L472" i="5"/>
  <c r="K472" i="5"/>
  <c r="P471" i="5"/>
  <c r="O471" i="5"/>
  <c r="N471" i="5"/>
  <c r="M471" i="5"/>
  <c r="L471" i="5"/>
  <c r="K471" i="5"/>
  <c r="P470" i="5"/>
  <c r="O470" i="5"/>
  <c r="N470" i="5"/>
  <c r="M470" i="5"/>
  <c r="L470" i="5"/>
  <c r="K470" i="5"/>
  <c r="P469" i="5"/>
  <c r="O469" i="5"/>
  <c r="N469" i="5"/>
  <c r="M469" i="5"/>
  <c r="L469" i="5"/>
  <c r="K469" i="5"/>
  <c r="P468" i="5"/>
  <c r="O468" i="5"/>
  <c r="N468" i="5"/>
  <c r="M468" i="5"/>
  <c r="L468" i="5"/>
  <c r="K468" i="5"/>
  <c r="P467" i="5"/>
  <c r="O467" i="5"/>
  <c r="N467" i="5"/>
  <c r="M467" i="5"/>
  <c r="L467" i="5"/>
  <c r="K467" i="5"/>
  <c r="P466" i="5"/>
  <c r="O466" i="5"/>
  <c r="N466" i="5"/>
  <c r="M466" i="5"/>
  <c r="L466" i="5"/>
  <c r="K466" i="5"/>
  <c r="P465" i="5"/>
  <c r="O465" i="5"/>
  <c r="N465" i="5"/>
  <c r="M465" i="5"/>
  <c r="L465" i="5"/>
  <c r="K465" i="5"/>
  <c r="P464" i="5"/>
  <c r="O464" i="5"/>
  <c r="N464" i="5"/>
  <c r="M464" i="5"/>
  <c r="L464" i="5"/>
  <c r="K464" i="5"/>
  <c r="P463" i="5"/>
  <c r="O463" i="5"/>
  <c r="N463" i="5"/>
  <c r="M463" i="5"/>
  <c r="L463" i="5"/>
  <c r="K463" i="5"/>
  <c r="P462" i="5"/>
  <c r="O462" i="5"/>
  <c r="N462" i="5"/>
  <c r="M462" i="5"/>
  <c r="L462" i="5"/>
  <c r="K462" i="5"/>
  <c r="P461" i="5"/>
  <c r="O461" i="5"/>
  <c r="N461" i="5"/>
  <c r="M461" i="5"/>
  <c r="L461" i="5"/>
  <c r="K461" i="5"/>
  <c r="P460" i="5"/>
  <c r="O460" i="5"/>
  <c r="N460" i="5"/>
  <c r="M460" i="5"/>
  <c r="L460" i="5"/>
  <c r="K460" i="5"/>
  <c r="P459" i="5"/>
  <c r="O459" i="5"/>
  <c r="N459" i="5"/>
  <c r="M459" i="5"/>
  <c r="L459" i="5"/>
  <c r="K459" i="5"/>
  <c r="P458" i="5"/>
  <c r="O458" i="5"/>
  <c r="N458" i="5"/>
  <c r="M458" i="5"/>
  <c r="L458" i="5"/>
  <c r="K458" i="5"/>
  <c r="P457" i="5"/>
  <c r="O457" i="5"/>
  <c r="N457" i="5"/>
  <c r="M457" i="5"/>
  <c r="L457" i="5"/>
  <c r="K457" i="5"/>
  <c r="P456" i="5"/>
  <c r="O456" i="5"/>
  <c r="N456" i="5"/>
  <c r="M456" i="5"/>
  <c r="L456" i="5"/>
  <c r="K456" i="5"/>
  <c r="P455" i="5"/>
  <c r="O455" i="5"/>
  <c r="N455" i="5"/>
  <c r="M455" i="5"/>
  <c r="L455" i="5"/>
  <c r="K455" i="5"/>
  <c r="P454" i="5"/>
  <c r="O454" i="5"/>
  <c r="N454" i="5"/>
  <c r="M454" i="5"/>
  <c r="L454" i="5"/>
  <c r="K454" i="5"/>
  <c r="P453" i="5"/>
  <c r="O453" i="5"/>
  <c r="N453" i="5"/>
  <c r="M453" i="5"/>
  <c r="L453" i="5"/>
  <c r="K453" i="5"/>
  <c r="P452" i="5"/>
  <c r="O452" i="5"/>
  <c r="N452" i="5"/>
  <c r="M452" i="5"/>
  <c r="L452" i="5"/>
  <c r="K452" i="5"/>
  <c r="P451" i="5"/>
  <c r="O451" i="5"/>
  <c r="N451" i="5"/>
  <c r="M451" i="5"/>
  <c r="L451" i="5"/>
  <c r="K451" i="5"/>
  <c r="P450" i="5"/>
  <c r="O450" i="5"/>
  <c r="N450" i="5"/>
  <c r="M450" i="5"/>
  <c r="L450" i="5"/>
  <c r="K450" i="5"/>
  <c r="P449" i="5"/>
  <c r="O449" i="5"/>
  <c r="N449" i="5"/>
  <c r="M449" i="5"/>
  <c r="L449" i="5"/>
  <c r="K449" i="5"/>
  <c r="P448" i="5"/>
  <c r="O448" i="5"/>
  <c r="N448" i="5"/>
  <c r="M448" i="5"/>
  <c r="L448" i="5"/>
  <c r="K448" i="5"/>
  <c r="P447" i="5"/>
  <c r="O447" i="5"/>
  <c r="N447" i="5"/>
  <c r="M447" i="5"/>
  <c r="L447" i="5"/>
  <c r="K447" i="5"/>
  <c r="P446" i="5"/>
  <c r="O446" i="5"/>
  <c r="N446" i="5"/>
  <c r="M446" i="5"/>
  <c r="L446" i="5"/>
  <c r="K446" i="5"/>
  <c r="P445" i="5"/>
  <c r="O445" i="5"/>
  <c r="N445" i="5"/>
  <c r="M445" i="5"/>
  <c r="L445" i="5"/>
  <c r="K445" i="5"/>
  <c r="P444" i="5"/>
  <c r="O444" i="5"/>
  <c r="N444" i="5"/>
  <c r="M444" i="5"/>
  <c r="L444" i="5"/>
  <c r="K444" i="5"/>
  <c r="P443" i="5"/>
  <c r="O443" i="5"/>
  <c r="N443" i="5"/>
  <c r="M443" i="5"/>
  <c r="L443" i="5"/>
  <c r="K443" i="5"/>
  <c r="P442" i="5"/>
  <c r="O442" i="5"/>
  <c r="N442" i="5"/>
  <c r="M442" i="5"/>
  <c r="L442" i="5"/>
  <c r="K442" i="5"/>
  <c r="P441" i="5"/>
  <c r="O441" i="5"/>
  <c r="N441" i="5"/>
  <c r="M441" i="5"/>
  <c r="L441" i="5"/>
  <c r="K441" i="5"/>
  <c r="P440" i="5"/>
  <c r="O440" i="5"/>
  <c r="N440" i="5"/>
  <c r="M440" i="5"/>
  <c r="L440" i="5"/>
  <c r="K440" i="5"/>
  <c r="P439" i="5"/>
  <c r="O439" i="5"/>
  <c r="N439" i="5"/>
  <c r="M439" i="5"/>
  <c r="L439" i="5"/>
  <c r="K439" i="5"/>
  <c r="P438" i="5"/>
  <c r="O438" i="5"/>
  <c r="N438" i="5"/>
  <c r="M438" i="5"/>
  <c r="L438" i="5"/>
  <c r="K438" i="5"/>
  <c r="P437" i="5"/>
  <c r="O437" i="5"/>
  <c r="N437" i="5"/>
  <c r="M437" i="5"/>
  <c r="L437" i="5"/>
  <c r="K437" i="5"/>
  <c r="P436" i="5"/>
  <c r="O436" i="5"/>
  <c r="N436" i="5"/>
  <c r="M436" i="5"/>
  <c r="L436" i="5"/>
  <c r="K436" i="5"/>
  <c r="P435" i="5"/>
  <c r="O435" i="5"/>
  <c r="N435" i="5"/>
  <c r="M435" i="5"/>
  <c r="L435" i="5"/>
  <c r="K435" i="5"/>
  <c r="P434" i="5"/>
  <c r="O434" i="5"/>
  <c r="N434" i="5"/>
  <c r="M434" i="5"/>
  <c r="L434" i="5"/>
  <c r="K434" i="5"/>
  <c r="P433" i="5"/>
  <c r="O433" i="5"/>
  <c r="N433" i="5"/>
  <c r="M433" i="5"/>
  <c r="L433" i="5"/>
  <c r="K433" i="5"/>
  <c r="P432" i="5"/>
  <c r="O432" i="5"/>
  <c r="N432" i="5"/>
  <c r="M432" i="5"/>
  <c r="L432" i="5"/>
  <c r="K432" i="5"/>
  <c r="P431" i="5"/>
  <c r="O431" i="5"/>
  <c r="N431" i="5"/>
  <c r="M431" i="5"/>
  <c r="L431" i="5"/>
  <c r="K431" i="5"/>
  <c r="P430" i="5"/>
  <c r="O430" i="5"/>
  <c r="N430" i="5"/>
  <c r="M430" i="5"/>
  <c r="L430" i="5"/>
  <c r="K430" i="5"/>
  <c r="P429" i="5"/>
  <c r="O429" i="5"/>
  <c r="N429" i="5"/>
  <c r="M429" i="5"/>
  <c r="L429" i="5"/>
  <c r="K429" i="5"/>
  <c r="P428" i="5"/>
  <c r="O428" i="5"/>
  <c r="N428" i="5"/>
  <c r="M428" i="5"/>
  <c r="L428" i="5"/>
  <c r="K428" i="5"/>
  <c r="P427" i="5"/>
  <c r="O427" i="5"/>
  <c r="N427" i="5"/>
  <c r="M427" i="5"/>
  <c r="L427" i="5"/>
  <c r="K427" i="5"/>
  <c r="P426" i="5"/>
  <c r="O426" i="5"/>
  <c r="N426" i="5"/>
  <c r="M426" i="5"/>
  <c r="L426" i="5"/>
  <c r="K426" i="5"/>
  <c r="P425" i="5"/>
  <c r="O425" i="5"/>
  <c r="N425" i="5"/>
  <c r="M425" i="5"/>
  <c r="L425" i="5"/>
  <c r="K425" i="5"/>
  <c r="P424" i="5"/>
  <c r="O424" i="5"/>
  <c r="N424" i="5"/>
  <c r="M424" i="5"/>
  <c r="L424" i="5"/>
  <c r="K424" i="5"/>
  <c r="P423" i="5"/>
  <c r="O423" i="5"/>
  <c r="N423" i="5"/>
  <c r="M423" i="5"/>
  <c r="L423" i="5"/>
  <c r="K423" i="5"/>
  <c r="P422" i="5"/>
  <c r="O422" i="5"/>
  <c r="N422" i="5"/>
  <c r="M422" i="5"/>
  <c r="L422" i="5"/>
  <c r="K422" i="5"/>
  <c r="P421" i="5"/>
  <c r="O421" i="5"/>
  <c r="N421" i="5"/>
  <c r="M421" i="5"/>
  <c r="L421" i="5"/>
  <c r="K421" i="5"/>
  <c r="P420" i="5"/>
  <c r="O420" i="5"/>
  <c r="N420" i="5"/>
  <c r="M420" i="5"/>
  <c r="L420" i="5"/>
  <c r="K420" i="5"/>
  <c r="P419" i="5"/>
  <c r="O419" i="5"/>
  <c r="N419" i="5"/>
  <c r="M419" i="5"/>
  <c r="L419" i="5"/>
  <c r="K419" i="5"/>
  <c r="P418" i="5"/>
  <c r="O418" i="5"/>
  <c r="N418" i="5"/>
  <c r="M418" i="5"/>
  <c r="L418" i="5"/>
  <c r="K418" i="5"/>
  <c r="P417" i="5"/>
  <c r="O417" i="5"/>
  <c r="N417" i="5"/>
  <c r="M417" i="5"/>
  <c r="L417" i="5"/>
  <c r="K417" i="5"/>
  <c r="P416" i="5"/>
  <c r="O416" i="5"/>
  <c r="N416" i="5"/>
  <c r="M416" i="5"/>
  <c r="L416" i="5"/>
  <c r="K416" i="5"/>
  <c r="P415" i="5"/>
  <c r="O415" i="5"/>
  <c r="N415" i="5"/>
  <c r="M415" i="5"/>
  <c r="L415" i="5"/>
  <c r="K415" i="5"/>
  <c r="P414" i="5"/>
  <c r="O414" i="5"/>
  <c r="N414" i="5"/>
  <c r="M414" i="5"/>
  <c r="L414" i="5"/>
  <c r="K414" i="5"/>
  <c r="P413" i="5"/>
  <c r="O413" i="5"/>
  <c r="N413" i="5"/>
  <c r="M413" i="5"/>
  <c r="L413" i="5"/>
  <c r="K413" i="5"/>
  <c r="P412" i="5"/>
  <c r="O412" i="5"/>
  <c r="N412" i="5"/>
  <c r="M412" i="5"/>
  <c r="L412" i="5"/>
  <c r="K412" i="5"/>
  <c r="P411" i="5"/>
  <c r="O411" i="5"/>
  <c r="N411" i="5"/>
  <c r="M411" i="5"/>
  <c r="L411" i="5"/>
  <c r="K411" i="5"/>
  <c r="P410" i="5"/>
  <c r="O410" i="5"/>
  <c r="N410" i="5"/>
  <c r="M410" i="5"/>
  <c r="L410" i="5"/>
  <c r="K410" i="5"/>
  <c r="P409" i="5"/>
  <c r="O409" i="5"/>
  <c r="N409" i="5"/>
  <c r="M409" i="5"/>
  <c r="L409" i="5"/>
  <c r="K409" i="5"/>
  <c r="P408" i="5"/>
  <c r="O408" i="5"/>
  <c r="N408" i="5"/>
  <c r="M408" i="5"/>
  <c r="L408" i="5"/>
  <c r="K408" i="5"/>
  <c r="P407" i="5"/>
  <c r="O407" i="5"/>
  <c r="N407" i="5"/>
  <c r="M407" i="5"/>
  <c r="L407" i="5"/>
  <c r="K407" i="5"/>
  <c r="P406" i="5"/>
  <c r="O406" i="5"/>
  <c r="N406" i="5"/>
  <c r="M406" i="5"/>
  <c r="L406" i="5"/>
  <c r="K406" i="5"/>
  <c r="P405" i="5"/>
  <c r="O405" i="5"/>
  <c r="N405" i="5"/>
  <c r="M405" i="5"/>
  <c r="L405" i="5"/>
  <c r="K405" i="5"/>
  <c r="P404" i="5"/>
  <c r="O404" i="5"/>
  <c r="N404" i="5"/>
  <c r="M404" i="5"/>
  <c r="L404" i="5"/>
  <c r="K404" i="5"/>
  <c r="P403" i="5"/>
  <c r="O403" i="5"/>
  <c r="N403" i="5"/>
  <c r="M403" i="5"/>
  <c r="L403" i="5"/>
  <c r="K403" i="5"/>
  <c r="P402" i="5"/>
  <c r="O402" i="5"/>
  <c r="N402" i="5"/>
  <c r="M402" i="5"/>
  <c r="L402" i="5"/>
  <c r="K402" i="5"/>
  <c r="P401" i="5"/>
  <c r="O401" i="5"/>
  <c r="N401" i="5"/>
  <c r="M401" i="5"/>
  <c r="L401" i="5"/>
  <c r="K401" i="5"/>
  <c r="P400" i="5"/>
  <c r="O400" i="5"/>
  <c r="N400" i="5"/>
  <c r="M400" i="5"/>
  <c r="L400" i="5"/>
  <c r="K400" i="5"/>
  <c r="P399" i="5"/>
  <c r="O399" i="5"/>
  <c r="N399" i="5"/>
  <c r="M399" i="5"/>
  <c r="L399" i="5"/>
  <c r="K399" i="5"/>
  <c r="P398" i="5"/>
  <c r="O398" i="5"/>
  <c r="N398" i="5"/>
  <c r="M398" i="5"/>
  <c r="L398" i="5"/>
  <c r="K398" i="5"/>
  <c r="P397" i="5"/>
  <c r="O397" i="5"/>
  <c r="N397" i="5"/>
  <c r="M397" i="5"/>
  <c r="L397" i="5"/>
  <c r="K397" i="5"/>
  <c r="P396" i="5"/>
  <c r="O396" i="5"/>
  <c r="N396" i="5"/>
  <c r="M396" i="5"/>
  <c r="L396" i="5"/>
  <c r="K396" i="5"/>
  <c r="P395" i="5"/>
  <c r="O395" i="5"/>
  <c r="N395" i="5"/>
  <c r="M395" i="5"/>
  <c r="L395" i="5"/>
  <c r="K395" i="5"/>
  <c r="P394" i="5"/>
  <c r="O394" i="5"/>
  <c r="N394" i="5"/>
  <c r="M394" i="5"/>
  <c r="L394" i="5"/>
  <c r="K394" i="5"/>
  <c r="P393" i="5"/>
  <c r="O393" i="5"/>
  <c r="N393" i="5"/>
  <c r="M393" i="5"/>
  <c r="L393" i="5"/>
  <c r="K393" i="5"/>
  <c r="P392" i="5"/>
  <c r="O392" i="5"/>
  <c r="N392" i="5"/>
  <c r="M392" i="5"/>
  <c r="L392" i="5"/>
  <c r="K392" i="5"/>
  <c r="P391" i="5"/>
  <c r="O391" i="5"/>
  <c r="N391" i="5"/>
  <c r="M391" i="5"/>
  <c r="L391" i="5"/>
  <c r="K391" i="5"/>
  <c r="P390" i="5"/>
  <c r="O390" i="5"/>
  <c r="N390" i="5"/>
  <c r="M390" i="5"/>
  <c r="L390" i="5"/>
  <c r="K390" i="5"/>
  <c r="P389" i="5"/>
  <c r="O389" i="5"/>
  <c r="N389" i="5"/>
  <c r="M389" i="5"/>
  <c r="L389" i="5"/>
  <c r="K389" i="5"/>
  <c r="P388" i="5"/>
  <c r="O388" i="5"/>
  <c r="N388" i="5"/>
  <c r="M388" i="5"/>
  <c r="L388" i="5"/>
  <c r="K388" i="5"/>
  <c r="P387" i="5"/>
  <c r="O387" i="5"/>
  <c r="N387" i="5"/>
  <c r="M387" i="5"/>
  <c r="L387" i="5"/>
  <c r="K387" i="5"/>
  <c r="P386" i="5"/>
  <c r="O386" i="5"/>
  <c r="N386" i="5"/>
  <c r="M386" i="5"/>
  <c r="L386" i="5"/>
  <c r="K386" i="5"/>
  <c r="P385" i="5"/>
  <c r="O385" i="5"/>
  <c r="N385" i="5"/>
  <c r="M385" i="5"/>
  <c r="L385" i="5"/>
  <c r="K385" i="5"/>
  <c r="P384" i="5"/>
  <c r="O384" i="5"/>
  <c r="N384" i="5"/>
  <c r="M384" i="5"/>
  <c r="L384" i="5"/>
  <c r="K384" i="5"/>
  <c r="P383" i="5"/>
  <c r="O383" i="5"/>
  <c r="N383" i="5"/>
  <c r="M383" i="5"/>
  <c r="L383" i="5"/>
  <c r="K383" i="5"/>
  <c r="P382" i="5"/>
  <c r="O382" i="5"/>
  <c r="N382" i="5"/>
  <c r="M382" i="5"/>
  <c r="L382" i="5"/>
  <c r="K382" i="5"/>
  <c r="P381" i="5"/>
  <c r="O381" i="5"/>
  <c r="N381" i="5"/>
  <c r="M381" i="5"/>
  <c r="L381" i="5"/>
  <c r="K381" i="5"/>
  <c r="P380" i="5"/>
  <c r="O380" i="5"/>
  <c r="N380" i="5"/>
  <c r="M380" i="5"/>
  <c r="L380" i="5"/>
  <c r="K380" i="5"/>
  <c r="P379" i="5"/>
  <c r="O379" i="5"/>
  <c r="N379" i="5"/>
  <c r="M379" i="5"/>
  <c r="L379" i="5"/>
  <c r="K379" i="5"/>
  <c r="P378" i="5"/>
  <c r="O378" i="5"/>
  <c r="N378" i="5"/>
  <c r="M378" i="5"/>
  <c r="L378" i="5"/>
  <c r="K378" i="5"/>
  <c r="P377" i="5"/>
  <c r="O377" i="5"/>
  <c r="N377" i="5"/>
  <c r="M377" i="5"/>
  <c r="L377" i="5"/>
  <c r="K377" i="5"/>
  <c r="P376" i="5"/>
  <c r="O376" i="5"/>
  <c r="N376" i="5"/>
  <c r="M376" i="5"/>
  <c r="L376" i="5"/>
  <c r="K376" i="5"/>
  <c r="P375" i="5"/>
  <c r="O375" i="5"/>
  <c r="N375" i="5"/>
  <c r="M375" i="5"/>
  <c r="L375" i="5"/>
  <c r="K375" i="5"/>
  <c r="P374" i="5"/>
  <c r="O374" i="5"/>
  <c r="N374" i="5"/>
  <c r="M374" i="5"/>
  <c r="L374" i="5"/>
  <c r="K374" i="5"/>
  <c r="P373" i="5"/>
  <c r="O373" i="5"/>
  <c r="N373" i="5"/>
  <c r="M373" i="5"/>
  <c r="L373" i="5"/>
  <c r="K373" i="5"/>
  <c r="P372" i="5"/>
  <c r="O372" i="5"/>
  <c r="N372" i="5"/>
  <c r="M372" i="5"/>
  <c r="L372" i="5"/>
  <c r="K372" i="5"/>
  <c r="P371" i="5"/>
  <c r="O371" i="5"/>
  <c r="N371" i="5"/>
  <c r="M371" i="5"/>
  <c r="L371" i="5"/>
  <c r="K371" i="5"/>
  <c r="P370" i="5"/>
  <c r="O370" i="5"/>
  <c r="N370" i="5"/>
  <c r="M370" i="5"/>
  <c r="L370" i="5"/>
  <c r="K370" i="5"/>
  <c r="P369" i="5"/>
  <c r="O369" i="5"/>
  <c r="N369" i="5"/>
  <c r="M369" i="5"/>
  <c r="L369" i="5"/>
  <c r="K369" i="5"/>
  <c r="P368" i="5"/>
  <c r="O368" i="5"/>
  <c r="N368" i="5"/>
  <c r="M368" i="5"/>
  <c r="L368" i="5"/>
  <c r="K368" i="5"/>
  <c r="P367" i="5"/>
  <c r="O367" i="5"/>
  <c r="N367" i="5"/>
  <c r="M367" i="5"/>
  <c r="L367" i="5"/>
  <c r="K367" i="5"/>
  <c r="P366" i="5"/>
  <c r="O366" i="5"/>
  <c r="N366" i="5"/>
  <c r="M366" i="5"/>
  <c r="L366" i="5"/>
  <c r="K366" i="5"/>
  <c r="P365" i="5"/>
  <c r="O365" i="5"/>
  <c r="N365" i="5"/>
  <c r="M365" i="5"/>
  <c r="L365" i="5"/>
  <c r="K365" i="5"/>
  <c r="P364" i="5"/>
  <c r="O364" i="5"/>
  <c r="N364" i="5"/>
  <c r="M364" i="5"/>
  <c r="L364" i="5"/>
  <c r="K364" i="5"/>
  <c r="P363" i="5"/>
  <c r="O363" i="5"/>
  <c r="N363" i="5"/>
  <c r="M363" i="5"/>
  <c r="L363" i="5"/>
  <c r="K363" i="5"/>
  <c r="P362" i="5"/>
  <c r="O362" i="5"/>
  <c r="N362" i="5"/>
  <c r="M362" i="5"/>
  <c r="L362" i="5"/>
  <c r="K362" i="5"/>
  <c r="P361" i="5"/>
  <c r="O361" i="5"/>
  <c r="N361" i="5"/>
  <c r="M361" i="5"/>
  <c r="L361" i="5"/>
  <c r="K361" i="5"/>
  <c r="P360" i="5"/>
  <c r="O360" i="5"/>
  <c r="N360" i="5"/>
  <c r="M360" i="5"/>
  <c r="L360" i="5"/>
  <c r="K360" i="5"/>
  <c r="P359" i="5"/>
  <c r="O359" i="5"/>
  <c r="N359" i="5"/>
  <c r="M359" i="5"/>
  <c r="L359" i="5"/>
  <c r="K359" i="5"/>
  <c r="P358" i="5"/>
  <c r="O358" i="5"/>
  <c r="N358" i="5"/>
  <c r="M358" i="5"/>
  <c r="L358" i="5"/>
  <c r="K358" i="5"/>
  <c r="P357" i="5"/>
  <c r="O357" i="5"/>
  <c r="N357" i="5"/>
  <c r="M357" i="5"/>
  <c r="L357" i="5"/>
  <c r="K357" i="5"/>
  <c r="P356" i="5"/>
  <c r="O356" i="5"/>
  <c r="N356" i="5"/>
  <c r="M356" i="5"/>
  <c r="L356" i="5"/>
  <c r="K356" i="5"/>
  <c r="P355" i="5"/>
  <c r="O355" i="5"/>
  <c r="N355" i="5"/>
  <c r="M355" i="5"/>
  <c r="L355" i="5"/>
  <c r="K355" i="5"/>
  <c r="P354" i="5"/>
  <c r="O354" i="5"/>
  <c r="N354" i="5"/>
  <c r="M354" i="5"/>
  <c r="L354" i="5"/>
  <c r="K354" i="5"/>
  <c r="P353" i="5"/>
  <c r="O353" i="5"/>
  <c r="N353" i="5"/>
  <c r="M353" i="5"/>
  <c r="L353" i="5"/>
  <c r="K353" i="5"/>
  <c r="P352" i="5"/>
  <c r="O352" i="5"/>
  <c r="N352" i="5"/>
  <c r="M352" i="5"/>
  <c r="L352" i="5"/>
  <c r="K352" i="5"/>
  <c r="P351" i="5"/>
  <c r="O351" i="5"/>
  <c r="N351" i="5"/>
  <c r="M351" i="5"/>
  <c r="L351" i="5"/>
  <c r="K351" i="5"/>
  <c r="P350" i="5"/>
  <c r="O350" i="5"/>
  <c r="N350" i="5"/>
  <c r="M350" i="5"/>
  <c r="L350" i="5"/>
  <c r="K350" i="5"/>
  <c r="P349" i="5"/>
  <c r="O349" i="5"/>
  <c r="N349" i="5"/>
  <c r="M349" i="5"/>
  <c r="L349" i="5"/>
  <c r="K349" i="5"/>
  <c r="P348" i="5"/>
  <c r="O348" i="5"/>
  <c r="N348" i="5"/>
  <c r="M348" i="5"/>
  <c r="L348" i="5"/>
  <c r="K348" i="5"/>
  <c r="P347" i="5"/>
  <c r="O347" i="5"/>
  <c r="N347" i="5"/>
  <c r="M347" i="5"/>
  <c r="L347" i="5"/>
  <c r="K347" i="5"/>
  <c r="P346" i="5"/>
  <c r="O346" i="5"/>
  <c r="N346" i="5"/>
  <c r="M346" i="5"/>
  <c r="L346" i="5"/>
  <c r="K346" i="5"/>
  <c r="P345" i="5"/>
  <c r="O345" i="5"/>
  <c r="N345" i="5"/>
  <c r="M345" i="5"/>
  <c r="L345" i="5"/>
  <c r="K345" i="5"/>
  <c r="P344" i="5"/>
  <c r="O344" i="5"/>
  <c r="N344" i="5"/>
  <c r="M344" i="5"/>
  <c r="L344" i="5"/>
  <c r="K344" i="5"/>
  <c r="P343" i="5"/>
  <c r="O343" i="5"/>
  <c r="N343" i="5"/>
  <c r="M343" i="5"/>
  <c r="L343" i="5"/>
  <c r="K343" i="5"/>
  <c r="P342" i="5"/>
  <c r="O342" i="5"/>
  <c r="N342" i="5"/>
  <c r="M342" i="5"/>
  <c r="L342" i="5"/>
  <c r="K342" i="5"/>
  <c r="P341" i="5"/>
  <c r="O341" i="5"/>
  <c r="N341" i="5"/>
  <c r="M341" i="5"/>
  <c r="L341" i="5"/>
  <c r="K341" i="5"/>
  <c r="P340" i="5"/>
  <c r="O340" i="5"/>
  <c r="N340" i="5"/>
  <c r="M340" i="5"/>
  <c r="L340" i="5"/>
  <c r="K340" i="5"/>
  <c r="P339" i="5"/>
  <c r="O339" i="5"/>
  <c r="N339" i="5"/>
  <c r="M339" i="5"/>
  <c r="L339" i="5"/>
  <c r="K339" i="5"/>
  <c r="P338" i="5"/>
  <c r="O338" i="5"/>
  <c r="N338" i="5"/>
  <c r="M338" i="5"/>
  <c r="L338" i="5"/>
  <c r="K338" i="5"/>
  <c r="P337" i="5"/>
  <c r="O337" i="5"/>
  <c r="N337" i="5"/>
  <c r="M337" i="5"/>
  <c r="L337" i="5"/>
  <c r="K337" i="5"/>
  <c r="P336" i="5"/>
  <c r="O336" i="5"/>
  <c r="N336" i="5"/>
  <c r="M336" i="5"/>
  <c r="L336" i="5"/>
  <c r="K336" i="5"/>
  <c r="P335" i="5"/>
  <c r="O335" i="5"/>
  <c r="N335" i="5"/>
  <c r="M335" i="5"/>
  <c r="L335" i="5"/>
  <c r="K335" i="5"/>
  <c r="P334" i="5"/>
  <c r="O334" i="5"/>
  <c r="N334" i="5"/>
  <c r="M334" i="5"/>
  <c r="L334" i="5"/>
  <c r="K334" i="5"/>
  <c r="P333" i="5"/>
  <c r="O333" i="5"/>
  <c r="N333" i="5"/>
  <c r="M333" i="5"/>
  <c r="L333" i="5"/>
  <c r="K333" i="5"/>
  <c r="P332" i="5"/>
  <c r="O332" i="5"/>
  <c r="N332" i="5"/>
  <c r="M332" i="5"/>
  <c r="L332" i="5"/>
  <c r="K332" i="5"/>
  <c r="P331" i="5"/>
  <c r="O331" i="5"/>
  <c r="N331" i="5"/>
  <c r="M331" i="5"/>
  <c r="L331" i="5"/>
  <c r="K331" i="5"/>
  <c r="P330" i="5"/>
  <c r="O330" i="5"/>
  <c r="N330" i="5"/>
  <c r="M330" i="5"/>
  <c r="L330" i="5"/>
  <c r="K330" i="5"/>
  <c r="P329" i="5"/>
  <c r="O329" i="5"/>
  <c r="N329" i="5"/>
  <c r="M329" i="5"/>
  <c r="L329" i="5"/>
  <c r="K329" i="5"/>
  <c r="P328" i="5"/>
  <c r="O328" i="5"/>
  <c r="N328" i="5"/>
  <c r="M328" i="5"/>
  <c r="L328" i="5"/>
  <c r="K328" i="5"/>
  <c r="P327" i="5"/>
  <c r="O327" i="5"/>
  <c r="N327" i="5"/>
  <c r="M327" i="5"/>
  <c r="L327" i="5"/>
  <c r="K327" i="5"/>
  <c r="P326" i="5"/>
  <c r="O326" i="5"/>
  <c r="N326" i="5"/>
  <c r="M326" i="5"/>
  <c r="L326" i="5"/>
  <c r="K326" i="5"/>
  <c r="P325" i="5"/>
  <c r="O325" i="5"/>
  <c r="N325" i="5"/>
  <c r="M325" i="5"/>
  <c r="L325" i="5"/>
  <c r="K325" i="5"/>
  <c r="P324" i="5"/>
  <c r="O324" i="5"/>
  <c r="N324" i="5"/>
  <c r="M324" i="5"/>
  <c r="L324" i="5"/>
  <c r="K324" i="5"/>
  <c r="P323" i="5"/>
  <c r="O323" i="5"/>
  <c r="N323" i="5"/>
  <c r="M323" i="5"/>
  <c r="L323" i="5"/>
  <c r="K323" i="5"/>
  <c r="P322" i="5"/>
  <c r="O322" i="5"/>
  <c r="N322" i="5"/>
  <c r="M322" i="5"/>
  <c r="L322" i="5"/>
  <c r="K322" i="5"/>
  <c r="P321" i="5"/>
  <c r="O321" i="5"/>
  <c r="N321" i="5"/>
  <c r="M321" i="5"/>
  <c r="L321" i="5"/>
  <c r="K321" i="5"/>
  <c r="P320" i="5"/>
  <c r="O320" i="5"/>
  <c r="N320" i="5"/>
  <c r="M320" i="5"/>
  <c r="L320" i="5"/>
  <c r="K320" i="5"/>
  <c r="P319" i="5"/>
  <c r="O319" i="5"/>
  <c r="N319" i="5"/>
  <c r="M319" i="5"/>
  <c r="L319" i="5"/>
  <c r="K319" i="5"/>
  <c r="P318" i="5"/>
  <c r="O318" i="5"/>
  <c r="N318" i="5"/>
  <c r="M318" i="5"/>
  <c r="L318" i="5"/>
  <c r="K318" i="5"/>
  <c r="P317" i="5"/>
  <c r="O317" i="5"/>
  <c r="N317" i="5"/>
  <c r="M317" i="5"/>
  <c r="L317" i="5"/>
  <c r="K317" i="5"/>
  <c r="P316" i="5"/>
  <c r="O316" i="5"/>
  <c r="N316" i="5"/>
  <c r="M316" i="5"/>
  <c r="L316" i="5"/>
  <c r="K316" i="5"/>
  <c r="P315" i="5"/>
  <c r="O315" i="5"/>
  <c r="N315" i="5"/>
  <c r="M315" i="5"/>
  <c r="L315" i="5"/>
  <c r="K315" i="5"/>
  <c r="P314" i="5"/>
  <c r="O314" i="5"/>
  <c r="N314" i="5"/>
  <c r="M314" i="5"/>
  <c r="L314" i="5"/>
  <c r="K314" i="5"/>
  <c r="P313" i="5"/>
  <c r="O313" i="5"/>
  <c r="N313" i="5"/>
  <c r="M313" i="5"/>
  <c r="L313" i="5"/>
  <c r="K313" i="5"/>
  <c r="P312" i="5"/>
  <c r="O312" i="5"/>
  <c r="N312" i="5"/>
  <c r="M312" i="5"/>
  <c r="L312" i="5"/>
  <c r="K312" i="5"/>
  <c r="P311" i="5"/>
  <c r="O311" i="5"/>
  <c r="N311" i="5"/>
  <c r="M311" i="5"/>
  <c r="L311" i="5"/>
  <c r="K311" i="5"/>
  <c r="P310" i="5"/>
  <c r="O310" i="5"/>
  <c r="N310" i="5"/>
  <c r="M310" i="5"/>
  <c r="L310" i="5"/>
  <c r="K310" i="5"/>
  <c r="P309" i="5"/>
  <c r="O309" i="5"/>
  <c r="N309" i="5"/>
  <c r="M309" i="5"/>
  <c r="L309" i="5"/>
  <c r="K309" i="5"/>
  <c r="P308" i="5"/>
  <c r="O308" i="5"/>
  <c r="N308" i="5"/>
  <c r="M308" i="5"/>
  <c r="L308" i="5"/>
  <c r="K308" i="5"/>
  <c r="P307" i="5"/>
  <c r="O307" i="5"/>
  <c r="N307" i="5"/>
  <c r="M307" i="5"/>
  <c r="L307" i="5"/>
  <c r="K307" i="5"/>
  <c r="P306" i="5"/>
  <c r="O306" i="5"/>
  <c r="N306" i="5"/>
  <c r="M306" i="5"/>
  <c r="L306" i="5"/>
  <c r="K306" i="5"/>
  <c r="P305" i="5"/>
  <c r="O305" i="5"/>
  <c r="N305" i="5"/>
  <c r="M305" i="5"/>
  <c r="L305" i="5"/>
  <c r="K305" i="5"/>
  <c r="P304" i="5"/>
  <c r="O304" i="5"/>
  <c r="N304" i="5"/>
  <c r="M304" i="5"/>
  <c r="L304" i="5"/>
  <c r="K304" i="5"/>
  <c r="P303" i="5"/>
  <c r="O303" i="5"/>
  <c r="N303" i="5"/>
  <c r="M303" i="5"/>
  <c r="L303" i="5"/>
  <c r="K303" i="5"/>
  <c r="P302" i="5"/>
  <c r="O302" i="5"/>
  <c r="N302" i="5"/>
  <c r="M302" i="5"/>
  <c r="L302" i="5"/>
  <c r="K302" i="5"/>
  <c r="P301" i="5"/>
  <c r="O301" i="5"/>
  <c r="N301" i="5"/>
  <c r="M301" i="5"/>
  <c r="L301" i="5"/>
  <c r="K301" i="5"/>
  <c r="P300" i="5"/>
  <c r="O300" i="5"/>
  <c r="N300" i="5"/>
  <c r="M300" i="5"/>
  <c r="L300" i="5"/>
  <c r="K300" i="5"/>
  <c r="P299" i="5"/>
  <c r="O299" i="5"/>
  <c r="N299" i="5"/>
  <c r="M299" i="5"/>
  <c r="L299" i="5"/>
  <c r="K299" i="5"/>
  <c r="P298" i="5"/>
  <c r="O298" i="5"/>
  <c r="N298" i="5"/>
  <c r="M298" i="5"/>
  <c r="L298" i="5"/>
  <c r="K298" i="5"/>
  <c r="P297" i="5"/>
  <c r="O297" i="5"/>
  <c r="N297" i="5"/>
  <c r="M297" i="5"/>
  <c r="L297" i="5"/>
  <c r="K297" i="5"/>
  <c r="P296" i="5"/>
  <c r="O296" i="5"/>
  <c r="N296" i="5"/>
  <c r="M296" i="5"/>
  <c r="L296" i="5"/>
  <c r="K296" i="5"/>
  <c r="P295" i="5"/>
  <c r="O295" i="5"/>
  <c r="N295" i="5"/>
  <c r="M295" i="5"/>
  <c r="L295" i="5"/>
  <c r="K295" i="5"/>
  <c r="P294" i="5"/>
  <c r="O294" i="5"/>
  <c r="N294" i="5"/>
  <c r="M294" i="5"/>
  <c r="L294" i="5"/>
  <c r="K294" i="5"/>
  <c r="P293" i="5"/>
  <c r="O293" i="5"/>
  <c r="N293" i="5"/>
  <c r="M293" i="5"/>
  <c r="L293" i="5"/>
  <c r="K293" i="5"/>
  <c r="P292" i="5"/>
  <c r="O292" i="5"/>
  <c r="N292" i="5"/>
  <c r="M292" i="5"/>
  <c r="L292" i="5"/>
  <c r="K292" i="5"/>
  <c r="P291" i="5"/>
  <c r="O291" i="5"/>
  <c r="N291" i="5"/>
  <c r="M291" i="5"/>
  <c r="L291" i="5"/>
  <c r="K291" i="5"/>
  <c r="P290" i="5"/>
  <c r="O290" i="5"/>
  <c r="N290" i="5"/>
  <c r="M290" i="5"/>
  <c r="L290" i="5"/>
  <c r="K290" i="5"/>
  <c r="P289" i="5"/>
  <c r="O289" i="5"/>
  <c r="N289" i="5"/>
  <c r="M289" i="5"/>
  <c r="L289" i="5"/>
  <c r="K289" i="5"/>
  <c r="P288" i="5"/>
  <c r="O288" i="5"/>
  <c r="N288" i="5"/>
  <c r="M288" i="5"/>
  <c r="L288" i="5"/>
  <c r="K288" i="5"/>
  <c r="P287" i="5"/>
  <c r="O287" i="5"/>
  <c r="N287" i="5"/>
  <c r="M287" i="5"/>
  <c r="L287" i="5"/>
  <c r="K287" i="5"/>
  <c r="P286" i="5"/>
  <c r="O286" i="5"/>
  <c r="N286" i="5"/>
  <c r="M286" i="5"/>
  <c r="L286" i="5"/>
  <c r="K286" i="5"/>
  <c r="P285" i="5"/>
  <c r="O285" i="5"/>
  <c r="N285" i="5"/>
  <c r="M285" i="5"/>
  <c r="L285" i="5"/>
  <c r="K285" i="5"/>
  <c r="P284" i="5"/>
  <c r="O284" i="5"/>
  <c r="N284" i="5"/>
  <c r="M284" i="5"/>
  <c r="L284" i="5"/>
  <c r="K284" i="5"/>
  <c r="P283" i="5"/>
  <c r="O283" i="5"/>
  <c r="N283" i="5"/>
  <c r="M283" i="5"/>
  <c r="L283" i="5"/>
  <c r="K283" i="5"/>
  <c r="P282" i="5"/>
  <c r="O282" i="5"/>
  <c r="N282" i="5"/>
  <c r="M282" i="5"/>
  <c r="L282" i="5"/>
  <c r="K282" i="5"/>
  <c r="P281" i="5"/>
  <c r="O281" i="5"/>
  <c r="N281" i="5"/>
  <c r="M281" i="5"/>
  <c r="L281" i="5"/>
  <c r="K281" i="5"/>
  <c r="P280" i="5"/>
  <c r="O280" i="5"/>
  <c r="N280" i="5"/>
  <c r="M280" i="5"/>
  <c r="L280" i="5"/>
  <c r="K280" i="5"/>
  <c r="P279" i="5"/>
  <c r="O279" i="5"/>
  <c r="N279" i="5"/>
  <c r="M279" i="5"/>
  <c r="L279" i="5"/>
  <c r="K279" i="5"/>
  <c r="P278" i="5"/>
  <c r="O278" i="5"/>
  <c r="N278" i="5"/>
  <c r="M278" i="5"/>
  <c r="L278" i="5"/>
  <c r="K278" i="5"/>
  <c r="P277" i="5"/>
  <c r="O277" i="5"/>
  <c r="N277" i="5"/>
  <c r="M277" i="5"/>
  <c r="L277" i="5"/>
  <c r="K277" i="5"/>
  <c r="P276" i="5"/>
  <c r="O276" i="5"/>
  <c r="N276" i="5"/>
  <c r="M276" i="5"/>
  <c r="L276" i="5"/>
  <c r="K276" i="5"/>
  <c r="P275" i="5"/>
  <c r="O275" i="5"/>
  <c r="N275" i="5"/>
  <c r="M275" i="5"/>
  <c r="L275" i="5"/>
  <c r="K275" i="5"/>
  <c r="P274" i="5"/>
  <c r="O274" i="5"/>
  <c r="N274" i="5"/>
  <c r="M274" i="5"/>
  <c r="L274" i="5"/>
  <c r="K274" i="5"/>
  <c r="P273" i="5"/>
  <c r="O273" i="5"/>
  <c r="N273" i="5"/>
  <c r="M273" i="5"/>
  <c r="L273" i="5"/>
  <c r="K273" i="5"/>
  <c r="P272" i="5"/>
  <c r="O272" i="5"/>
  <c r="N272" i="5"/>
  <c r="M272" i="5"/>
  <c r="L272" i="5"/>
  <c r="K272" i="5"/>
  <c r="P271" i="5"/>
  <c r="O271" i="5"/>
  <c r="N271" i="5"/>
  <c r="M271" i="5"/>
  <c r="L271" i="5"/>
  <c r="K271" i="5"/>
  <c r="P270" i="5"/>
  <c r="O270" i="5"/>
  <c r="N270" i="5"/>
  <c r="M270" i="5"/>
  <c r="L270" i="5"/>
  <c r="K270" i="5"/>
  <c r="P269" i="5"/>
  <c r="O269" i="5"/>
  <c r="N269" i="5"/>
  <c r="M269" i="5"/>
  <c r="L269" i="5"/>
  <c r="K269" i="5"/>
  <c r="P268" i="5"/>
  <c r="O268" i="5"/>
  <c r="N268" i="5"/>
  <c r="M268" i="5"/>
  <c r="L268" i="5"/>
  <c r="K268" i="5"/>
  <c r="P267" i="5"/>
  <c r="O267" i="5"/>
  <c r="N267" i="5"/>
  <c r="M267" i="5"/>
  <c r="L267" i="5"/>
  <c r="K267" i="5"/>
  <c r="P266" i="5"/>
  <c r="O266" i="5"/>
  <c r="N266" i="5"/>
  <c r="M266" i="5"/>
  <c r="L266" i="5"/>
  <c r="K266" i="5"/>
  <c r="P265" i="5"/>
  <c r="O265" i="5"/>
  <c r="N265" i="5"/>
  <c r="M265" i="5"/>
  <c r="L265" i="5"/>
  <c r="K265" i="5"/>
  <c r="P264" i="5"/>
  <c r="O264" i="5"/>
  <c r="N264" i="5"/>
  <c r="M264" i="5"/>
  <c r="L264" i="5"/>
  <c r="K264" i="5"/>
  <c r="P263" i="5"/>
  <c r="O263" i="5"/>
  <c r="N263" i="5"/>
  <c r="M263" i="5"/>
  <c r="L263" i="5"/>
  <c r="K263" i="5"/>
  <c r="P262" i="5"/>
  <c r="O262" i="5"/>
  <c r="N262" i="5"/>
  <c r="M262" i="5"/>
  <c r="L262" i="5"/>
  <c r="K262" i="5"/>
  <c r="P261" i="5"/>
  <c r="O261" i="5"/>
  <c r="N261" i="5"/>
  <c r="M261" i="5"/>
  <c r="L261" i="5"/>
  <c r="K261" i="5"/>
  <c r="P260" i="5"/>
  <c r="O260" i="5"/>
  <c r="N260" i="5"/>
  <c r="M260" i="5"/>
  <c r="L260" i="5"/>
  <c r="K260" i="5"/>
  <c r="P259" i="5"/>
  <c r="O259" i="5"/>
  <c r="N259" i="5"/>
  <c r="M259" i="5"/>
  <c r="L259" i="5"/>
  <c r="K259" i="5"/>
  <c r="P258" i="5"/>
  <c r="O258" i="5"/>
  <c r="N258" i="5"/>
  <c r="M258" i="5"/>
  <c r="L258" i="5"/>
  <c r="K258" i="5"/>
  <c r="P257" i="5"/>
  <c r="O257" i="5"/>
  <c r="N257" i="5"/>
  <c r="M257" i="5"/>
  <c r="L257" i="5"/>
  <c r="K257" i="5"/>
  <c r="P256" i="5"/>
  <c r="O256" i="5"/>
  <c r="N256" i="5"/>
  <c r="M256" i="5"/>
  <c r="L256" i="5"/>
  <c r="K256" i="5"/>
  <c r="P255" i="5"/>
  <c r="O255" i="5"/>
  <c r="N255" i="5"/>
  <c r="M255" i="5"/>
  <c r="L255" i="5"/>
  <c r="K255" i="5"/>
  <c r="P254" i="5"/>
  <c r="O254" i="5"/>
  <c r="N254" i="5"/>
  <c r="M254" i="5"/>
  <c r="L254" i="5"/>
  <c r="K254" i="5"/>
  <c r="P253" i="5"/>
  <c r="O253" i="5"/>
  <c r="N253" i="5"/>
  <c r="M253" i="5"/>
  <c r="L253" i="5"/>
  <c r="K253" i="5"/>
  <c r="P252" i="5"/>
  <c r="O252" i="5"/>
  <c r="N252" i="5"/>
  <c r="M252" i="5"/>
  <c r="L252" i="5"/>
  <c r="K252" i="5"/>
  <c r="P251" i="5"/>
  <c r="O251" i="5"/>
  <c r="N251" i="5"/>
  <c r="M251" i="5"/>
  <c r="L251" i="5"/>
  <c r="K251" i="5"/>
  <c r="P250" i="5"/>
  <c r="O250" i="5"/>
  <c r="N250" i="5"/>
  <c r="M250" i="5"/>
  <c r="L250" i="5"/>
  <c r="K250" i="5"/>
  <c r="P249" i="5"/>
  <c r="O249" i="5"/>
  <c r="N249" i="5"/>
  <c r="M249" i="5"/>
  <c r="L249" i="5"/>
  <c r="K249" i="5"/>
  <c r="P248" i="5"/>
  <c r="O248" i="5"/>
  <c r="N248" i="5"/>
  <c r="M248" i="5"/>
  <c r="L248" i="5"/>
  <c r="K248" i="5"/>
  <c r="P247" i="5"/>
  <c r="O247" i="5"/>
  <c r="N247" i="5"/>
  <c r="M247" i="5"/>
  <c r="L247" i="5"/>
  <c r="K247" i="5"/>
  <c r="P246" i="5"/>
  <c r="O246" i="5"/>
  <c r="N246" i="5"/>
  <c r="M246" i="5"/>
  <c r="L246" i="5"/>
  <c r="K246" i="5"/>
  <c r="P245" i="5"/>
  <c r="O245" i="5"/>
  <c r="N245" i="5"/>
  <c r="M245" i="5"/>
  <c r="L245" i="5"/>
  <c r="K245" i="5"/>
  <c r="P244" i="5"/>
  <c r="O244" i="5"/>
  <c r="N244" i="5"/>
  <c r="M244" i="5"/>
  <c r="L244" i="5"/>
  <c r="K244" i="5"/>
  <c r="P243" i="5"/>
  <c r="O243" i="5"/>
  <c r="N243" i="5"/>
  <c r="M243" i="5"/>
  <c r="L243" i="5"/>
  <c r="K243" i="5"/>
  <c r="P242" i="5"/>
  <c r="O242" i="5"/>
  <c r="N242" i="5"/>
  <c r="M242" i="5"/>
  <c r="L242" i="5"/>
  <c r="K242" i="5"/>
  <c r="P241" i="5"/>
  <c r="O241" i="5"/>
  <c r="N241" i="5"/>
  <c r="M241" i="5"/>
  <c r="L241" i="5"/>
  <c r="K241" i="5"/>
  <c r="P240" i="5"/>
  <c r="O240" i="5"/>
  <c r="N240" i="5"/>
  <c r="M240" i="5"/>
  <c r="L240" i="5"/>
  <c r="K240" i="5"/>
  <c r="P239" i="5"/>
  <c r="O239" i="5"/>
  <c r="N239" i="5"/>
  <c r="M239" i="5"/>
  <c r="L239" i="5"/>
  <c r="K239" i="5"/>
  <c r="P238" i="5"/>
  <c r="O238" i="5"/>
  <c r="N238" i="5"/>
  <c r="M238" i="5"/>
  <c r="L238" i="5"/>
  <c r="K238" i="5"/>
  <c r="P237" i="5"/>
  <c r="O237" i="5"/>
  <c r="N237" i="5"/>
  <c r="M237" i="5"/>
  <c r="L237" i="5"/>
  <c r="K237" i="5"/>
  <c r="P236" i="5"/>
  <c r="O236" i="5"/>
  <c r="N236" i="5"/>
  <c r="M236" i="5"/>
  <c r="L236" i="5"/>
  <c r="K236" i="5"/>
  <c r="P235" i="5"/>
  <c r="O235" i="5"/>
  <c r="N235" i="5"/>
  <c r="M235" i="5"/>
  <c r="L235" i="5"/>
  <c r="K235" i="5"/>
  <c r="P234" i="5"/>
  <c r="O234" i="5"/>
  <c r="N234" i="5"/>
  <c r="M234" i="5"/>
  <c r="L234" i="5"/>
  <c r="K234" i="5"/>
  <c r="P233" i="5"/>
  <c r="O233" i="5"/>
  <c r="N233" i="5"/>
  <c r="M233" i="5"/>
  <c r="L233" i="5"/>
  <c r="K233" i="5"/>
  <c r="P232" i="5"/>
  <c r="O232" i="5"/>
  <c r="N232" i="5"/>
  <c r="M232" i="5"/>
  <c r="L232" i="5"/>
  <c r="K232" i="5"/>
  <c r="P231" i="5"/>
  <c r="O231" i="5"/>
  <c r="N231" i="5"/>
  <c r="M231" i="5"/>
  <c r="L231" i="5"/>
  <c r="K231" i="5"/>
  <c r="P230" i="5"/>
  <c r="O230" i="5"/>
  <c r="N230" i="5"/>
  <c r="M230" i="5"/>
  <c r="L230" i="5"/>
  <c r="K230" i="5"/>
  <c r="P229" i="5"/>
  <c r="O229" i="5"/>
  <c r="N229" i="5"/>
  <c r="M229" i="5"/>
  <c r="L229" i="5"/>
  <c r="K229" i="5"/>
  <c r="P228" i="5"/>
  <c r="O228" i="5"/>
  <c r="N228" i="5"/>
  <c r="M228" i="5"/>
  <c r="L228" i="5"/>
  <c r="K228" i="5"/>
  <c r="P227" i="5"/>
  <c r="O227" i="5"/>
  <c r="N227" i="5"/>
  <c r="M227" i="5"/>
  <c r="L227" i="5"/>
  <c r="K227" i="5"/>
  <c r="P226" i="5"/>
  <c r="O226" i="5"/>
  <c r="N226" i="5"/>
  <c r="M226" i="5"/>
  <c r="L226" i="5"/>
  <c r="K226" i="5"/>
  <c r="P225" i="5"/>
  <c r="O225" i="5"/>
  <c r="N225" i="5"/>
  <c r="M225" i="5"/>
  <c r="L225" i="5"/>
  <c r="K225" i="5"/>
  <c r="P224" i="5"/>
  <c r="O224" i="5"/>
  <c r="N224" i="5"/>
  <c r="M224" i="5"/>
  <c r="L224" i="5"/>
  <c r="K224" i="5"/>
  <c r="P223" i="5"/>
  <c r="O223" i="5"/>
  <c r="N223" i="5"/>
  <c r="M223" i="5"/>
  <c r="L223" i="5"/>
  <c r="K223" i="5"/>
  <c r="P222" i="5"/>
  <c r="O222" i="5"/>
  <c r="N222" i="5"/>
  <c r="M222" i="5"/>
  <c r="L222" i="5"/>
  <c r="K222" i="5"/>
  <c r="P221" i="5"/>
  <c r="O221" i="5"/>
  <c r="N221" i="5"/>
  <c r="M221" i="5"/>
  <c r="L221" i="5"/>
  <c r="K221" i="5"/>
  <c r="P220" i="5"/>
  <c r="O220" i="5"/>
  <c r="N220" i="5"/>
  <c r="M220" i="5"/>
  <c r="L220" i="5"/>
  <c r="K220" i="5"/>
  <c r="P219" i="5"/>
  <c r="O219" i="5"/>
  <c r="N219" i="5"/>
  <c r="M219" i="5"/>
  <c r="L219" i="5"/>
  <c r="K219" i="5"/>
  <c r="P218" i="5"/>
  <c r="O218" i="5"/>
  <c r="N218" i="5"/>
  <c r="M218" i="5"/>
  <c r="L218" i="5"/>
  <c r="K218" i="5"/>
  <c r="P217" i="5"/>
  <c r="O217" i="5"/>
  <c r="N217" i="5"/>
  <c r="M217" i="5"/>
  <c r="L217" i="5"/>
  <c r="K217" i="5"/>
  <c r="P216" i="5"/>
  <c r="O216" i="5"/>
  <c r="N216" i="5"/>
  <c r="M216" i="5"/>
  <c r="L216" i="5"/>
  <c r="K216" i="5"/>
  <c r="P215" i="5"/>
  <c r="O215" i="5"/>
  <c r="N215" i="5"/>
  <c r="M215" i="5"/>
  <c r="L215" i="5"/>
  <c r="K215" i="5"/>
  <c r="P214" i="5"/>
  <c r="O214" i="5"/>
  <c r="N214" i="5"/>
  <c r="M214" i="5"/>
  <c r="L214" i="5"/>
  <c r="K214" i="5"/>
  <c r="P213" i="5"/>
  <c r="O213" i="5"/>
  <c r="N213" i="5"/>
  <c r="M213" i="5"/>
  <c r="L213" i="5"/>
  <c r="K213" i="5"/>
  <c r="P212" i="5"/>
  <c r="O212" i="5"/>
  <c r="N212" i="5"/>
  <c r="M212" i="5"/>
  <c r="L212" i="5"/>
  <c r="K212" i="5"/>
  <c r="P211" i="5"/>
  <c r="O211" i="5"/>
  <c r="N211" i="5"/>
  <c r="M211" i="5"/>
  <c r="L211" i="5"/>
  <c r="K211" i="5"/>
  <c r="P210" i="5"/>
  <c r="O210" i="5"/>
  <c r="N210" i="5"/>
  <c r="M210" i="5"/>
  <c r="L210" i="5"/>
  <c r="K210" i="5"/>
  <c r="P209" i="5"/>
  <c r="O209" i="5"/>
  <c r="N209" i="5"/>
  <c r="M209" i="5"/>
  <c r="L209" i="5"/>
  <c r="K209" i="5"/>
  <c r="P208" i="5"/>
  <c r="O208" i="5"/>
  <c r="N208" i="5"/>
  <c r="M208" i="5"/>
  <c r="L208" i="5"/>
  <c r="K208" i="5"/>
  <c r="P207" i="5"/>
  <c r="O207" i="5"/>
  <c r="N207" i="5"/>
  <c r="M207" i="5"/>
  <c r="L207" i="5"/>
  <c r="K207" i="5"/>
  <c r="P206" i="5"/>
  <c r="O206" i="5"/>
  <c r="N206" i="5"/>
  <c r="M206" i="5"/>
  <c r="L206" i="5"/>
  <c r="K206" i="5"/>
  <c r="P205" i="5"/>
  <c r="O205" i="5"/>
  <c r="N205" i="5"/>
  <c r="M205" i="5"/>
  <c r="L205" i="5"/>
  <c r="K205" i="5"/>
  <c r="P204" i="5"/>
  <c r="O204" i="5"/>
  <c r="N204" i="5"/>
  <c r="M204" i="5"/>
  <c r="L204" i="5"/>
  <c r="K204" i="5"/>
  <c r="P203" i="5"/>
  <c r="O203" i="5"/>
  <c r="N203" i="5"/>
  <c r="M203" i="5"/>
  <c r="L203" i="5"/>
  <c r="K203" i="5"/>
  <c r="P202" i="5"/>
  <c r="O202" i="5"/>
  <c r="N202" i="5"/>
  <c r="M202" i="5"/>
  <c r="L202" i="5"/>
  <c r="K202" i="5"/>
  <c r="P201" i="5"/>
  <c r="O201" i="5"/>
  <c r="N201" i="5"/>
  <c r="M201" i="5"/>
  <c r="L201" i="5"/>
  <c r="K201" i="5"/>
  <c r="P200" i="5"/>
  <c r="O200" i="5"/>
  <c r="N200" i="5"/>
  <c r="M200" i="5"/>
  <c r="L200" i="5"/>
  <c r="K200" i="5"/>
  <c r="P199" i="5"/>
  <c r="O199" i="5"/>
  <c r="N199" i="5"/>
  <c r="M199" i="5"/>
  <c r="L199" i="5"/>
  <c r="K199" i="5"/>
  <c r="P198" i="5"/>
  <c r="O198" i="5"/>
  <c r="N198" i="5"/>
  <c r="M198" i="5"/>
  <c r="L198" i="5"/>
  <c r="K198" i="5"/>
  <c r="P197" i="5"/>
  <c r="O197" i="5"/>
  <c r="N197" i="5"/>
  <c r="M197" i="5"/>
  <c r="L197" i="5"/>
  <c r="K197" i="5"/>
  <c r="P196" i="5"/>
  <c r="O196" i="5"/>
  <c r="N196" i="5"/>
  <c r="M196" i="5"/>
  <c r="L196" i="5"/>
  <c r="K196" i="5"/>
  <c r="P195" i="5"/>
  <c r="O195" i="5"/>
  <c r="N195" i="5"/>
  <c r="M195" i="5"/>
  <c r="L195" i="5"/>
  <c r="K195" i="5"/>
  <c r="P194" i="5"/>
  <c r="O194" i="5"/>
  <c r="N194" i="5"/>
  <c r="M194" i="5"/>
  <c r="L194" i="5"/>
  <c r="K194" i="5"/>
  <c r="P193" i="5"/>
  <c r="O193" i="5"/>
  <c r="N193" i="5"/>
  <c r="M193" i="5"/>
  <c r="L193" i="5"/>
  <c r="K193" i="5"/>
  <c r="P192" i="5"/>
  <c r="O192" i="5"/>
  <c r="N192" i="5"/>
  <c r="M192" i="5"/>
  <c r="L192" i="5"/>
  <c r="K192" i="5"/>
  <c r="P191" i="5"/>
  <c r="O191" i="5"/>
  <c r="N191" i="5"/>
  <c r="M191" i="5"/>
  <c r="L191" i="5"/>
  <c r="K191" i="5"/>
  <c r="P190" i="5"/>
  <c r="O190" i="5"/>
  <c r="N190" i="5"/>
  <c r="M190" i="5"/>
  <c r="L190" i="5"/>
  <c r="K190" i="5"/>
  <c r="P189" i="5"/>
  <c r="O189" i="5"/>
  <c r="N189" i="5"/>
  <c r="M189" i="5"/>
  <c r="L189" i="5"/>
  <c r="K189" i="5"/>
  <c r="P188" i="5"/>
  <c r="O188" i="5"/>
  <c r="N188" i="5"/>
  <c r="M188" i="5"/>
  <c r="L188" i="5"/>
  <c r="K188" i="5"/>
  <c r="P187" i="5"/>
  <c r="O187" i="5"/>
  <c r="N187" i="5"/>
  <c r="M187" i="5"/>
  <c r="L187" i="5"/>
  <c r="K187" i="5"/>
  <c r="P186" i="5"/>
  <c r="O186" i="5"/>
  <c r="N186" i="5"/>
  <c r="M186" i="5"/>
  <c r="L186" i="5"/>
  <c r="K186" i="5"/>
  <c r="P185" i="5"/>
  <c r="O185" i="5"/>
  <c r="N185" i="5"/>
  <c r="M185" i="5"/>
  <c r="L185" i="5"/>
  <c r="K185" i="5"/>
  <c r="P184" i="5"/>
  <c r="O184" i="5"/>
  <c r="N184" i="5"/>
  <c r="M184" i="5"/>
  <c r="L184" i="5"/>
  <c r="K184" i="5"/>
  <c r="P183" i="5"/>
  <c r="O183" i="5"/>
  <c r="N183" i="5"/>
  <c r="M183" i="5"/>
  <c r="L183" i="5"/>
  <c r="K183" i="5"/>
  <c r="P182" i="5"/>
  <c r="O182" i="5"/>
  <c r="N182" i="5"/>
  <c r="M182" i="5"/>
  <c r="L182" i="5"/>
  <c r="K182" i="5"/>
  <c r="P181" i="5"/>
  <c r="O181" i="5"/>
  <c r="N181" i="5"/>
  <c r="M181" i="5"/>
  <c r="L181" i="5"/>
  <c r="K181" i="5"/>
  <c r="P180" i="5"/>
  <c r="O180" i="5"/>
  <c r="N180" i="5"/>
  <c r="M180" i="5"/>
  <c r="L180" i="5"/>
  <c r="K180" i="5"/>
  <c r="P179" i="5"/>
  <c r="O179" i="5"/>
  <c r="N179" i="5"/>
  <c r="M179" i="5"/>
  <c r="L179" i="5"/>
  <c r="K179" i="5"/>
  <c r="P178" i="5"/>
  <c r="O178" i="5"/>
  <c r="N178" i="5"/>
  <c r="M178" i="5"/>
  <c r="L178" i="5"/>
  <c r="K178" i="5"/>
  <c r="P177" i="5"/>
  <c r="O177" i="5"/>
  <c r="N177" i="5"/>
  <c r="M177" i="5"/>
  <c r="L177" i="5"/>
  <c r="K177" i="5"/>
  <c r="P176" i="5"/>
  <c r="O176" i="5"/>
  <c r="N176" i="5"/>
  <c r="M176" i="5"/>
  <c r="L176" i="5"/>
  <c r="K176" i="5"/>
  <c r="P175" i="5"/>
  <c r="O175" i="5"/>
  <c r="N175" i="5"/>
  <c r="M175" i="5"/>
  <c r="L175" i="5"/>
  <c r="K175" i="5"/>
  <c r="P174" i="5"/>
  <c r="O174" i="5"/>
  <c r="N174" i="5"/>
  <c r="M174" i="5"/>
  <c r="L174" i="5"/>
  <c r="K174" i="5"/>
  <c r="P173" i="5"/>
  <c r="O173" i="5"/>
  <c r="N173" i="5"/>
  <c r="M173" i="5"/>
  <c r="L173" i="5"/>
  <c r="K173" i="5"/>
  <c r="P172" i="5"/>
  <c r="O172" i="5"/>
  <c r="N172" i="5"/>
  <c r="M172" i="5"/>
  <c r="L172" i="5"/>
  <c r="K172" i="5"/>
  <c r="P171" i="5"/>
  <c r="O171" i="5"/>
  <c r="N171" i="5"/>
  <c r="M171" i="5"/>
  <c r="L171" i="5"/>
  <c r="K171" i="5"/>
  <c r="P170" i="5"/>
  <c r="O170" i="5"/>
  <c r="N170" i="5"/>
  <c r="M170" i="5"/>
  <c r="L170" i="5"/>
  <c r="K170" i="5"/>
  <c r="P169" i="5"/>
  <c r="O169" i="5"/>
  <c r="N169" i="5"/>
  <c r="M169" i="5"/>
  <c r="L169" i="5"/>
  <c r="K169" i="5"/>
  <c r="P168" i="5"/>
  <c r="O168" i="5"/>
  <c r="N168" i="5"/>
  <c r="M168" i="5"/>
  <c r="L168" i="5"/>
  <c r="K168" i="5"/>
  <c r="P167" i="5"/>
  <c r="O167" i="5"/>
  <c r="N167" i="5"/>
  <c r="M167" i="5"/>
  <c r="L167" i="5"/>
  <c r="K167" i="5"/>
  <c r="P166" i="5"/>
  <c r="O166" i="5"/>
  <c r="N166" i="5"/>
  <c r="M166" i="5"/>
  <c r="L166" i="5"/>
  <c r="K166" i="5"/>
  <c r="P165" i="5"/>
  <c r="O165" i="5"/>
  <c r="N165" i="5"/>
  <c r="M165" i="5"/>
  <c r="L165" i="5"/>
  <c r="K165" i="5"/>
  <c r="P164" i="5"/>
  <c r="O164" i="5"/>
  <c r="N164" i="5"/>
  <c r="M164" i="5"/>
  <c r="L164" i="5"/>
  <c r="K164" i="5"/>
  <c r="P163" i="5"/>
  <c r="O163" i="5"/>
  <c r="N163" i="5"/>
  <c r="M163" i="5"/>
  <c r="L163" i="5"/>
  <c r="K163" i="5"/>
  <c r="P162" i="5"/>
  <c r="O162" i="5"/>
  <c r="N162" i="5"/>
  <c r="M162" i="5"/>
  <c r="L162" i="5"/>
  <c r="K162" i="5"/>
  <c r="P161" i="5"/>
  <c r="O161" i="5"/>
  <c r="N161" i="5"/>
  <c r="M161" i="5"/>
  <c r="L161" i="5"/>
  <c r="K161" i="5"/>
  <c r="P160" i="5"/>
  <c r="O160" i="5"/>
  <c r="N160" i="5"/>
  <c r="M160" i="5"/>
  <c r="L160" i="5"/>
  <c r="K160" i="5"/>
  <c r="P159" i="5"/>
  <c r="O159" i="5"/>
  <c r="N159" i="5"/>
  <c r="M159" i="5"/>
  <c r="L159" i="5"/>
  <c r="K159" i="5"/>
  <c r="P158" i="5"/>
  <c r="O158" i="5"/>
  <c r="N158" i="5"/>
  <c r="M158" i="5"/>
  <c r="L158" i="5"/>
  <c r="K158" i="5"/>
  <c r="P157" i="5"/>
  <c r="O157" i="5"/>
  <c r="N157" i="5"/>
  <c r="M157" i="5"/>
  <c r="L157" i="5"/>
  <c r="K157" i="5"/>
  <c r="P156" i="5"/>
  <c r="O156" i="5"/>
  <c r="N156" i="5"/>
  <c r="M156" i="5"/>
  <c r="L156" i="5"/>
  <c r="K156" i="5"/>
  <c r="P155" i="5"/>
  <c r="O155" i="5"/>
  <c r="N155" i="5"/>
  <c r="M155" i="5"/>
  <c r="L155" i="5"/>
  <c r="K155" i="5"/>
  <c r="P154" i="5"/>
  <c r="O154" i="5"/>
  <c r="N154" i="5"/>
  <c r="M154" i="5"/>
  <c r="L154" i="5"/>
  <c r="K154" i="5"/>
  <c r="P153" i="5"/>
  <c r="O153" i="5"/>
  <c r="N153" i="5"/>
  <c r="M153" i="5"/>
  <c r="L153" i="5"/>
  <c r="K153" i="5"/>
  <c r="P152" i="5"/>
  <c r="O152" i="5"/>
  <c r="N152" i="5"/>
  <c r="M152" i="5"/>
  <c r="L152" i="5"/>
  <c r="K152" i="5"/>
  <c r="P151" i="5"/>
  <c r="O151" i="5"/>
  <c r="N151" i="5"/>
  <c r="M151" i="5"/>
  <c r="L151" i="5"/>
  <c r="K151" i="5"/>
  <c r="P150" i="5"/>
  <c r="O150" i="5"/>
  <c r="N150" i="5"/>
  <c r="M150" i="5"/>
  <c r="L150" i="5"/>
  <c r="K150" i="5"/>
  <c r="P149" i="5"/>
  <c r="O149" i="5"/>
  <c r="N149" i="5"/>
  <c r="M149" i="5"/>
  <c r="L149" i="5"/>
  <c r="K149" i="5"/>
  <c r="P148" i="5"/>
  <c r="O148" i="5"/>
  <c r="N148" i="5"/>
  <c r="M148" i="5"/>
  <c r="L148" i="5"/>
  <c r="K148" i="5"/>
  <c r="P147" i="5"/>
  <c r="O147" i="5"/>
  <c r="N147" i="5"/>
  <c r="M147" i="5"/>
  <c r="L147" i="5"/>
  <c r="K147" i="5"/>
  <c r="P146" i="5"/>
  <c r="O146" i="5"/>
  <c r="N146" i="5"/>
  <c r="M146" i="5"/>
  <c r="L146" i="5"/>
  <c r="K146" i="5"/>
  <c r="P145" i="5"/>
  <c r="O145" i="5"/>
  <c r="N145" i="5"/>
  <c r="M145" i="5"/>
  <c r="L145" i="5"/>
  <c r="K145" i="5"/>
  <c r="P144" i="5"/>
  <c r="O144" i="5"/>
  <c r="N144" i="5"/>
  <c r="M144" i="5"/>
  <c r="L144" i="5"/>
  <c r="K144" i="5"/>
  <c r="P143" i="5"/>
  <c r="O143" i="5"/>
  <c r="N143" i="5"/>
  <c r="M143" i="5"/>
  <c r="L143" i="5"/>
  <c r="K143" i="5"/>
  <c r="P142" i="5"/>
  <c r="O142" i="5"/>
  <c r="N142" i="5"/>
  <c r="M142" i="5"/>
  <c r="L142" i="5"/>
  <c r="K142" i="5"/>
  <c r="P141" i="5"/>
  <c r="O141" i="5"/>
  <c r="N141" i="5"/>
  <c r="M141" i="5"/>
  <c r="L141" i="5"/>
  <c r="K141" i="5"/>
  <c r="P140" i="5"/>
  <c r="O140" i="5"/>
  <c r="N140" i="5"/>
  <c r="M140" i="5"/>
  <c r="L140" i="5"/>
  <c r="K140" i="5"/>
  <c r="P139" i="5"/>
  <c r="O139" i="5"/>
  <c r="N139" i="5"/>
  <c r="M139" i="5"/>
  <c r="L139" i="5"/>
  <c r="K139" i="5"/>
  <c r="P138" i="5"/>
  <c r="O138" i="5"/>
  <c r="N138" i="5"/>
  <c r="M138" i="5"/>
  <c r="L138" i="5"/>
  <c r="K138" i="5"/>
  <c r="P137" i="5"/>
  <c r="O137" i="5"/>
  <c r="N137" i="5"/>
  <c r="M137" i="5"/>
  <c r="L137" i="5"/>
  <c r="K137" i="5"/>
  <c r="P136" i="5"/>
  <c r="O136" i="5"/>
  <c r="N136" i="5"/>
  <c r="M136" i="5"/>
  <c r="L136" i="5"/>
  <c r="K136" i="5"/>
  <c r="P135" i="5"/>
  <c r="O135" i="5"/>
  <c r="N135" i="5"/>
  <c r="M135" i="5"/>
  <c r="L135" i="5"/>
  <c r="K135" i="5"/>
  <c r="P134" i="5"/>
  <c r="O134" i="5"/>
  <c r="N134" i="5"/>
  <c r="M134" i="5"/>
  <c r="L134" i="5"/>
  <c r="K134" i="5"/>
  <c r="P133" i="5"/>
  <c r="O133" i="5"/>
  <c r="N133" i="5"/>
  <c r="M133" i="5"/>
  <c r="L133" i="5"/>
  <c r="K133" i="5"/>
  <c r="P132" i="5"/>
  <c r="O132" i="5"/>
  <c r="N132" i="5"/>
  <c r="M132" i="5"/>
  <c r="L132" i="5"/>
  <c r="K132" i="5"/>
  <c r="P131" i="5"/>
  <c r="O131" i="5"/>
  <c r="N131" i="5"/>
  <c r="M131" i="5"/>
  <c r="L131" i="5"/>
  <c r="K131" i="5"/>
  <c r="P130" i="5"/>
  <c r="O130" i="5"/>
  <c r="N130" i="5"/>
  <c r="M130" i="5"/>
  <c r="L130" i="5"/>
  <c r="K130" i="5"/>
  <c r="P129" i="5"/>
  <c r="O129" i="5"/>
  <c r="N129" i="5"/>
  <c r="M129" i="5"/>
  <c r="L129" i="5"/>
  <c r="K129" i="5"/>
  <c r="P128" i="5"/>
  <c r="O128" i="5"/>
  <c r="N128" i="5"/>
  <c r="M128" i="5"/>
  <c r="L128" i="5"/>
  <c r="K128" i="5"/>
  <c r="P127" i="5"/>
  <c r="O127" i="5"/>
  <c r="N127" i="5"/>
  <c r="M127" i="5"/>
  <c r="L127" i="5"/>
  <c r="K127" i="5"/>
  <c r="P126" i="5"/>
  <c r="O126" i="5"/>
  <c r="N126" i="5"/>
  <c r="M126" i="5"/>
  <c r="L126" i="5"/>
  <c r="K126" i="5"/>
  <c r="P125" i="5"/>
  <c r="O125" i="5"/>
  <c r="N125" i="5"/>
  <c r="M125" i="5"/>
  <c r="L125" i="5"/>
  <c r="K125" i="5"/>
  <c r="P124" i="5"/>
  <c r="O124" i="5"/>
  <c r="N124" i="5"/>
  <c r="M124" i="5"/>
  <c r="L124" i="5"/>
  <c r="K124" i="5"/>
  <c r="P123" i="5"/>
  <c r="O123" i="5"/>
  <c r="N123" i="5"/>
  <c r="M123" i="5"/>
  <c r="L123" i="5"/>
  <c r="K123" i="5"/>
  <c r="P122" i="5"/>
  <c r="O122" i="5"/>
  <c r="N122" i="5"/>
  <c r="M122" i="5"/>
  <c r="L122" i="5"/>
  <c r="K122" i="5"/>
  <c r="P121" i="5"/>
  <c r="O121" i="5"/>
  <c r="N121" i="5"/>
  <c r="M121" i="5"/>
  <c r="L121" i="5"/>
  <c r="K121" i="5"/>
  <c r="P120" i="5"/>
  <c r="O120" i="5"/>
  <c r="N120" i="5"/>
  <c r="M120" i="5"/>
  <c r="L120" i="5"/>
  <c r="K120" i="5"/>
  <c r="P119" i="5"/>
  <c r="O119" i="5"/>
  <c r="N119" i="5"/>
  <c r="M119" i="5"/>
  <c r="L119" i="5"/>
  <c r="K119" i="5"/>
  <c r="P118" i="5"/>
  <c r="O118" i="5"/>
  <c r="N118" i="5"/>
  <c r="M118" i="5"/>
  <c r="L118" i="5"/>
  <c r="K118" i="5"/>
  <c r="P117" i="5"/>
  <c r="O117" i="5"/>
  <c r="N117" i="5"/>
  <c r="M117" i="5"/>
  <c r="L117" i="5"/>
  <c r="K117" i="5"/>
  <c r="P116" i="5"/>
  <c r="O116" i="5"/>
  <c r="N116" i="5"/>
  <c r="M116" i="5"/>
  <c r="L116" i="5"/>
  <c r="K116" i="5"/>
  <c r="P115" i="5"/>
  <c r="O115" i="5"/>
  <c r="N115" i="5"/>
  <c r="M115" i="5"/>
  <c r="L115" i="5"/>
  <c r="K115" i="5"/>
  <c r="P114" i="5"/>
  <c r="O114" i="5"/>
  <c r="N114" i="5"/>
  <c r="M114" i="5"/>
  <c r="L114" i="5"/>
  <c r="K114" i="5"/>
  <c r="P113" i="5"/>
  <c r="O113" i="5"/>
  <c r="N113" i="5"/>
  <c r="M113" i="5"/>
  <c r="L113" i="5"/>
  <c r="K113" i="5"/>
  <c r="P112" i="5"/>
  <c r="O112" i="5"/>
  <c r="N112" i="5"/>
  <c r="M112" i="5"/>
  <c r="L112" i="5"/>
  <c r="K112" i="5"/>
  <c r="P111" i="5"/>
  <c r="O111" i="5"/>
  <c r="N111" i="5"/>
  <c r="M111" i="5"/>
  <c r="L111" i="5"/>
  <c r="K111" i="5"/>
  <c r="P110" i="5"/>
  <c r="O110" i="5"/>
  <c r="N110" i="5"/>
  <c r="M110" i="5"/>
  <c r="L110" i="5"/>
  <c r="K110" i="5"/>
  <c r="P109" i="5"/>
  <c r="O109" i="5"/>
  <c r="N109" i="5"/>
  <c r="M109" i="5"/>
  <c r="L109" i="5"/>
  <c r="K109" i="5"/>
  <c r="P108" i="5"/>
  <c r="O108" i="5"/>
  <c r="N108" i="5"/>
  <c r="M108" i="5"/>
  <c r="L108" i="5"/>
  <c r="K108" i="5"/>
  <c r="P107" i="5"/>
  <c r="O107" i="5"/>
  <c r="N107" i="5"/>
  <c r="M107" i="5"/>
  <c r="L107" i="5"/>
  <c r="K107" i="5"/>
  <c r="P106" i="5"/>
  <c r="O106" i="5"/>
  <c r="N106" i="5"/>
  <c r="M106" i="5"/>
  <c r="L106" i="5"/>
  <c r="K106" i="5"/>
  <c r="P105" i="5"/>
  <c r="O105" i="5"/>
  <c r="N105" i="5"/>
  <c r="M105" i="5"/>
  <c r="L105" i="5"/>
  <c r="K105" i="5"/>
  <c r="P104" i="5"/>
  <c r="O104" i="5"/>
  <c r="N104" i="5"/>
  <c r="M104" i="5"/>
  <c r="L104" i="5"/>
  <c r="K104" i="5"/>
  <c r="P103" i="5"/>
  <c r="O103" i="5"/>
  <c r="N103" i="5"/>
  <c r="M103" i="5"/>
  <c r="L103" i="5"/>
  <c r="K103" i="5"/>
  <c r="P102" i="5"/>
  <c r="O102" i="5"/>
  <c r="N102" i="5"/>
  <c r="M102" i="5"/>
  <c r="L102" i="5"/>
  <c r="K102" i="5"/>
  <c r="P101" i="5"/>
  <c r="O101" i="5"/>
  <c r="N101" i="5"/>
  <c r="M101" i="5"/>
  <c r="L101" i="5"/>
  <c r="K101" i="5"/>
  <c r="P100" i="5"/>
  <c r="O100" i="5"/>
  <c r="N100" i="5"/>
  <c r="M100" i="5"/>
  <c r="L100" i="5"/>
  <c r="K100" i="5"/>
  <c r="P99" i="5"/>
  <c r="O99" i="5"/>
  <c r="N99" i="5"/>
  <c r="M99" i="5"/>
  <c r="L99" i="5"/>
  <c r="K99" i="5"/>
  <c r="P98" i="5"/>
  <c r="O98" i="5"/>
  <c r="N98" i="5"/>
  <c r="M98" i="5"/>
  <c r="L98" i="5"/>
  <c r="K98" i="5"/>
  <c r="P97" i="5"/>
  <c r="O97" i="5"/>
  <c r="N97" i="5"/>
  <c r="M97" i="5"/>
  <c r="L97" i="5"/>
  <c r="K97" i="5"/>
  <c r="P96" i="5"/>
  <c r="O96" i="5"/>
  <c r="N96" i="5"/>
  <c r="M96" i="5"/>
  <c r="L96" i="5"/>
  <c r="K96" i="5"/>
  <c r="P95" i="5"/>
  <c r="O95" i="5"/>
  <c r="N95" i="5"/>
  <c r="M95" i="5"/>
  <c r="L95" i="5"/>
  <c r="K95" i="5"/>
  <c r="P94" i="5"/>
  <c r="O94" i="5"/>
  <c r="N94" i="5"/>
  <c r="M94" i="5"/>
  <c r="L94" i="5"/>
  <c r="K94" i="5"/>
  <c r="P93" i="5"/>
  <c r="O93" i="5"/>
  <c r="N93" i="5"/>
  <c r="M93" i="5"/>
  <c r="L93" i="5"/>
  <c r="K93" i="5"/>
  <c r="P92" i="5"/>
  <c r="O92" i="5"/>
  <c r="N92" i="5"/>
  <c r="M92" i="5"/>
  <c r="L92" i="5"/>
  <c r="K92" i="5"/>
  <c r="P91" i="5"/>
  <c r="O91" i="5"/>
  <c r="N91" i="5"/>
  <c r="M91" i="5"/>
  <c r="L91" i="5"/>
  <c r="K91" i="5"/>
  <c r="P90" i="5"/>
  <c r="O90" i="5"/>
  <c r="N90" i="5"/>
  <c r="M90" i="5"/>
  <c r="L90" i="5"/>
  <c r="K90" i="5"/>
  <c r="P89" i="5"/>
  <c r="O89" i="5"/>
  <c r="N89" i="5"/>
  <c r="M89" i="5"/>
  <c r="L89" i="5"/>
  <c r="K89" i="5"/>
  <c r="P88" i="5"/>
  <c r="O88" i="5"/>
  <c r="N88" i="5"/>
  <c r="M88" i="5"/>
  <c r="L88" i="5"/>
  <c r="K88" i="5"/>
  <c r="P87" i="5"/>
  <c r="O87" i="5"/>
  <c r="N87" i="5"/>
  <c r="M87" i="5"/>
  <c r="L87" i="5"/>
  <c r="K87" i="5"/>
  <c r="P86" i="5"/>
  <c r="O86" i="5"/>
  <c r="N86" i="5"/>
  <c r="M86" i="5"/>
  <c r="L86" i="5"/>
  <c r="K86" i="5"/>
  <c r="P85" i="5"/>
  <c r="O85" i="5"/>
  <c r="N85" i="5"/>
  <c r="M85" i="5"/>
  <c r="L85" i="5"/>
  <c r="K85" i="5"/>
  <c r="P84" i="5"/>
  <c r="O84" i="5"/>
  <c r="N84" i="5"/>
  <c r="M84" i="5"/>
  <c r="L84" i="5"/>
  <c r="K84" i="5"/>
  <c r="P83" i="5"/>
  <c r="O83" i="5"/>
  <c r="N83" i="5"/>
  <c r="M83" i="5"/>
  <c r="L83" i="5"/>
  <c r="K83" i="5"/>
  <c r="P82" i="5"/>
  <c r="O82" i="5"/>
  <c r="N82" i="5"/>
  <c r="M82" i="5"/>
  <c r="L82" i="5"/>
  <c r="K82" i="5"/>
  <c r="P81" i="5"/>
  <c r="O81" i="5"/>
  <c r="N81" i="5"/>
  <c r="M81" i="5"/>
  <c r="L81" i="5"/>
  <c r="K81" i="5"/>
  <c r="P80" i="5"/>
  <c r="O80" i="5"/>
  <c r="N80" i="5"/>
  <c r="M80" i="5"/>
  <c r="L80" i="5"/>
  <c r="K80" i="5"/>
  <c r="P79" i="5"/>
  <c r="O79" i="5"/>
  <c r="N79" i="5"/>
  <c r="M79" i="5"/>
  <c r="L79" i="5"/>
  <c r="K79" i="5"/>
  <c r="P78" i="5"/>
  <c r="O78" i="5"/>
  <c r="N78" i="5"/>
  <c r="M78" i="5"/>
  <c r="L78" i="5"/>
  <c r="K78" i="5"/>
  <c r="P77" i="5"/>
  <c r="O77" i="5"/>
  <c r="N77" i="5"/>
  <c r="M77" i="5"/>
  <c r="L77" i="5"/>
  <c r="K77" i="5"/>
  <c r="P76" i="5"/>
  <c r="O76" i="5"/>
  <c r="N76" i="5"/>
  <c r="M76" i="5"/>
  <c r="L76" i="5"/>
  <c r="K76" i="5"/>
  <c r="P75" i="5"/>
  <c r="O75" i="5"/>
  <c r="N75" i="5"/>
  <c r="M75" i="5"/>
  <c r="L75" i="5"/>
  <c r="K75" i="5"/>
  <c r="P74" i="5"/>
  <c r="O74" i="5"/>
  <c r="N74" i="5"/>
  <c r="M74" i="5"/>
  <c r="L74" i="5"/>
  <c r="K74" i="5"/>
  <c r="P73" i="5"/>
  <c r="O73" i="5"/>
  <c r="N73" i="5"/>
  <c r="M73" i="5"/>
  <c r="L73" i="5"/>
  <c r="K73" i="5"/>
  <c r="P72" i="5"/>
  <c r="O72" i="5"/>
  <c r="N72" i="5"/>
  <c r="M72" i="5"/>
  <c r="L72" i="5"/>
  <c r="K72" i="5"/>
  <c r="P71" i="5"/>
  <c r="O71" i="5"/>
  <c r="N71" i="5"/>
  <c r="M71" i="5"/>
  <c r="L71" i="5"/>
  <c r="K71" i="5"/>
  <c r="P70" i="5"/>
  <c r="O70" i="5"/>
  <c r="N70" i="5"/>
  <c r="M70" i="5"/>
  <c r="L70" i="5"/>
  <c r="K70" i="5"/>
  <c r="P69" i="5"/>
  <c r="O69" i="5"/>
  <c r="N69" i="5"/>
  <c r="M69" i="5"/>
  <c r="L69" i="5"/>
  <c r="K69" i="5"/>
  <c r="P68" i="5"/>
  <c r="O68" i="5"/>
  <c r="N68" i="5"/>
  <c r="M68" i="5"/>
  <c r="L68" i="5"/>
  <c r="K68" i="5"/>
  <c r="P67" i="5"/>
  <c r="O67" i="5"/>
  <c r="N67" i="5"/>
  <c r="M67" i="5"/>
  <c r="L67" i="5"/>
  <c r="K67" i="5"/>
  <c r="P66" i="5"/>
  <c r="O66" i="5"/>
  <c r="N66" i="5"/>
  <c r="M66" i="5"/>
  <c r="L66" i="5"/>
  <c r="K66" i="5"/>
  <c r="P65" i="5"/>
  <c r="O65" i="5"/>
  <c r="N65" i="5"/>
  <c r="M65" i="5"/>
  <c r="L65" i="5"/>
  <c r="K65" i="5"/>
  <c r="P64" i="5"/>
  <c r="O64" i="5"/>
  <c r="N64" i="5"/>
  <c r="M64" i="5"/>
  <c r="L64" i="5"/>
  <c r="K64" i="5"/>
  <c r="P63" i="5"/>
  <c r="O63" i="5"/>
  <c r="N63" i="5"/>
  <c r="M63" i="5"/>
  <c r="L63" i="5"/>
  <c r="K63" i="5"/>
  <c r="P62" i="5"/>
  <c r="O62" i="5"/>
  <c r="N62" i="5"/>
  <c r="M62" i="5"/>
  <c r="L62" i="5"/>
  <c r="K62" i="5"/>
  <c r="P61" i="5"/>
  <c r="O61" i="5"/>
  <c r="N61" i="5"/>
  <c r="M61" i="5"/>
  <c r="L61" i="5"/>
  <c r="K61" i="5"/>
  <c r="P60" i="5"/>
  <c r="O60" i="5"/>
  <c r="N60" i="5"/>
  <c r="M60" i="5"/>
  <c r="L60" i="5"/>
  <c r="K60" i="5"/>
  <c r="P59" i="5"/>
  <c r="O59" i="5"/>
  <c r="N59" i="5"/>
  <c r="M59" i="5"/>
  <c r="L59" i="5"/>
  <c r="K59" i="5"/>
  <c r="P58" i="5"/>
  <c r="O58" i="5"/>
  <c r="N58" i="5"/>
  <c r="M58" i="5"/>
  <c r="L58" i="5"/>
  <c r="K58" i="5"/>
  <c r="P57" i="5"/>
  <c r="O57" i="5"/>
  <c r="N57" i="5"/>
  <c r="M57" i="5"/>
  <c r="L57" i="5"/>
  <c r="K57" i="5"/>
  <c r="P56" i="5"/>
  <c r="O56" i="5"/>
  <c r="N56" i="5"/>
  <c r="M56" i="5"/>
  <c r="L56" i="5"/>
  <c r="K56" i="5"/>
  <c r="P55" i="5"/>
  <c r="O55" i="5"/>
  <c r="N55" i="5"/>
  <c r="M55" i="5"/>
  <c r="L55" i="5"/>
  <c r="K55" i="5"/>
  <c r="P54" i="5"/>
  <c r="O54" i="5"/>
  <c r="N54" i="5"/>
  <c r="M54" i="5"/>
  <c r="L54" i="5"/>
  <c r="K54" i="5"/>
  <c r="P53" i="5"/>
  <c r="O53" i="5"/>
  <c r="N53" i="5"/>
  <c r="M53" i="5"/>
  <c r="L53" i="5"/>
  <c r="K53" i="5"/>
  <c r="P52" i="5"/>
  <c r="O52" i="5"/>
  <c r="N52" i="5"/>
  <c r="M52" i="5"/>
  <c r="L52" i="5"/>
  <c r="K52" i="5"/>
  <c r="P51" i="5"/>
  <c r="O51" i="5"/>
  <c r="N51" i="5"/>
  <c r="M51" i="5"/>
  <c r="L51" i="5"/>
  <c r="K51" i="5"/>
  <c r="P50" i="5"/>
  <c r="O50" i="5"/>
  <c r="N50" i="5"/>
  <c r="M50" i="5"/>
  <c r="L50" i="5"/>
  <c r="K50" i="5"/>
  <c r="P49" i="5"/>
  <c r="O49" i="5"/>
  <c r="N49" i="5"/>
  <c r="M49" i="5"/>
  <c r="L49" i="5"/>
  <c r="K49" i="5"/>
  <c r="P48" i="5"/>
  <c r="O48" i="5"/>
  <c r="N48" i="5"/>
  <c r="M48" i="5"/>
  <c r="L48" i="5"/>
  <c r="K48" i="5"/>
  <c r="P47" i="5"/>
  <c r="O47" i="5"/>
  <c r="N47" i="5"/>
  <c r="M47" i="5"/>
  <c r="L47" i="5"/>
  <c r="K47" i="5"/>
  <c r="P46" i="5"/>
  <c r="O46" i="5"/>
  <c r="N46" i="5"/>
  <c r="M46" i="5"/>
  <c r="L46" i="5"/>
  <c r="K46" i="5"/>
  <c r="P45" i="5"/>
  <c r="O45" i="5"/>
  <c r="N45" i="5"/>
  <c r="M45" i="5"/>
  <c r="L45" i="5"/>
  <c r="K45" i="5"/>
  <c r="P44" i="5"/>
  <c r="O44" i="5"/>
  <c r="N44" i="5"/>
  <c r="M44" i="5"/>
  <c r="L44" i="5"/>
  <c r="K44" i="5"/>
  <c r="P43" i="5"/>
  <c r="O43" i="5"/>
  <c r="N43" i="5"/>
  <c r="M43" i="5"/>
  <c r="L43" i="5"/>
  <c r="K43" i="5"/>
  <c r="P42" i="5"/>
  <c r="O42" i="5"/>
  <c r="N42" i="5"/>
  <c r="M42" i="5"/>
  <c r="L42" i="5"/>
  <c r="K42" i="5"/>
  <c r="P41" i="5"/>
  <c r="O41" i="5"/>
  <c r="N41" i="5"/>
  <c r="M41" i="5"/>
  <c r="L41" i="5"/>
  <c r="K41" i="5"/>
  <c r="P40" i="5"/>
  <c r="O40" i="5"/>
  <c r="N40" i="5"/>
  <c r="M40" i="5"/>
  <c r="L40" i="5"/>
  <c r="K40" i="5"/>
  <c r="P39" i="5"/>
  <c r="O39" i="5"/>
  <c r="N39" i="5"/>
  <c r="M39" i="5"/>
  <c r="L39" i="5"/>
  <c r="K39" i="5"/>
  <c r="P38" i="5"/>
  <c r="O38" i="5"/>
  <c r="N38" i="5"/>
  <c r="M38" i="5"/>
  <c r="L38" i="5"/>
  <c r="K38" i="5"/>
  <c r="P37" i="5"/>
  <c r="O37" i="5"/>
  <c r="N37" i="5"/>
  <c r="M37" i="5"/>
  <c r="L37" i="5"/>
  <c r="K37" i="5"/>
  <c r="P36" i="5"/>
  <c r="O36" i="5"/>
  <c r="N36" i="5"/>
  <c r="M36" i="5"/>
  <c r="L36" i="5"/>
  <c r="K36" i="5"/>
  <c r="P35" i="5"/>
  <c r="O35" i="5"/>
  <c r="N35" i="5"/>
  <c r="M35" i="5"/>
  <c r="L35" i="5"/>
  <c r="K35" i="5"/>
  <c r="P34" i="5"/>
  <c r="O34" i="5"/>
  <c r="N34" i="5"/>
  <c r="M34" i="5"/>
  <c r="L34" i="5"/>
  <c r="K34" i="5"/>
  <c r="P33" i="5"/>
  <c r="O33" i="5"/>
  <c r="N33" i="5"/>
  <c r="M33" i="5"/>
  <c r="L33" i="5"/>
  <c r="K33" i="5"/>
  <c r="P32" i="5"/>
  <c r="O32" i="5"/>
  <c r="N32" i="5"/>
  <c r="M32" i="5"/>
  <c r="L32" i="5"/>
  <c r="K32" i="5"/>
  <c r="P31" i="5"/>
  <c r="O31" i="5"/>
  <c r="N31" i="5"/>
  <c r="M31" i="5"/>
  <c r="L31" i="5"/>
  <c r="K31" i="5"/>
  <c r="P30" i="5"/>
  <c r="O30" i="5"/>
  <c r="N30" i="5"/>
  <c r="M30" i="5"/>
  <c r="L30" i="5"/>
  <c r="K30" i="5"/>
  <c r="P29" i="5"/>
  <c r="O29" i="5"/>
  <c r="N29" i="5"/>
  <c r="M29" i="5"/>
  <c r="L29" i="5"/>
  <c r="K29" i="5"/>
  <c r="P28" i="5"/>
  <c r="O28" i="5"/>
  <c r="N28" i="5"/>
  <c r="M28" i="5"/>
  <c r="L28" i="5"/>
  <c r="K28" i="5"/>
  <c r="P27" i="5"/>
  <c r="O27" i="5"/>
  <c r="N27" i="5"/>
  <c r="M27" i="5"/>
  <c r="L27" i="5"/>
  <c r="K27" i="5"/>
  <c r="P26" i="5"/>
  <c r="O26" i="5"/>
  <c r="N26" i="5"/>
  <c r="M26" i="5"/>
  <c r="L26" i="5"/>
  <c r="K26" i="5"/>
  <c r="P25" i="5"/>
  <c r="O25" i="5"/>
  <c r="N25" i="5"/>
  <c r="M25" i="5"/>
  <c r="L25" i="5"/>
  <c r="K25" i="5"/>
  <c r="E9" i="5"/>
  <c r="E8" i="5" s="1"/>
  <c r="Q6" i="1"/>
  <c r="O6" i="1"/>
  <c r="Q5" i="1"/>
  <c r="O5" i="1"/>
  <c r="K902" i="1"/>
  <c r="K873" i="1"/>
  <c r="E7" i="5"/>
  <c r="E12" i="5" l="1"/>
  <c r="E11" i="5" s="1"/>
  <c r="E20" i="5"/>
  <c r="E13" i="5" s="1"/>
  <c r="E6" i="5"/>
  <c r="L1098" i="1" l="1"/>
  <c r="M1098" i="1"/>
  <c r="N1098" i="1"/>
  <c r="O1098" i="1"/>
  <c r="P1098" i="1"/>
  <c r="L1099" i="1"/>
  <c r="M1099" i="1"/>
  <c r="N1099" i="1"/>
  <c r="O1099" i="1"/>
  <c r="P1099" i="1"/>
  <c r="L1100" i="1"/>
  <c r="M1100" i="1"/>
  <c r="N1100" i="1"/>
  <c r="O1100" i="1"/>
  <c r="P1100" i="1"/>
  <c r="L1101" i="1"/>
  <c r="M1101" i="1"/>
  <c r="N1101" i="1"/>
  <c r="O1101" i="1"/>
  <c r="P1101" i="1"/>
  <c r="L1102" i="1"/>
  <c r="M1102" i="1"/>
  <c r="N1102" i="1"/>
  <c r="O1102" i="1"/>
  <c r="P1102" i="1"/>
  <c r="L1103" i="1"/>
  <c r="M1103" i="1"/>
  <c r="N1103" i="1"/>
  <c r="O1103" i="1"/>
  <c r="P1103" i="1"/>
  <c r="L1104" i="1"/>
  <c r="M1104" i="1"/>
  <c r="N1104" i="1"/>
  <c r="O1104" i="1"/>
  <c r="P1104" i="1"/>
  <c r="L1105" i="1"/>
  <c r="M1105" i="1"/>
  <c r="N1105" i="1"/>
  <c r="O1105" i="1"/>
  <c r="P1105" i="1"/>
  <c r="L1106" i="1"/>
  <c r="M1106" i="1"/>
  <c r="N1106" i="1"/>
  <c r="O1106" i="1"/>
  <c r="P1106" i="1"/>
  <c r="L1107" i="1"/>
  <c r="M1107" i="1"/>
  <c r="N1107" i="1"/>
  <c r="O1107" i="1"/>
  <c r="P1107" i="1"/>
  <c r="L1108" i="1"/>
  <c r="M1108" i="1"/>
  <c r="N1108" i="1"/>
  <c r="O1108" i="1"/>
  <c r="P1108" i="1"/>
  <c r="L1109" i="1"/>
  <c r="M1109" i="1"/>
  <c r="N1109" i="1"/>
  <c r="O1109" i="1"/>
  <c r="P1109" i="1"/>
  <c r="L1110" i="1"/>
  <c r="M1110" i="1"/>
  <c r="N1110" i="1"/>
  <c r="O1110" i="1"/>
  <c r="P1110" i="1"/>
  <c r="L1111" i="1"/>
  <c r="M1111" i="1"/>
  <c r="N1111" i="1"/>
  <c r="O1111" i="1"/>
  <c r="P1111" i="1"/>
  <c r="L1112" i="1"/>
  <c r="M1112" i="1"/>
  <c r="N1112" i="1"/>
  <c r="O1112" i="1"/>
  <c r="P1112" i="1"/>
  <c r="L1113" i="1"/>
  <c r="M1113" i="1"/>
  <c r="N1113" i="1"/>
  <c r="O1113" i="1"/>
  <c r="P1113" i="1"/>
  <c r="L1114" i="1"/>
  <c r="M1114" i="1"/>
  <c r="N1114" i="1"/>
  <c r="O1114" i="1"/>
  <c r="P1114" i="1"/>
  <c r="L1115" i="1"/>
  <c r="M1115" i="1"/>
  <c r="N1115" i="1"/>
  <c r="O1115" i="1"/>
  <c r="P1115" i="1"/>
  <c r="L1116" i="1"/>
  <c r="M1116" i="1"/>
  <c r="N1116" i="1"/>
  <c r="O1116" i="1"/>
  <c r="P1116" i="1"/>
  <c r="L1117" i="1"/>
  <c r="M1117" i="1"/>
  <c r="N1117" i="1"/>
  <c r="O1117" i="1"/>
  <c r="P1117" i="1"/>
  <c r="L1118" i="1"/>
  <c r="M1118" i="1"/>
  <c r="N1118" i="1"/>
  <c r="O1118" i="1"/>
  <c r="P1118" i="1"/>
  <c r="L1119" i="1"/>
  <c r="M1119" i="1"/>
  <c r="N1119" i="1"/>
  <c r="O1119" i="1"/>
  <c r="P1119" i="1"/>
  <c r="L1120" i="1"/>
  <c r="M1120" i="1"/>
  <c r="N1120" i="1"/>
  <c r="O1120" i="1"/>
  <c r="P1120" i="1"/>
  <c r="L1121" i="1"/>
  <c r="M1121" i="1"/>
  <c r="N1121" i="1"/>
  <c r="O1121" i="1"/>
  <c r="P1121" i="1"/>
  <c r="L1122" i="1"/>
  <c r="M1122" i="1"/>
  <c r="N1122" i="1"/>
  <c r="O1122" i="1"/>
  <c r="P1122" i="1"/>
  <c r="L1123" i="1"/>
  <c r="M1123" i="1"/>
  <c r="N1123" i="1"/>
  <c r="O1123" i="1"/>
  <c r="P1123" i="1"/>
  <c r="L1124" i="1"/>
  <c r="M1124" i="1"/>
  <c r="N1124" i="1"/>
  <c r="O1124" i="1"/>
  <c r="P1124" i="1"/>
  <c r="L1125" i="1"/>
  <c r="M1125" i="1"/>
  <c r="N1125" i="1"/>
  <c r="O1125" i="1"/>
  <c r="P1125" i="1"/>
  <c r="L1126" i="1"/>
  <c r="M1126" i="1"/>
  <c r="N1126" i="1"/>
  <c r="O1126" i="1"/>
  <c r="P1126" i="1"/>
  <c r="L1127" i="1"/>
  <c r="M1127" i="1"/>
  <c r="N1127" i="1"/>
  <c r="O1127" i="1"/>
  <c r="P1127" i="1"/>
  <c r="L1128" i="1"/>
  <c r="M1128" i="1"/>
  <c r="N1128" i="1"/>
  <c r="O1128" i="1"/>
  <c r="P1128" i="1"/>
  <c r="L1129" i="1"/>
  <c r="M1129" i="1"/>
  <c r="N1129" i="1"/>
  <c r="O1129" i="1"/>
  <c r="P1129" i="1"/>
  <c r="L1130" i="1"/>
  <c r="M1130" i="1"/>
  <c r="N1130" i="1"/>
  <c r="O1130" i="1"/>
  <c r="P1130" i="1"/>
  <c r="L1131" i="1"/>
  <c r="M1131" i="1"/>
  <c r="N1131" i="1"/>
  <c r="O1131" i="1"/>
  <c r="P1131" i="1"/>
  <c r="L1132" i="1"/>
  <c r="M1132" i="1"/>
  <c r="N1132" i="1"/>
  <c r="O1132" i="1"/>
  <c r="P1132" i="1"/>
  <c r="L1133" i="1"/>
  <c r="M1133" i="1"/>
  <c r="N1133" i="1"/>
  <c r="O1133" i="1"/>
  <c r="P1133" i="1"/>
  <c r="L1134" i="1"/>
  <c r="M1134" i="1"/>
  <c r="N1134" i="1"/>
  <c r="O1134" i="1"/>
  <c r="P1134" i="1"/>
  <c r="L1135" i="1"/>
  <c r="M1135" i="1"/>
  <c r="N1135" i="1"/>
  <c r="O1135" i="1"/>
  <c r="P1135" i="1"/>
  <c r="L1136" i="1"/>
  <c r="M1136" i="1"/>
  <c r="N1136" i="1"/>
  <c r="O1136" i="1"/>
  <c r="P1136" i="1"/>
  <c r="L1137" i="1"/>
  <c r="M1137" i="1"/>
  <c r="N1137" i="1"/>
  <c r="O1137" i="1"/>
  <c r="P1137" i="1"/>
  <c r="L1138" i="1"/>
  <c r="M1138" i="1"/>
  <c r="N1138" i="1"/>
  <c r="O1138" i="1"/>
  <c r="P1138" i="1"/>
  <c r="L1139" i="1"/>
  <c r="M1139" i="1"/>
  <c r="N1139" i="1"/>
  <c r="O1139" i="1"/>
  <c r="P1139" i="1"/>
  <c r="L1140" i="1"/>
  <c r="M1140" i="1"/>
  <c r="N1140" i="1"/>
  <c r="O1140" i="1"/>
  <c r="P1140" i="1"/>
  <c r="L1141" i="1"/>
  <c r="M1141" i="1"/>
  <c r="N1141" i="1"/>
  <c r="O1141" i="1"/>
  <c r="P1141" i="1"/>
  <c r="L1142" i="1"/>
  <c r="M1142" i="1"/>
  <c r="N1142" i="1"/>
  <c r="O1142" i="1"/>
  <c r="P1142" i="1"/>
  <c r="L1143" i="1"/>
  <c r="M1143" i="1"/>
  <c r="N1143" i="1"/>
  <c r="O1143" i="1"/>
  <c r="P1143" i="1"/>
  <c r="L1144" i="1"/>
  <c r="M1144" i="1"/>
  <c r="N1144" i="1"/>
  <c r="O1144" i="1"/>
  <c r="P1144" i="1"/>
  <c r="L1145" i="1"/>
  <c r="M1145" i="1"/>
  <c r="N1145" i="1"/>
  <c r="O1145" i="1"/>
  <c r="P1145" i="1"/>
  <c r="L1146" i="1"/>
  <c r="M1146" i="1"/>
  <c r="N1146" i="1"/>
  <c r="O1146" i="1"/>
  <c r="P1146" i="1"/>
  <c r="L1147" i="1"/>
  <c r="M1147" i="1"/>
  <c r="N1147" i="1"/>
  <c r="O1147" i="1"/>
  <c r="P1147" i="1"/>
  <c r="L1148" i="1"/>
  <c r="M1148" i="1"/>
  <c r="N1148" i="1"/>
  <c r="O1148" i="1"/>
  <c r="P1148" i="1"/>
  <c r="L1149" i="1"/>
  <c r="M1149" i="1"/>
  <c r="N1149" i="1"/>
  <c r="O1149" i="1"/>
  <c r="P1149" i="1"/>
  <c r="L1150" i="1"/>
  <c r="M1150" i="1"/>
  <c r="N1150" i="1"/>
  <c r="O1150" i="1"/>
  <c r="P1150" i="1"/>
  <c r="L1151" i="1"/>
  <c r="M1151" i="1"/>
  <c r="N1151" i="1"/>
  <c r="O1151" i="1"/>
  <c r="P1151" i="1"/>
  <c r="L1152" i="1"/>
  <c r="M1152" i="1"/>
  <c r="N1152" i="1"/>
  <c r="O1152" i="1"/>
  <c r="P1152" i="1"/>
  <c r="L1153" i="1"/>
  <c r="M1153" i="1"/>
  <c r="N1153" i="1"/>
  <c r="O1153" i="1"/>
  <c r="P1153" i="1"/>
  <c r="L1154" i="1"/>
  <c r="M1154" i="1"/>
  <c r="N1154" i="1"/>
  <c r="O1154" i="1"/>
  <c r="P1154" i="1"/>
  <c r="L1155" i="1"/>
  <c r="M1155" i="1"/>
  <c r="N1155" i="1"/>
  <c r="O1155" i="1"/>
  <c r="P1155" i="1"/>
  <c r="L1156" i="1"/>
  <c r="M1156" i="1"/>
  <c r="N1156" i="1"/>
  <c r="O1156" i="1"/>
  <c r="P1156" i="1"/>
  <c r="L1157" i="1"/>
  <c r="M1157" i="1"/>
  <c r="N1157" i="1"/>
  <c r="O1157" i="1"/>
  <c r="P1157" i="1"/>
  <c r="L1158" i="1"/>
  <c r="M1158" i="1"/>
  <c r="N1158" i="1"/>
  <c r="O1158" i="1"/>
  <c r="P1158" i="1"/>
  <c r="L1159" i="1"/>
  <c r="M1159" i="1"/>
  <c r="N1159" i="1"/>
  <c r="O1159" i="1"/>
  <c r="P1159" i="1"/>
  <c r="L1160" i="1"/>
  <c r="M1160" i="1"/>
  <c r="N1160" i="1"/>
  <c r="O1160" i="1"/>
  <c r="P1160" i="1"/>
  <c r="L1161" i="1"/>
  <c r="M1161" i="1"/>
  <c r="N1161" i="1"/>
  <c r="O1161" i="1"/>
  <c r="P1161" i="1"/>
  <c r="L1162" i="1"/>
  <c r="M1162" i="1"/>
  <c r="N1162" i="1"/>
  <c r="O1162" i="1"/>
  <c r="P1162" i="1"/>
  <c r="L1163" i="1"/>
  <c r="M1163" i="1"/>
  <c r="N1163" i="1"/>
  <c r="O1163" i="1"/>
  <c r="P1163" i="1"/>
  <c r="L1164" i="1"/>
  <c r="M1164" i="1"/>
  <c r="N1164" i="1"/>
  <c r="O1164" i="1"/>
  <c r="P1164" i="1"/>
  <c r="L1165" i="1"/>
  <c r="M1165" i="1"/>
  <c r="N1165" i="1"/>
  <c r="O1165" i="1"/>
  <c r="P1165" i="1"/>
  <c r="L1166" i="1"/>
  <c r="M1166" i="1"/>
  <c r="N1166" i="1"/>
  <c r="O1166" i="1"/>
  <c r="P1166" i="1"/>
  <c r="L1167" i="1"/>
  <c r="M1167" i="1"/>
  <c r="N1167" i="1"/>
  <c r="O1167" i="1"/>
  <c r="P1167" i="1"/>
  <c r="L1168" i="1"/>
  <c r="M1168" i="1"/>
  <c r="N1168" i="1"/>
  <c r="O1168" i="1"/>
  <c r="P1168" i="1"/>
  <c r="L1169" i="1"/>
  <c r="M1169" i="1"/>
  <c r="N1169" i="1"/>
  <c r="O1169" i="1"/>
  <c r="P1169" i="1"/>
  <c r="L1170" i="1"/>
  <c r="M1170" i="1"/>
  <c r="N1170" i="1"/>
  <c r="O1170" i="1"/>
  <c r="P1170" i="1"/>
  <c r="L1171" i="1"/>
  <c r="M1171" i="1"/>
  <c r="N1171" i="1"/>
  <c r="O1171" i="1"/>
  <c r="P1171" i="1"/>
  <c r="L1172" i="1"/>
  <c r="M1172" i="1"/>
  <c r="N1172" i="1"/>
  <c r="O1172" i="1"/>
  <c r="P1172" i="1"/>
  <c r="L1173" i="1"/>
  <c r="M1173" i="1"/>
  <c r="N1173" i="1"/>
  <c r="O1173" i="1"/>
  <c r="P1173" i="1"/>
  <c r="L1174" i="1"/>
  <c r="M1174" i="1"/>
  <c r="N1174" i="1"/>
  <c r="O1174" i="1"/>
  <c r="P1174" i="1"/>
  <c r="L1175" i="1"/>
  <c r="M1175" i="1"/>
  <c r="N1175" i="1"/>
  <c r="O1175" i="1"/>
  <c r="P1175" i="1"/>
  <c r="L1176" i="1"/>
  <c r="M1176" i="1"/>
  <c r="N1176" i="1"/>
  <c r="O1176" i="1"/>
  <c r="P1176" i="1"/>
  <c r="L1177" i="1"/>
  <c r="M1177" i="1"/>
  <c r="N1177" i="1"/>
  <c r="O1177" i="1"/>
  <c r="P1177" i="1"/>
  <c r="L1178" i="1"/>
  <c r="M1178" i="1"/>
  <c r="N1178" i="1"/>
  <c r="O1178" i="1"/>
  <c r="P1178" i="1"/>
  <c r="L1179" i="1"/>
  <c r="M1179" i="1"/>
  <c r="N1179" i="1"/>
  <c r="O1179" i="1"/>
  <c r="P1179" i="1"/>
  <c r="L1180" i="1"/>
  <c r="M1180" i="1"/>
  <c r="N1180" i="1"/>
  <c r="O1180" i="1"/>
  <c r="P1180" i="1"/>
  <c r="L1181" i="1"/>
  <c r="M1181" i="1"/>
  <c r="N1181" i="1"/>
  <c r="O1181" i="1"/>
  <c r="P1181" i="1"/>
  <c r="L1182" i="1"/>
  <c r="M1182" i="1"/>
  <c r="N1182" i="1"/>
  <c r="O1182" i="1"/>
  <c r="P1182" i="1"/>
  <c r="L1183" i="1"/>
  <c r="M1183" i="1"/>
  <c r="N1183" i="1"/>
  <c r="O1183" i="1"/>
  <c r="P1183" i="1"/>
  <c r="L1184" i="1"/>
  <c r="M1184" i="1"/>
  <c r="N1184" i="1"/>
  <c r="O1184" i="1"/>
  <c r="P1184" i="1"/>
  <c r="L1185" i="1"/>
  <c r="M1185" i="1"/>
  <c r="N1185" i="1"/>
  <c r="O1185" i="1"/>
  <c r="P1185" i="1"/>
  <c r="L1186" i="1"/>
  <c r="M1186" i="1"/>
  <c r="N1186" i="1"/>
  <c r="O1186" i="1"/>
  <c r="P1186" i="1"/>
  <c r="L1187" i="1"/>
  <c r="M1187" i="1"/>
  <c r="N1187" i="1"/>
  <c r="O1187" i="1"/>
  <c r="P1187" i="1"/>
  <c r="L1188" i="1"/>
  <c r="M1188" i="1"/>
  <c r="N1188" i="1"/>
  <c r="O1188" i="1"/>
  <c r="P1188" i="1"/>
  <c r="L1189" i="1"/>
  <c r="M1189" i="1"/>
  <c r="N1189" i="1"/>
  <c r="O1189" i="1"/>
  <c r="P1189" i="1"/>
  <c r="L1190" i="1"/>
  <c r="M1190" i="1"/>
  <c r="N1190" i="1"/>
  <c r="O1190" i="1"/>
  <c r="P1190" i="1"/>
  <c r="L1191" i="1"/>
  <c r="M1191" i="1"/>
  <c r="N1191" i="1"/>
  <c r="O1191" i="1"/>
  <c r="P1191" i="1"/>
  <c r="L1192" i="1"/>
  <c r="M1192" i="1"/>
  <c r="N1192" i="1"/>
  <c r="O1192" i="1"/>
  <c r="P1192" i="1"/>
  <c r="L1193" i="1"/>
  <c r="M1193" i="1"/>
  <c r="N1193" i="1"/>
  <c r="O1193" i="1"/>
  <c r="P1193" i="1"/>
  <c r="L1194" i="1"/>
  <c r="M1194" i="1"/>
  <c r="N1194" i="1"/>
  <c r="O1194" i="1"/>
  <c r="P1194" i="1"/>
  <c r="L1195" i="1"/>
  <c r="M1195" i="1"/>
  <c r="N1195" i="1"/>
  <c r="O1195" i="1"/>
  <c r="P1195" i="1"/>
  <c r="L1196" i="1"/>
  <c r="M1196" i="1"/>
  <c r="N1196" i="1"/>
  <c r="O1196" i="1"/>
  <c r="P1196" i="1"/>
  <c r="L1197" i="1"/>
  <c r="M1197" i="1"/>
  <c r="N1197" i="1"/>
  <c r="O1197" i="1"/>
  <c r="P1197" i="1"/>
  <c r="L1198" i="1"/>
  <c r="M1198" i="1"/>
  <c r="N1198" i="1"/>
  <c r="O1198" i="1"/>
  <c r="P1198" i="1"/>
  <c r="L1199" i="1"/>
  <c r="M1199" i="1"/>
  <c r="N1199" i="1"/>
  <c r="O1199" i="1"/>
  <c r="P1199" i="1"/>
  <c r="L1200" i="1"/>
  <c r="M1200" i="1"/>
  <c r="N1200" i="1"/>
  <c r="O1200" i="1"/>
  <c r="P1200" i="1"/>
  <c r="L1201" i="1"/>
  <c r="M1201" i="1"/>
  <c r="N1201" i="1"/>
  <c r="O1201" i="1"/>
  <c r="P1201" i="1"/>
  <c r="L1202" i="1"/>
  <c r="M1202" i="1"/>
  <c r="N1202" i="1"/>
  <c r="O1202" i="1"/>
  <c r="P1202" i="1"/>
  <c r="L1203" i="1"/>
  <c r="M1203" i="1"/>
  <c r="N1203" i="1"/>
  <c r="O1203" i="1"/>
  <c r="P1203" i="1"/>
  <c r="L1204" i="1"/>
  <c r="M1204" i="1"/>
  <c r="N1204" i="1"/>
  <c r="O1204" i="1"/>
  <c r="P1204" i="1"/>
  <c r="L1205" i="1"/>
  <c r="M1205" i="1"/>
  <c r="N1205" i="1"/>
  <c r="O1205" i="1"/>
  <c r="P1205" i="1"/>
  <c r="L1206" i="1"/>
  <c r="M1206" i="1"/>
  <c r="N1206" i="1"/>
  <c r="O1206" i="1"/>
  <c r="P1206" i="1"/>
  <c r="L1207" i="1"/>
  <c r="M1207" i="1"/>
  <c r="N1207" i="1"/>
  <c r="O1207" i="1"/>
  <c r="P1207" i="1"/>
  <c r="L1208" i="1"/>
  <c r="M1208" i="1"/>
  <c r="N1208" i="1"/>
  <c r="O1208" i="1"/>
  <c r="P1208" i="1"/>
  <c r="L1209" i="1"/>
  <c r="M1209" i="1"/>
  <c r="N1209" i="1"/>
  <c r="O1209" i="1"/>
  <c r="P1209" i="1"/>
  <c r="L1210" i="1"/>
  <c r="M1210" i="1"/>
  <c r="N1210" i="1"/>
  <c r="O1210" i="1"/>
  <c r="P1210" i="1"/>
  <c r="L1211" i="1"/>
  <c r="M1211" i="1"/>
  <c r="N1211" i="1"/>
  <c r="O1211" i="1"/>
  <c r="P1211" i="1"/>
  <c r="L1212" i="1"/>
  <c r="M1212" i="1"/>
  <c r="N1212" i="1"/>
  <c r="O1212" i="1"/>
  <c r="P1212" i="1"/>
  <c r="L1213" i="1"/>
  <c r="M1213" i="1"/>
  <c r="N1213" i="1"/>
  <c r="O1213" i="1"/>
  <c r="P1213" i="1"/>
  <c r="L1214" i="1"/>
  <c r="M1214" i="1"/>
  <c r="N1214" i="1"/>
  <c r="O1214" i="1"/>
  <c r="P1214" i="1"/>
  <c r="L1215" i="1"/>
  <c r="M1215" i="1"/>
  <c r="N1215" i="1"/>
  <c r="O1215" i="1"/>
  <c r="P1215" i="1"/>
  <c r="L1216" i="1"/>
  <c r="M1216" i="1"/>
  <c r="N1216" i="1"/>
  <c r="O1216" i="1"/>
  <c r="P1216" i="1"/>
  <c r="L1217" i="1"/>
  <c r="M1217" i="1"/>
  <c r="N1217" i="1"/>
  <c r="O1217" i="1"/>
  <c r="P1217" i="1"/>
  <c r="L1218" i="1"/>
  <c r="M1218" i="1"/>
  <c r="N1218" i="1"/>
  <c r="O1218" i="1"/>
  <c r="P1218" i="1"/>
  <c r="L1219" i="1"/>
  <c r="M1219" i="1"/>
  <c r="N1219" i="1"/>
  <c r="O1219" i="1"/>
  <c r="P1219" i="1"/>
  <c r="L1220" i="1"/>
  <c r="M1220" i="1"/>
  <c r="N1220" i="1"/>
  <c r="O1220" i="1"/>
  <c r="P1220" i="1"/>
  <c r="L1221" i="1"/>
  <c r="M1221" i="1"/>
  <c r="N1221" i="1"/>
  <c r="O1221" i="1"/>
  <c r="P1221" i="1"/>
  <c r="L1222" i="1"/>
  <c r="M1222" i="1"/>
  <c r="N1222" i="1"/>
  <c r="O1222" i="1"/>
  <c r="P1222" i="1"/>
  <c r="L1223" i="1"/>
  <c r="M1223" i="1"/>
  <c r="N1223" i="1"/>
  <c r="O1223" i="1"/>
  <c r="P1223" i="1"/>
  <c r="L1224" i="1"/>
  <c r="M1224" i="1"/>
  <c r="N1224" i="1"/>
  <c r="O1224" i="1"/>
  <c r="P1224" i="1"/>
  <c r="L1225" i="1"/>
  <c r="M1225" i="1"/>
  <c r="N1225" i="1"/>
  <c r="O1225" i="1"/>
  <c r="P1225" i="1"/>
  <c r="L1226" i="1"/>
  <c r="M1226" i="1"/>
  <c r="N1226" i="1"/>
  <c r="O1226" i="1"/>
  <c r="P1226" i="1"/>
  <c r="L1227" i="1"/>
  <c r="M1227" i="1"/>
  <c r="N1227" i="1"/>
  <c r="O1227" i="1"/>
  <c r="P1227" i="1"/>
  <c r="L1228" i="1"/>
  <c r="M1228" i="1"/>
  <c r="N1228" i="1"/>
  <c r="O1228" i="1"/>
  <c r="P1228" i="1"/>
  <c r="L1229" i="1"/>
  <c r="M1229" i="1"/>
  <c r="N1229" i="1"/>
  <c r="O1229" i="1"/>
  <c r="P1229" i="1"/>
  <c r="L1230" i="1"/>
  <c r="M1230" i="1"/>
  <c r="N1230" i="1"/>
  <c r="O1230" i="1"/>
  <c r="P1230" i="1"/>
  <c r="L1231" i="1"/>
  <c r="M1231" i="1"/>
  <c r="N1231" i="1"/>
  <c r="O1231" i="1"/>
  <c r="P1231" i="1"/>
  <c r="L1232" i="1"/>
  <c r="M1232" i="1"/>
  <c r="N1232" i="1"/>
  <c r="O1232" i="1"/>
  <c r="P1232" i="1"/>
  <c r="L1233" i="1"/>
  <c r="M1233" i="1"/>
  <c r="N1233" i="1"/>
  <c r="O1233" i="1"/>
  <c r="P1233" i="1"/>
  <c r="L1234" i="1"/>
  <c r="M1234" i="1"/>
  <c r="N1234" i="1"/>
  <c r="O1234" i="1"/>
  <c r="P1234" i="1"/>
  <c r="L1235" i="1"/>
  <c r="M1235" i="1"/>
  <c r="N1235" i="1"/>
  <c r="O1235" i="1"/>
  <c r="P1235" i="1"/>
  <c r="L1236" i="1"/>
  <c r="M1236" i="1"/>
  <c r="N1236" i="1"/>
  <c r="O1236" i="1"/>
  <c r="P1236" i="1"/>
  <c r="L1237" i="1"/>
  <c r="M1237" i="1"/>
  <c r="N1237" i="1"/>
  <c r="O1237" i="1"/>
  <c r="P1237" i="1"/>
  <c r="L1238" i="1"/>
  <c r="M1238" i="1"/>
  <c r="N1238" i="1"/>
  <c r="O1238" i="1"/>
  <c r="P1238" i="1"/>
  <c r="L1239" i="1"/>
  <c r="M1239" i="1"/>
  <c r="N1239" i="1"/>
  <c r="O1239" i="1"/>
  <c r="P1239" i="1"/>
  <c r="L1240" i="1"/>
  <c r="M1240" i="1"/>
  <c r="N1240" i="1"/>
  <c r="O1240" i="1"/>
  <c r="P1240" i="1"/>
  <c r="L1241" i="1"/>
  <c r="M1241" i="1"/>
  <c r="N1241" i="1"/>
  <c r="O1241" i="1"/>
  <c r="P1241" i="1"/>
  <c r="L1242" i="1"/>
  <c r="M1242" i="1"/>
  <c r="N1242" i="1"/>
  <c r="O1242" i="1"/>
  <c r="P1242" i="1"/>
  <c r="L1243" i="1"/>
  <c r="M1243" i="1"/>
  <c r="N1243" i="1"/>
  <c r="O1243" i="1"/>
  <c r="P1243" i="1"/>
  <c r="L1244" i="1"/>
  <c r="M1244" i="1"/>
  <c r="N1244" i="1"/>
  <c r="O1244" i="1"/>
  <c r="P1244" i="1"/>
  <c r="L1245" i="1"/>
  <c r="M1245" i="1"/>
  <c r="N1245" i="1"/>
  <c r="O1245" i="1"/>
  <c r="P1245" i="1"/>
  <c r="L1246" i="1"/>
  <c r="M1246" i="1"/>
  <c r="N1246" i="1"/>
  <c r="O1246" i="1"/>
  <c r="P1246" i="1"/>
  <c r="L1247" i="1"/>
  <c r="M1247" i="1"/>
  <c r="N1247" i="1"/>
  <c r="O1247" i="1"/>
  <c r="P1247" i="1"/>
  <c r="L1248" i="1"/>
  <c r="M1248" i="1"/>
  <c r="N1248" i="1"/>
  <c r="O1248" i="1"/>
  <c r="P1248" i="1"/>
  <c r="L1249" i="1"/>
  <c r="M1249" i="1"/>
  <c r="N1249" i="1"/>
  <c r="O1249" i="1"/>
  <c r="P1249" i="1"/>
  <c r="L1250" i="1"/>
  <c r="M1250" i="1"/>
  <c r="N1250" i="1"/>
  <c r="O1250" i="1"/>
  <c r="P1250" i="1"/>
  <c r="L1251" i="1"/>
  <c r="M1251" i="1"/>
  <c r="N1251" i="1"/>
  <c r="O1251" i="1"/>
  <c r="P1251" i="1"/>
  <c r="L1252" i="1"/>
  <c r="M1252" i="1"/>
  <c r="N1252" i="1"/>
  <c r="O1252" i="1"/>
  <c r="P1252" i="1"/>
  <c r="L1253" i="1"/>
  <c r="M1253" i="1"/>
  <c r="N1253" i="1"/>
  <c r="O1253" i="1"/>
  <c r="P1253" i="1"/>
  <c r="L1254" i="1"/>
  <c r="M1254" i="1"/>
  <c r="N1254" i="1"/>
  <c r="O1254" i="1"/>
  <c r="P1254" i="1"/>
  <c r="L1255" i="1"/>
  <c r="M1255" i="1"/>
  <c r="N1255" i="1"/>
  <c r="O1255" i="1"/>
  <c r="P1255" i="1"/>
  <c r="L1256" i="1"/>
  <c r="M1256" i="1"/>
  <c r="N1256" i="1"/>
  <c r="O1256" i="1"/>
  <c r="P1256" i="1"/>
  <c r="L1257" i="1"/>
  <c r="M1257" i="1"/>
  <c r="N1257" i="1"/>
  <c r="O1257" i="1"/>
  <c r="P1257" i="1"/>
  <c r="L1258" i="1"/>
  <c r="M1258" i="1"/>
  <c r="N1258" i="1"/>
  <c r="O1258" i="1"/>
  <c r="P1258" i="1"/>
  <c r="L1259" i="1"/>
  <c r="M1259" i="1"/>
  <c r="N1259" i="1"/>
  <c r="O1259" i="1"/>
  <c r="P1259" i="1"/>
  <c r="L1260" i="1"/>
  <c r="M1260" i="1"/>
  <c r="N1260" i="1"/>
  <c r="O1260" i="1"/>
  <c r="P1260" i="1"/>
  <c r="L1261" i="1"/>
  <c r="M1261" i="1"/>
  <c r="N1261" i="1"/>
  <c r="O1261" i="1"/>
  <c r="P1261" i="1"/>
  <c r="L1262" i="1"/>
  <c r="M1262" i="1"/>
  <c r="N1262" i="1"/>
  <c r="O1262" i="1"/>
  <c r="P1262" i="1"/>
  <c r="L1263" i="1"/>
  <c r="M1263" i="1"/>
  <c r="N1263" i="1"/>
  <c r="O1263" i="1"/>
  <c r="P1263" i="1"/>
  <c r="L1264" i="1"/>
  <c r="M1264" i="1"/>
  <c r="N1264" i="1"/>
  <c r="O1264" i="1"/>
  <c r="P1264" i="1"/>
  <c r="L1265" i="1"/>
  <c r="M1265" i="1"/>
  <c r="N1265" i="1"/>
  <c r="O1265" i="1"/>
  <c r="P1265" i="1"/>
  <c r="L1266" i="1"/>
  <c r="M1266" i="1"/>
  <c r="N1266" i="1"/>
  <c r="O1266" i="1"/>
  <c r="P1266" i="1"/>
  <c r="L1267" i="1"/>
  <c r="M1267" i="1"/>
  <c r="N1267" i="1"/>
  <c r="O1267" i="1"/>
  <c r="P1267" i="1"/>
  <c r="L1268" i="1"/>
  <c r="M1268" i="1"/>
  <c r="N1268" i="1"/>
  <c r="O1268" i="1"/>
  <c r="P1268" i="1"/>
  <c r="L1269" i="1"/>
  <c r="M1269" i="1"/>
  <c r="N1269" i="1"/>
  <c r="O1269" i="1"/>
  <c r="P1269" i="1"/>
  <c r="L1270" i="1"/>
  <c r="M1270" i="1"/>
  <c r="N1270" i="1"/>
  <c r="O1270" i="1"/>
  <c r="P1270" i="1"/>
  <c r="L1271" i="1"/>
  <c r="M1271" i="1"/>
  <c r="N1271" i="1"/>
  <c r="O1271" i="1"/>
  <c r="P1271" i="1"/>
  <c r="L1272" i="1"/>
  <c r="M1272" i="1"/>
  <c r="N1272" i="1"/>
  <c r="O1272" i="1"/>
  <c r="P1272" i="1"/>
  <c r="L1273" i="1"/>
  <c r="M1273" i="1"/>
  <c r="N1273" i="1"/>
  <c r="O1273" i="1"/>
  <c r="P1273" i="1"/>
  <c r="L1274" i="1"/>
  <c r="M1274" i="1"/>
  <c r="N1274" i="1"/>
  <c r="O1274" i="1"/>
  <c r="P1274" i="1"/>
  <c r="L1275" i="1"/>
  <c r="M1275" i="1"/>
  <c r="N1275" i="1"/>
  <c r="O1275" i="1"/>
  <c r="P1275" i="1"/>
  <c r="L1276" i="1"/>
  <c r="M1276" i="1"/>
  <c r="N1276" i="1"/>
  <c r="O1276" i="1"/>
  <c r="P1276" i="1"/>
  <c r="L1277" i="1"/>
  <c r="M1277" i="1"/>
  <c r="N1277" i="1"/>
  <c r="O1277" i="1"/>
  <c r="P1277" i="1"/>
  <c r="L1278" i="1"/>
  <c r="M1278" i="1"/>
  <c r="N1278" i="1"/>
  <c r="O1278" i="1"/>
  <c r="P1278" i="1"/>
  <c r="L1279" i="1"/>
  <c r="M1279" i="1"/>
  <c r="N1279" i="1"/>
  <c r="O1279" i="1"/>
  <c r="P1279" i="1"/>
  <c r="L1280" i="1"/>
  <c r="M1280" i="1"/>
  <c r="N1280" i="1"/>
  <c r="O1280" i="1"/>
  <c r="P1280" i="1"/>
  <c r="L1281" i="1"/>
  <c r="M1281" i="1"/>
  <c r="N1281" i="1"/>
  <c r="O1281" i="1"/>
  <c r="P1281" i="1"/>
  <c r="L1282" i="1"/>
  <c r="M1282" i="1"/>
  <c r="N1282" i="1"/>
  <c r="O1282" i="1"/>
  <c r="P1282" i="1"/>
  <c r="L1283" i="1"/>
  <c r="M1283" i="1"/>
  <c r="N1283" i="1"/>
  <c r="O1283" i="1"/>
  <c r="P1283" i="1"/>
  <c r="L1284" i="1"/>
  <c r="M1284" i="1"/>
  <c r="N1284" i="1"/>
  <c r="O1284" i="1"/>
  <c r="P1284" i="1"/>
  <c r="L1285" i="1"/>
  <c r="M1285" i="1"/>
  <c r="N1285" i="1"/>
  <c r="O1285" i="1"/>
  <c r="P1285" i="1"/>
  <c r="L1286" i="1"/>
  <c r="M1286" i="1"/>
  <c r="N1286" i="1"/>
  <c r="O1286" i="1"/>
  <c r="P1286" i="1"/>
  <c r="L1287" i="1"/>
  <c r="M1287" i="1"/>
  <c r="N1287" i="1"/>
  <c r="O1287" i="1"/>
  <c r="P1287" i="1"/>
  <c r="L1288" i="1"/>
  <c r="M1288" i="1"/>
  <c r="N1288" i="1"/>
  <c r="O1288" i="1"/>
  <c r="P1288" i="1"/>
  <c r="L1289" i="1"/>
  <c r="M1289" i="1"/>
  <c r="N1289" i="1"/>
  <c r="O1289" i="1"/>
  <c r="P1289" i="1"/>
  <c r="L1290" i="1"/>
  <c r="M1290" i="1"/>
  <c r="N1290" i="1"/>
  <c r="O1290" i="1"/>
  <c r="P1290" i="1"/>
  <c r="L1291" i="1"/>
  <c r="M1291" i="1"/>
  <c r="N1291" i="1"/>
  <c r="O1291" i="1"/>
  <c r="P1291" i="1"/>
  <c r="L1292" i="1"/>
  <c r="M1292" i="1"/>
  <c r="N1292" i="1"/>
  <c r="O1292" i="1"/>
  <c r="P1292" i="1"/>
  <c r="L1293" i="1"/>
  <c r="M1293" i="1"/>
  <c r="N1293" i="1"/>
  <c r="O1293" i="1"/>
  <c r="P1293" i="1"/>
  <c r="L1294" i="1"/>
  <c r="M1294" i="1"/>
  <c r="N1294" i="1"/>
  <c r="O1294" i="1"/>
  <c r="P1294" i="1"/>
  <c r="L1295" i="1"/>
  <c r="M1295" i="1"/>
  <c r="N1295" i="1"/>
  <c r="O1295" i="1"/>
  <c r="P1295" i="1"/>
  <c r="L1296" i="1"/>
  <c r="M1296" i="1"/>
  <c r="N1296" i="1"/>
  <c r="O1296" i="1"/>
  <c r="P1296" i="1"/>
  <c r="L1297" i="1"/>
  <c r="M1297" i="1"/>
  <c r="N1297" i="1"/>
  <c r="O1297" i="1"/>
  <c r="P1297" i="1"/>
  <c r="L1298" i="1"/>
  <c r="M1298" i="1"/>
  <c r="N1298" i="1"/>
  <c r="O1298" i="1"/>
  <c r="P1298" i="1"/>
  <c r="L1299" i="1"/>
  <c r="M1299" i="1"/>
  <c r="N1299" i="1"/>
  <c r="O1299" i="1"/>
  <c r="P1299" i="1"/>
  <c r="L1300" i="1"/>
  <c r="M1300" i="1"/>
  <c r="N1300" i="1"/>
  <c r="O1300" i="1"/>
  <c r="P1300" i="1"/>
  <c r="L1301" i="1"/>
  <c r="M1301" i="1"/>
  <c r="N1301" i="1"/>
  <c r="O1301" i="1"/>
  <c r="P1301" i="1"/>
  <c r="L1302" i="1"/>
  <c r="M1302" i="1"/>
  <c r="N1302" i="1"/>
  <c r="O1302" i="1"/>
  <c r="P1302" i="1"/>
  <c r="L1303" i="1"/>
  <c r="M1303" i="1"/>
  <c r="N1303" i="1"/>
  <c r="O1303" i="1"/>
  <c r="P1303" i="1"/>
  <c r="L1304" i="1"/>
  <c r="M1304" i="1"/>
  <c r="N1304" i="1"/>
  <c r="O1304" i="1"/>
  <c r="P1304" i="1"/>
  <c r="L1305" i="1"/>
  <c r="M1305" i="1"/>
  <c r="N1305" i="1"/>
  <c r="O1305" i="1"/>
  <c r="P1305" i="1"/>
  <c r="L1306" i="1"/>
  <c r="M1306" i="1"/>
  <c r="N1306" i="1"/>
  <c r="O1306" i="1"/>
  <c r="P1306" i="1"/>
  <c r="L1307" i="1"/>
  <c r="M1307" i="1"/>
  <c r="N1307" i="1"/>
  <c r="O1307" i="1"/>
  <c r="P1307" i="1"/>
  <c r="L1308" i="1"/>
  <c r="M1308" i="1"/>
  <c r="N1308" i="1"/>
  <c r="O1308" i="1"/>
  <c r="P1308" i="1"/>
  <c r="L1309" i="1"/>
  <c r="M1309" i="1"/>
  <c r="N1309" i="1"/>
  <c r="O1309" i="1"/>
  <c r="P1309" i="1"/>
  <c r="L1310" i="1"/>
  <c r="M1310" i="1"/>
  <c r="N1310" i="1"/>
  <c r="O1310" i="1"/>
  <c r="P1310" i="1"/>
  <c r="L1311" i="1"/>
  <c r="M1311" i="1"/>
  <c r="N1311" i="1"/>
  <c r="O1311" i="1"/>
  <c r="P1311" i="1"/>
  <c r="L1312" i="1"/>
  <c r="M1312" i="1"/>
  <c r="N1312" i="1"/>
  <c r="O1312" i="1"/>
  <c r="P1312" i="1"/>
  <c r="L1313" i="1"/>
  <c r="M1313" i="1"/>
  <c r="N1313" i="1"/>
  <c r="O1313" i="1"/>
  <c r="P1313" i="1"/>
  <c r="L1314" i="1"/>
  <c r="M1314" i="1"/>
  <c r="N1314" i="1"/>
  <c r="O1314" i="1"/>
  <c r="P1314" i="1"/>
  <c r="L1315" i="1"/>
  <c r="M1315" i="1"/>
  <c r="N1315" i="1"/>
  <c r="O1315" i="1"/>
  <c r="P1315" i="1"/>
  <c r="L1316" i="1"/>
  <c r="M1316" i="1"/>
  <c r="N1316" i="1"/>
  <c r="O1316" i="1"/>
  <c r="P1316" i="1"/>
  <c r="L1317" i="1"/>
  <c r="M1317" i="1"/>
  <c r="N1317" i="1"/>
  <c r="O1317" i="1"/>
  <c r="P1317" i="1"/>
  <c r="L1318" i="1"/>
  <c r="M1318" i="1"/>
  <c r="N1318" i="1"/>
  <c r="O1318" i="1"/>
  <c r="P1318" i="1"/>
  <c r="L1319" i="1"/>
  <c r="M1319" i="1"/>
  <c r="N1319" i="1"/>
  <c r="O1319" i="1"/>
  <c r="P1319" i="1"/>
  <c r="L1320" i="1"/>
  <c r="M1320" i="1"/>
  <c r="N1320" i="1"/>
  <c r="O1320" i="1"/>
  <c r="P1320" i="1"/>
  <c r="L1321" i="1"/>
  <c r="M1321" i="1"/>
  <c r="N1321" i="1"/>
  <c r="O1321" i="1"/>
  <c r="P1321" i="1"/>
  <c r="L1322" i="1"/>
  <c r="M1322" i="1"/>
  <c r="N1322" i="1"/>
  <c r="O1322" i="1"/>
  <c r="P1322" i="1"/>
  <c r="L1323" i="1"/>
  <c r="M1323" i="1"/>
  <c r="N1323" i="1"/>
  <c r="O1323" i="1"/>
  <c r="P1323" i="1"/>
  <c r="L1324" i="1"/>
  <c r="M1324" i="1"/>
  <c r="N1324" i="1"/>
  <c r="O1324" i="1"/>
  <c r="P1324" i="1"/>
  <c r="L1325" i="1"/>
  <c r="M1325" i="1"/>
  <c r="N1325" i="1"/>
  <c r="O1325" i="1"/>
  <c r="P1325" i="1"/>
  <c r="L1326" i="1"/>
  <c r="M1326" i="1"/>
  <c r="N1326" i="1"/>
  <c r="O1326" i="1"/>
  <c r="P1326" i="1"/>
  <c r="L1327" i="1"/>
  <c r="M1327" i="1"/>
  <c r="N1327" i="1"/>
  <c r="O1327" i="1"/>
  <c r="P1327" i="1"/>
  <c r="L1328" i="1"/>
  <c r="M1328" i="1"/>
  <c r="N1328" i="1"/>
  <c r="O1328" i="1"/>
  <c r="P1328" i="1"/>
  <c r="L1329" i="1"/>
  <c r="M1329" i="1"/>
  <c r="N1329" i="1"/>
  <c r="O1329" i="1"/>
  <c r="P1329" i="1"/>
  <c r="L1330" i="1"/>
  <c r="M1330" i="1"/>
  <c r="N1330" i="1"/>
  <c r="O1330" i="1"/>
  <c r="P1330" i="1"/>
  <c r="L1331" i="1"/>
  <c r="M1331" i="1"/>
  <c r="N1331" i="1"/>
  <c r="O1331" i="1"/>
  <c r="P1331" i="1"/>
  <c r="L1332" i="1"/>
  <c r="M1332" i="1"/>
  <c r="N1332" i="1"/>
  <c r="O1332" i="1"/>
  <c r="P1332" i="1"/>
  <c r="L1333" i="1"/>
  <c r="M1333" i="1"/>
  <c r="N1333" i="1"/>
  <c r="O1333" i="1"/>
  <c r="P1333" i="1"/>
  <c r="L1334" i="1"/>
  <c r="M1334" i="1"/>
  <c r="N1334" i="1"/>
  <c r="O1334" i="1"/>
  <c r="P1334" i="1"/>
  <c r="L1335" i="1"/>
  <c r="M1335" i="1"/>
  <c r="N1335" i="1"/>
  <c r="O1335" i="1"/>
  <c r="P1335" i="1"/>
  <c r="L1336" i="1"/>
  <c r="M1336" i="1"/>
  <c r="N1336" i="1"/>
  <c r="O1336" i="1"/>
  <c r="P1336" i="1"/>
  <c r="L1337" i="1"/>
  <c r="M1337" i="1"/>
  <c r="N1337" i="1"/>
  <c r="O1337" i="1"/>
  <c r="P1337" i="1"/>
  <c r="L1338" i="1"/>
  <c r="M1338" i="1"/>
  <c r="N1338" i="1"/>
  <c r="O1338" i="1"/>
  <c r="P1338" i="1"/>
  <c r="L1339" i="1"/>
  <c r="M1339" i="1"/>
  <c r="N1339" i="1"/>
  <c r="O1339" i="1"/>
  <c r="P1339" i="1"/>
  <c r="L1340" i="1"/>
  <c r="M1340" i="1"/>
  <c r="N1340" i="1"/>
  <c r="O1340" i="1"/>
  <c r="P1340" i="1"/>
  <c r="L1341" i="1"/>
  <c r="M1341" i="1"/>
  <c r="N1341" i="1"/>
  <c r="O1341" i="1"/>
  <c r="P1341" i="1"/>
  <c r="L1342" i="1"/>
  <c r="M1342" i="1"/>
  <c r="N1342" i="1"/>
  <c r="O1342" i="1"/>
  <c r="P1342" i="1"/>
  <c r="L1343" i="1"/>
  <c r="M1343" i="1"/>
  <c r="N1343" i="1"/>
  <c r="O1343" i="1"/>
  <c r="P1343" i="1"/>
  <c r="L1344" i="1"/>
  <c r="M1344" i="1"/>
  <c r="N1344" i="1"/>
  <c r="O1344" i="1"/>
  <c r="P1344" i="1"/>
  <c r="L1345" i="1"/>
  <c r="M1345" i="1"/>
  <c r="N1345" i="1"/>
  <c r="O1345" i="1"/>
  <c r="P1345" i="1"/>
  <c r="L1346" i="1"/>
  <c r="M1346" i="1"/>
  <c r="N1346" i="1"/>
  <c r="O1346" i="1"/>
  <c r="P1346" i="1"/>
  <c r="L1347" i="1"/>
  <c r="M1347" i="1"/>
  <c r="N1347" i="1"/>
  <c r="O1347" i="1"/>
  <c r="P1347" i="1"/>
  <c r="L1348" i="1"/>
  <c r="M1348" i="1"/>
  <c r="N1348" i="1"/>
  <c r="O1348" i="1"/>
  <c r="P1348" i="1"/>
  <c r="L1349" i="1"/>
  <c r="M1349" i="1"/>
  <c r="N1349" i="1"/>
  <c r="O1349" i="1"/>
  <c r="P1349" i="1"/>
  <c r="L1350" i="1"/>
  <c r="M1350" i="1"/>
  <c r="N1350" i="1"/>
  <c r="O1350" i="1"/>
  <c r="P1350" i="1"/>
  <c r="L1351" i="1"/>
  <c r="M1351" i="1"/>
  <c r="N1351" i="1"/>
  <c r="O1351" i="1"/>
  <c r="P1351" i="1"/>
  <c r="L1352" i="1"/>
  <c r="M1352" i="1"/>
  <c r="N1352" i="1"/>
  <c r="O1352" i="1"/>
  <c r="P1352" i="1"/>
  <c r="L1353" i="1"/>
  <c r="M1353" i="1"/>
  <c r="N1353" i="1"/>
  <c r="O1353" i="1"/>
  <c r="P1353" i="1"/>
  <c r="L1354" i="1"/>
  <c r="M1354" i="1"/>
  <c r="N1354" i="1"/>
  <c r="O1354" i="1"/>
  <c r="P1354" i="1"/>
  <c r="L1355" i="1"/>
  <c r="M1355" i="1"/>
  <c r="N1355" i="1"/>
  <c r="O1355" i="1"/>
  <c r="P1355" i="1"/>
  <c r="L1356" i="1"/>
  <c r="M1356" i="1"/>
  <c r="N1356" i="1"/>
  <c r="O1356" i="1"/>
  <c r="P1356" i="1"/>
  <c r="L1357" i="1"/>
  <c r="M1357" i="1"/>
  <c r="N1357" i="1"/>
  <c r="O1357" i="1"/>
  <c r="P1357" i="1"/>
  <c r="L1358" i="1"/>
  <c r="M1358" i="1"/>
  <c r="N1358" i="1"/>
  <c r="O1358" i="1"/>
  <c r="P1358" i="1"/>
  <c r="L1359" i="1"/>
  <c r="M1359" i="1"/>
  <c r="N1359" i="1"/>
  <c r="O1359" i="1"/>
  <c r="P1359" i="1"/>
  <c r="L1360" i="1"/>
  <c r="M1360" i="1"/>
  <c r="N1360" i="1"/>
  <c r="O1360" i="1"/>
  <c r="P1360" i="1"/>
  <c r="L1361" i="1"/>
  <c r="M1361" i="1"/>
  <c r="N1361" i="1"/>
  <c r="O1361" i="1"/>
  <c r="P1361" i="1"/>
  <c r="L1362" i="1"/>
  <c r="M1362" i="1"/>
  <c r="N1362" i="1"/>
  <c r="O1362" i="1"/>
  <c r="P1362" i="1"/>
  <c r="L1363" i="1"/>
  <c r="M1363" i="1"/>
  <c r="N1363" i="1"/>
  <c r="O1363" i="1"/>
  <c r="P1363" i="1"/>
  <c r="L1364" i="1"/>
  <c r="M1364" i="1"/>
  <c r="N1364" i="1"/>
  <c r="O1364" i="1"/>
  <c r="P1364" i="1"/>
  <c r="L1365" i="1"/>
  <c r="M1365" i="1"/>
  <c r="N1365" i="1"/>
  <c r="O1365" i="1"/>
  <c r="P1365" i="1"/>
  <c r="L1366" i="1"/>
  <c r="M1366" i="1"/>
  <c r="N1366" i="1"/>
  <c r="O1366" i="1"/>
  <c r="P1366" i="1"/>
  <c r="L1367" i="1"/>
  <c r="M1367" i="1"/>
  <c r="N1367" i="1"/>
  <c r="O1367" i="1"/>
  <c r="P1367" i="1"/>
  <c r="L1368" i="1"/>
  <c r="M1368" i="1"/>
  <c r="N1368" i="1"/>
  <c r="O1368" i="1"/>
  <c r="P1368" i="1"/>
  <c r="L1369" i="1"/>
  <c r="M1369" i="1"/>
  <c r="N1369" i="1"/>
  <c r="O1369" i="1"/>
  <c r="P1369" i="1"/>
  <c r="L1370" i="1"/>
  <c r="M1370" i="1"/>
  <c r="N1370" i="1"/>
  <c r="O1370" i="1"/>
  <c r="P1370" i="1"/>
  <c r="L1371" i="1"/>
  <c r="M1371" i="1"/>
  <c r="N1371" i="1"/>
  <c r="O1371" i="1"/>
  <c r="P1371" i="1"/>
  <c r="L1372" i="1"/>
  <c r="M1372" i="1"/>
  <c r="N1372" i="1"/>
  <c r="O1372" i="1"/>
  <c r="P1372" i="1"/>
  <c r="L1373" i="1"/>
  <c r="M1373" i="1"/>
  <c r="N1373" i="1"/>
  <c r="O1373" i="1"/>
  <c r="P1373" i="1"/>
  <c r="L1374" i="1"/>
  <c r="M1374" i="1"/>
  <c r="N1374" i="1"/>
  <c r="O1374" i="1"/>
  <c r="P1374" i="1"/>
  <c r="L1375" i="1"/>
  <c r="M1375" i="1"/>
  <c r="N1375" i="1"/>
  <c r="O1375" i="1"/>
  <c r="P1375" i="1"/>
  <c r="L1376" i="1"/>
  <c r="M1376" i="1"/>
  <c r="N1376" i="1"/>
  <c r="O1376" i="1"/>
  <c r="P1376" i="1"/>
  <c r="L1377" i="1"/>
  <c r="M1377" i="1"/>
  <c r="N1377" i="1"/>
  <c r="O1377" i="1"/>
  <c r="P1377" i="1"/>
  <c r="L1378" i="1"/>
  <c r="M1378" i="1"/>
  <c r="N1378" i="1"/>
  <c r="O1378" i="1"/>
  <c r="P1378" i="1"/>
  <c r="L1379" i="1"/>
  <c r="M1379" i="1"/>
  <c r="N1379" i="1"/>
  <c r="O1379" i="1"/>
  <c r="P1379" i="1"/>
  <c r="L1380" i="1"/>
  <c r="M1380" i="1"/>
  <c r="N1380" i="1"/>
  <c r="O1380" i="1"/>
  <c r="P1380" i="1"/>
  <c r="L1381" i="1"/>
  <c r="M1381" i="1"/>
  <c r="N1381" i="1"/>
  <c r="O1381" i="1"/>
  <c r="P1381" i="1"/>
  <c r="L1382" i="1"/>
  <c r="M1382" i="1"/>
  <c r="N1382" i="1"/>
  <c r="O1382" i="1"/>
  <c r="P1382" i="1"/>
  <c r="L1383" i="1"/>
  <c r="M1383" i="1"/>
  <c r="N1383" i="1"/>
  <c r="O1383" i="1"/>
  <c r="P1383" i="1"/>
  <c r="L1384" i="1"/>
  <c r="M1384" i="1"/>
  <c r="N1384" i="1"/>
  <c r="O1384" i="1"/>
  <c r="P1384" i="1"/>
  <c r="L1385" i="1"/>
  <c r="M1385" i="1"/>
  <c r="N1385" i="1"/>
  <c r="O1385" i="1"/>
  <c r="P1385" i="1"/>
  <c r="L1386" i="1"/>
  <c r="M1386" i="1"/>
  <c r="N1386" i="1"/>
  <c r="O1386" i="1"/>
  <c r="P1386" i="1"/>
  <c r="L1387" i="1"/>
  <c r="M1387" i="1"/>
  <c r="N1387" i="1"/>
  <c r="O1387" i="1"/>
  <c r="P1387" i="1"/>
  <c r="L1388" i="1"/>
  <c r="M1388" i="1"/>
  <c r="N1388" i="1"/>
  <c r="O1388" i="1"/>
  <c r="P1388" i="1"/>
  <c r="L1389" i="1"/>
  <c r="M1389" i="1"/>
  <c r="N1389" i="1"/>
  <c r="O1389" i="1"/>
  <c r="P1389" i="1"/>
  <c r="L1390" i="1"/>
  <c r="M1390" i="1"/>
  <c r="N1390" i="1"/>
  <c r="O1390" i="1"/>
  <c r="P1390" i="1"/>
  <c r="L1391" i="1"/>
  <c r="M1391" i="1"/>
  <c r="N1391" i="1"/>
  <c r="O1391" i="1"/>
  <c r="P1391" i="1"/>
  <c r="L1392" i="1"/>
  <c r="M1392" i="1"/>
  <c r="N1392" i="1"/>
  <c r="O1392" i="1"/>
  <c r="P1392" i="1"/>
  <c r="L1393" i="1"/>
  <c r="M1393" i="1"/>
  <c r="N1393" i="1"/>
  <c r="O1393" i="1"/>
  <c r="P1393" i="1"/>
  <c r="L1394" i="1"/>
  <c r="M1394" i="1"/>
  <c r="N1394" i="1"/>
  <c r="O1394" i="1"/>
  <c r="P1394" i="1"/>
  <c r="L1395" i="1"/>
  <c r="M1395" i="1"/>
  <c r="N1395" i="1"/>
  <c r="O1395" i="1"/>
  <c r="P1395" i="1"/>
  <c r="L1396" i="1"/>
  <c r="M1396" i="1"/>
  <c r="N1396" i="1"/>
  <c r="O1396" i="1"/>
  <c r="P1396" i="1"/>
  <c r="L1397" i="1"/>
  <c r="M1397" i="1"/>
  <c r="N1397" i="1"/>
  <c r="O1397" i="1"/>
  <c r="P1397" i="1"/>
  <c r="L1398" i="1"/>
  <c r="M1398" i="1"/>
  <c r="N1398" i="1"/>
  <c r="O1398" i="1"/>
  <c r="P1398" i="1"/>
  <c r="L1399" i="1"/>
  <c r="M1399" i="1"/>
  <c r="N1399" i="1"/>
  <c r="O1399" i="1"/>
  <c r="P1399" i="1"/>
  <c r="L1400" i="1"/>
  <c r="M1400" i="1"/>
  <c r="N1400" i="1"/>
  <c r="O1400" i="1"/>
  <c r="P1400" i="1"/>
  <c r="L1401" i="1"/>
  <c r="M1401" i="1"/>
  <c r="N1401" i="1"/>
  <c r="O1401" i="1"/>
  <c r="P1401" i="1"/>
  <c r="L1402" i="1"/>
  <c r="M1402" i="1"/>
  <c r="N1402" i="1"/>
  <c r="O1402" i="1"/>
  <c r="P1402" i="1"/>
  <c r="L1403" i="1"/>
  <c r="M1403" i="1"/>
  <c r="N1403" i="1"/>
  <c r="O1403" i="1"/>
  <c r="P1403" i="1"/>
  <c r="L1404" i="1"/>
  <c r="M1404" i="1"/>
  <c r="N1404" i="1"/>
  <c r="O1404" i="1"/>
  <c r="P1404" i="1"/>
  <c r="L1405" i="1"/>
  <c r="M1405" i="1"/>
  <c r="N1405" i="1"/>
  <c r="O1405" i="1"/>
  <c r="P1405" i="1"/>
  <c r="L1406" i="1"/>
  <c r="M1406" i="1"/>
  <c r="N1406" i="1"/>
  <c r="O1406" i="1"/>
  <c r="P1406" i="1"/>
  <c r="L1407" i="1"/>
  <c r="M1407" i="1"/>
  <c r="N1407" i="1"/>
  <c r="O1407" i="1"/>
  <c r="P1407" i="1"/>
  <c r="L1408" i="1"/>
  <c r="M1408" i="1"/>
  <c r="N1408" i="1"/>
  <c r="O1408" i="1"/>
  <c r="P1408" i="1"/>
  <c r="L1409" i="1"/>
  <c r="M1409" i="1"/>
  <c r="N1409" i="1"/>
  <c r="O1409" i="1"/>
  <c r="P1409" i="1"/>
  <c r="L1410" i="1"/>
  <c r="M1410" i="1"/>
  <c r="N1410" i="1"/>
  <c r="O1410" i="1"/>
  <c r="P1410" i="1"/>
  <c r="L1411" i="1"/>
  <c r="M1411" i="1"/>
  <c r="N1411" i="1"/>
  <c r="O1411" i="1"/>
  <c r="P1411" i="1"/>
  <c r="L1412" i="1"/>
  <c r="M1412" i="1"/>
  <c r="N1412" i="1"/>
  <c r="O1412" i="1"/>
  <c r="P1412" i="1"/>
  <c r="L1413" i="1"/>
  <c r="M1413" i="1"/>
  <c r="N1413" i="1"/>
  <c r="O1413" i="1"/>
  <c r="P1413" i="1"/>
  <c r="L1414" i="1"/>
  <c r="M1414" i="1"/>
  <c r="N1414" i="1"/>
  <c r="O1414" i="1"/>
  <c r="P1414" i="1"/>
  <c r="L1415" i="1"/>
  <c r="M1415" i="1"/>
  <c r="N1415" i="1"/>
  <c r="O1415" i="1"/>
  <c r="P1415" i="1"/>
  <c r="L1416" i="1"/>
  <c r="M1416" i="1"/>
  <c r="N1416" i="1"/>
  <c r="O1416" i="1"/>
  <c r="P1416" i="1"/>
  <c r="L1417" i="1"/>
  <c r="M1417" i="1"/>
  <c r="N1417" i="1"/>
  <c r="O1417" i="1"/>
  <c r="P1417" i="1"/>
  <c r="L1418" i="1"/>
  <c r="M1418" i="1"/>
  <c r="N1418" i="1"/>
  <c r="O1418" i="1"/>
  <c r="P1418" i="1"/>
  <c r="L1419" i="1"/>
  <c r="M1419" i="1"/>
  <c r="N1419" i="1"/>
  <c r="O1419" i="1"/>
  <c r="P1419" i="1"/>
  <c r="L1420" i="1"/>
  <c r="M1420" i="1"/>
  <c r="N1420" i="1"/>
  <c r="O1420" i="1"/>
  <c r="P1420" i="1"/>
  <c r="L1421" i="1"/>
  <c r="M1421" i="1"/>
  <c r="N1421" i="1"/>
  <c r="O1421" i="1"/>
  <c r="P1421" i="1"/>
  <c r="L1422" i="1"/>
  <c r="M1422" i="1"/>
  <c r="N1422" i="1"/>
  <c r="O1422" i="1"/>
  <c r="P1422" i="1"/>
  <c r="L1423" i="1"/>
  <c r="M1423" i="1"/>
  <c r="N1423" i="1"/>
  <c r="O1423" i="1"/>
  <c r="P1423" i="1"/>
  <c r="L1424" i="1"/>
  <c r="M1424" i="1"/>
  <c r="N1424" i="1"/>
  <c r="O1424" i="1"/>
  <c r="P1424" i="1"/>
  <c r="L1425" i="1"/>
  <c r="M1425" i="1"/>
  <c r="N1425" i="1"/>
  <c r="O1425" i="1"/>
  <c r="P1425" i="1"/>
  <c r="L1426" i="1"/>
  <c r="M1426" i="1"/>
  <c r="N1426" i="1"/>
  <c r="O1426" i="1"/>
  <c r="P1426" i="1"/>
  <c r="L1427" i="1"/>
  <c r="M1427" i="1"/>
  <c r="N1427" i="1"/>
  <c r="O1427" i="1"/>
  <c r="P1427" i="1"/>
  <c r="L1428" i="1"/>
  <c r="M1428" i="1"/>
  <c r="N1428" i="1"/>
  <c r="O1428" i="1"/>
  <c r="P1428" i="1"/>
  <c r="L1429" i="1"/>
  <c r="M1429" i="1"/>
  <c r="N1429" i="1"/>
  <c r="O1429" i="1"/>
  <c r="P1429" i="1"/>
  <c r="L1430" i="1"/>
  <c r="M1430" i="1"/>
  <c r="N1430" i="1"/>
  <c r="O1430" i="1"/>
  <c r="P1430" i="1"/>
  <c r="L1431" i="1"/>
  <c r="M1431" i="1"/>
  <c r="N1431" i="1"/>
  <c r="O1431" i="1"/>
  <c r="P1431" i="1"/>
  <c r="L1432" i="1"/>
  <c r="M1432" i="1"/>
  <c r="N1432" i="1"/>
  <c r="O1432" i="1"/>
  <c r="P1432" i="1"/>
  <c r="L1433" i="1"/>
  <c r="M1433" i="1"/>
  <c r="N1433" i="1"/>
  <c r="O1433" i="1"/>
  <c r="P1433" i="1"/>
  <c r="L1434" i="1"/>
  <c r="M1434" i="1"/>
  <c r="N1434" i="1"/>
  <c r="O1434" i="1"/>
  <c r="P1434" i="1"/>
  <c r="L1435" i="1"/>
  <c r="M1435" i="1"/>
  <c r="N1435" i="1"/>
  <c r="O1435" i="1"/>
  <c r="P1435" i="1"/>
  <c r="L1436" i="1"/>
  <c r="M1436" i="1"/>
  <c r="N1436" i="1"/>
  <c r="O1436" i="1"/>
  <c r="P1436" i="1"/>
  <c r="L1437" i="1"/>
  <c r="M1437" i="1"/>
  <c r="N1437" i="1"/>
  <c r="O1437" i="1"/>
  <c r="P1437" i="1"/>
  <c r="L1438" i="1"/>
  <c r="M1438" i="1"/>
  <c r="N1438" i="1"/>
  <c r="O1438" i="1"/>
  <c r="P1438" i="1"/>
  <c r="L1439" i="1"/>
  <c r="M1439" i="1"/>
  <c r="N1439" i="1"/>
  <c r="O1439" i="1"/>
  <c r="P1439" i="1"/>
  <c r="L1440" i="1"/>
  <c r="M1440" i="1"/>
  <c r="N1440" i="1"/>
  <c r="O1440" i="1"/>
  <c r="P1440" i="1"/>
  <c r="L1441" i="1"/>
  <c r="M1441" i="1"/>
  <c r="N1441" i="1"/>
  <c r="O1441" i="1"/>
  <c r="P1441" i="1"/>
  <c r="L1442" i="1"/>
  <c r="M1442" i="1"/>
  <c r="N1442" i="1"/>
  <c r="O1442" i="1"/>
  <c r="P1442" i="1"/>
  <c r="L1443" i="1"/>
  <c r="M1443" i="1"/>
  <c r="N1443" i="1"/>
  <c r="O1443" i="1"/>
  <c r="P1443" i="1"/>
  <c r="L1444" i="1"/>
  <c r="M1444" i="1"/>
  <c r="N1444" i="1"/>
  <c r="O1444" i="1"/>
  <c r="P1444" i="1"/>
  <c r="L1445" i="1"/>
  <c r="M1445" i="1"/>
  <c r="N1445" i="1"/>
  <c r="O1445" i="1"/>
  <c r="P1445" i="1"/>
  <c r="L1446" i="1"/>
  <c r="M1446" i="1"/>
  <c r="N1446" i="1"/>
  <c r="O1446" i="1"/>
  <c r="P1446" i="1"/>
  <c r="L1447" i="1"/>
  <c r="M1447" i="1"/>
  <c r="N1447" i="1"/>
  <c r="O1447" i="1"/>
  <c r="P1447" i="1"/>
  <c r="L1448" i="1"/>
  <c r="M1448" i="1"/>
  <c r="N1448" i="1"/>
  <c r="O1448" i="1"/>
  <c r="P1448" i="1"/>
  <c r="L1449" i="1"/>
  <c r="M1449" i="1"/>
  <c r="N1449" i="1"/>
  <c r="O1449" i="1"/>
  <c r="P1449" i="1"/>
  <c r="L1450" i="1"/>
  <c r="M1450" i="1"/>
  <c r="N1450" i="1"/>
  <c r="O1450" i="1"/>
  <c r="P1450" i="1"/>
  <c r="L1451" i="1"/>
  <c r="M1451" i="1"/>
  <c r="N1451" i="1"/>
  <c r="O1451" i="1"/>
  <c r="P1451" i="1"/>
  <c r="L1452" i="1"/>
  <c r="M1452" i="1"/>
  <c r="N1452" i="1"/>
  <c r="O1452" i="1"/>
  <c r="P1452" i="1"/>
  <c r="L1453" i="1"/>
  <c r="M1453" i="1"/>
  <c r="N1453" i="1"/>
  <c r="O1453" i="1"/>
  <c r="P1453" i="1"/>
  <c r="L1454" i="1"/>
  <c r="M1454" i="1"/>
  <c r="N1454" i="1"/>
  <c r="O1454" i="1"/>
  <c r="P1454" i="1"/>
  <c r="L1455" i="1"/>
  <c r="M1455" i="1"/>
  <c r="N1455" i="1"/>
  <c r="O1455" i="1"/>
  <c r="P1455" i="1"/>
  <c r="L1456" i="1"/>
  <c r="M1456" i="1"/>
  <c r="N1456" i="1"/>
  <c r="O1456" i="1"/>
  <c r="P1456" i="1"/>
  <c r="L1457" i="1"/>
  <c r="M1457" i="1"/>
  <c r="N1457" i="1"/>
  <c r="O1457" i="1"/>
  <c r="P1457" i="1"/>
  <c r="L1458" i="1"/>
  <c r="M1458" i="1"/>
  <c r="N1458" i="1"/>
  <c r="O1458" i="1"/>
  <c r="P1458" i="1"/>
  <c r="L1459" i="1"/>
  <c r="M1459" i="1"/>
  <c r="N1459" i="1"/>
  <c r="O1459" i="1"/>
  <c r="P1459" i="1"/>
  <c r="L1460" i="1"/>
  <c r="M1460" i="1"/>
  <c r="N1460" i="1"/>
  <c r="O1460" i="1"/>
  <c r="P1460" i="1"/>
  <c r="L1461" i="1"/>
  <c r="M1461" i="1"/>
  <c r="N1461" i="1"/>
  <c r="O1461" i="1"/>
  <c r="P1461" i="1"/>
  <c r="L1462" i="1"/>
  <c r="M1462" i="1"/>
  <c r="N1462" i="1"/>
  <c r="O1462" i="1"/>
  <c r="P1462" i="1"/>
  <c r="L1463" i="1"/>
  <c r="M1463" i="1"/>
  <c r="N1463" i="1"/>
  <c r="O1463" i="1"/>
  <c r="P1463" i="1"/>
  <c r="L1464" i="1"/>
  <c r="M1464" i="1"/>
  <c r="N1464" i="1"/>
  <c r="O1464" i="1"/>
  <c r="P1464" i="1"/>
  <c r="L1465" i="1"/>
  <c r="M1465" i="1"/>
  <c r="N1465" i="1"/>
  <c r="O1465" i="1"/>
  <c r="P1465" i="1"/>
  <c r="L1466" i="1"/>
  <c r="M1466" i="1"/>
  <c r="N1466" i="1"/>
  <c r="O1466" i="1"/>
  <c r="P1466" i="1"/>
  <c r="L1467" i="1"/>
  <c r="M1467" i="1"/>
  <c r="N1467" i="1"/>
  <c r="O1467" i="1"/>
  <c r="P1467" i="1"/>
  <c r="L1468" i="1"/>
  <c r="M1468" i="1"/>
  <c r="N1468" i="1"/>
  <c r="O1468" i="1"/>
  <c r="P1468" i="1"/>
  <c r="L1469" i="1"/>
  <c r="M1469" i="1"/>
  <c r="N1469" i="1"/>
  <c r="O1469" i="1"/>
  <c r="P1469" i="1"/>
  <c r="L1470" i="1"/>
  <c r="M1470" i="1"/>
  <c r="N1470" i="1"/>
  <c r="O1470" i="1"/>
  <c r="P1470" i="1"/>
  <c r="L1471" i="1"/>
  <c r="M1471" i="1"/>
  <c r="N1471" i="1"/>
  <c r="O1471" i="1"/>
  <c r="P1471" i="1"/>
  <c r="L1472" i="1"/>
  <c r="M1472" i="1"/>
  <c r="N1472" i="1"/>
  <c r="O1472" i="1"/>
  <c r="P1472" i="1"/>
  <c r="L1473" i="1"/>
  <c r="M1473" i="1"/>
  <c r="N1473" i="1"/>
  <c r="O1473" i="1"/>
  <c r="P1473" i="1"/>
  <c r="L1474" i="1"/>
  <c r="M1474" i="1"/>
  <c r="N1474" i="1"/>
  <c r="O1474" i="1"/>
  <c r="P1474" i="1"/>
  <c r="L1475" i="1"/>
  <c r="M1475" i="1"/>
  <c r="N1475" i="1"/>
  <c r="O1475" i="1"/>
  <c r="P1475" i="1"/>
  <c r="L1476" i="1"/>
  <c r="M1476" i="1"/>
  <c r="N1476" i="1"/>
  <c r="O1476" i="1"/>
  <c r="P1476" i="1"/>
  <c r="L1477" i="1"/>
  <c r="M1477" i="1"/>
  <c r="N1477" i="1"/>
  <c r="O1477" i="1"/>
  <c r="P1477" i="1"/>
  <c r="L1478" i="1"/>
  <c r="M1478" i="1"/>
  <c r="N1478" i="1"/>
  <c r="O1478" i="1"/>
  <c r="P1478" i="1"/>
  <c r="L1479" i="1"/>
  <c r="M1479" i="1"/>
  <c r="N1479" i="1"/>
  <c r="O1479" i="1"/>
  <c r="P1479" i="1"/>
  <c r="L1480" i="1"/>
  <c r="M1480" i="1"/>
  <c r="N1480" i="1"/>
  <c r="O1480" i="1"/>
  <c r="P1480" i="1"/>
  <c r="L1481" i="1"/>
  <c r="M1481" i="1"/>
  <c r="N1481" i="1"/>
  <c r="O1481" i="1"/>
  <c r="P1481" i="1"/>
  <c r="L1482" i="1"/>
  <c r="M1482" i="1"/>
  <c r="N1482" i="1"/>
  <c r="O1482" i="1"/>
  <c r="P1482" i="1"/>
  <c r="L1483" i="1"/>
  <c r="M1483" i="1"/>
  <c r="N1483" i="1"/>
  <c r="O1483" i="1"/>
  <c r="P1483" i="1"/>
  <c r="L1484" i="1"/>
  <c r="M1484" i="1"/>
  <c r="N1484" i="1"/>
  <c r="O1484" i="1"/>
  <c r="P1484" i="1"/>
  <c r="L1485" i="1"/>
  <c r="M1485" i="1"/>
  <c r="N1485" i="1"/>
  <c r="O1485" i="1"/>
  <c r="P1485" i="1"/>
  <c r="L1486" i="1"/>
  <c r="M1486" i="1"/>
  <c r="N1486" i="1"/>
  <c r="O1486" i="1"/>
  <c r="P1486" i="1"/>
  <c r="L1487" i="1"/>
  <c r="M1487" i="1"/>
  <c r="N1487" i="1"/>
  <c r="O1487" i="1"/>
  <c r="P1487" i="1"/>
  <c r="L1488" i="1"/>
  <c r="M1488" i="1"/>
  <c r="N1488" i="1"/>
  <c r="O1488" i="1"/>
  <c r="P1488" i="1"/>
  <c r="L1489" i="1"/>
  <c r="M1489" i="1"/>
  <c r="N1489" i="1"/>
  <c r="O1489" i="1"/>
  <c r="P1489" i="1"/>
  <c r="L1490" i="1"/>
  <c r="M1490" i="1"/>
  <c r="N1490" i="1"/>
  <c r="O1490" i="1"/>
  <c r="P1490" i="1"/>
  <c r="L1491" i="1"/>
  <c r="M1491" i="1"/>
  <c r="N1491" i="1"/>
  <c r="O1491" i="1"/>
  <c r="P1491" i="1"/>
  <c r="L1492" i="1"/>
  <c r="M1492" i="1"/>
  <c r="N1492" i="1"/>
  <c r="O1492" i="1"/>
  <c r="P1492" i="1"/>
  <c r="L1493" i="1"/>
  <c r="M1493" i="1"/>
  <c r="N1493" i="1"/>
  <c r="O1493" i="1"/>
  <c r="P1493" i="1"/>
  <c r="L1494" i="1"/>
  <c r="M1494" i="1"/>
  <c r="N1494" i="1"/>
  <c r="O1494" i="1"/>
  <c r="P1494" i="1"/>
  <c r="L1495" i="1"/>
  <c r="M1495" i="1"/>
  <c r="N1495" i="1"/>
  <c r="O1495" i="1"/>
  <c r="P1495" i="1"/>
  <c r="L1496" i="1"/>
  <c r="M1496" i="1"/>
  <c r="N1496" i="1"/>
  <c r="O1496" i="1"/>
  <c r="P1496" i="1"/>
  <c r="L1497" i="1"/>
  <c r="M1497" i="1"/>
  <c r="N1497" i="1"/>
  <c r="O1497" i="1"/>
  <c r="P1497" i="1"/>
  <c r="L1498" i="1"/>
  <c r="M1498" i="1"/>
  <c r="N1498" i="1"/>
  <c r="O1498" i="1"/>
  <c r="P1498" i="1"/>
  <c r="L1499" i="1"/>
  <c r="M1499" i="1"/>
  <c r="N1499" i="1"/>
  <c r="O1499" i="1"/>
  <c r="P1499" i="1"/>
  <c r="L1500" i="1"/>
  <c r="M1500" i="1"/>
  <c r="N1500" i="1"/>
  <c r="O1500" i="1"/>
  <c r="P1500" i="1"/>
  <c r="L1501" i="1"/>
  <c r="M1501" i="1"/>
  <c r="N1501" i="1"/>
  <c r="O1501" i="1"/>
  <c r="P1501" i="1"/>
  <c r="L1502" i="1"/>
  <c r="M1502" i="1"/>
  <c r="N1502" i="1"/>
  <c r="O1502" i="1"/>
  <c r="P1502" i="1"/>
  <c r="L1503" i="1"/>
  <c r="M1503" i="1"/>
  <c r="N1503" i="1"/>
  <c r="O1503" i="1"/>
  <c r="P1503" i="1"/>
  <c r="L1504" i="1"/>
  <c r="M1504" i="1"/>
  <c r="N1504" i="1"/>
  <c r="O1504" i="1"/>
  <c r="P1504" i="1"/>
  <c r="L1505" i="1"/>
  <c r="M1505" i="1"/>
  <c r="N1505" i="1"/>
  <c r="O1505" i="1"/>
  <c r="P1505" i="1"/>
  <c r="L1506" i="1"/>
  <c r="M1506" i="1"/>
  <c r="N1506" i="1"/>
  <c r="O1506" i="1"/>
  <c r="P1506" i="1"/>
  <c r="L1507" i="1"/>
  <c r="M1507" i="1"/>
  <c r="N1507" i="1"/>
  <c r="O1507" i="1"/>
  <c r="P1507" i="1"/>
  <c r="L1508" i="1"/>
  <c r="M1508" i="1"/>
  <c r="N1508" i="1"/>
  <c r="O1508" i="1"/>
  <c r="P1508" i="1"/>
  <c r="L1509" i="1"/>
  <c r="M1509" i="1"/>
  <c r="N1509" i="1"/>
  <c r="O1509" i="1"/>
  <c r="P1509" i="1"/>
  <c r="L1510" i="1"/>
  <c r="M1510" i="1"/>
  <c r="N1510" i="1"/>
  <c r="O1510" i="1"/>
  <c r="P1510" i="1"/>
  <c r="L1511" i="1"/>
  <c r="M1511" i="1"/>
  <c r="N1511" i="1"/>
  <c r="O1511" i="1"/>
  <c r="P1511" i="1"/>
  <c r="L1512" i="1"/>
  <c r="M1512" i="1"/>
  <c r="N1512" i="1"/>
  <c r="O1512" i="1"/>
  <c r="P1512" i="1"/>
  <c r="L1513" i="1"/>
  <c r="M1513" i="1"/>
  <c r="N1513" i="1"/>
  <c r="O1513" i="1"/>
  <c r="P1513" i="1"/>
  <c r="L1514" i="1"/>
  <c r="M1514" i="1"/>
  <c r="N1514" i="1"/>
  <c r="O1514" i="1"/>
  <c r="P1514" i="1"/>
  <c r="L1515" i="1"/>
  <c r="M1515" i="1"/>
  <c r="N1515" i="1"/>
  <c r="O1515" i="1"/>
  <c r="P1515" i="1"/>
  <c r="L1516" i="1"/>
  <c r="M1516" i="1"/>
  <c r="N1516" i="1"/>
  <c r="O1516" i="1"/>
  <c r="P1516" i="1"/>
  <c r="L1517" i="1"/>
  <c r="M1517" i="1"/>
  <c r="N1517" i="1"/>
  <c r="O1517" i="1"/>
  <c r="P1517" i="1"/>
  <c r="L1518" i="1"/>
  <c r="M1518" i="1"/>
  <c r="N1518" i="1"/>
  <c r="O1518" i="1"/>
  <c r="P1518" i="1"/>
  <c r="L1519" i="1"/>
  <c r="M1519" i="1"/>
  <c r="N1519" i="1"/>
  <c r="O1519" i="1"/>
  <c r="P1519" i="1"/>
  <c r="L1520" i="1"/>
  <c r="M1520" i="1"/>
  <c r="N1520" i="1"/>
  <c r="O1520" i="1"/>
  <c r="P1520" i="1"/>
  <c r="L1521" i="1"/>
  <c r="M1521" i="1"/>
  <c r="N1521" i="1"/>
  <c r="O1521" i="1"/>
  <c r="P1521" i="1"/>
  <c r="L1522" i="1"/>
  <c r="M1522" i="1"/>
  <c r="N1522" i="1"/>
  <c r="O1522" i="1"/>
  <c r="P1522" i="1"/>
  <c r="L1523" i="1"/>
  <c r="M1523" i="1"/>
  <c r="N1523" i="1"/>
  <c r="O1523" i="1"/>
  <c r="P1523" i="1"/>
  <c r="L1524" i="1"/>
  <c r="M1524" i="1"/>
  <c r="N1524" i="1"/>
  <c r="O1524" i="1"/>
  <c r="P1524" i="1"/>
  <c r="L1525" i="1"/>
  <c r="M1525" i="1"/>
  <c r="N1525" i="1"/>
  <c r="O1525" i="1"/>
  <c r="P1525" i="1"/>
  <c r="L1526" i="1"/>
  <c r="M1526" i="1"/>
  <c r="N1526" i="1"/>
  <c r="O1526" i="1"/>
  <c r="P1526" i="1"/>
  <c r="L1527" i="1"/>
  <c r="M1527" i="1"/>
  <c r="N1527" i="1"/>
  <c r="O1527" i="1"/>
  <c r="P1527" i="1"/>
  <c r="L1528" i="1"/>
  <c r="M1528" i="1"/>
  <c r="N1528" i="1"/>
  <c r="O1528" i="1"/>
  <c r="P1528" i="1"/>
  <c r="L1529" i="1"/>
  <c r="M1529" i="1"/>
  <c r="N1529" i="1"/>
  <c r="O1529" i="1"/>
  <c r="P1529" i="1"/>
  <c r="L1530" i="1"/>
  <c r="M1530" i="1"/>
  <c r="N1530" i="1"/>
  <c r="O1530" i="1"/>
  <c r="P1530" i="1"/>
  <c r="L1531" i="1"/>
  <c r="M1531" i="1"/>
  <c r="N1531" i="1"/>
  <c r="O1531" i="1"/>
  <c r="P1531" i="1"/>
  <c r="L1532" i="1"/>
  <c r="M1532" i="1"/>
  <c r="N1532" i="1"/>
  <c r="O1532" i="1"/>
  <c r="P1532" i="1"/>
  <c r="L1533" i="1"/>
  <c r="M1533" i="1"/>
  <c r="N1533" i="1"/>
  <c r="O1533" i="1"/>
  <c r="P1533" i="1"/>
  <c r="L1534" i="1"/>
  <c r="M1534" i="1"/>
  <c r="N1534" i="1"/>
  <c r="O1534" i="1"/>
  <c r="P1534" i="1"/>
  <c r="L1535" i="1"/>
  <c r="M1535" i="1"/>
  <c r="N1535" i="1"/>
  <c r="O1535" i="1"/>
  <c r="P1535" i="1"/>
  <c r="L1536" i="1"/>
  <c r="M1536" i="1"/>
  <c r="N1536" i="1"/>
  <c r="O1536" i="1"/>
  <c r="P1536" i="1"/>
  <c r="L1537" i="1"/>
  <c r="M1537" i="1"/>
  <c r="N1537" i="1"/>
  <c r="O1537" i="1"/>
  <c r="P1537" i="1"/>
  <c r="L1538" i="1"/>
  <c r="M1538" i="1"/>
  <c r="N1538" i="1"/>
  <c r="O1538" i="1"/>
  <c r="P1538" i="1"/>
  <c r="L1539" i="1"/>
  <c r="M1539" i="1"/>
  <c r="N1539" i="1"/>
  <c r="O1539" i="1"/>
  <c r="P1539" i="1"/>
  <c r="L1540" i="1"/>
  <c r="M1540" i="1"/>
  <c r="N1540" i="1"/>
  <c r="O1540" i="1"/>
  <c r="P1540" i="1"/>
  <c r="L1541" i="1"/>
  <c r="M1541" i="1"/>
  <c r="N1541" i="1"/>
  <c r="O1541" i="1"/>
  <c r="P1541" i="1"/>
  <c r="L1542" i="1"/>
  <c r="M1542" i="1"/>
  <c r="N1542" i="1"/>
  <c r="O1542" i="1"/>
  <c r="P1542" i="1"/>
  <c r="L1543" i="1"/>
  <c r="M1543" i="1"/>
  <c r="N1543" i="1"/>
  <c r="O1543" i="1"/>
  <c r="P1543" i="1"/>
  <c r="L1544" i="1"/>
  <c r="M1544" i="1"/>
  <c r="N1544" i="1"/>
  <c r="O1544" i="1"/>
  <c r="P1544" i="1"/>
  <c r="L1545" i="1"/>
  <c r="M1545" i="1"/>
  <c r="N1545" i="1"/>
  <c r="O1545" i="1"/>
  <c r="P1545" i="1"/>
  <c r="L1546" i="1"/>
  <c r="M1546" i="1"/>
  <c r="N1546" i="1"/>
  <c r="O1546" i="1"/>
  <c r="P1546" i="1"/>
  <c r="L1547" i="1"/>
  <c r="M1547" i="1"/>
  <c r="N1547" i="1"/>
  <c r="O1547" i="1"/>
  <c r="P1547" i="1"/>
  <c r="L1548" i="1"/>
  <c r="M1548" i="1"/>
  <c r="N1548" i="1"/>
  <c r="O1548" i="1"/>
  <c r="P1548" i="1"/>
  <c r="L1549" i="1"/>
  <c r="M1549" i="1"/>
  <c r="N1549" i="1"/>
  <c r="O1549" i="1"/>
  <c r="P1549" i="1"/>
  <c r="L1550" i="1"/>
  <c r="M1550" i="1"/>
  <c r="N1550" i="1"/>
  <c r="O1550" i="1"/>
  <c r="P1550" i="1"/>
  <c r="L1551" i="1"/>
  <c r="M1551" i="1"/>
  <c r="N1551" i="1"/>
  <c r="O1551" i="1"/>
  <c r="P1551" i="1"/>
  <c r="L1552" i="1"/>
  <c r="M1552" i="1"/>
  <c r="N1552" i="1"/>
  <c r="O1552" i="1"/>
  <c r="P1552" i="1"/>
  <c r="L1553" i="1"/>
  <c r="M1553" i="1"/>
  <c r="N1553" i="1"/>
  <c r="O1553" i="1"/>
  <c r="P1553" i="1"/>
  <c r="L1554" i="1"/>
  <c r="M1554" i="1"/>
  <c r="N1554" i="1"/>
  <c r="O1554" i="1"/>
  <c r="P1554" i="1"/>
  <c r="L1555" i="1"/>
  <c r="M1555" i="1"/>
  <c r="N1555" i="1"/>
  <c r="O1555" i="1"/>
  <c r="P1555" i="1"/>
  <c r="L1556" i="1"/>
  <c r="M1556" i="1"/>
  <c r="N1556" i="1"/>
  <c r="O1556" i="1"/>
  <c r="P1556" i="1"/>
  <c r="L1557" i="1"/>
  <c r="M1557" i="1"/>
  <c r="N1557" i="1"/>
  <c r="O1557" i="1"/>
  <c r="P1557" i="1"/>
  <c r="L1558" i="1"/>
  <c r="M1558" i="1"/>
  <c r="N1558" i="1"/>
  <c r="O1558" i="1"/>
  <c r="P1558" i="1"/>
  <c r="L1559" i="1"/>
  <c r="M1559" i="1"/>
  <c r="N1559" i="1"/>
  <c r="O1559" i="1"/>
  <c r="P1559" i="1"/>
  <c r="L1560" i="1"/>
  <c r="M1560" i="1"/>
  <c r="N1560" i="1"/>
  <c r="O1560" i="1"/>
  <c r="P1560" i="1"/>
  <c r="L1561" i="1"/>
  <c r="M1561" i="1"/>
  <c r="N1561" i="1"/>
  <c r="O1561" i="1"/>
  <c r="P1561" i="1"/>
  <c r="L1562" i="1"/>
  <c r="M1562" i="1"/>
  <c r="N1562" i="1"/>
  <c r="O1562" i="1"/>
  <c r="P1562" i="1"/>
  <c r="L1563" i="1"/>
  <c r="M1563" i="1"/>
  <c r="N1563" i="1"/>
  <c r="O1563" i="1"/>
  <c r="P1563" i="1"/>
  <c r="L1564" i="1"/>
  <c r="M1564" i="1"/>
  <c r="N1564" i="1"/>
  <c r="O1564" i="1"/>
  <c r="P1564" i="1"/>
  <c r="L1565" i="1"/>
  <c r="M1565" i="1"/>
  <c r="N1565" i="1"/>
  <c r="O1565" i="1"/>
  <c r="P1565" i="1"/>
  <c r="L1566" i="1"/>
  <c r="M1566" i="1"/>
  <c r="N1566" i="1"/>
  <c r="O1566" i="1"/>
  <c r="P1566" i="1"/>
  <c r="L1567" i="1"/>
  <c r="M1567" i="1"/>
  <c r="N1567" i="1"/>
  <c r="O1567" i="1"/>
  <c r="P1567" i="1"/>
  <c r="L1568" i="1"/>
  <c r="M1568" i="1"/>
  <c r="N1568" i="1"/>
  <c r="O1568" i="1"/>
  <c r="P1568" i="1"/>
  <c r="L1569" i="1"/>
  <c r="M1569" i="1"/>
  <c r="N1569" i="1"/>
  <c r="O1569" i="1"/>
  <c r="P1569" i="1"/>
  <c r="L1570" i="1"/>
  <c r="M1570" i="1"/>
  <c r="N1570" i="1"/>
  <c r="O1570" i="1"/>
  <c r="P1570" i="1"/>
  <c r="L1571" i="1"/>
  <c r="M1571" i="1"/>
  <c r="N1571" i="1"/>
  <c r="O1571" i="1"/>
  <c r="P1571" i="1"/>
  <c r="L1572" i="1"/>
  <c r="M1572" i="1"/>
  <c r="N1572" i="1"/>
  <c r="O1572" i="1"/>
  <c r="P1572" i="1"/>
  <c r="L1573" i="1"/>
  <c r="M1573" i="1"/>
  <c r="N1573" i="1"/>
  <c r="O1573" i="1"/>
  <c r="P1573" i="1"/>
  <c r="L1574" i="1"/>
  <c r="M1574" i="1"/>
  <c r="N1574" i="1"/>
  <c r="O1574" i="1"/>
  <c r="P1574" i="1"/>
  <c r="L1575" i="1"/>
  <c r="M1575" i="1"/>
  <c r="N1575" i="1"/>
  <c r="O1575" i="1"/>
  <c r="P1575" i="1"/>
  <c r="L1576" i="1"/>
  <c r="M1576" i="1"/>
  <c r="N1576" i="1"/>
  <c r="O1576" i="1"/>
  <c r="P1576" i="1"/>
  <c r="L1577" i="1"/>
  <c r="M1577" i="1"/>
  <c r="N1577" i="1"/>
  <c r="O1577" i="1"/>
  <c r="P1577" i="1"/>
  <c r="L1578" i="1"/>
  <c r="M1578" i="1"/>
  <c r="N1578" i="1"/>
  <c r="O1578" i="1"/>
  <c r="P1578" i="1"/>
  <c r="L1579" i="1"/>
  <c r="M1579" i="1"/>
  <c r="N1579" i="1"/>
  <c r="O1579" i="1"/>
  <c r="P1579" i="1"/>
  <c r="L1580" i="1"/>
  <c r="M1580" i="1"/>
  <c r="N1580" i="1"/>
  <c r="O1580" i="1"/>
  <c r="P1580" i="1"/>
  <c r="L1581" i="1"/>
  <c r="M1581" i="1"/>
  <c r="N1581" i="1"/>
  <c r="O1581" i="1"/>
  <c r="P1581" i="1"/>
  <c r="L1582" i="1"/>
  <c r="M1582" i="1"/>
  <c r="N1582" i="1"/>
  <c r="O1582" i="1"/>
  <c r="P1582" i="1"/>
  <c r="L1583" i="1"/>
  <c r="M1583" i="1"/>
  <c r="N1583" i="1"/>
  <c r="O1583" i="1"/>
  <c r="P1583" i="1"/>
  <c r="L1584" i="1"/>
  <c r="M1584" i="1"/>
  <c r="N1584" i="1"/>
  <c r="O1584" i="1"/>
  <c r="P1584" i="1"/>
  <c r="L1585" i="1"/>
  <c r="M1585" i="1"/>
  <c r="N1585" i="1"/>
  <c r="O1585" i="1"/>
  <c r="P1585" i="1"/>
  <c r="L1586" i="1"/>
  <c r="M1586" i="1"/>
  <c r="N1586" i="1"/>
  <c r="O1586" i="1"/>
  <c r="P1586" i="1"/>
  <c r="L1587" i="1"/>
  <c r="M1587" i="1"/>
  <c r="N1587" i="1"/>
  <c r="O1587" i="1"/>
  <c r="P1587" i="1"/>
  <c r="L1588" i="1"/>
  <c r="M1588" i="1"/>
  <c r="N1588" i="1"/>
  <c r="O1588" i="1"/>
  <c r="P1588" i="1"/>
  <c r="L1589" i="1"/>
  <c r="M1589" i="1"/>
  <c r="N1589" i="1"/>
  <c r="O1589" i="1"/>
  <c r="P1589" i="1"/>
  <c r="L1590" i="1"/>
  <c r="M1590" i="1"/>
  <c r="N1590" i="1"/>
  <c r="O1590" i="1"/>
  <c r="P1590" i="1"/>
  <c r="L1591" i="1"/>
  <c r="M1591" i="1"/>
  <c r="N1591" i="1"/>
  <c r="O1591" i="1"/>
  <c r="P1591" i="1"/>
  <c r="L1592" i="1"/>
  <c r="M1592" i="1"/>
  <c r="N1592" i="1"/>
  <c r="O1592" i="1"/>
  <c r="P1592" i="1"/>
  <c r="L1593" i="1"/>
  <c r="M1593" i="1"/>
  <c r="N1593" i="1"/>
  <c r="O1593" i="1"/>
  <c r="P1593" i="1"/>
  <c r="L1594" i="1"/>
  <c r="M1594" i="1"/>
  <c r="N1594" i="1"/>
  <c r="O1594" i="1"/>
  <c r="P1594" i="1"/>
  <c r="L1595" i="1"/>
  <c r="M1595" i="1"/>
  <c r="N1595" i="1"/>
  <c r="O1595" i="1"/>
  <c r="P1595" i="1"/>
  <c r="L1596" i="1"/>
  <c r="M1596" i="1"/>
  <c r="N1596" i="1"/>
  <c r="O1596" i="1"/>
  <c r="P1596" i="1"/>
  <c r="L1597" i="1"/>
  <c r="M1597" i="1"/>
  <c r="N1597" i="1"/>
  <c r="O1597" i="1"/>
  <c r="P1597" i="1"/>
  <c r="L1598" i="1"/>
  <c r="M1598" i="1"/>
  <c r="N1598" i="1"/>
  <c r="O1598" i="1"/>
  <c r="P1598" i="1"/>
  <c r="L1599" i="1"/>
  <c r="M1599" i="1"/>
  <c r="N1599" i="1"/>
  <c r="O1599" i="1"/>
  <c r="P1599" i="1"/>
  <c r="L1600" i="1"/>
  <c r="M1600" i="1"/>
  <c r="N1600" i="1"/>
  <c r="O1600" i="1"/>
  <c r="P1600" i="1"/>
  <c r="L1601" i="1"/>
  <c r="M1601" i="1"/>
  <c r="N1601" i="1"/>
  <c r="O1601" i="1"/>
  <c r="P1601" i="1"/>
  <c r="L1602" i="1"/>
  <c r="M1602" i="1"/>
  <c r="N1602" i="1"/>
  <c r="O1602" i="1"/>
  <c r="P1602" i="1"/>
  <c r="L1603" i="1"/>
  <c r="M1603" i="1"/>
  <c r="N1603" i="1"/>
  <c r="O1603" i="1"/>
  <c r="P1603" i="1"/>
  <c r="L1604" i="1"/>
  <c r="M1604" i="1"/>
  <c r="N1604" i="1"/>
  <c r="O1604" i="1"/>
  <c r="P1604" i="1"/>
  <c r="L1605" i="1"/>
  <c r="M1605" i="1"/>
  <c r="N1605" i="1"/>
  <c r="O1605" i="1"/>
  <c r="P1605" i="1"/>
  <c r="L1606" i="1"/>
  <c r="M1606" i="1"/>
  <c r="N1606" i="1"/>
  <c r="O1606" i="1"/>
  <c r="P1606" i="1"/>
  <c r="L1607" i="1"/>
  <c r="M1607" i="1"/>
  <c r="N1607" i="1"/>
  <c r="O1607" i="1"/>
  <c r="P1607" i="1"/>
  <c r="L1608" i="1"/>
  <c r="M1608" i="1"/>
  <c r="N1608" i="1"/>
  <c r="O1608" i="1"/>
  <c r="P1608" i="1"/>
  <c r="L1609" i="1"/>
  <c r="M1609" i="1"/>
  <c r="N1609" i="1"/>
  <c r="O1609" i="1"/>
  <c r="P1609" i="1"/>
  <c r="L1610" i="1"/>
  <c r="M1610" i="1"/>
  <c r="N1610" i="1"/>
  <c r="O1610" i="1"/>
  <c r="P1610" i="1"/>
  <c r="L1611" i="1"/>
  <c r="M1611" i="1"/>
  <c r="N1611" i="1"/>
  <c r="O1611" i="1"/>
  <c r="P1611" i="1"/>
  <c r="L1612" i="1"/>
  <c r="M1612" i="1"/>
  <c r="N1612" i="1"/>
  <c r="O1612" i="1"/>
  <c r="P1612" i="1"/>
  <c r="L1613" i="1"/>
  <c r="M1613" i="1"/>
  <c r="N1613" i="1"/>
  <c r="O1613" i="1"/>
  <c r="P1613" i="1"/>
  <c r="L1614" i="1"/>
  <c r="M1614" i="1"/>
  <c r="N1614" i="1"/>
  <c r="O1614" i="1"/>
  <c r="P1614" i="1"/>
  <c r="L1615" i="1"/>
  <c r="M1615" i="1"/>
  <c r="N1615" i="1"/>
  <c r="O1615" i="1"/>
  <c r="P1615" i="1"/>
  <c r="L1616" i="1"/>
  <c r="M1616" i="1"/>
  <c r="N1616" i="1"/>
  <c r="O1616" i="1"/>
  <c r="P1616" i="1"/>
  <c r="L1617" i="1"/>
  <c r="M1617" i="1"/>
  <c r="N1617" i="1"/>
  <c r="O1617" i="1"/>
  <c r="P1617" i="1"/>
  <c r="L1618" i="1"/>
  <c r="M1618" i="1"/>
  <c r="N1618" i="1"/>
  <c r="O1618" i="1"/>
  <c r="P1618" i="1"/>
  <c r="L1619" i="1"/>
  <c r="M1619" i="1"/>
  <c r="N1619" i="1"/>
  <c r="O1619" i="1"/>
  <c r="P1619" i="1"/>
  <c r="L1620" i="1"/>
  <c r="M1620" i="1"/>
  <c r="N1620" i="1"/>
  <c r="O1620" i="1"/>
  <c r="P1620" i="1"/>
  <c r="L1621" i="1"/>
  <c r="M1621" i="1"/>
  <c r="N1621" i="1"/>
  <c r="O1621" i="1"/>
  <c r="P1621" i="1"/>
  <c r="L1622" i="1"/>
  <c r="M1622" i="1"/>
  <c r="N1622" i="1"/>
  <c r="O1622" i="1"/>
  <c r="P1622" i="1"/>
  <c r="L1623" i="1"/>
  <c r="M1623" i="1"/>
  <c r="N1623" i="1"/>
  <c r="O1623" i="1"/>
  <c r="P1623" i="1"/>
  <c r="L1624" i="1"/>
  <c r="M1624" i="1"/>
  <c r="N1624" i="1"/>
  <c r="O1624" i="1"/>
  <c r="P1624" i="1"/>
  <c r="L1625" i="1"/>
  <c r="M1625" i="1"/>
  <c r="N1625" i="1"/>
  <c r="O1625" i="1"/>
  <c r="P1625" i="1"/>
  <c r="L1626" i="1"/>
  <c r="M1626" i="1"/>
  <c r="N1626" i="1"/>
  <c r="O1626" i="1"/>
  <c r="P1626" i="1"/>
  <c r="L1627" i="1"/>
  <c r="M1627" i="1"/>
  <c r="N1627" i="1"/>
  <c r="O1627" i="1"/>
  <c r="P1627" i="1"/>
  <c r="L1628" i="1"/>
  <c r="M1628" i="1"/>
  <c r="N1628" i="1"/>
  <c r="O1628" i="1"/>
  <c r="P1628" i="1"/>
  <c r="L1629" i="1"/>
  <c r="M1629" i="1"/>
  <c r="N1629" i="1"/>
  <c r="O1629" i="1"/>
  <c r="P1629" i="1"/>
  <c r="L1630" i="1"/>
  <c r="M1630" i="1"/>
  <c r="N1630" i="1"/>
  <c r="O1630" i="1"/>
  <c r="P1630" i="1"/>
  <c r="L1631" i="1"/>
  <c r="M1631" i="1"/>
  <c r="N1631" i="1"/>
  <c r="O1631" i="1"/>
  <c r="P1631" i="1"/>
  <c r="L1632" i="1"/>
  <c r="M1632" i="1"/>
  <c r="N1632" i="1"/>
  <c r="O1632" i="1"/>
  <c r="P1632" i="1"/>
  <c r="L1633" i="1"/>
  <c r="M1633" i="1"/>
  <c r="N1633" i="1"/>
  <c r="O1633" i="1"/>
  <c r="P1633" i="1"/>
  <c r="L1634" i="1"/>
  <c r="M1634" i="1"/>
  <c r="N1634" i="1"/>
  <c r="O1634" i="1"/>
  <c r="P1634" i="1"/>
  <c r="L1635" i="1"/>
  <c r="M1635" i="1"/>
  <c r="N1635" i="1"/>
  <c r="O1635" i="1"/>
  <c r="P1635" i="1"/>
  <c r="L1636" i="1"/>
  <c r="M1636" i="1"/>
  <c r="N1636" i="1"/>
  <c r="O1636" i="1"/>
  <c r="P1636" i="1"/>
  <c r="L1637" i="1"/>
  <c r="M1637" i="1"/>
  <c r="N1637" i="1"/>
  <c r="O1637" i="1"/>
  <c r="P1637" i="1"/>
  <c r="L1638" i="1"/>
  <c r="M1638" i="1"/>
  <c r="N1638" i="1"/>
  <c r="O1638" i="1"/>
  <c r="P1638" i="1"/>
  <c r="L1639" i="1"/>
  <c r="M1639" i="1"/>
  <c r="N1639" i="1"/>
  <c r="O1639" i="1"/>
  <c r="P1639" i="1"/>
  <c r="L1640" i="1"/>
  <c r="M1640" i="1"/>
  <c r="N1640" i="1"/>
  <c r="O1640" i="1"/>
  <c r="P1640" i="1"/>
  <c r="L1641" i="1"/>
  <c r="M1641" i="1"/>
  <c r="N1641" i="1"/>
  <c r="O1641" i="1"/>
  <c r="P1641" i="1"/>
  <c r="L1642" i="1"/>
  <c r="M1642" i="1"/>
  <c r="N1642" i="1"/>
  <c r="O1642" i="1"/>
  <c r="P1642" i="1"/>
  <c r="L1643" i="1"/>
  <c r="M1643" i="1"/>
  <c r="N1643" i="1"/>
  <c r="O1643" i="1"/>
  <c r="P1643" i="1"/>
  <c r="L1644" i="1"/>
  <c r="M1644" i="1"/>
  <c r="N1644" i="1"/>
  <c r="O1644" i="1"/>
  <c r="P1644" i="1"/>
  <c r="L1645" i="1"/>
  <c r="M1645" i="1"/>
  <c r="N1645" i="1"/>
  <c r="O1645" i="1"/>
  <c r="P1645" i="1"/>
  <c r="L1646" i="1"/>
  <c r="M1646" i="1"/>
  <c r="N1646" i="1"/>
  <c r="O1646" i="1"/>
  <c r="P1646" i="1"/>
  <c r="L1647" i="1"/>
  <c r="M1647" i="1"/>
  <c r="N1647" i="1"/>
  <c r="O1647" i="1"/>
  <c r="P1647" i="1"/>
  <c r="L1648" i="1"/>
  <c r="M1648" i="1"/>
  <c r="N1648" i="1"/>
  <c r="O1648" i="1"/>
  <c r="P1648" i="1"/>
  <c r="L1649" i="1"/>
  <c r="M1649" i="1"/>
  <c r="N1649" i="1"/>
  <c r="O1649" i="1"/>
  <c r="P1649" i="1"/>
  <c r="L1650" i="1"/>
  <c r="M1650" i="1"/>
  <c r="N1650" i="1"/>
  <c r="O1650" i="1"/>
  <c r="P1650" i="1"/>
  <c r="L1651" i="1"/>
  <c r="M1651" i="1"/>
  <c r="N1651" i="1"/>
  <c r="O1651" i="1"/>
  <c r="P1651" i="1"/>
  <c r="L1652" i="1"/>
  <c r="M1652" i="1"/>
  <c r="N1652" i="1"/>
  <c r="O1652" i="1"/>
  <c r="P1652" i="1"/>
  <c r="L1653" i="1"/>
  <c r="M1653" i="1"/>
  <c r="N1653" i="1"/>
  <c r="O1653" i="1"/>
  <c r="P1653" i="1"/>
  <c r="L1654" i="1"/>
  <c r="M1654" i="1"/>
  <c r="N1654" i="1"/>
  <c r="O1654" i="1"/>
  <c r="P1654" i="1"/>
  <c r="L1655" i="1"/>
  <c r="M1655" i="1"/>
  <c r="N1655" i="1"/>
  <c r="O1655" i="1"/>
  <c r="P1655" i="1"/>
  <c r="L1656" i="1"/>
  <c r="M1656" i="1"/>
  <c r="N1656" i="1"/>
  <c r="O1656" i="1"/>
  <c r="P1656" i="1"/>
  <c r="L1657" i="1"/>
  <c r="M1657" i="1"/>
  <c r="N1657" i="1"/>
  <c r="O1657" i="1"/>
  <c r="P1657" i="1"/>
  <c r="L1658" i="1"/>
  <c r="M1658" i="1"/>
  <c r="N1658" i="1"/>
  <c r="O1658" i="1"/>
  <c r="P1658" i="1"/>
  <c r="L1659" i="1"/>
  <c r="M1659" i="1"/>
  <c r="N1659" i="1"/>
  <c r="O1659" i="1"/>
  <c r="P1659" i="1"/>
  <c r="L1660" i="1"/>
  <c r="M1660" i="1"/>
  <c r="N1660" i="1"/>
  <c r="O1660" i="1"/>
  <c r="P1660" i="1"/>
  <c r="L1661" i="1"/>
  <c r="M1661" i="1"/>
  <c r="N1661" i="1"/>
  <c r="O1661" i="1"/>
  <c r="P1661" i="1"/>
  <c r="L1662" i="1"/>
  <c r="M1662" i="1"/>
  <c r="N1662" i="1"/>
  <c r="O1662" i="1"/>
  <c r="P1662" i="1"/>
  <c r="L1663" i="1"/>
  <c r="M1663" i="1"/>
  <c r="N1663" i="1"/>
  <c r="O1663" i="1"/>
  <c r="P1663" i="1"/>
  <c r="L1664" i="1"/>
  <c r="M1664" i="1"/>
  <c r="N1664" i="1"/>
  <c r="O1664" i="1"/>
  <c r="P1664" i="1"/>
  <c r="L1665" i="1"/>
  <c r="M1665" i="1"/>
  <c r="N1665" i="1"/>
  <c r="O1665" i="1"/>
  <c r="P1665" i="1"/>
  <c r="L1666" i="1"/>
  <c r="M1666" i="1"/>
  <c r="N1666" i="1"/>
  <c r="O1666" i="1"/>
  <c r="P1666" i="1"/>
  <c r="L1667" i="1"/>
  <c r="M1667" i="1"/>
  <c r="N1667" i="1"/>
  <c r="O1667" i="1"/>
  <c r="P1667" i="1"/>
  <c r="L1668" i="1"/>
  <c r="M1668" i="1"/>
  <c r="N1668" i="1"/>
  <c r="O1668" i="1"/>
  <c r="P1668" i="1"/>
  <c r="L1669" i="1"/>
  <c r="M1669" i="1"/>
  <c r="N1669" i="1"/>
  <c r="O1669" i="1"/>
  <c r="P1669" i="1"/>
  <c r="L1670" i="1"/>
  <c r="M1670" i="1"/>
  <c r="N1670" i="1"/>
  <c r="O1670" i="1"/>
  <c r="P1670" i="1"/>
  <c r="L1671" i="1"/>
  <c r="M1671" i="1"/>
  <c r="N1671" i="1"/>
  <c r="O1671" i="1"/>
  <c r="P1671" i="1"/>
  <c r="L1672" i="1"/>
  <c r="M1672" i="1"/>
  <c r="N1672" i="1"/>
  <c r="O1672" i="1"/>
  <c r="P1672" i="1"/>
  <c r="L1673" i="1"/>
  <c r="M1673" i="1"/>
  <c r="N1673" i="1"/>
  <c r="O1673" i="1"/>
  <c r="P1673" i="1"/>
  <c r="L1674" i="1"/>
  <c r="M1674" i="1"/>
  <c r="N1674" i="1"/>
  <c r="O1674" i="1"/>
  <c r="P1674" i="1"/>
  <c r="L1675" i="1"/>
  <c r="M1675" i="1"/>
  <c r="N1675" i="1"/>
  <c r="O1675" i="1"/>
  <c r="P1675" i="1"/>
  <c r="L1676" i="1"/>
  <c r="M1676" i="1"/>
  <c r="N1676" i="1"/>
  <c r="O1676" i="1"/>
  <c r="P1676" i="1"/>
  <c r="L1677" i="1"/>
  <c r="M1677" i="1"/>
  <c r="N1677" i="1"/>
  <c r="O1677" i="1"/>
  <c r="P1677" i="1"/>
  <c r="L1678" i="1"/>
  <c r="M1678" i="1"/>
  <c r="N1678" i="1"/>
  <c r="O1678" i="1"/>
  <c r="P1678" i="1"/>
  <c r="L1679" i="1"/>
  <c r="M1679" i="1"/>
  <c r="N1679" i="1"/>
  <c r="O1679" i="1"/>
  <c r="P1679" i="1"/>
  <c r="L1680" i="1"/>
  <c r="M1680" i="1"/>
  <c r="N1680" i="1"/>
  <c r="O1680" i="1"/>
  <c r="P1680" i="1"/>
  <c r="L1681" i="1"/>
  <c r="M1681" i="1"/>
  <c r="N1681" i="1"/>
  <c r="O1681" i="1"/>
  <c r="P1681" i="1"/>
  <c r="L1682" i="1"/>
  <c r="M1682" i="1"/>
  <c r="N1682" i="1"/>
  <c r="O1682" i="1"/>
  <c r="P1682" i="1"/>
  <c r="L1683" i="1"/>
  <c r="M1683" i="1"/>
  <c r="N1683" i="1"/>
  <c r="O1683" i="1"/>
  <c r="P1683" i="1"/>
  <c r="L1684" i="1"/>
  <c r="M1684" i="1"/>
  <c r="N1684" i="1"/>
  <c r="O1684" i="1"/>
  <c r="P1684" i="1"/>
  <c r="L1685" i="1"/>
  <c r="M1685" i="1"/>
  <c r="N1685" i="1"/>
  <c r="O1685" i="1"/>
  <c r="P1685" i="1"/>
  <c r="L1686" i="1"/>
  <c r="M1686" i="1"/>
  <c r="N1686" i="1"/>
  <c r="O1686" i="1"/>
  <c r="P1686" i="1"/>
  <c r="L1687" i="1"/>
  <c r="M1687" i="1"/>
  <c r="N1687" i="1"/>
  <c r="O1687" i="1"/>
  <c r="P1687" i="1"/>
  <c r="L1688" i="1"/>
  <c r="M1688" i="1"/>
  <c r="N1688" i="1"/>
  <c r="O1688" i="1"/>
  <c r="P1688" i="1"/>
  <c r="L1689" i="1"/>
  <c r="M1689" i="1"/>
  <c r="N1689" i="1"/>
  <c r="O1689" i="1"/>
  <c r="P1689" i="1"/>
  <c r="L1690" i="1"/>
  <c r="M1690" i="1"/>
  <c r="N1690" i="1"/>
  <c r="O1690" i="1"/>
  <c r="P1690" i="1"/>
  <c r="L1691" i="1"/>
  <c r="M1691" i="1"/>
  <c r="N1691" i="1"/>
  <c r="O1691" i="1"/>
  <c r="P1691" i="1"/>
  <c r="L1692" i="1"/>
  <c r="M1692" i="1"/>
  <c r="N1692" i="1"/>
  <c r="O1692" i="1"/>
  <c r="P1692" i="1"/>
  <c r="L1693" i="1"/>
  <c r="M1693" i="1"/>
  <c r="N1693" i="1"/>
  <c r="O1693" i="1"/>
  <c r="P1693" i="1"/>
  <c r="L1694" i="1"/>
  <c r="M1694" i="1"/>
  <c r="N1694" i="1"/>
  <c r="O1694" i="1"/>
  <c r="P1694" i="1"/>
  <c r="L1695" i="1"/>
  <c r="M1695" i="1"/>
  <c r="N1695" i="1"/>
  <c r="O1695" i="1"/>
  <c r="P1695" i="1"/>
  <c r="L1696" i="1"/>
  <c r="M1696" i="1"/>
  <c r="N1696" i="1"/>
  <c r="O1696" i="1"/>
  <c r="P1696" i="1"/>
  <c r="L1697" i="1"/>
  <c r="M1697" i="1"/>
  <c r="N1697" i="1"/>
  <c r="O1697" i="1"/>
  <c r="P1697" i="1"/>
  <c r="L1698" i="1"/>
  <c r="M1698" i="1"/>
  <c r="N1698" i="1"/>
  <c r="O1698" i="1"/>
  <c r="P1698" i="1"/>
  <c r="L1699" i="1"/>
  <c r="M1699" i="1"/>
  <c r="N1699" i="1"/>
  <c r="O1699" i="1"/>
  <c r="P1699" i="1"/>
  <c r="L1700" i="1"/>
  <c r="M1700" i="1"/>
  <c r="N1700" i="1"/>
  <c r="O1700" i="1"/>
  <c r="P1700" i="1"/>
  <c r="L1701" i="1"/>
  <c r="M1701" i="1"/>
  <c r="N1701" i="1"/>
  <c r="O1701" i="1"/>
  <c r="P1701" i="1"/>
  <c r="L1702" i="1"/>
  <c r="M1702" i="1"/>
  <c r="N1702" i="1"/>
  <c r="O1702" i="1"/>
  <c r="P1702" i="1"/>
  <c r="L1703" i="1"/>
  <c r="M1703" i="1"/>
  <c r="N1703" i="1"/>
  <c r="O1703" i="1"/>
  <c r="P1703" i="1"/>
  <c r="L1704" i="1"/>
  <c r="M1704" i="1"/>
  <c r="N1704" i="1"/>
  <c r="O1704" i="1"/>
  <c r="P1704" i="1"/>
  <c r="L1705" i="1"/>
  <c r="M1705" i="1"/>
  <c r="N1705" i="1"/>
  <c r="O1705" i="1"/>
  <c r="P1705" i="1"/>
  <c r="L1706" i="1"/>
  <c r="M1706" i="1"/>
  <c r="N1706" i="1"/>
  <c r="O1706" i="1"/>
  <c r="P1706" i="1"/>
  <c r="L1707" i="1"/>
  <c r="M1707" i="1"/>
  <c r="N1707" i="1"/>
  <c r="O1707" i="1"/>
  <c r="P1707" i="1"/>
  <c r="L1708" i="1"/>
  <c r="M1708" i="1"/>
  <c r="N1708" i="1"/>
  <c r="O1708" i="1"/>
  <c r="P1708" i="1"/>
  <c r="L1709" i="1"/>
  <c r="M1709" i="1"/>
  <c r="N1709" i="1"/>
  <c r="O1709" i="1"/>
  <c r="P1709" i="1"/>
  <c r="L1710" i="1"/>
  <c r="M1710" i="1"/>
  <c r="N1710" i="1"/>
  <c r="O1710" i="1"/>
  <c r="P1710" i="1"/>
  <c r="L1711" i="1"/>
  <c r="M1711" i="1"/>
  <c r="N1711" i="1"/>
  <c r="O1711" i="1"/>
  <c r="P1711" i="1"/>
  <c r="L1712" i="1"/>
  <c r="M1712" i="1"/>
  <c r="N1712" i="1"/>
  <c r="O1712" i="1"/>
  <c r="P1712" i="1"/>
  <c r="L1713" i="1"/>
  <c r="M1713" i="1"/>
  <c r="N1713" i="1"/>
  <c r="O1713" i="1"/>
  <c r="P1713" i="1"/>
  <c r="L1714" i="1"/>
  <c r="M1714" i="1"/>
  <c r="N1714" i="1"/>
  <c r="O1714" i="1"/>
  <c r="P1714" i="1"/>
  <c r="L1715" i="1"/>
  <c r="M1715" i="1"/>
  <c r="N1715" i="1"/>
  <c r="O1715" i="1"/>
  <c r="P1715" i="1"/>
  <c r="L1716" i="1"/>
  <c r="M1716" i="1"/>
  <c r="N1716" i="1"/>
  <c r="O1716" i="1"/>
  <c r="P1716" i="1"/>
  <c r="L1717" i="1"/>
  <c r="M1717" i="1"/>
  <c r="N1717" i="1"/>
  <c r="O1717" i="1"/>
  <c r="P1717" i="1"/>
  <c r="L1718" i="1"/>
  <c r="M1718" i="1"/>
  <c r="N1718" i="1"/>
  <c r="O1718" i="1"/>
  <c r="P1718" i="1"/>
  <c r="L1719" i="1"/>
  <c r="M1719" i="1"/>
  <c r="N1719" i="1"/>
  <c r="O1719" i="1"/>
  <c r="P1719" i="1"/>
  <c r="L1720" i="1"/>
  <c r="M1720" i="1"/>
  <c r="N1720" i="1"/>
  <c r="O1720" i="1"/>
  <c r="P1720" i="1"/>
  <c r="L1721" i="1"/>
  <c r="M1721" i="1"/>
  <c r="N1721" i="1"/>
  <c r="O1721" i="1"/>
  <c r="P1721" i="1"/>
  <c r="L1722" i="1"/>
  <c r="M1722" i="1"/>
  <c r="N1722" i="1"/>
  <c r="O1722" i="1"/>
  <c r="P1722" i="1"/>
  <c r="L1723" i="1"/>
  <c r="M1723" i="1"/>
  <c r="N1723" i="1"/>
  <c r="O1723" i="1"/>
  <c r="P1723" i="1"/>
  <c r="L1724" i="1"/>
  <c r="M1724" i="1"/>
  <c r="N1724" i="1"/>
  <c r="O1724" i="1"/>
  <c r="P1724" i="1"/>
  <c r="L1725" i="1"/>
  <c r="M1725" i="1"/>
  <c r="N1725" i="1"/>
  <c r="O1725" i="1"/>
  <c r="P1725" i="1"/>
  <c r="L1726" i="1"/>
  <c r="M1726" i="1"/>
  <c r="N1726" i="1"/>
  <c r="O1726" i="1"/>
  <c r="P1726" i="1"/>
  <c r="L1727" i="1"/>
  <c r="M1727" i="1"/>
  <c r="N1727" i="1"/>
  <c r="O1727" i="1"/>
  <c r="P1727" i="1"/>
  <c r="L1728" i="1"/>
  <c r="M1728" i="1"/>
  <c r="N1728" i="1"/>
  <c r="O1728" i="1"/>
  <c r="P1728" i="1"/>
  <c r="L1729" i="1"/>
  <c r="M1729" i="1"/>
  <c r="N1729" i="1"/>
  <c r="O1729" i="1"/>
  <c r="P1729" i="1"/>
  <c r="L1730" i="1"/>
  <c r="M1730" i="1"/>
  <c r="N1730" i="1"/>
  <c r="O1730" i="1"/>
  <c r="P1730" i="1"/>
  <c r="L1731" i="1"/>
  <c r="M1731" i="1"/>
  <c r="N1731" i="1"/>
  <c r="O1731" i="1"/>
  <c r="P1731" i="1"/>
  <c r="L1732" i="1"/>
  <c r="M1732" i="1"/>
  <c r="N1732" i="1"/>
  <c r="O1732" i="1"/>
  <c r="P1732" i="1"/>
  <c r="L1733" i="1"/>
  <c r="M1733" i="1"/>
  <c r="N1733" i="1"/>
  <c r="O1733" i="1"/>
  <c r="P1733" i="1"/>
  <c r="L1734" i="1"/>
  <c r="M1734" i="1"/>
  <c r="N1734" i="1"/>
  <c r="O1734" i="1"/>
  <c r="P1734" i="1"/>
  <c r="L1735" i="1"/>
  <c r="M1735" i="1"/>
  <c r="N1735" i="1"/>
  <c r="O1735" i="1"/>
  <c r="P1735" i="1"/>
  <c r="L1736" i="1"/>
  <c r="M1736" i="1"/>
  <c r="N1736" i="1"/>
  <c r="O1736" i="1"/>
  <c r="P1736" i="1"/>
  <c r="L1737" i="1"/>
  <c r="M1737" i="1"/>
  <c r="N1737" i="1"/>
  <c r="O1737" i="1"/>
  <c r="P1737" i="1"/>
  <c r="L1738" i="1"/>
  <c r="M1738" i="1"/>
  <c r="N1738" i="1"/>
  <c r="O1738" i="1"/>
  <c r="P1738" i="1"/>
  <c r="L1739" i="1"/>
  <c r="M1739" i="1"/>
  <c r="N1739" i="1"/>
  <c r="O1739" i="1"/>
  <c r="P1739" i="1"/>
  <c r="L1740" i="1"/>
  <c r="M1740" i="1"/>
  <c r="N1740" i="1"/>
  <c r="O1740" i="1"/>
  <c r="P1740" i="1"/>
  <c r="L1741" i="1"/>
  <c r="M1741" i="1"/>
  <c r="N1741" i="1"/>
  <c r="O1741" i="1"/>
  <c r="P1741" i="1"/>
  <c r="L1742" i="1"/>
  <c r="M1742" i="1"/>
  <c r="N1742" i="1"/>
  <c r="O1742" i="1"/>
  <c r="P1742" i="1"/>
  <c r="L1743" i="1"/>
  <c r="M1743" i="1"/>
  <c r="N1743" i="1"/>
  <c r="O1743" i="1"/>
  <c r="P1743" i="1"/>
  <c r="L1744" i="1"/>
  <c r="M1744" i="1"/>
  <c r="N1744" i="1"/>
  <c r="O1744" i="1"/>
  <c r="P1744" i="1"/>
  <c r="L1745" i="1"/>
  <c r="M1745" i="1"/>
  <c r="N1745" i="1"/>
  <c r="O1745" i="1"/>
  <c r="P1745" i="1"/>
  <c r="L1746" i="1"/>
  <c r="M1746" i="1"/>
  <c r="N1746" i="1"/>
  <c r="O1746" i="1"/>
  <c r="P1746" i="1"/>
  <c r="L1747" i="1"/>
  <c r="M1747" i="1"/>
  <c r="N1747" i="1"/>
  <c r="O1747" i="1"/>
  <c r="P1747" i="1"/>
  <c r="L1748" i="1"/>
  <c r="M1748" i="1"/>
  <c r="N1748" i="1"/>
  <c r="O1748" i="1"/>
  <c r="P1748" i="1"/>
  <c r="L1749" i="1"/>
  <c r="M1749" i="1"/>
  <c r="N1749" i="1"/>
  <c r="O1749" i="1"/>
  <c r="P1749" i="1"/>
  <c r="L1750" i="1"/>
  <c r="M1750" i="1"/>
  <c r="N1750" i="1"/>
  <c r="O1750" i="1"/>
  <c r="P1750" i="1"/>
  <c r="L1751" i="1"/>
  <c r="M1751" i="1"/>
  <c r="N1751" i="1"/>
  <c r="O1751" i="1"/>
  <c r="P1751" i="1"/>
  <c r="L1752" i="1"/>
  <c r="M1752" i="1"/>
  <c r="N1752" i="1"/>
  <c r="O1752" i="1"/>
  <c r="P1752" i="1"/>
  <c r="L1753" i="1"/>
  <c r="M1753" i="1"/>
  <c r="N1753" i="1"/>
  <c r="O1753" i="1"/>
  <c r="P1753" i="1"/>
  <c r="L1754" i="1"/>
  <c r="M1754" i="1"/>
  <c r="N1754" i="1"/>
  <c r="O1754" i="1"/>
  <c r="P1754" i="1"/>
  <c r="L1755" i="1"/>
  <c r="M1755" i="1"/>
  <c r="N1755" i="1"/>
  <c r="O1755" i="1"/>
  <c r="P1755" i="1"/>
  <c r="L1756" i="1"/>
  <c r="M1756" i="1"/>
  <c r="N1756" i="1"/>
  <c r="O1756" i="1"/>
  <c r="P1756" i="1"/>
  <c r="L1757" i="1"/>
  <c r="M1757" i="1"/>
  <c r="N1757" i="1"/>
  <c r="O1757" i="1"/>
  <c r="P1757" i="1"/>
  <c r="L1758" i="1"/>
  <c r="M1758" i="1"/>
  <c r="N1758" i="1"/>
  <c r="O1758" i="1"/>
  <c r="P1758" i="1"/>
  <c r="L1759" i="1"/>
  <c r="M1759" i="1"/>
  <c r="N1759" i="1"/>
  <c r="O1759" i="1"/>
  <c r="P1759" i="1"/>
  <c r="L1760" i="1"/>
  <c r="M1760" i="1"/>
  <c r="N1760" i="1"/>
  <c r="O1760" i="1"/>
  <c r="P1760" i="1"/>
  <c r="L1761" i="1"/>
  <c r="M1761" i="1"/>
  <c r="N1761" i="1"/>
  <c r="O1761" i="1"/>
  <c r="P1761" i="1"/>
  <c r="L1762" i="1"/>
  <c r="M1762" i="1"/>
  <c r="N1762" i="1"/>
  <c r="O1762" i="1"/>
  <c r="P1762" i="1"/>
  <c r="L1763" i="1"/>
  <c r="M1763" i="1"/>
  <c r="N1763" i="1"/>
  <c r="O1763" i="1"/>
  <c r="P1763" i="1"/>
  <c r="L1764" i="1"/>
  <c r="M1764" i="1"/>
  <c r="N1764" i="1"/>
  <c r="O1764" i="1"/>
  <c r="P1764" i="1"/>
  <c r="L1765" i="1"/>
  <c r="M1765" i="1"/>
  <c r="N1765" i="1"/>
  <c r="O1765" i="1"/>
  <c r="P1765" i="1"/>
  <c r="L1766" i="1"/>
  <c r="M1766" i="1"/>
  <c r="N1766" i="1"/>
  <c r="O1766" i="1"/>
  <c r="P1766" i="1"/>
  <c r="L1767" i="1"/>
  <c r="M1767" i="1"/>
  <c r="N1767" i="1"/>
  <c r="O1767" i="1"/>
  <c r="P1767" i="1"/>
  <c r="L1768" i="1"/>
  <c r="M1768" i="1"/>
  <c r="N1768" i="1"/>
  <c r="O1768" i="1"/>
  <c r="P1768" i="1"/>
  <c r="L1769" i="1"/>
  <c r="M1769" i="1"/>
  <c r="N1769" i="1"/>
  <c r="O1769" i="1"/>
  <c r="P1769" i="1"/>
  <c r="L1770" i="1"/>
  <c r="M1770" i="1"/>
  <c r="N1770" i="1"/>
  <c r="O1770" i="1"/>
  <c r="P1770" i="1"/>
  <c r="L1771" i="1"/>
  <c r="M1771" i="1"/>
  <c r="N1771" i="1"/>
  <c r="O1771" i="1"/>
  <c r="P1771" i="1"/>
  <c r="L1772" i="1"/>
  <c r="M1772" i="1"/>
  <c r="N1772" i="1"/>
  <c r="O1772" i="1"/>
  <c r="P1772" i="1"/>
  <c r="L1773" i="1"/>
  <c r="M1773" i="1"/>
  <c r="N1773" i="1"/>
  <c r="O1773" i="1"/>
  <c r="P1773" i="1"/>
  <c r="L1774" i="1"/>
  <c r="M1774" i="1"/>
  <c r="N1774" i="1"/>
  <c r="O1774" i="1"/>
  <c r="P1774" i="1"/>
  <c r="L1775" i="1"/>
  <c r="M1775" i="1"/>
  <c r="N1775" i="1"/>
  <c r="O1775" i="1"/>
  <c r="P1775" i="1"/>
  <c r="L1776" i="1"/>
  <c r="M1776" i="1"/>
  <c r="N1776" i="1"/>
  <c r="O1776" i="1"/>
  <c r="P1776" i="1"/>
  <c r="L1777" i="1"/>
  <c r="M1777" i="1"/>
  <c r="N1777" i="1"/>
  <c r="O1777" i="1"/>
  <c r="P1777" i="1"/>
  <c r="L1778" i="1"/>
  <c r="M1778" i="1"/>
  <c r="N1778" i="1"/>
  <c r="O1778" i="1"/>
  <c r="P1778" i="1"/>
  <c r="L1779" i="1"/>
  <c r="M1779" i="1"/>
  <c r="N1779" i="1"/>
  <c r="O1779" i="1"/>
  <c r="P1779" i="1"/>
  <c r="L1780" i="1"/>
  <c r="M1780" i="1"/>
  <c r="N1780" i="1"/>
  <c r="O1780" i="1"/>
  <c r="P1780" i="1"/>
  <c r="L1781" i="1"/>
  <c r="M1781" i="1"/>
  <c r="N1781" i="1"/>
  <c r="O1781" i="1"/>
  <c r="P1781" i="1"/>
  <c r="L1782" i="1"/>
  <c r="M1782" i="1"/>
  <c r="N1782" i="1"/>
  <c r="O1782" i="1"/>
  <c r="P1782" i="1"/>
  <c r="L1783" i="1"/>
  <c r="M1783" i="1"/>
  <c r="N1783" i="1"/>
  <c r="O1783" i="1"/>
  <c r="P1783" i="1"/>
  <c r="L1784" i="1"/>
  <c r="M1784" i="1"/>
  <c r="N1784" i="1"/>
  <c r="O1784" i="1"/>
  <c r="P1784" i="1"/>
  <c r="L1785" i="1"/>
  <c r="M1785" i="1"/>
  <c r="N1785" i="1"/>
  <c r="O1785" i="1"/>
  <c r="P1785" i="1"/>
  <c r="L1786" i="1"/>
  <c r="M1786" i="1"/>
  <c r="N1786" i="1"/>
  <c r="O1786" i="1"/>
  <c r="P1786" i="1"/>
  <c r="L1787" i="1"/>
  <c r="M1787" i="1"/>
  <c r="N1787" i="1"/>
  <c r="O1787" i="1"/>
  <c r="P1787" i="1"/>
  <c r="L1788" i="1"/>
  <c r="M1788" i="1"/>
  <c r="N1788" i="1"/>
  <c r="O1788" i="1"/>
  <c r="P1788" i="1"/>
  <c r="L1789" i="1"/>
  <c r="M1789" i="1"/>
  <c r="N1789" i="1"/>
  <c r="O1789" i="1"/>
  <c r="P1789" i="1"/>
  <c r="L1790" i="1"/>
  <c r="M1790" i="1"/>
  <c r="N1790" i="1"/>
  <c r="O1790" i="1"/>
  <c r="P1790" i="1"/>
  <c r="L1791" i="1"/>
  <c r="M1791" i="1"/>
  <c r="N1791" i="1"/>
  <c r="O1791" i="1"/>
  <c r="P1791" i="1"/>
  <c r="L1792" i="1"/>
  <c r="M1792" i="1"/>
  <c r="N1792" i="1"/>
  <c r="O1792" i="1"/>
  <c r="P1792" i="1"/>
  <c r="L1793" i="1"/>
  <c r="M1793" i="1"/>
  <c r="N1793" i="1"/>
  <c r="O1793" i="1"/>
  <c r="P1793" i="1"/>
  <c r="L1794" i="1"/>
  <c r="M1794" i="1"/>
  <c r="N1794" i="1"/>
  <c r="O1794" i="1"/>
  <c r="P1794" i="1"/>
  <c r="L1795" i="1"/>
  <c r="M1795" i="1"/>
  <c r="N1795" i="1"/>
  <c r="O1795" i="1"/>
  <c r="P1795" i="1"/>
  <c r="L1796" i="1"/>
  <c r="M1796" i="1"/>
  <c r="N1796" i="1"/>
  <c r="O1796" i="1"/>
  <c r="P1796" i="1"/>
  <c r="L1797" i="1"/>
  <c r="M1797" i="1"/>
  <c r="N1797" i="1"/>
  <c r="O1797" i="1"/>
  <c r="P1797" i="1"/>
  <c r="L1798" i="1"/>
  <c r="M1798" i="1"/>
  <c r="N1798" i="1"/>
  <c r="O1798" i="1"/>
  <c r="P1798" i="1"/>
  <c r="L1799" i="1"/>
  <c r="M1799" i="1"/>
  <c r="N1799" i="1"/>
  <c r="O1799" i="1"/>
  <c r="P1799" i="1"/>
  <c r="L1800" i="1"/>
  <c r="M1800" i="1"/>
  <c r="N1800" i="1"/>
  <c r="O1800" i="1"/>
  <c r="P1800" i="1"/>
  <c r="L1801" i="1"/>
  <c r="M1801" i="1"/>
  <c r="N1801" i="1"/>
  <c r="O1801" i="1"/>
  <c r="P1801" i="1"/>
  <c r="L1802" i="1"/>
  <c r="M1802" i="1"/>
  <c r="N1802" i="1"/>
  <c r="O1802" i="1"/>
  <c r="P1802" i="1"/>
  <c r="L1803" i="1"/>
  <c r="M1803" i="1"/>
  <c r="N1803" i="1"/>
  <c r="O1803" i="1"/>
  <c r="P1803" i="1"/>
  <c r="L1804" i="1"/>
  <c r="M1804" i="1"/>
  <c r="N1804" i="1"/>
  <c r="O1804" i="1"/>
  <c r="P1804" i="1"/>
  <c r="L1805" i="1"/>
  <c r="M1805" i="1"/>
  <c r="N1805" i="1"/>
  <c r="O1805" i="1"/>
  <c r="P1805" i="1"/>
  <c r="L1806" i="1"/>
  <c r="M1806" i="1"/>
  <c r="N1806" i="1"/>
  <c r="O1806" i="1"/>
  <c r="P1806" i="1"/>
  <c r="L1807" i="1"/>
  <c r="M1807" i="1"/>
  <c r="N1807" i="1"/>
  <c r="O1807" i="1"/>
  <c r="P1807" i="1"/>
  <c r="L1808" i="1"/>
  <c r="M1808" i="1"/>
  <c r="N1808" i="1"/>
  <c r="O1808" i="1"/>
  <c r="P1808" i="1"/>
  <c r="L1809" i="1"/>
  <c r="M1809" i="1"/>
  <c r="N1809" i="1"/>
  <c r="O1809" i="1"/>
  <c r="P1809" i="1"/>
  <c r="L1810" i="1"/>
  <c r="M1810" i="1"/>
  <c r="N1810" i="1"/>
  <c r="O1810" i="1"/>
  <c r="P1810" i="1"/>
  <c r="L1811" i="1"/>
  <c r="M1811" i="1"/>
  <c r="N1811" i="1"/>
  <c r="O1811" i="1"/>
  <c r="P1811" i="1"/>
  <c r="L1812" i="1"/>
  <c r="M1812" i="1"/>
  <c r="N1812" i="1"/>
  <c r="O1812" i="1"/>
  <c r="P1812" i="1"/>
  <c r="L1813" i="1"/>
  <c r="M1813" i="1"/>
  <c r="N1813" i="1"/>
  <c r="O1813" i="1"/>
  <c r="P1813" i="1"/>
  <c r="L1814" i="1"/>
  <c r="M1814" i="1"/>
  <c r="N1814" i="1"/>
  <c r="O1814" i="1"/>
  <c r="P1814" i="1"/>
  <c r="L1815" i="1"/>
  <c r="M1815" i="1"/>
  <c r="N1815" i="1"/>
  <c r="O1815" i="1"/>
  <c r="P1815" i="1"/>
  <c r="L1816" i="1"/>
  <c r="M1816" i="1"/>
  <c r="N1816" i="1"/>
  <c r="O1816" i="1"/>
  <c r="P1816" i="1"/>
  <c r="L1817" i="1"/>
  <c r="M1817" i="1"/>
  <c r="N1817" i="1"/>
  <c r="O1817" i="1"/>
  <c r="P1817" i="1"/>
  <c r="L1818" i="1"/>
  <c r="M1818" i="1"/>
  <c r="N1818" i="1"/>
  <c r="O1818" i="1"/>
  <c r="P1818" i="1"/>
  <c r="L1819" i="1"/>
  <c r="M1819" i="1"/>
  <c r="N1819" i="1"/>
  <c r="O1819" i="1"/>
  <c r="P1819" i="1"/>
  <c r="L1820" i="1"/>
  <c r="M1820" i="1"/>
  <c r="N1820" i="1"/>
  <c r="O1820" i="1"/>
  <c r="P1820" i="1"/>
  <c r="L1821" i="1"/>
  <c r="M1821" i="1"/>
  <c r="N1821" i="1"/>
  <c r="O1821" i="1"/>
  <c r="P1821" i="1"/>
  <c r="L1822" i="1"/>
  <c r="M1822" i="1"/>
  <c r="N1822" i="1"/>
  <c r="O1822" i="1"/>
  <c r="P1822" i="1"/>
  <c r="L1823" i="1"/>
  <c r="M1823" i="1"/>
  <c r="N1823" i="1"/>
  <c r="O1823" i="1"/>
  <c r="P1823" i="1"/>
  <c r="L1824" i="1"/>
  <c r="M1824" i="1"/>
  <c r="N1824" i="1"/>
  <c r="O1824" i="1"/>
  <c r="P1824" i="1"/>
  <c r="L1825" i="1"/>
  <c r="M1825" i="1"/>
  <c r="N1825" i="1"/>
  <c r="O1825" i="1"/>
  <c r="P1825" i="1"/>
  <c r="L1826" i="1"/>
  <c r="M1826" i="1"/>
  <c r="N1826" i="1"/>
  <c r="O1826" i="1"/>
  <c r="P1826" i="1"/>
  <c r="L1827" i="1"/>
  <c r="M1827" i="1"/>
  <c r="N1827" i="1"/>
  <c r="O1827" i="1"/>
  <c r="P1827" i="1"/>
  <c r="L1828" i="1"/>
  <c r="M1828" i="1"/>
  <c r="N1828" i="1"/>
  <c r="O1828" i="1"/>
  <c r="P1828" i="1"/>
  <c r="L1829" i="1"/>
  <c r="M1829" i="1"/>
  <c r="N1829" i="1"/>
  <c r="O1829" i="1"/>
  <c r="P1829" i="1"/>
  <c r="L1830" i="1"/>
  <c r="M1830" i="1"/>
  <c r="N1830" i="1"/>
  <c r="O1830" i="1"/>
  <c r="P1830" i="1"/>
  <c r="L1831" i="1"/>
  <c r="M1831" i="1"/>
  <c r="N1831" i="1"/>
  <c r="O1831" i="1"/>
  <c r="P1831" i="1"/>
  <c r="L1832" i="1"/>
  <c r="M1832" i="1"/>
  <c r="N1832" i="1"/>
  <c r="O1832" i="1"/>
  <c r="P1832" i="1"/>
  <c r="L1833" i="1"/>
  <c r="M1833" i="1"/>
  <c r="N1833" i="1"/>
  <c r="O1833" i="1"/>
  <c r="P1833" i="1"/>
  <c r="L1834" i="1"/>
  <c r="M1834" i="1"/>
  <c r="N1834" i="1"/>
  <c r="O1834" i="1"/>
  <c r="P1834" i="1"/>
  <c r="L1835" i="1"/>
  <c r="M1835" i="1"/>
  <c r="N1835" i="1"/>
  <c r="O1835" i="1"/>
  <c r="P1835" i="1"/>
  <c r="L1836" i="1"/>
  <c r="M1836" i="1"/>
  <c r="N1836" i="1"/>
  <c r="O1836" i="1"/>
  <c r="P1836" i="1"/>
  <c r="L1837" i="1"/>
  <c r="M1837" i="1"/>
  <c r="N1837" i="1"/>
  <c r="O1837" i="1"/>
  <c r="P1837" i="1"/>
  <c r="L1838" i="1"/>
  <c r="M1838" i="1"/>
  <c r="N1838" i="1"/>
  <c r="O1838" i="1"/>
  <c r="P1838" i="1"/>
  <c r="L1839" i="1"/>
  <c r="M1839" i="1"/>
  <c r="N1839" i="1"/>
  <c r="O1839" i="1"/>
  <c r="P1839" i="1"/>
  <c r="L1840" i="1"/>
  <c r="M1840" i="1"/>
  <c r="N1840" i="1"/>
  <c r="O1840" i="1"/>
  <c r="P1840" i="1"/>
  <c r="L1841" i="1"/>
  <c r="M1841" i="1"/>
  <c r="N1841" i="1"/>
  <c r="O1841" i="1"/>
  <c r="P1841" i="1"/>
  <c r="L1842" i="1"/>
  <c r="M1842" i="1"/>
  <c r="N1842" i="1"/>
  <c r="O1842" i="1"/>
  <c r="P1842" i="1"/>
  <c r="L1843" i="1"/>
  <c r="M1843" i="1"/>
  <c r="N1843" i="1"/>
  <c r="O1843" i="1"/>
  <c r="P1843" i="1"/>
  <c r="L1844" i="1"/>
  <c r="M1844" i="1"/>
  <c r="N1844" i="1"/>
  <c r="O1844" i="1"/>
  <c r="P1844" i="1"/>
  <c r="L1845" i="1"/>
  <c r="M1845" i="1"/>
  <c r="N1845" i="1"/>
  <c r="O1845" i="1"/>
  <c r="P1845" i="1"/>
  <c r="L1846" i="1"/>
  <c r="M1846" i="1"/>
  <c r="N1846" i="1"/>
  <c r="O1846" i="1"/>
  <c r="P1846" i="1"/>
  <c r="L1847" i="1"/>
  <c r="M1847" i="1"/>
  <c r="N1847" i="1"/>
  <c r="O1847" i="1"/>
  <c r="P1847" i="1"/>
  <c r="L1848" i="1"/>
  <c r="M1848" i="1"/>
  <c r="N1848" i="1"/>
  <c r="O1848" i="1"/>
  <c r="P1848" i="1"/>
  <c r="L1849" i="1"/>
  <c r="M1849" i="1"/>
  <c r="N1849" i="1"/>
  <c r="O1849" i="1"/>
  <c r="P1849" i="1"/>
  <c r="L1850" i="1"/>
  <c r="M1850" i="1"/>
  <c r="N1850" i="1"/>
  <c r="O1850" i="1"/>
  <c r="P1850" i="1"/>
  <c r="L1851" i="1"/>
  <c r="M1851" i="1"/>
  <c r="N1851" i="1"/>
  <c r="O1851" i="1"/>
  <c r="P1851" i="1"/>
  <c r="L1852" i="1"/>
  <c r="M1852" i="1"/>
  <c r="N1852" i="1"/>
  <c r="O1852" i="1"/>
  <c r="P1852" i="1"/>
  <c r="L1853" i="1"/>
  <c r="M1853" i="1"/>
  <c r="N1853" i="1"/>
  <c r="O1853" i="1"/>
  <c r="P1853" i="1"/>
  <c r="L1854" i="1"/>
  <c r="M1854" i="1"/>
  <c r="N1854" i="1"/>
  <c r="O1854" i="1"/>
  <c r="P1854" i="1"/>
  <c r="L1855" i="1"/>
  <c r="M1855" i="1"/>
  <c r="N1855" i="1"/>
  <c r="O1855" i="1"/>
  <c r="P1855" i="1"/>
  <c r="L1856" i="1"/>
  <c r="M1856" i="1"/>
  <c r="N1856" i="1"/>
  <c r="O1856" i="1"/>
  <c r="P1856" i="1"/>
  <c r="L1857" i="1"/>
  <c r="M1857" i="1"/>
  <c r="N1857" i="1"/>
  <c r="O1857" i="1"/>
  <c r="P1857" i="1"/>
  <c r="L1858" i="1"/>
  <c r="M1858" i="1"/>
  <c r="N1858" i="1"/>
  <c r="O1858" i="1"/>
  <c r="P1858" i="1"/>
  <c r="L1859" i="1"/>
  <c r="M1859" i="1"/>
  <c r="N1859" i="1"/>
  <c r="O1859" i="1"/>
  <c r="P1859" i="1"/>
  <c r="L1860" i="1"/>
  <c r="M1860" i="1"/>
  <c r="N1860" i="1"/>
  <c r="O1860" i="1"/>
  <c r="P1860" i="1"/>
  <c r="L1861" i="1"/>
  <c r="M1861" i="1"/>
  <c r="N1861" i="1"/>
  <c r="O1861" i="1"/>
  <c r="P1861" i="1"/>
  <c r="L1862" i="1"/>
  <c r="M1862" i="1"/>
  <c r="N1862" i="1"/>
  <c r="O1862" i="1"/>
  <c r="P1862" i="1"/>
  <c r="L1863" i="1"/>
  <c r="M1863" i="1"/>
  <c r="N1863" i="1"/>
  <c r="O1863" i="1"/>
  <c r="P1863" i="1"/>
  <c r="L1864" i="1"/>
  <c r="M1864" i="1"/>
  <c r="N1864" i="1"/>
  <c r="O1864" i="1"/>
  <c r="P1864" i="1"/>
  <c r="L1865" i="1"/>
  <c r="M1865" i="1"/>
  <c r="N1865" i="1"/>
  <c r="O1865" i="1"/>
  <c r="P1865" i="1"/>
  <c r="L1866" i="1"/>
  <c r="M1866" i="1"/>
  <c r="N1866" i="1"/>
  <c r="O1866" i="1"/>
  <c r="P1866" i="1"/>
  <c r="L1867" i="1"/>
  <c r="M1867" i="1"/>
  <c r="N1867" i="1"/>
  <c r="O1867" i="1"/>
  <c r="P1867" i="1"/>
  <c r="L1868" i="1"/>
  <c r="M1868" i="1"/>
  <c r="N1868" i="1"/>
  <c r="O1868" i="1"/>
  <c r="P1868" i="1"/>
  <c r="L1869" i="1"/>
  <c r="M1869" i="1"/>
  <c r="N1869" i="1"/>
  <c r="O1869" i="1"/>
  <c r="P1869" i="1"/>
  <c r="L1870" i="1"/>
  <c r="M1870" i="1"/>
  <c r="N1870" i="1"/>
  <c r="O1870" i="1"/>
  <c r="P1870" i="1"/>
  <c r="L1871" i="1"/>
  <c r="M1871" i="1"/>
  <c r="N1871" i="1"/>
  <c r="O1871" i="1"/>
  <c r="P1871" i="1"/>
  <c r="L1872" i="1"/>
  <c r="M1872" i="1"/>
  <c r="N1872" i="1"/>
  <c r="O1872" i="1"/>
  <c r="P1872" i="1"/>
  <c r="L1873" i="1"/>
  <c r="M1873" i="1"/>
  <c r="N1873" i="1"/>
  <c r="O1873" i="1"/>
  <c r="P1873" i="1"/>
  <c r="L1874" i="1"/>
  <c r="M1874" i="1"/>
  <c r="N1874" i="1"/>
  <c r="O1874" i="1"/>
  <c r="P1874" i="1"/>
  <c r="L1875" i="1"/>
  <c r="M1875" i="1"/>
  <c r="N1875" i="1"/>
  <c r="O1875" i="1"/>
  <c r="P1875" i="1"/>
  <c r="L1876" i="1"/>
  <c r="M1876" i="1"/>
  <c r="N1876" i="1"/>
  <c r="O1876" i="1"/>
  <c r="P1876" i="1"/>
  <c r="L1877" i="1"/>
  <c r="M1877" i="1"/>
  <c r="N1877" i="1"/>
  <c r="O1877" i="1"/>
  <c r="P1877" i="1"/>
  <c r="L1878" i="1"/>
  <c r="M1878" i="1"/>
  <c r="N1878" i="1"/>
  <c r="O1878" i="1"/>
  <c r="P1878" i="1"/>
  <c r="L1879" i="1"/>
  <c r="M1879" i="1"/>
  <c r="N1879" i="1"/>
  <c r="O1879" i="1"/>
  <c r="P1879" i="1"/>
  <c r="L1880" i="1"/>
  <c r="M1880" i="1"/>
  <c r="N1880" i="1"/>
  <c r="O1880" i="1"/>
  <c r="P1880" i="1"/>
  <c r="L1881" i="1"/>
  <c r="M1881" i="1"/>
  <c r="N1881" i="1"/>
  <c r="O1881" i="1"/>
  <c r="P1881" i="1"/>
  <c r="L1882" i="1"/>
  <c r="M1882" i="1"/>
  <c r="N1882" i="1"/>
  <c r="O1882" i="1"/>
  <c r="P1882" i="1"/>
  <c r="L1883" i="1"/>
  <c r="M1883" i="1"/>
  <c r="N1883" i="1"/>
  <c r="O1883" i="1"/>
  <c r="P1883" i="1"/>
  <c r="L1884" i="1"/>
  <c r="M1884" i="1"/>
  <c r="N1884" i="1"/>
  <c r="O1884" i="1"/>
  <c r="P1884" i="1"/>
  <c r="L1885" i="1"/>
  <c r="M1885" i="1"/>
  <c r="N1885" i="1"/>
  <c r="O1885" i="1"/>
  <c r="P1885" i="1"/>
  <c r="L1886" i="1"/>
  <c r="M1886" i="1"/>
  <c r="N1886" i="1"/>
  <c r="O1886" i="1"/>
  <c r="P1886" i="1"/>
  <c r="L1887" i="1"/>
  <c r="M1887" i="1"/>
  <c r="N1887" i="1"/>
  <c r="O1887" i="1"/>
  <c r="P1887" i="1"/>
  <c r="L1888" i="1"/>
  <c r="M1888" i="1"/>
  <c r="N1888" i="1"/>
  <c r="O1888" i="1"/>
  <c r="P1888" i="1"/>
  <c r="L1889" i="1"/>
  <c r="M1889" i="1"/>
  <c r="N1889" i="1"/>
  <c r="O1889" i="1"/>
  <c r="P1889" i="1"/>
  <c r="L1890" i="1"/>
  <c r="M1890" i="1"/>
  <c r="N1890" i="1"/>
  <c r="O1890" i="1"/>
  <c r="P1890" i="1"/>
  <c r="L1891" i="1"/>
  <c r="M1891" i="1"/>
  <c r="N1891" i="1"/>
  <c r="O1891" i="1"/>
  <c r="P1891" i="1"/>
  <c r="L1892" i="1"/>
  <c r="M1892" i="1"/>
  <c r="N1892" i="1"/>
  <c r="O1892" i="1"/>
  <c r="P1892" i="1"/>
  <c r="L1893" i="1"/>
  <c r="M1893" i="1"/>
  <c r="N1893" i="1"/>
  <c r="O1893" i="1"/>
  <c r="P1893" i="1"/>
  <c r="L1894" i="1"/>
  <c r="M1894" i="1"/>
  <c r="N1894" i="1"/>
  <c r="O1894" i="1"/>
  <c r="P1894" i="1"/>
  <c r="L1895" i="1"/>
  <c r="M1895" i="1"/>
  <c r="N1895" i="1"/>
  <c r="O1895" i="1"/>
  <c r="P1895" i="1"/>
  <c r="L1896" i="1"/>
  <c r="M1896" i="1"/>
  <c r="N1896" i="1"/>
  <c r="O1896" i="1"/>
  <c r="P1896" i="1"/>
  <c r="L1897" i="1"/>
  <c r="M1897" i="1"/>
  <c r="N1897" i="1"/>
  <c r="O1897" i="1"/>
  <c r="P1897" i="1"/>
  <c r="L1898" i="1"/>
  <c r="M1898" i="1"/>
  <c r="N1898" i="1"/>
  <c r="O1898" i="1"/>
  <c r="P1898" i="1"/>
  <c r="L1899" i="1"/>
  <c r="M1899" i="1"/>
  <c r="N1899" i="1"/>
  <c r="O1899" i="1"/>
  <c r="P1899" i="1"/>
  <c r="L1900" i="1"/>
  <c r="M1900" i="1"/>
  <c r="N1900" i="1"/>
  <c r="O1900" i="1"/>
  <c r="P1900" i="1"/>
  <c r="L1901" i="1"/>
  <c r="M1901" i="1"/>
  <c r="N1901" i="1"/>
  <c r="O1901" i="1"/>
  <c r="P1901" i="1"/>
  <c r="L1902" i="1"/>
  <c r="M1902" i="1"/>
  <c r="N1902" i="1"/>
  <c r="O1902" i="1"/>
  <c r="P1902" i="1"/>
  <c r="L1903" i="1"/>
  <c r="M1903" i="1"/>
  <c r="N1903" i="1"/>
  <c r="O1903" i="1"/>
  <c r="P1903" i="1"/>
  <c r="L1904" i="1"/>
  <c r="M1904" i="1"/>
  <c r="N1904" i="1"/>
  <c r="O1904" i="1"/>
  <c r="P1904" i="1"/>
  <c r="L1905" i="1"/>
  <c r="M1905" i="1"/>
  <c r="N1905" i="1"/>
  <c r="O1905" i="1"/>
  <c r="P1905" i="1"/>
  <c r="L1906" i="1"/>
  <c r="M1906" i="1"/>
  <c r="N1906" i="1"/>
  <c r="O1906" i="1"/>
  <c r="P1906" i="1"/>
  <c r="L1907" i="1"/>
  <c r="M1907" i="1"/>
  <c r="N1907" i="1"/>
  <c r="O1907" i="1"/>
  <c r="P1907" i="1"/>
  <c r="L1908" i="1"/>
  <c r="M1908" i="1"/>
  <c r="N1908" i="1"/>
  <c r="O1908" i="1"/>
  <c r="P1908" i="1"/>
  <c r="L1909" i="1"/>
  <c r="M1909" i="1"/>
  <c r="N1909" i="1"/>
  <c r="O1909" i="1"/>
  <c r="P1909" i="1"/>
  <c r="L1910" i="1"/>
  <c r="M1910" i="1"/>
  <c r="N1910" i="1"/>
  <c r="O1910" i="1"/>
  <c r="P1910" i="1"/>
  <c r="L1911" i="1"/>
  <c r="M1911" i="1"/>
  <c r="N1911" i="1"/>
  <c r="O1911" i="1"/>
  <c r="P1911" i="1"/>
  <c r="L1912" i="1"/>
  <c r="M1912" i="1"/>
  <c r="N1912" i="1"/>
  <c r="O1912" i="1"/>
  <c r="P1912" i="1"/>
  <c r="L1913" i="1"/>
  <c r="M1913" i="1"/>
  <c r="N1913" i="1"/>
  <c r="O1913" i="1"/>
  <c r="P1913" i="1"/>
  <c r="L1914" i="1"/>
  <c r="M1914" i="1"/>
  <c r="N1914" i="1"/>
  <c r="O1914" i="1"/>
  <c r="P1914" i="1"/>
  <c r="L1915" i="1"/>
  <c r="M1915" i="1"/>
  <c r="N1915" i="1"/>
  <c r="O1915" i="1"/>
  <c r="P1915" i="1"/>
  <c r="L1916" i="1"/>
  <c r="M1916" i="1"/>
  <c r="N1916" i="1"/>
  <c r="O1916" i="1"/>
  <c r="P1916" i="1"/>
  <c r="L1917" i="1"/>
  <c r="M1917" i="1"/>
  <c r="N1917" i="1"/>
  <c r="O1917" i="1"/>
  <c r="P1917" i="1"/>
  <c r="L1918" i="1"/>
  <c r="M1918" i="1"/>
  <c r="N1918" i="1"/>
  <c r="O1918" i="1"/>
  <c r="P1918" i="1"/>
  <c r="L1919" i="1"/>
  <c r="M1919" i="1"/>
  <c r="N1919" i="1"/>
  <c r="O1919" i="1"/>
  <c r="P1919" i="1"/>
  <c r="L1920" i="1"/>
  <c r="M1920" i="1"/>
  <c r="N1920" i="1"/>
  <c r="O1920" i="1"/>
  <c r="P1920" i="1"/>
  <c r="L1921" i="1"/>
  <c r="M1921" i="1"/>
  <c r="N1921" i="1"/>
  <c r="O1921" i="1"/>
  <c r="P1921" i="1"/>
  <c r="L1922" i="1"/>
  <c r="M1922" i="1"/>
  <c r="N1922" i="1"/>
  <c r="O1922" i="1"/>
  <c r="P1922" i="1"/>
  <c r="L1923" i="1"/>
  <c r="M1923" i="1"/>
  <c r="N1923" i="1"/>
  <c r="O1923" i="1"/>
  <c r="P1923" i="1"/>
  <c r="L1924" i="1"/>
  <c r="M1924" i="1"/>
  <c r="N1924" i="1"/>
  <c r="O1924" i="1"/>
  <c r="P1924" i="1"/>
  <c r="L1925" i="1"/>
  <c r="M1925" i="1"/>
  <c r="N1925" i="1"/>
  <c r="O1925" i="1"/>
  <c r="P1925" i="1"/>
  <c r="L1926" i="1"/>
  <c r="M1926" i="1"/>
  <c r="N1926" i="1"/>
  <c r="O1926" i="1"/>
  <c r="P1926" i="1"/>
  <c r="L1927" i="1"/>
  <c r="M1927" i="1"/>
  <c r="N1927" i="1"/>
  <c r="O1927" i="1"/>
  <c r="P1927" i="1"/>
  <c r="L1928" i="1"/>
  <c r="M1928" i="1"/>
  <c r="N1928" i="1"/>
  <c r="O1928" i="1"/>
  <c r="P1928" i="1"/>
  <c r="L1929" i="1"/>
  <c r="M1929" i="1"/>
  <c r="N1929" i="1"/>
  <c r="O1929" i="1"/>
  <c r="P1929" i="1"/>
  <c r="L1930" i="1"/>
  <c r="M1930" i="1"/>
  <c r="N1930" i="1"/>
  <c r="O1930" i="1"/>
  <c r="P1930" i="1"/>
  <c r="L1931" i="1"/>
  <c r="M1931" i="1"/>
  <c r="N1931" i="1"/>
  <c r="O1931" i="1"/>
  <c r="P1931" i="1"/>
  <c r="L1932" i="1"/>
  <c r="M1932" i="1"/>
  <c r="N1932" i="1"/>
  <c r="O1932" i="1"/>
  <c r="P1932" i="1"/>
  <c r="L1933" i="1"/>
  <c r="M1933" i="1"/>
  <c r="N1933" i="1"/>
  <c r="O1933" i="1"/>
  <c r="P1933" i="1"/>
  <c r="L1934" i="1"/>
  <c r="M1934" i="1"/>
  <c r="N1934" i="1"/>
  <c r="O1934" i="1"/>
  <c r="P1934" i="1"/>
  <c r="L1935" i="1"/>
  <c r="M1935" i="1"/>
  <c r="N1935" i="1"/>
  <c r="O1935" i="1"/>
  <c r="P1935" i="1"/>
  <c r="L1936" i="1"/>
  <c r="M1936" i="1"/>
  <c r="N1936" i="1"/>
  <c r="O1936" i="1"/>
  <c r="P1936" i="1"/>
  <c r="L1937" i="1"/>
  <c r="M1937" i="1"/>
  <c r="N1937" i="1"/>
  <c r="O1937" i="1"/>
  <c r="P1937" i="1"/>
  <c r="L1938" i="1"/>
  <c r="M1938" i="1"/>
  <c r="N1938" i="1"/>
  <c r="O1938" i="1"/>
  <c r="P1938" i="1"/>
  <c r="L1939" i="1"/>
  <c r="M1939" i="1"/>
  <c r="N1939" i="1"/>
  <c r="O1939" i="1"/>
  <c r="P1939" i="1"/>
  <c r="L1940" i="1"/>
  <c r="M1940" i="1"/>
  <c r="N1940" i="1"/>
  <c r="O1940" i="1"/>
  <c r="P1940" i="1"/>
  <c r="L1941" i="1"/>
  <c r="M1941" i="1"/>
  <c r="N1941" i="1"/>
  <c r="O1941" i="1"/>
  <c r="P1941" i="1"/>
  <c r="L1942" i="1"/>
  <c r="M1942" i="1"/>
  <c r="N1942" i="1"/>
  <c r="O1942" i="1"/>
  <c r="P1942" i="1"/>
  <c r="L1943" i="1"/>
  <c r="M1943" i="1"/>
  <c r="N1943" i="1"/>
  <c r="O1943" i="1"/>
  <c r="P1943" i="1"/>
  <c r="L1944" i="1"/>
  <c r="M1944" i="1"/>
  <c r="N1944" i="1"/>
  <c r="O1944" i="1"/>
  <c r="P1944" i="1"/>
  <c r="L1945" i="1"/>
  <c r="M1945" i="1"/>
  <c r="N1945" i="1"/>
  <c r="O1945" i="1"/>
  <c r="P1945" i="1"/>
  <c r="L1946" i="1"/>
  <c r="M1946" i="1"/>
  <c r="N1946" i="1"/>
  <c r="O1946" i="1"/>
  <c r="P1946" i="1"/>
  <c r="L1947" i="1"/>
  <c r="M1947" i="1"/>
  <c r="N1947" i="1"/>
  <c r="O1947" i="1"/>
  <c r="P1947" i="1"/>
  <c r="L1948" i="1"/>
  <c r="M1948" i="1"/>
  <c r="N1948" i="1"/>
  <c r="O1948" i="1"/>
  <c r="P1948" i="1"/>
  <c r="L1949" i="1"/>
  <c r="M1949" i="1"/>
  <c r="N1949" i="1"/>
  <c r="O1949" i="1"/>
  <c r="P1949" i="1"/>
  <c r="L1950" i="1"/>
  <c r="M1950" i="1"/>
  <c r="N1950" i="1"/>
  <c r="O1950" i="1"/>
  <c r="P1950" i="1"/>
  <c r="L1951" i="1"/>
  <c r="M1951" i="1"/>
  <c r="N1951" i="1"/>
  <c r="O1951" i="1"/>
  <c r="P1951" i="1"/>
  <c r="L1952" i="1"/>
  <c r="M1952" i="1"/>
  <c r="N1952" i="1"/>
  <c r="O1952" i="1"/>
  <c r="P1952" i="1"/>
  <c r="L1953" i="1"/>
  <c r="M1953" i="1"/>
  <c r="N1953" i="1"/>
  <c r="O1953" i="1"/>
  <c r="P1953" i="1"/>
  <c r="L1954" i="1"/>
  <c r="M1954" i="1"/>
  <c r="N1954" i="1"/>
  <c r="O1954" i="1"/>
  <c r="P1954" i="1"/>
  <c r="L1955" i="1"/>
  <c r="M1955" i="1"/>
  <c r="N1955" i="1"/>
  <c r="O1955" i="1"/>
  <c r="P1955" i="1"/>
  <c r="L1956" i="1"/>
  <c r="M1956" i="1"/>
  <c r="N1956" i="1"/>
  <c r="O1956" i="1"/>
  <c r="P1956" i="1"/>
  <c r="L1957" i="1"/>
  <c r="M1957" i="1"/>
  <c r="N1957" i="1"/>
  <c r="O1957" i="1"/>
  <c r="P1957" i="1"/>
  <c r="L1958" i="1"/>
  <c r="M1958" i="1"/>
  <c r="N1958" i="1"/>
  <c r="O1958" i="1"/>
  <c r="P1958" i="1"/>
  <c r="L1959" i="1"/>
  <c r="M1959" i="1"/>
  <c r="N1959" i="1"/>
  <c r="O1959" i="1"/>
  <c r="P1959" i="1"/>
  <c r="L1960" i="1"/>
  <c r="M1960" i="1"/>
  <c r="N1960" i="1"/>
  <c r="O1960" i="1"/>
  <c r="P1960" i="1"/>
  <c r="L1961" i="1"/>
  <c r="M1961" i="1"/>
  <c r="N1961" i="1"/>
  <c r="O1961" i="1"/>
  <c r="P1961" i="1"/>
  <c r="L1962" i="1"/>
  <c r="M1962" i="1"/>
  <c r="N1962" i="1"/>
  <c r="O1962" i="1"/>
  <c r="P1962" i="1"/>
  <c r="L1963" i="1"/>
  <c r="M1963" i="1"/>
  <c r="N1963" i="1"/>
  <c r="O1963" i="1"/>
  <c r="P1963" i="1"/>
  <c r="L1964" i="1"/>
  <c r="M1964" i="1"/>
  <c r="N1964" i="1"/>
  <c r="O1964" i="1"/>
  <c r="P1964" i="1"/>
  <c r="L1965" i="1"/>
  <c r="M1965" i="1"/>
  <c r="N1965" i="1"/>
  <c r="O1965" i="1"/>
  <c r="P1965" i="1"/>
  <c r="L1966" i="1"/>
  <c r="M1966" i="1"/>
  <c r="N1966" i="1"/>
  <c r="O1966" i="1"/>
  <c r="P1966" i="1"/>
  <c r="L1967" i="1"/>
  <c r="M1967" i="1"/>
  <c r="N1967" i="1"/>
  <c r="O1967" i="1"/>
  <c r="P1967" i="1"/>
  <c r="L1968" i="1"/>
  <c r="M1968" i="1"/>
  <c r="N1968" i="1"/>
  <c r="O1968" i="1"/>
  <c r="P1968" i="1"/>
  <c r="L1969" i="1"/>
  <c r="M1969" i="1"/>
  <c r="N1969" i="1"/>
  <c r="O1969" i="1"/>
  <c r="P1969" i="1"/>
  <c r="L1970" i="1"/>
  <c r="M1970" i="1"/>
  <c r="N1970" i="1"/>
  <c r="O1970" i="1"/>
  <c r="P1970" i="1"/>
  <c r="L1971" i="1"/>
  <c r="M1971" i="1"/>
  <c r="N1971" i="1"/>
  <c r="O1971" i="1"/>
  <c r="P1971" i="1"/>
  <c r="L1972" i="1"/>
  <c r="M1972" i="1"/>
  <c r="N1972" i="1"/>
  <c r="O1972" i="1"/>
  <c r="P1972" i="1"/>
  <c r="L1973" i="1"/>
  <c r="M1973" i="1"/>
  <c r="N1973" i="1"/>
  <c r="O1973" i="1"/>
  <c r="P1973" i="1"/>
  <c r="L1974" i="1"/>
  <c r="M1974" i="1"/>
  <c r="N1974" i="1"/>
  <c r="O1974" i="1"/>
  <c r="P1974" i="1"/>
  <c r="L1975" i="1"/>
  <c r="M1975" i="1"/>
  <c r="N1975" i="1"/>
  <c r="O1975" i="1"/>
  <c r="P1975" i="1"/>
  <c r="L1976" i="1"/>
  <c r="M1976" i="1"/>
  <c r="N1976" i="1"/>
  <c r="O1976" i="1"/>
  <c r="P1976" i="1"/>
  <c r="L1977" i="1"/>
  <c r="M1977" i="1"/>
  <c r="N1977" i="1"/>
  <c r="O1977" i="1"/>
  <c r="P1977" i="1"/>
  <c r="L1978" i="1"/>
  <c r="M1978" i="1"/>
  <c r="N1978" i="1"/>
  <c r="O1978" i="1"/>
  <c r="P1978" i="1"/>
  <c r="L1979" i="1"/>
  <c r="M1979" i="1"/>
  <c r="N1979" i="1"/>
  <c r="O1979" i="1"/>
  <c r="P1979" i="1"/>
  <c r="L1980" i="1"/>
  <c r="M1980" i="1"/>
  <c r="N1980" i="1"/>
  <c r="O1980" i="1"/>
  <c r="P1980" i="1"/>
  <c r="L1981" i="1"/>
  <c r="M1981" i="1"/>
  <c r="N1981" i="1"/>
  <c r="O1981" i="1"/>
  <c r="P1981" i="1"/>
  <c r="L1982" i="1"/>
  <c r="M1982" i="1"/>
  <c r="N1982" i="1"/>
  <c r="O1982" i="1"/>
  <c r="P1982" i="1"/>
  <c r="L1983" i="1"/>
  <c r="M1983" i="1"/>
  <c r="N1983" i="1"/>
  <c r="O1983" i="1"/>
  <c r="P1983" i="1"/>
  <c r="L1984" i="1"/>
  <c r="M1984" i="1"/>
  <c r="N1984" i="1"/>
  <c r="O1984" i="1"/>
  <c r="P1984" i="1"/>
  <c r="L1985" i="1"/>
  <c r="M1985" i="1"/>
  <c r="N1985" i="1"/>
  <c r="O1985" i="1"/>
  <c r="P1985" i="1"/>
  <c r="L1986" i="1"/>
  <c r="M1986" i="1"/>
  <c r="N1986" i="1"/>
  <c r="O1986" i="1"/>
  <c r="P1986" i="1"/>
  <c r="L1987" i="1"/>
  <c r="M1987" i="1"/>
  <c r="N1987" i="1"/>
  <c r="O1987" i="1"/>
  <c r="P1987" i="1"/>
  <c r="L1988" i="1"/>
  <c r="M1988" i="1"/>
  <c r="N1988" i="1"/>
  <c r="O1988" i="1"/>
  <c r="P1988" i="1"/>
  <c r="L1989" i="1"/>
  <c r="M1989" i="1"/>
  <c r="N1989" i="1"/>
  <c r="O1989" i="1"/>
  <c r="P1989" i="1"/>
  <c r="L1990" i="1"/>
  <c r="M1990" i="1"/>
  <c r="N1990" i="1"/>
  <c r="O1990" i="1"/>
  <c r="P1990" i="1"/>
  <c r="L1991" i="1"/>
  <c r="M1991" i="1"/>
  <c r="N1991" i="1"/>
  <c r="O1991" i="1"/>
  <c r="P1991" i="1"/>
  <c r="L1992" i="1"/>
  <c r="M1992" i="1"/>
  <c r="N1992" i="1"/>
  <c r="O1992" i="1"/>
  <c r="P1992" i="1"/>
  <c r="L1993" i="1"/>
  <c r="M1993" i="1"/>
  <c r="N1993" i="1"/>
  <c r="O1993" i="1"/>
  <c r="P1993" i="1"/>
  <c r="L1994" i="1"/>
  <c r="M1994" i="1"/>
  <c r="N1994" i="1"/>
  <c r="O1994" i="1"/>
  <c r="P1994" i="1"/>
  <c r="L1995" i="1"/>
  <c r="M1995" i="1"/>
  <c r="N1995" i="1"/>
  <c r="O1995" i="1"/>
  <c r="P1995" i="1"/>
  <c r="L1996" i="1"/>
  <c r="M1996" i="1"/>
  <c r="N1996" i="1"/>
  <c r="O1996" i="1"/>
  <c r="P1996" i="1"/>
  <c r="L1997" i="1"/>
  <c r="M1997" i="1"/>
  <c r="N1997" i="1"/>
  <c r="O1997" i="1"/>
  <c r="P1997" i="1"/>
  <c r="L1998" i="1"/>
  <c r="M1998" i="1"/>
  <c r="N1998" i="1"/>
  <c r="O1998" i="1"/>
  <c r="P1998" i="1"/>
  <c r="L1999" i="1"/>
  <c r="M1999" i="1"/>
  <c r="N1999" i="1"/>
  <c r="O1999" i="1"/>
  <c r="P1999" i="1"/>
  <c r="L2000" i="1"/>
  <c r="M2000" i="1"/>
  <c r="N2000" i="1"/>
  <c r="O2000" i="1"/>
  <c r="P2000" i="1"/>
  <c r="L2001" i="1"/>
  <c r="M2001" i="1"/>
  <c r="N2001" i="1"/>
  <c r="O2001" i="1"/>
  <c r="P2001" i="1"/>
  <c r="L2002" i="1"/>
  <c r="M2002" i="1"/>
  <c r="N2002" i="1"/>
  <c r="O2002" i="1"/>
  <c r="P2002" i="1"/>
  <c r="L2003" i="1"/>
  <c r="M2003" i="1"/>
  <c r="N2003" i="1"/>
  <c r="O2003" i="1"/>
  <c r="P2003" i="1"/>
  <c r="L2004" i="1"/>
  <c r="M2004" i="1"/>
  <c r="N2004" i="1"/>
  <c r="O2004" i="1"/>
  <c r="P2004" i="1"/>
  <c r="L2005" i="1"/>
  <c r="M2005" i="1"/>
  <c r="N2005" i="1"/>
  <c r="O2005" i="1"/>
  <c r="P2005" i="1"/>
  <c r="L2006" i="1"/>
  <c r="M2006" i="1"/>
  <c r="N2006" i="1"/>
  <c r="O2006" i="1"/>
  <c r="P2006" i="1"/>
  <c r="L2007" i="1"/>
  <c r="M2007" i="1"/>
  <c r="N2007" i="1"/>
  <c r="O2007" i="1"/>
  <c r="P2007" i="1"/>
  <c r="L2008" i="1"/>
  <c r="M2008" i="1"/>
  <c r="N2008" i="1"/>
  <c r="O2008" i="1"/>
  <c r="P2008" i="1"/>
  <c r="L2009" i="1"/>
  <c r="M2009" i="1"/>
  <c r="N2009" i="1"/>
  <c r="O2009" i="1"/>
  <c r="P2009" i="1"/>
  <c r="L2010" i="1"/>
  <c r="M2010" i="1"/>
  <c r="N2010" i="1"/>
  <c r="O2010" i="1"/>
  <c r="P2010" i="1"/>
  <c r="L2011" i="1"/>
  <c r="M2011" i="1"/>
  <c r="N2011" i="1"/>
  <c r="O2011" i="1"/>
  <c r="P2011" i="1"/>
  <c r="L2012" i="1"/>
  <c r="M2012" i="1"/>
  <c r="N2012" i="1"/>
  <c r="O2012" i="1"/>
  <c r="P2012" i="1"/>
  <c r="L2013" i="1"/>
  <c r="M2013" i="1"/>
  <c r="N2013" i="1"/>
  <c r="O2013" i="1"/>
  <c r="P2013" i="1"/>
  <c r="L2014" i="1"/>
  <c r="M2014" i="1"/>
  <c r="N2014" i="1"/>
  <c r="O2014" i="1"/>
  <c r="P2014" i="1"/>
  <c r="L2015" i="1"/>
  <c r="M2015" i="1"/>
  <c r="N2015" i="1"/>
  <c r="O2015" i="1"/>
  <c r="P2015" i="1"/>
  <c r="L2016" i="1"/>
  <c r="M2016" i="1"/>
  <c r="N2016" i="1"/>
  <c r="O2016" i="1"/>
  <c r="P2016" i="1"/>
  <c r="L2017" i="1"/>
  <c r="M2017" i="1"/>
  <c r="N2017" i="1"/>
  <c r="O2017" i="1"/>
  <c r="P2017" i="1"/>
  <c r="L2018" i="1"/>
  <c r="M2018" i="1"/>
  <c r="N2018" i="1"/>
  <c r="O2018" i="1"/>
  <c r="P2018" i="1"/>
  <c r="L2019" i="1"/>
  <c r="M2019" i="1"/>
  <c r="N2019" i="1"/>
  <c r="O2019" i="1"/>
  <c r="P2019" i="1"/>
  <c r="L2020" i="1"/>
  <c r="M2020" i="1"/>
  <c r="N2020" i="1"/>
  <c r="O2020" i="1"/>
  <c r="P2020" i="1"/>
  <c r="L2021" i="1"/>
  <c r="M2021" i="1"/>
  <c r="N2021" i="1"/>
  <c r="O2021" i="1"/>
  <c r="P2021" i="1"/>
  <c r="L2022" i="1"/>
  <c r="M2022" i="1"/>
  <c r="N2022" i="1"/>
  <c r="O2022" i="1"/>
  <c r="P2022" i="1"/>
  <c r="L2023" i="1"/>
  <c r="M2023" i="1"/>
  <c r="N2023" i="1"/>
  <c r="O2023" i="1"/>
  <c r="P2023" i="1"/>
  <c r="L2024" i="1"/>
  <c r="M2024" i="1"/>
  <c r="N2024" i="1"/>
  <c r="O2024" i="1"/>
  <c r="P2024" i="1"/>
  <c r="L2025" i="1"/>
  <c r="M2025" i="1"/>
  <c r="N2025" i="1"/>
  <c r="O2025" i="1"/>
  <c r="P2025" i="1"/>
  <c r="L2026" i="1"/>
  <c r="M2026" i="1"/>
  <c r="N2026" i="1"/>
  <c r="O2026" i="1"/>
  <c r="P2026" i="1"/>
  <c r="L2027" i="1"/>
  <c r="M2027" i="1"/>
  <c r="N2027" i="1"/>
  <c r="O2027" i="1"/>
  <c r="P2027" i="1"/>
  <c r="L2028" i="1"/>
  <c r="M2028" i="1"/>
  <c r="N2028" i="1"/>
  <c r="O2028" i="1"/>
  <c r="P2028" i="1"/>
  <c r="L2029" i="1"/>
  <c r="M2029" i="1"/>
  <c r="N2029" i="1"/>
  <c r="O2029" i="1"/>
  <c r="P2029" i="1"/>
  <c r="L2030" i="1"/>
  <c r="M2030" i="1"/>
  <c r="N2030" i="1"/>
  <c r="O2030" i="1"/>
  <c r="P2030" i="1"/>
  <c r="L2031" i="1"/>
  <c r="M2031" i="1"/>
  <c r="N2031" i="1"/>
  <c r="O2031" i="1"/>
  <c r="P2031" i="1"/>
  <c r="L2032" i="1"/>
  <c r="M2032" i="1"/>
  <c r="N2032" i="1"/>
  <c r="O2032" i="1"/>
  <c r="P2032" i="1"/>
  <c r="L2033" i="1"/>
  <c r="M2033" i="1"/>
  <c r="N2033" i="1"/>
  <c r="O2033" i="1"/>
  <c r="P2033" i="1"/>
  <c r="L2034" i="1"/>
  <c r="M2034" i="1"/>
  <c r="N2034" i="1"/>
  <c r="O2034" i="1"/>
  <c r="P2034" i="1"/>
  <c r="L2035" i="1"/>
  <c r="M2035" i="1"/>
  <c r="N2035" i="1"/>
  <c r="O2035" i="1"/>
  <c r="P2035" i="1"/>
  <c r="L2036" i="1"/>
  <c r="M2036" i="1"/>
  <c r="N2036" i="1"/>
  <c r="O2036" i="1"/>
  <c r="P2036" i="1"/>
  <c r="L2037" i="1"/>
  <c r="M2037" i="1"/>
  <c r="N2037" i="1"/>
  <c r="O2037" i="1"/>
  <c r="P2037" i="1"/>
  <c r="L2038" i="1"/>
  <c r="M2038" i="1"/>
  <c r="N2038" i="1"/>
  <c r="O2038" i="1"/>
  <c r="P2038" i="1"/>
  <c r="L2039" i="1"/>
  <c r="M2039" i="1"/>
  <c r="N2039" i="1"/>
  <c r="O2039" i="1"/>
  <c r="P2039" i="1"/>
  <c r="L2040" i="1"/>
  <c r="M2040" i="1"/>
  <c r="N2040" i="1"/>
  <c r="O2040" i="1"/>
  <c r="P2040" i="1"/>
  <c r="L2041" i="1"/>
  <c r="M2041" i="1"/>
  <c r="N2041" i="1"/>
  <c r="O2041" i="1"/>
  <c r="P2041" i="1"/>
  <c r="L2042" i="1"/>
  <c r="M2042" i="1"/>
  <c r="N2042" i="1"/>
  <c r="O2042" i="1"/>
  <c r="P2042" i="1"/>
  <c r="L2043" i="1"/>
  <c r="M2043" i="1"/>
  <c r="N2043" i="1"/>
  <c r="O2043" i="1"/>
  <c r="P2043" i="1"/>
  <c r="L2044" i="1"/>
  <c r="M2044" i="1"/>
  <c r="N2044" i="1"/>
  <c r="O2044" i="1"/>
  <c r="P2044" i="1"/>
  <c r="L2045" i="1"/>
  <c r="M2045" i="1"/>
  <c r="N2045" i="1"/>
  <c r="O2045" i="1"/>
  <c r="P2045" i="1"/>
  <c r="L2046" i="1"/>
  <c r="M2046" i="1"/>
  <c r="N2046" i="1"/>
  <c r="O2046" i="1"/>
  <c r="P2046" i="1"/>
  <c r="L2047" i="1"/>
  <c r="M2047" i="1"/>
  <c r="N2047" i="1"/>
  <c r="O2047" i="1"/>
  <c r="P2047" i="1"/>
  <c r="L2048" i="1"/>
  <c r="M2048" i="1"/>
  <c r="N2048" i="1"/>
  <c r="O2048" i="1"/>
  <c r="P2048" i="1"/>
  <c r="L2049" i="1"/>
  <c r="M2049" i="1"/>
  <c r="N2049" i="1"/>
  <c r="O2049" i="1"/>
  <c r="P2049" i="1"/>
  <c r="L2050" i="1"/>
  <c r="M2050" i="1"/>
  <c r="N2050" i="1"/>
  <c r="O2050" i="1"/>
  <c r="P2050" i="1"/>
  <c r="L2051" i="1"/>
  <c r="M2051" i="1"/>
  <c r="N2051" i="1"/>
  <c r="O2051" i="1"/>
  <c r="P2051" i="1"/>
  <c r="L2052" i="1"/>
  <c r="M2052" i="1"/>
  <c r="N2052" i="1"/>
  <c r="O2052" i="1"/>
  <c r="P2052" i="1"/>
  <c r="L2053" i="1"/>
  <c r="M2053" i="1"/>
  <c r="N2053" i="1"/>
  <c r="O2053" i="1"/>
  <c r="P2053" i="1"/>
  <c r="L2054" i="1"/>
  <c r="M2054" i="1"/>
  <c r="N2054" i="1"/>
  <c r="O2054" i="1"/>
  <c r="P2054" i="1"/>
  <c r="L2055" i="1"/>
  <c r="M2055" i="1"/>
  <c r="N2055" i="1"/>
  <c r="O2055" i="1"/>
  <c r="P2055" i="1"/>
  <c r="L2056" i="1"/>
  <c r="M2056" i="1"/>
  <c r="N2056" i="1"/>
  <c r="O2056" i="1"/>
  <c r="P2056" i="1"/>
  <c r="L2057" i="1"/>
  <c r="M2057" i="1"/>
  <c r="N2057" i="1"/>
  <c r="O2057" i="1"/>
  <c r="P2057" i="1"/>
  <c r="L2058" i="1"/>
  <c r="M2058" i="1"/>
  <c r="N2058" i="1"/>
  <c r="O2058" i="1"/>
  <c r="P2058" i="1"/>
  <c r="L2059" i="1"/>
  <c r="M2059" i="1"/>
  <c r="N2059" i="1"/>
  <c r="O2059" i="1"/>
  <c r="P2059" i="1"/>
  <c r="L2060" i="1"/>
  <c r="M2060" i="1"/>
  <c r="N2060" i="1"/>
  <c r="O2060" i="1"/>
  <c r="P2060" i="1"/>
  <c r="L2061" i="1"/>
  <c r="M2061" i="1"/>
  <c r="N2061" i="1"/>
  <c r="O2061" i="1"/>
  <c r="P2061" i="1"/>
  <c r="L2062" i="1"/>
  <c r="M2062" i="1"/>
  <c r="N2062" i="1"/>
  <c r="O2062" i="1"/>
  <c r="P2062" i="1"/>
  <c r="L2063" i="1"/>
  <c r="M2063" i="1"/>
  <c r="N2063" i="1"/>
  <c r="O2063" i="1"/>
  <c r="P2063" i="1"/>
  <c r="L2064" i="1"/>
  <c r="M2064" i="1"/>
  <c r="N2064" i="1"/>
  <c r="O2064" i="1"/>
  <c r="P2064" i="1"/>
  <c r="L2065" i="1"/>
  <c r="M2065" i="1"/>
  <c r="N2065" i="1"/>
  <c r="O2065" i="1"/>
  <c r="P2065" i="1"/>
  <c r="L2066" i="1"/>
  <c r="M2066" i="1"/>
  <c r="N2066" i="1"/>
  <c r="O2066" i="1"/>
  <c r="P2066" i="1"/>
  <c r="L2067" i="1"/>
  <c r="M2067" i="1"/>
  <c r="N2067" i="1"/>
  <c r="O2067" i="1"/>
  <c r="P2067" i="1"/>
  <c r="L2068" i="1"/>
  <c r="M2068" i="1"/>
  <c r="N2068" i="1"/>
  <c r="O2068" i="1"/>
  <c r="P2068" i="1"/>
  <c r="L2069" i="1"/>
  <c r="M2069" i="1"/>
  <c r="N2069" i="1"/>
  <c r="O2069" i="1"/>
  <c r="P2069" i="1"/>
  <c r="L2070" i="1"/>
  <c r="M2070" i="1"/>
  <c r="N2070" i="1"/>
  <c r="O2070" i="1"/>
  <c r="P2070" i="1"/>
  <c r="L2071" i="1"/>
  <c r="M2071" i="1"/>
  <c r="N2071" i="1"/>
  <c r="O2071" i="1"/>
  <c r="P2071" i="1"/>
  <c r="L2072" i="1"/>
  <c r="M2072" i="1"/>
  <c r="N2072" i="1"/>
  <c r="O2072" i="1"/>
  <c r="P2072" i="1"/>
  <c r="L2073" i="1"/>
  <c r="M2073" i="1"/>
  <c r="N2073" i="1"/>
  <c r="O2073" i="1"/>
  <c r="P2073" i="1"/>
  <c r="L2074" i="1"/>
  <c r="M2074" i="1"/>
  <c r="N2074" i="1"/>
  <c r="O2074" i="1"/>
  <c r="P2074" i="1"/>
  <c r="L2075" i="1"/>
  <c r="M2075" i="1"/>
  <c r="N2075" i="1"/>
  <c r="O2075" i="1"/>
  <c r="P2075" i="1"/>
  <c r="L2076" i="1"/>
  <c r="M2076" i="1"/>
  <c r="N2076" i="1"/>
  <c r="O2076" i="1"/>
  <c r="P2076" i="1"/>
  <c r="L2077" i="1"/>
  <c r="M2077" i="1"/>
  <c r="N2077" i="1"/>
  <c r="O2077" i="1"/>
  <c r="P2077" i="1"/>
  <c r="L2078" i="1"/>
  <c r="M2078" i="1"/>
  <c r="N2078" i="1"/>
  <c r="O2078" i="1"/>
  <c r="P2078" i="1"/>
  <c r="L2079" i="1"/>
  <c r="M2079" i="1"/>
  <c r="N2079" i="1"/>
  <c r="O2079" i="1"/>
  <c r="P2079" i="1"/>
  <c r="L2080" i="1"/>
  <c r="M2080" i="1"/>
  <c r="N2080" i="1"/>
  <c r="O2080" i="1"/>
  <c r="P2080" i="1"/>
  <c r="L2081" i="1"/>
  <c r="M2081" i="1"/>
  <c r="N2081" i="1"/>
  <c r="O2081" i="1"/>
  <c r="P2081" i="1"/>
  <c r="L2082" i="1"/>
  <c r="M2082" i="1"/>
  <c r="N2082" i="1"/>
  <c r="O2082" i="1"/>
  <c r="P2082" i="1"/>
  <c r="L2083" i="1"/>
  <c r="M2083" i="1"/>
  <c r="N2083" i="1"/>
  <c r="O2083" i="1"/>
  <c r="P2083" i="1"/>
  <c r="L2084" i="1"/>
  <c r="M2084" i="1"/>
  <c r="N2084" i="1"/>
  <c r="O2084" i="1"/>
  <c r="P2084" i="1"/>
  <c r="L2085" i="1"/>
  <c r="M2085" i="1"/>
  <c r="N2085" i="1"/>
  <c r="O2085" i="1"/>
  <c r="P2085" i="1"/>
  <c r="L2086" i="1"/>
  <c r="M2086" i="1"/>
  <c r="N2086" i="1"/>
  <c r="O2086" i="1"/>
  <c r="P2086" i="1"/>
  <c r="L2087" i="1"/>
  <c r="M2087" i="1"/>
  <c r="N2087" i="1"/>
  <c r="O2087" i="1"/>
  <c r="P2087" i="1"/>
  <c r="L2088" i="1"/>
  <c r="M2088" i="1"/>
  <c r="N2088" i="1"/>
  <c r="O2088" i="1"/>
  <c r="P2088" i="1"/>
  <c r="L2089" i="1"/>
  <c r="M2089" i="1"/>
  <c r="N2089" i="1"/>
  <c r="O2089" i="1"/>
  <c r="P2089" i="1"/>
  <c r="L2090" i="1"/>
  <c r="M2090" i="1"/>
  <c r="N2090" i="1"/>
  <c r="O2090" i="1"/>
  <c r="P2090" i="1"/>
  <c r="L2091" i="1"/>
  <c r="M2091" i="1"/>
  <c r="N2091" i="1"/>
  <c r="O2091" i="1"/>
  <c r="P2091" i="1"/>
  <c r="L2092" i="1"/>
  <c r="M2092" i="1"/>
  <c r="N2092" i="1"/>
  <c r="O2092" i="1"/>
  <c r="P2092" i="1"/>
  <c r="L2093" i="1"/>
  <c r="M2093" i="1"/>
  <c r="N2093" i="1"/>
  <c r="O2093" i="1"/>
  <c r="P2093" i="1"/>
  <c r="L2094" i="1"/>
  <c r="M2094" i="1"/>
  <c r="N2094" i="1"/>
  <c r="O2094" i="1"/>
  <c r="P2094" i="1"/>
  <c r="L2095" i="1"/>
  <c r="M2095" i="1"/>
  <c r="N2095" i="1"/>
  <c r="O2095" i="1"/>
  <c r="P2095" i="1"/>
  <c r="L2096" i="1"/>
  <c r="M2096" i="1"/>
  <c r="N2096" i="1"/>
  <c r="O2096" i="1"/>
  <c r="P2096" i="1"/>
  <c r="L2097" i="1"/>
  <c r="M2097" i="1"/>
  <c r="N2097" i="1"/>
  <c r="O2097" i="1"/>
  <c r="P2097" i="1"/>
  <c r="L2098" i="1"/>
  <c r="M2098" i="1"/>
  <c r="N2098" i="1"/>
  <c r="O2098" i="1"/>
  <c r="P2098" i="1"/>
  <c r="L2099" i="1"/>
  <c r="M2099" i="1"/>
  <c r="N2099" i="1"/>
  <c r="O2099" i="1"/>
  <c r="P2099" i="1"/>
  <c r="L2100" i="1"/>
  <c r="M2100" i="1"/>
  <c r="N2100" i="1"/>
  <c r="O2100" i="1"/>
  <c r="P2100" i="1"/>
  <c r="L2101" i="1"/>
  <c r="M2101" i="1"/>
  <c r="N2101" i="1"/>
  <c r="O2101" i="1"/>
  <c r="P2101" i="1"/>
  <c r="L2102" i="1"/>
  <c r="M2102" i="1"/>
  <c r="N2102" i="1"/>
  <c r="O2102" i="1"/>
  <c r="P2102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E5" i="5" l="1"/>
  <c r="E4" i="5" s="1"/>
  <c r="N14" i="5"/>
  <c r="O14" i="5" s="1"/>
  <c r="N13" i="5"/>
  <c r="O13" i="5" s="1"/>
  <c r="F4" i="5" l="1"/>
  <c r="O20" i="5" s="1"/>
  <c r="N11" i="5"/>
  <c r="O11" i="5" s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21" i="1"/>
  <c r="N21" i="1"/>
  <c r="O21" i="1"/>
  <c r="P21" i="1"/>
  <c r="H10" i="1" l="1"/>
  <c r="H9" i="1" s="1"/>
  <c r="H21" i="5"/>
  <c r="H20" i="5" s="1"/>
  <c r="G10" i="1"/>
  <c r="G9" i="1" s="1"/>
  <c r="J10" i="1"/>
  <c r="J9" i="1" s="1"/>
  <c r="I10" i="1"/>
  <c r="I9" i="1" s="1"/>
  <c r="N10" i="5"/>
  <c r="O10" i="5" s="1"/>
  <c r="N12" i="5"/>
  <c r="O12" i="5" s="1"/>
  <c r="H4" i="1" l="1"/>
  <c r="I4" i="1"/>
  <c r="N14" i="1" s="1"/>
  <c r="O14" i="1" s="1"/>
  <c r="J4" i="1"/>
  <c r="N15" i="1" s="1"/>
  <c r="O15" i="1" s="1"/>
  <c r="G4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E8" i="1"/>
  <c r="F17" i="1" l="1"/>
  <c r="F16" i="1" s="1"/>
  <c r="E15" i="1"/>
  <c r="E17" i="1"/>
  <c r="E16" i="1" s="1"/>
  <c r="F10" i="1"/>
  <c r="F9" i="1" s="1"/>
  <c r="E10" i="1"/>
  <c r="N12" i="1"/>
  <c r="O12" i="1" s="1"/>
  <c r="N13" i="1"/>
  <c r="O13" i="1" s="1"/>
  <c r="E7" i="1"/>
  <c r="E6" i="1"/>
  <c r="E5" i="1" l="1"/>
  <c r="E14" i="1"/>
  <c r="E9" i="1"/>
  <c r="F4" i="1"/>
  <c r="E13" i="1"/>
  <c r="E4" i="1" l="1"/>
  <c r="E12" i="1"/>
  <c r="T12" i="1"/>
  <c r="N11" i="1"/>
  <c r="O11" i="1" s="1"/>
  <c r="U12" i="1"/>
  <c r="F11" i="1"/>
  <c r="H17" i="1" s="1"/>
  <c r="H16" i="1" s="1"/>
  <c r="G21" i="5" l="1"/>
  <c r="G20" i="5" s="1"/>
  <c r="G13" i="5" s="1"/>
  <c r="I21" i="5" s="1"/>
  <c r="I20" i="5" s="1"/>
  <c r="I13" i="5" s="1"/>
  <c r="E11" i="1"/>
  <c r="P10" i="1" s="1"/>
  <c r="Q10" i="1" s="1"/>
  <c r="T13" i="1"/>
  <c r="N10" i="1"/>
  <c r="O10" i="1" s="1"/>
  <c r="U9" i="1"/>
  <c r="T9" i="1"/>
  <c r="N9" i="5"/>
  <c r="O9" i="5" s="1"/>
  <c r="N20" i="5"/>
  <c r="N21" i="5" s="1"/>
  <c r="G17" i="1" l="1"/>
  <c r="G16" i="1" s="1"/>
  <c r="G11" i="1" s="1"/>
  <c r="I17" i="1" s="1"/>
  <c r="I16" i="1" s="1"/>
  <c r="P11" i="1"/>
  <c r="Q11" i="1" s="1"/>
  <c r="H11" i="1"/>
  <c r="T10" i="1"/>
  <c r="P9" i="5"/>
  <c r="H13" i="5" l="1"/>
  <c r="J21" i="5" s="1"/>
  <c r="J20" i="5" s="1"/>
  <c r="I11" i="1"/>
  <c r="N17" i="5"/>
  <c r="J13" i="5" l="1"/>
  <c r="P10" i="5"/>
  <c r="Q10" i="5" s="1"/>
  <c r="O17" i="5"/>
  <c r="N18" i="5" s="1"/>
  <c r="P12" i="1"/>
  <c r="Q12" i="1" s="1"/>
  <c r="P13" i="1"/>
  <c r="P14" i="1"/>
  <c r="Q14" i="1" s="1"/>
  <c r="Q9" i="5"/>
  <c r="Q13" i="1" l="1"/>
  <c r="J17" i="1"/>
  <c r="J16" i="1" s="1"/>
  <c r="J11" i="1" s="1"/>
  <c r="P15" i="1" s="1"/>
  <c r="Q15" i="1" s="1"/>
  <c r="P12" i="5"/>
  <c r="Q12" i="5" s="1"/>
  <c r="P14" i="5"/>
  <c r="Q14" i="5" s="1"/>
  <c r="P11" i="5"/>
  <c r="Q11" i="5" s="1"/>
  <c r="P13" i="5"/>
  <c r="Q1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DELLS</author>
  </authors>
  <commentList>
    <comment ref="E2" authorId="0" shapeId="0" xr:uid="{13FF8870-3D7D-4D1D-BDBC-29BB628B0E0A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Calculate follow NEW method in KIC PS2G -Rising edge to center point between time at max slope and time at end of wave</t>
        </r>
      </text>
    </comment>
    <comment ref="D5" authorId="0" shapeId="0" xr:uid="{2F9D4E1A-842D-4C1B-AB08-A5AE3ABB6D5A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Điểm kết thúc contact chính (Primary)
Dùng để tính Primary Dwell Time</t>
        </r>
      </text>
    </comment>
    <comment ref="D7" authorId="0" shapeId="0" xr:uid="{3B034805-E457-4143-B4D9-739493E28267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Điểm kết thúc contact phụ (Alternate)</t>
        </r>
      </text>
    </comment>
    <comment ref="D9" authorId="0" shapeId="0" xr:uid="{9AE1EF3D-42C1-4D4F-9F05-5401678A0EA4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Vị trí bắt đầu tiếp xúc với sóng (wave)
Thường là index/time point khi PCB bắt đầu chạm wave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DELLS</author>
  </authors>
  <commentList>
    <comment ref="E2" authorId="0" shapeId="0" xr:uid="{3615A8F8-D348-4538-9C0C-1B6557223031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Calculate follow OLD method of KIC 2000 - Rising edge to peak</t>
        </r>
      </text>
    </comment>
    <comment ref="D5" authorId="0" shapeId="0" xr:uid="{F47FD0F3-248C-4CCE-A9F1-402B6F834112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Điểm kết thúc contact chính (Primary)
Dùng để tính Primary Dwell Time</t>
        </r>
      </text>
    </comment>
    <comment ref="D8" authorId="0" shapeId="0" xr:uid="{DC9CDE08-5291-4DC0-9C6D-D2026ADE6A17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Điểm kết thúc contact phụ (Alternate)</t>
        </r>
      </text>
    </comment>
    <comment ref="D11" authorId="0" shapeId="0" xr:uid="{07299991-FA39-45B3-9FF3-F06B1D2D23F5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Vị trí bắt đầu tiếp xúc với sóng (wave)
Thường là index/time point khi PCB bắt đầu chạm wave</t>
        </r>
      </text>
    </comment>
    <comment ref="D14" authorId="0" shapeId="0" xr:uid="{2B0C2D31-1637-4930-8F67-091EE8AE5223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Điểm kết thúc contact chính (Primary)
Dùng để tính Primary Dwell Time</t>
        </r>
      </text>
    </comment>
    <comment ref="D17" authorId="0" shapeId="0" xr:uid="{C2BBC4A0-0912-41EB-AB65-7294E2E88794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Điểm kết thúc contact phụ (Alternate)</t>
        </r>
      </text>
    </comment>
    <comment ref="D20" authorId="0" shapeId="0" xr:uid="{2F7E503E-9062-46F9-B20E-2470D31C98F1}">
      <text>
        <r>
          <rPr>
            <b/>
            <sz val="9"/>
            <color indexed="81"/>
            <rFont val="Tahoma"/>
            <family val="2"/>
          </rPr>
          <t>DELLS:</t>
        </r>
        <r>
          <rPr>
            <sz val="9"/>
            <color indexed="81"/>
            <rFont val="Tahoma"/>
            <family val="2"/>
          </rPr>
          <t xml:space="preserve">
Vị trí bắt đầu tiếp xúc với sóng (wave)
Thường là index/time point khi PCB bắt đầu chạm wave</t>
        </r>
      </text>
    </comment>
  </commentList>
</comments>
</file>

<file path=xl/sharedStrings.xml><?xml version="1.0" encoding="utf-8"?>
<sst xmlns="http://schemas.openxmlformats.org/spreadsheetml/2006/main" count="370" uniqueCount="222">
  <si>
    <t>Parallalism</t>
  </si>
  <si>
    <t>Peak</t>
  </si>
  <si>
    <t>Max Positive Derivitive</t>
  </si>
  <si>
    <t>Seconds</t>
  </si>
  <si>
    <t>TC1</t>
  </si>
  <si>
    <t>TC2</t>
  </si>
  <si>
    <t>TC3</t>
  </si>
  <si>
    <t>TC4</t>
  </si>
  <si>
    <t>TC5</t>
  </si>
  <si>
    <t>TC6</t>
  </si>
  <si>
    <t>TC7</t>
  </si>
  <si>
    <t>End Index 1</t>
  </si>
  <si>
    <t>End Index 2 (Peak Index)</t>
  </si>
  <si>
    <t>Start Index (Wave Start, Turning Point)</t>
  </si>
  <si>
    <t>NegativePeak</t>
  </si>
  <si>
    <t>Max negative from peak</t>
  </si>
  <si>
    <t>UseAlternateDwellCalc=1</t>
  </si>
  <si>
    <t>Paste the RAW data into the area below:</t>
  </si>
  <si>
    <t>CALCULATING</t>
  </si>
  <si>
    <r>
      <rPr>
        <b/>
        <sz val="11"/>
        <color rgb="FFFF0000"/>
        <rFont val="Calibri"/>
        <family val="2"/>
        <scheme val="minor"/>
      </rPr>
      <t>OLD</t>
    </r>
    <r>
      <rPr>
        <b/>
        <sz val="11"/>
        <color theme="1"/>
        <rFont val="Calibri"/>
        <family val="2"/>
        <scheme val="minor"/>
      </rPr>
      <t xml:space="preserve"> method - KIC 2000</t>
    </r>
  </si>
  <si>
    <r>
      <rPr>
        <b/>
        <sz val="11"/>
        <color rgb="FFFF0000"/>
        <rFont val="Calibri"/>
        <family val="2"/>
        <scheme val="minor"/>
      </rPr>
      <t>NEW</t>
    </r>
    <r>
      <rPr>
        <b/>
        <sz val="11"/>
        <color theme="1"/>
        <rFont val="Calibri"/>
        <family val="2"/>
        <scheme val="minor"/>
      </rPr>
      <t xml:space="preserve"> method - PS2G</t>
    </r>
  </si>
  <si>
    <t>Note:</t>
  </si>
  <si>
    <t>Constant between two Point: 4 (Lines)</t>
  </si>
  <si>
    <t>Type: Wave must be use RAW DATA</t>
  </si>
  <si>
    <t>Case: Chip is larger than Lampda(It means: Peak of TC at Chip)</t>
  </si>
  <si>
    <t>Left</t>
  </si>
  <si>
    <t>Right</t>
  </si>
  <si>
    <t>PXStructureVersion 20221006</t>
  </si>
  <si>
    <t>AvgDeltaBetweenSetpointAndAirTC= 0.0</t>
  </si>
  <si>
    <t>AirTCStartTime=0</t>
  </si>
  <si>
    <t>Profile Start Time:</t>
  </si>
  <si>
    <t>Product Name:</t>
  </si>
  <si>
    <t>Process Window Name:</t>
  </si>
  <si>
    <t>Oven Name:</t>
  </si>
  <si>
    <t>Process Window Description:</t>
  </si>
  <si>
    <t>Oven Recipe Name:</t>
  </si>
  <si>
    <t>Profile Description:</t>
  </si>
  <si>
    <t>Product Length (Inches):</t>
  </si>
  <si>
    <t>Product Width (Inches):</t>
  </si>
  <si>
    <t>Product Weight (Grams):</t>
  </si>
  <si>
    <t>Wave Solder - Wave On. TC#:</t>
  </si>
  <si>
    <t>Distance From Air TC</t>
  </si>
  <si>
    <t>Distance From End Of Last Preheater To Start Of Wave</t>
  </si>
  <si>
    <t>Conveyor Speed Units:</t>
  </si>
  <si>
    <t>inches/minute</t>
  </si>
  <si>
    <t>Temperature Scale:</t>
  </si>
  <si>
    <t>Degree Celsius</t>
  </si>
  <si>
    <t>SetpointAlignmentMethod=0</t>
  </si>
  <si>
    <t>PercentageOfProfileToLookForFirstZone=33</t>
  </si>
  <si>
    <t>MaxSlopeWidthInPointsToAlignSetpoints=5</t>
  </si>
  <si>
    <t>MinFirstSetpointPosition=0.0</t>
  </si>
  <si>
    <t>MaxFirstSetpointPosition=25.0</t>
  </si>
  <si>
    <t>fAirTCPeakShouldBeTheHottestByAtleastThisManyDegrees=5.0</t>
  </si>
  <si>
    <t>fAirTCIncreasedByThisManyDegrees=0.0</t>
  </si>
  <si>
    <t>fReportAnErrorIfAirTCPeakIsCoolerByMoreThanThisManyDegrees=10.0</t>
  </si>
  <si>
    <t>Size Of Curing Window In Seconds= 60</t>
  </si>
  <si>
    <t>Size Of Curing Window In Degrees=6.0</t>
  </si>
  <si>
    <t>Navigator Settings:</t>
  </si>
  <si>
    <t>Allow Setpoints To Vary=1</t>
  </si>
  <si>
    <t>Allow Conveyor Speed To Vary=1</t>
  </si>
  <si>
    <t>Minimum Conveyor Speed=5.0</t>
  </si>
  <si>
    <t>Maximum Conveyor Speed=100.0</t>
  </si>
  <si>
    <t>Navigator Algorithm= Minimize PWI</t>
  </si>
  <si>
    <t>Zone Number:</t>
  </si>
  <si>
    <t>Setpoint Positions:</t>
  </si>
  <si>
    <t>Relative Zone Widths:</t>
  </si>
  <si>
    <t>Max Zone Temperature:</t>
  </si>
  <si>
    <t>Min Zone Temperature:</t>
  </si>
  <si>
    <t>Max Rising Zone Delta Bottom:</t>
  </si>
  <si>
    <t>Max Rising Zone Delta:</t>
  </si>
  <si>
    <t>Max Rising Zone Delta Ratio:</t>
  </si>
  <si>
    <t>Max Rising Slope &amp; Intercept:</t>
  </si>
  <si>
    <t>Max Falling Zone Delta Bottom:</t>
  </si>
  <si>
    <t>Max Falling Zone Delta:</t>
  </si>
  <si>
    <t>Max Falling Zone Delta Ratio:</t>
  </si>
  <si>
    <t>Max Falling Slope &amp; Intercept:</t>
  </si>
  <si>
    <t>Max Valley Zone Delta Bottom:</t>
  </si>
  <si>
    <t>Max Valley Zone Delta:</t>
  </si>
  <si>
    <t>Max Valley Zone Delta Ratio:</t>
  </si>
  <si>
    <t>Max Valley Slope &amp; Intercept:</t>
  </si>
  <si>
    <t>Top Setpoints:</t>
  </si>
  <si>
    <t>Bottom Setpoints:</t>
  </si>
  <si>
    <t>Original Average Setpoints:</t>
  </si>
  <si>
    <t>New Average Setpoints:</t>
  </si>
  <si>
    <t>Conveyor Speed:</t>
  </si>
  <si>
    <t>BL PWI:</t>
  </si>
  <si>
    <t>Statistics Values:</t>
  </si>
  <si>
    <t>TC-1</t>
  </si>
  <si>
    <t>Pred-1</t>
  </si>
  <si>
    <t>TC-2</t>
  </si>
  <si>
    <t>Pred-2</t>
  </si>
  <si>
    <t>TC-3</t>
  </si>
  <si>
    <t>Pred-3</t>
  </si>
  <si>
    <t>Pred-4</t>
  </si>
  <si>
    <t>Pred-5</t>
  </si>
  <si>
    <t>Pred-6</t>
  </si>
  <si>
    <t>Pred-7</t>
  </si>
  <si>
    <t>Peak Temp</t>
  </si>
  <si>
    <t>WaveData:</t>
  </si>
  <si>
    <t>Lambda Dwell left:</t>
  </si>
  <si>
    <t xml:space="preserve">Lambda Dwell right : </t>
  </si>
  <si>
    <t>Lambda Parallelism:</t>
  </si>
  <si>
    <t>Chip Dwell left:</t>
  </si>
  <si>
    <t>Chip Dwell right:</t>
  </si>
  <si>
    <t>Chip Parallelism:</t>
  </si>
  <si>
    <t>SolderTemp Setpoint:</t>
  </si>
  <si>
    <t>SolderTemp Actual:</t>
  </si>
  <si>
    <t>Statistics Limits:</t>
  </si>
  <si>
    <t>Low 1</t>
  </si>
  <si>
    <t>Target 1</t>
  </si>
  <si>
    <t>High 1</t>
  </si>
  <si>
    <t>Low 2</t>
  </si>
  <si>
    <t>Target 2</t>
  </si>
  <si>
    <t>High 2</t>
  </si>
  <si>
    <t>Low 3</t>
  </si>
  <si>
    <t>Target 3</t>
  </si>
  <si>
    <t>High 3</t>
  </si>
  <si>
    <t>Statistics Bias:</t>
  </si>
  <si>
    <t>Bias-1</t>
  </si>
  <si>
    <t>PWI-1</t>
  </si>
  <si>
    <t>Bias-2</t>
  </si>
  <si>
    <t>PWI-2</t>
  </si>
  <si>
    <t>Bias-3</t>
  </si>
  <si>
    <t>PWI-3</t>
  </si>
  <si>
    <t>Bias-4</t>
  </si>
  <si>
    <t>PWI-4</t>
  </si>
  <si>
    <t>Bias-5</t>
  </si>
  <si>
    <t>PWI-5</t>
  </si>
  <si>
    <t>Bias-6</t>
  </si>
  <si>
    <t>PWI-6</t>
  </si>
  <si>
    <t>Bias-7</t>
  </si>
  <si>
    <t>PWI-7</t>
  </si>
  <si>
    <t>lRequestedNumberOfResampledDataPoints=500</t>
  </si>
  <si>
    <t>Entrance Temperature=32.00</t>
  </si>
  <si>
    <t>Exit Temperature=32.00</t>
  </si>
  <si>
    <t>Raw</t>
  </si>
  <si>
    <t>BL Raw Temperature</t>
  </si>
  <si>
    <t>Internal Temp</t>
  </si>
  <si>
    <t>Air/Product Factor</t>
  </si>
  <si>
    <t>Air Offset Temp</t>
  </si>
  <si>
    <t>Resampled</t>
  </si>
  <si>
    <t>Temperature:</t>
  </si>
  <si>
    <t>Predicted Temperatures</t>
  </si>
  <si>
    <t>Pred-TC1</t>
  </si>
  <si>
    <t>Pred-TC2</t>
  </si>
  <si>
    <t>Pred-TC3</t>
  </si>
  <si>
    <t>Pred-TC4</t>
  </si>
  <si>
    <t>Pred-TC5</t>
  </si>
  <si>
    <t>Pred-TC6</t>
  </si>
  <si>
    <t>Pred-TC7</t>
  </si>
  <si>
    <t>Setpoints</t>
  </si>
  <si>
    <t>Pred Setpoints</t>
  </si>
  <si>
    <t>Room Left For Pointers=7834</t>
  </si>
  <si>
    <t>Profile Type:Wave Soldering On</t>
  </si>
  <si>
    <t>Pred-8</t>
  </si>
  <si>
    <t>TC-9</t>
  </si>
  <si>
    <t>Pred-9</t>
  </si>
  <si>
    <t>Max Rising Slope</t>
  </si>
  <si>
    <t>Low 9</t>
  </si>
  <si>
    <t>Target 9</t>
  </si>
  <si>
    <t>High 9</t>
  </si>
  <si>
    <t>Bias-8</t>
  </si>
  <si>
    <t>PWI-8</t>
  </si>
  <si>
    <t>Bias-9</t>
  </si>
  <si>
    <t>PWI-9</t>
  </si>
  <si>
    <t>Number of Process Spec Input Values=41</t>
  </si>
  <si>
    <t>ERROR! MAXNUM_STATISTICS=56. Numbers should match.</t>
  </si>
  <si>
    <t>TC8</t>
  </si>
  <si>
    <t>TC9</t>
  </si>
  <si>
    <t>Pred-TC8</t>
  </si>
  <si>
    <t>Pred-TC9</t>
  </si>
  <si>
    <t>Wave Contact Time – Product TCs</t>
  </si>
  <si>
    <t>StructLen=74236</t>
  </si>
  <si>
    <t>Total Bytes Allocated For Structure=6080571</t>
  </si>
  <si>
    <t>Tue Jul 29 14:18:32 2014</t>
  </si>
  <si>
    <t>JXJ</t>
  </si>
  <si>
    <t>Wave solder</t>
  </si>
  <si>
    <t>WAVE POINT</t>
  </si>
  <si>
    <t>LA-B272</t>
  </si>
  <si>
    <t xml:space="preserve">Valid TCs=1, 2, 3, 4, 5, 6, 7, 8, 9, </t>
  </si>
  <si>
    <t>Oven Length=220.53</t>
  </si>
  <si>
    <t>Number Of Setpoints=4</t>
  </si>
  <si>
    <t>New Conveyor Speed=33.6</t>
  </si>
  <si>
    <t>Predicted PWI=86.37%</t>
  </si>
  <si>
    <t>Total Setpoint Change=142.9</t>
  </si>
  <si>
    <t>Preheat</t>
  </si>
  <si>
    <t>SecondsPerResampledDataPoint=0.71</t>
  </si>
  <si>
    <t>NumberOfPointsForStatisticsResample=3000</t>
  </si>
  <si>
    <t>Profile: JXJ</t>
  </si>
  <si>
    <t>Contact Time (Chip)</t>
  </si>
  <si>
    <t xml:space="preserve">Chip </t>
  </si>
  <si>
    <t>Dwell</t>
  </si>
  <si>
    <t>Contact Time (Main)</t>
  </si>
  <si>
    <t>50 = số dòng muốn quét.</t>
  </si>
  <si>
    <t>TC</t>
  </si>
  <si>
    <t>TC 3</t>
  </si>
  <si>
    <t>TC 2</t>
  </si>
  <si>
    <t>TC 4</t>
  </si>
  <si>
    <t>TC 5</t>
  </si>
  <si>
    <t>TC 6</t>
  </si>
  <si>
    <t>TC 7</t>
  </si>
  <si>
    <t>Low</t>
  </si>
  <si>
    <t>Target</t>
  </si>
  <si>
    <t>High</t>
  </si>
  <si>
    <t>Spec limit:(s)</t>
  </si>
  <si>
    <t>Range</t>
  </si>
  <si>
    <t>Value(s)</t>
  </si>
  <si>
    <t>PWI(%)</t>
  </si>
  <si>
    <t>Main</t>
  </si>
  <si>
    <t>End Wave Index</t>
  </si>
  <si>
    <t>Start Index</t>
  </si>
  <si>
    <t xml:space="preserve">Max negative from peak </t>
  </si>
  <si>
    <t xml:space="preserve"> -20 line</t>
  </si>
  <si>
    <t>Row number from peak to last data</t>
  </si>
  <si>
    <t>Input</t>
  </si>
  <si>
    <t>MAX(INDEX(C:C, 25 + MATCH(TRUE, C21:C10000=H8, 0)) : C10000)</t>
  </si>
  <si>
    <t>: Temperature (oC)</t>
  </si>
  <si>
    <t>: Data Point(delay)</t>
  </si>
  <si>
    <t>: Data Point(delay2)</t>
  </si>
  <si>
    <t>: Number line of scan</t>
  </si>
  <si>
    <t>: Last Data Point</t>
  </si>
  <si>
    <t>for calculate PWI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</si>
</sst>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7" xfId="0" applyFont="1" applyBorder="1"/>
    <xf numFmtId="0" fontId="1" fillId="0" borderId="8" xfId="0" applyFont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2" borderId="14" xfId="0" applyFont="1" applyFill="1" applyBorder="1"/>
    <xf numFmtId="0" fontId="9" fillId="3" borderId="12" xfId="0" applyFont="1" applyFill="1" applyBorder="1"/>
    <xf numFmtId="0" fontId="1" fillId="3" borderId="13" xfId="0" applyFont="1" applyFill="1" applyBorder="1"/>
    <xf numFmtId="0" fontId="1" fillId="3" borderId="14" xfId="0" applyFont="1" applyFill="1" applyBorder="1"/>
    <xf numFmtId="0" fontId="2" fillId="2" borderId="5" xfId="0" applyFont="1" applyFill="1" applyBorder="1"/>
    <xf numFmtId="0" fontId="2" fillId="4" borderId="1" xfId="0" applyFont="1" applyFill="1" applyBorder="1"/>
    <xf numFmtId="0" fontId="2" fillId="4" borderId="6" xfId="0" applyFont="1" applyFill="1" applyBorder="1"/>
    <xf numFmtId="0" fontId="0" fillId="4" borderId="6" xfId="0" applyFill="1" applyBorder="1"/>
    <xf numFmtId="0" fontId="1" fillId="5" borderId="0" xfId="0" applyFont="1" applyFill="1"/>
    <xf numFmtId="0" fontId="0" fillId="2" borderId="0" xfId="0" applyFill="1"/>
    <xf numFmtId="10" fontId="0" fillId="0" borderId="0" xfId="0" applyNumberFormat="1"/>
    <xf numFmtId="0" fontId="3" fillId="0" borderId="0" xfId="0" applyFont="1"/>
    <xf numFmtId="0" fontId="1" fillId="0" borderId="5" xfId="0" applyFont="1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3" fillId="0" borderId="7" xfId="0" applyFont="1" applyBorder="1"/>
    <xf numFmtId="0" fontId="1" fillId="2" borderId="0" xfId="0" applyFont="1" applyFill="1"/>
    <xf numFmtId="0" fontId="11" fillId="0" borderId="0" xfId="0" applyFont="1"/>
    <xf numFmtId="0" fontId="11" fillId="7" borderId="0" xfId="0" applyFont="1" applyFill="1"/>
    <xf numFmtId="0" fontId="1" fillId="0" borderId="22" xfId="0" applyFont="1" applyBorder="1"/>
    <xf numFmtId="0" fontId="1" fillId="0" borderId="23" xfId="0" applyFont="1" applyBorder="1"/>
    <xf numFmtId="0" fontId="10" fillId="0" borderId="0" xfId="0" applyFont="1"/>
    <xf numFmtId="0" fontId="2" fillId="8" borderId="0" xfId="0" applyFont="1" applyFill="1"/>
    <xf numFmtId="0" fontId="0" fillId="8" borderId="0" xfId="0" applyFill="1"/>
    <xf numFmtId="0" fontId="0" fillId="0" borderId="1" xfId="0" applyBorder="1"/>
    <xf numFmtId="0" fontId="1" fillId="2" borderId="1" xfId="0" applyFont="1" applyFill="1" applyBorder="1"/>
    <xf numFmtId="0" fontId="1" fillId="3" borderId="1" xfId="0" applyFont="1" applyFill="1" applyBorder="1"/>
    <xf numFmtId="0" fontId="0" fillId="0" borderId="2" xfId="0" applyBorder="1"/>
    <xf numFmtId="0" fontId="10" fillId="0" borderId="5" xfId="0" applyFont="1" applyBorder="1"/>
    <xf numFmtId="0" fontId="1" fillId="3" borderId="6" xfId="0" applyFont="1" applyFill="1" applyBorder="1"/>
    <xf numFmtId="0" fontId="0" fillId="0" borderId="6" xfId="0" applyBorder="1"/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11" fillId="0" borderId="7" xfId="0" applyFont="1" applyBorder="1"/>
    <xf numFmtId="0" fontId="12" fillId="2" borderId="12" xfId="0" applyFont="1" applyFill="1" applyBorder="1"/>
    <xf numFmtId="0" fontId="12" fillId="4" borderId="13" xfId="0" applyFont="1" applyFill="1" applyBorder="1"/>
    <xf numFmtId="0" fontId="12" fillId="6" borderId="12" xfId="0" applyFont="1" applyFill="1" applyBorder="1"/>
    <xf numFmtId="0" fontId="12" fillId="6" borderId="13" xfId="0" applyFont="1" applyFill="1" applyBorder="1"/>
    <xf numFmtId="0" fontId="1" fillId="0" borderId="12" xfId="0" applyFont="1" applyBorder="1"/>
    <xf numFmtId="0" fontId="1" fillId="0" borderId="13" xfId="0" applyFont="1" applyBorder="1"/>
    <xf numFmtId="0" fontId="1" fillId="2" borderId="19" xfId="0" applyFont="1" applyFill="1" applyBorder="1"/>
    <xf numFmtId="0" fontId="1" fillId="2" borderId="20" xfId="0" applyFont="1" applyFill="1" applyBorder="1"/>
    <xf numFmtId="0" fontId="0" fillId="7" borderId="0" xfId="0" applyFill="1"/>
    <xf numFmtId="0" fontId="0" fillId="2" borderId="20" xfId="0" applyFill="1" applyBorder="1"/>
    <xf numFmtId="0" fontId="0" fillId="2" borderId="21" xfId="0" applyFill="1" applyBorder="1"/>
    <xf numFmtId="0" fontId="1" fillId="0" borderId="14" xfId="0" applyFont="1" applyBorder="1"/>
    <xf numFmtId="0" fontId="11" fillId="0" borderId="8" xfId="0" applyFont="1" applyBorder="1"/>
    <xf numFmtId="0" fontId="1" fillId="0" borderId="24" xfId="0" applyFont="1" applyBorder="1"/>
    <xf numFmtId="0" fontId="12" fillId="4" borderId="14" xfId="0" applyFont="1" applyFill="1" applyBorder="1"/>
    <xf numFmtId="0" fontId="12" fillId="6" borderId="14" xfId="0" applyFont="1" applyFill="1" applyBorder="1"/>
    <xf numFmtId="0" fontId="0" fillId="9" borderId="0" xfId="0" applyFill="1"/>
    <xf numFmtId="0" fontId="0" fillId="9" borderId="10" xfId="0" applyFill="1" applyBorder="1"/>
    <xf numFmtId="0" fontId="1" fillId="9" borderId="27" xfId="0" applyFont="1" applyFill="1" applyBorder="1"/>
    <xf numFmtId="0" fontId="3" fillId="7" borderId="7" xfId="0" applyFont="1" applyFill="1" applyBorder="1"/>
    <xf numFmtId="0" fontId="0" fillId="7" borderId="7" xfId="0" applyFill="1" applyBorder="1"/>
    <xf numFmtId="0" fontId="1" fillId="2" borderId="25" xfId="0" applyFont="1" applyFill="1" applyBorder="1"/>
    <xf numFmtId="0" fontId="1" fillId="2" borderId="18" xfId="0" applyFont="1" applyFill="1" applyBorder="1"/>
    <xf numFmtId="0" fontId="1" fillId="3" borderId="25" xfId="0" applyFont="1" applyFill="1" applyBorder="1"/>
    <xf numFmtId="0" fontId="1" fillId="3" borderId="26" xfId="0" applyFont="1" applyFill="1" applyBorder="1"/>
    <xf numFmtId="0" fontId="0" fillId="2" borderId="7" xfId="0" applyFill="1" applyBorder="1"/>
    <xf numFmtId="0" fontId="0" fillId="3" borderId="7" xfId="0" applyFill="1" applyBorder="1"/>
    <xf numFmtId="0" fontId="1" fillId="0" borderId="19" xfId="0" applyFont="1" applyBorder="1"/>
    <xf numFmtId="0" fontId="1" fillId="0" borderId="9" xfId="0" applyFont="1" applyBorder="1"/>
    <xf numFmtId="0" fontId="11" fillId="7" borderId="7" xfId="0" applyFont="1" applyFill="1" applyBorder="1"/>
    <xf numFmtId="0" fontId="11" fillId="5" borderId="0" xfId="0" applyFont="1" applyFill="1"/>
    <xf numFmtId="0" fontId="11" fillId="5" borderId="7" xfId="0" applyFont="1" applyFill="1" applyBorder="1"/>
    <xf numFmtId="0" fontId="0" fillId="5" borderId="7" xfId="0" applyFill="1" applyBorder="1"/>
    <xf numFmtId="0" fontId="2" fillId="2" borderId="1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356282</xdr:colOff>
      <xdr:row>19</xdr:row>
      <xdr:rowOff>157374</xdr:rowOff>
    </xdr:from>
    <xdr:to>
      <xdr:col>22</xdr:col>
      <xdr:colOff>438108</xdr:colOff>
      <xdr:row>43</xdr:row>
      <xdr:rowOff>35136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C1DE4BA-D04F-C229-386D-1EC14852B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46565" y="3983939"/>
          <a:ext cx="8302646" cy="44561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57978</xdr:colOff>
      <xdr:row>9</xdr:row>
      <xdr:rowOff>8283</xdr:rowOff>
    </xdr:from>
    <xdr:to>
      <xdr:col>44</xdr:col>
      <xdr:colOff>231703</xdr:colOff>
      <xdr:row>60</xdr:row>
      <xdr:rowOff>35211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58B5DCE-E4A0-F477-9102-028F917B8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24282" y="1805609"/>
          <a:ext cx="18238095" cy="98666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7</xdr:row>
      <xdr:rowOff>47625</xdr:rowOff>
    </xdr:from>
    <xdr:to>
      <xdr:col>3</xdr:col>
      <xdr:colOff>598871</xdr:colOff>
      <xdr:row>26</xdr:row>
      <xdr:rowOff>138194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56F151-C53A-47BB-AB1F-479C22B9A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5" y="1381125"/>
          <a:ext cx="1789496" cy="37100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90D0-5FFE-4363-94E3-0D86C03AC7DA}">
  <sheetPr>
    <tabColor rgb="FFFFC000"/>
  </sheetPr>
  <dimension ref="A1:U2102"/>
  <sheetViews>
    <sheetView tabSelected="1" topLeftCell="A11" zoomScale="115" zoomScaleNormal="115" workbookViewId="0">
      <selection activeCell="A21" sqref="A21:H2007"/>
    </sheetView>
  </sheetViews>
  <sheetFormatPr defaultRowHeight="15"/>
  <cols>
    <col min="1" max="1" width="8.42578125" customWidth="1"/>
    <col min="2" max="2" width="19.42578125" customWidth="1"/>
    <col min="3" max="3" width="7.85546875" bestFit="1" customWidth="1"/>
    <col min="4" max="4" width="28.42578125" customWidth="1"/>
    <col min="5" max="7" width="7.85546875" bestFit="1" customWidth="1"/>
    <col min="9" max="9" width="12" customWidth="1"/>
    <col min="10" max="10" width="7.85546875" bestFit="1" customWidth="1"/>
    <col min="13" max="13" width="11" customWidth="1"/>
    <col min="14" max="14" width="11.42578125" customWidth="1"/>
    <col min="15" max="15" width="13" customWidth="1"/>
    <col min="17" max="17" width="24.42578125" customWidth="1"/>
    <col min="19" max="19" width="10.7109375" bestFit="1" customWidth="1"/>
    <col min="20" max="20" width="8.28515625" customWidth="1"/>
    <col min="21" max="21" width="7.5703125" customWidth="1"/>
    <col min="23" max="23" width="19.42578125" customWidth="1"/>
  </cols>
  <sheetData>
    <row r="1" spans="1:21" s="1" customFormat="1" ht="15.75" thickBot="1">
      <c r="D1" s="1" t="s">
        <v>188</v>
      </c>
      <c r="O1" s="26" t="s">
        <v>21</v>
      </c>
      <c r="P1" s="26" t="s">
        <v>24</v>
      </c>
    </row>
    <row r="2" spans="1:21" ht="15.75" thickBot="1">
      <c r="A2" s="81">
        <v>20</v>
      </c>
      <c r="B2" s="33" t="s">
        <v>216</v>
      </c>
      <c r="D2" s="16"/>
      <c r="E2" s="17" t="s">
        <v>20</v>
      </c>
      <c r="F2" s="17"/>
      <c r="G2" s="17"/>
      <c r="H2" s="17"/>
      <c r="I2" s="17"/>
      <c r="J2" s="18"/>
    </row>
    <row r="3" spans="1:21" ht="15.75" thickBot="1">
      <c r="A3" s="14">
        <v>20</v>
      </c>
      <c r="B3" s="10" t="s">
        <v>217</v>
      </c>
      <c r="D3" s="38" t="s">
        <v>171</v>
      </c>
      <c r="E3" s="39" t="s">
        <v>5</v>
      </c>
      <c r="F3" s="39" t="s">
        <v>6</v>
      </c>
      <c r="G3" s="39" t="s">
        <v>7</v>
      </c>
      <c r="H3" s="39" t="s">
        <v>8</v>
      </c>
      <c r="I3" s="39" t="s">
        <v>9</v>
      </c>
      <c r="J3" s="67" t="s">
        <v>10</v>
      </c>
      <c r="M3" s="72" t="s">
        <v>214</v>
      </c>
      <c r="N3" s="1" t="s">
        <v>221</v>
      </c>
      <c r="O3" s="1"/>
      <c r="P3" s="1"/>
      <c r="Q3" s="1"/>
    </row>
    <row r="4" spans="1:21" ht="19.5" thickBot="1">
      <c r="A4" s="14">
        <v>5</v>
      </c>
      <c r="B4" s="10" t="s">
        <v>218</v>
      </c>
      <c r="D4" s="54" t="s">
        <v>189</v>
      </c>
      <c r="E4" s="55">
        <f t="shared" ref="E4:J4" ca="1" si="0">ROUND(IF((E5-E9)*$A$22&gt;4.5,(E5-E9)*$A$22/2,(E7-E9)*$A$22),2)</f>
        <v>17.13</v>
      </c>
      <c r="F4" s="55" t="e">
        <f t="shared" ca="1" si="0"/>
        <v>#N/A</v>
      </c>
      <c r="G4" s="55" t="e">
        <f t="shared" ca="1" si="0"/>
        <v>#N/A</v>
      </c>
      <c r="H4" s="55" t="e">
        <f t="shared" ca="1" si="0"/>
        <v>#N/A</v>
      </c>
      <c r="I4" s="55" t="e">
        <f t="shared" ca="1" si="0"/>
        <v>#N/A</v>
      </c>
      <c r="J4" s="68">
        <f t="shared" ca="1" si="0"/>
        <v>-138.5</v>
      </c>
      <c r="M4" s="31" t="s">
        <v>204</v>
      </c>
      <c r="N4" s="32" t="s">
        <v>201</v>
      </c>
      <c r="O4" s="32" t="s">
        <v>202</v>
      </c>
      <c r="P4" s="32" t="s">
        <v>203</v>
      </c>
      <c r="Q4" s="33" t="s">
        <v>205</v>
      </c>
    </row>
    <row r="5" spans="1:21" ht="15.75" thickBot="1">
      <c r="A5" s="82">
        <v>50</v>
      </c>
      <c r="B5" s="13" t="s">
        <v>219</v>
      </c>
      <c r="D5" s="9" t="s">
        <v>11</v>
      </c>
      <c r="E5" s="36">
        <f t="shared" ref="E5" ca="1" si="1">E7+E6</f>
        <v>910</v>
      </c>
      <c r="F5" s="36" t="e">
        <f t="shared" ref="F5" ca="1" si="2">F7+F6</f>
        <v>#N/A</v>
      </c>
      <c r="G5" s="36" t="e">
        <f t="shared" ref="G5" ca="1" si="3">G7+G6</f>
        <v>#N/A</v>
      </c>
      <c r="H5" s="36" t="e">
        <f t="shared" ref="H5" ca="1" si="4">H7+H6</f>
        <v>#N/A</v>
      </c>
      <c r="I5" s="36" t="e">
        <f t="shared" ref="I5" ca="1" si="5">I7+I6</f>
        <v>#N/A</v>
      </c>
      <c r="J5" s="66">
        <f t="shared" ref="J5" ca="1" si="6">J7+J6</f>
        <v>1394</v>
      </c>
      <c r="M5" s="9" t="s">
        <v>189</v>
      </c>
      <c r="N5" s="70">
        <v>0</v>
      </c>
      <c r="O5">
        <f>(N5+P5)/2</f>
        <v>2.5</v>
      </c>
      <c r="P5" s="70">
        <v>5</v>
      </c>
      <c r="Q5" s="10">
        <f>(P5-N5)</f>
        <v>5</v>
      </c>
    </row>
    <row r="6" spans="1:21" ht="15.75" thickBot="1">
      <c r="D6" s="9" t="s">
        <v>209</v>
      </c>
      <c r="E6" s="36">
        <f ca="1">MATCH(E8-$A$2,INDIRECT(ADDRESS($A$3+VALUE(E7),3)):INDIRECT(ADDRESS($A$3+VALUE(E7)+$A$5,3)),-1)</f>
        <v>51</v>
      </c>
      <c r="F6" s="36" t="e">
        <f ca="1">MATCH(F8-$A$2,INDIRECT(ADDRESS($A$3+VALUE(F7),3)):INDIRECT(ADDRESS($A$3+VALUE(F7)+$A$5,3)),-1)</f>
        <v>#N/A</v>
      </c>
      <c r="G6" s="36" t="e">
        <f ca="1">MATCH(G8-$A$2,INDIRECT(ADDRESS($A$3+VALUE(G7),3)):INDIRECT(ADDRESS($A$3+VALUE(G7)+$A$5,3)),-1)</f>
        <v>#N/A</v>
      </c>
      <c r="H6" s="36" t="e">
        <f ca="1">MATCH(H8-$A$2,INDIRECT(ADDRESS($A$3+VALUE(H7),3)):INDIRECT(ADDRESS($A$3+VALUE(H7)+$A$5,3)),-1)</f>
        <v>#N/A</v>
      </c>
      <c r="I6" s="36" t="e">
        <f ca="1">MATCH(I8-$A$2,INDIRECT(ADDRESS($A$3+VALUE(I7),3)):INDIRECT(ADDRESS($A$3+VALUE(I7)+$A$5,3)),-1)</f>
        <v>#N/A</v>
      </c>
      <c r="J6" s="66">
        <f ca="1">MATCH(J8-$A$2,INDIRECT(ADDRESS($A$3+VALUE(J7),3)):INDIRECT(ADDRESS($A$3+VALUE(J7)+$A$5,3)),-1)</f>
        <v>51</v>
      </c>
      <c r="M6" s="11" t="s">
        <v>192</v>
      </c>
      <c r="N6" s="71">
        <v>0</v>
      </c>
      <c r="O6" s="12">
        <f>(N6+P6)/2</f>
        <v>2.5</v>
      </c>
      <c r="P6" s="71">
        <v>5</v>
      </c>
      <c r="Q6" s="13">
        <f>(P6-N6)</f>
        <v>5</v>
      </c>
    </row>
    <row r="7" spans="1:21" ht="15.75" thickBot="1">
      <c r="D7" s="9" t="s">
        <v>12</v>
      </c>
      <c r="E7" s="36">
        <f>MATCH(E8,C21:C10000,0)</f>
        <v>859</v>
      </c>
      <c r="F7" s="36">
        <f t="shared" ref="F7:J7" si="7">MATCH(F8,D21:D10000,0)</f>
        <v>733</v>
      </c>
      <c r="G7" s="36">
        <f t="shared" si="7"/>
        <v>788</v>
      </c>
      <c r="H7" s="36">
        <f t="shared" si="7"/>
        <v>768</v>
      </c>
      <c r="I7" s="36">
        <f t="shared" si="7"/>
        <v>716</v>
      </c>
      <c r="J7" s="66">
        <f t="shared" si="7"/>
        <v>1343</v>
      </c>
    </row>
    <row r="8" spans="1:21">
      <c r="D8" s="9" t="s">
        <v>1</v>
      </c>
      <c r="E8" s="36">
        <f>MAX(C21:C10000)</f>
        <v>149.56</v>
      </c>
      <c r="F8" s="36">
        <f t="shared" ref="F8:J8" si="8">MAX(D21:D10000)</f>
        <v>255.12</v>
      </c>
      <c r="G8" s="36">
        <f t="shared" si="8"/>
        <v>167.06</v>
      </c>
      <c r="H8" s="36">
        <f t="shared" si="8"/>
        <v>175.95</v>
      </c>
      <c r="I8" s="36">
        <f t="shared" si="8"/>
        <v>244.51</v>
      </c>
      <c r="J8" s="66">
        <f t="shared" si="8"/>
        <v>123.51</v>
      </c>
      <c r="M8" s="46"/>
      <c r="N8" s="75" t="s">
        <v>189</v>
      </c>
      <c r="O8" s="76"/>
      <c r="P8" s="77" t="s">
        <v>192</v>
      </c>
      <c r="Q8" s="78"/>
      <c r="S8" s="6" t="s">
        <v>208</v>
      </c>
      <c r="T8" s="7" t="s">
        <v>25</v>
      </c>
      <c r="U8" s="8" t="s">
        <v>26</v>
      </c>
    </row>
    <row r="9" spans="1:21">
      <c r="D9" s="9" t="s">
        <v>13</v>
      </c>
      <c r="E9" s="36">
        <f>MATCH(E10,K21:K10000,0)</f>
        <v>773</v>
      </c>
      <c r="F9" s="36">
        <f t="shared" ref="F9:J9" si="9">MATCH(F10,L21:L10000,0)</f>
        <v>728</v>
      </c>
      <c r="G9" s="36">
        <f t="shared" si="9"/>
        <v>733</v>
      </c>
      <c r="H9" s="36">
        <f t="shared" si="9"/>
        <v>716</v>
      </c>
      <c r="I9" s="36">
        <f t="shared" si="9"/>
        <v>704</v>
      </c>
      <c r="J9" s="66">
        <f t="shared" si="9"/>
        <v>1897</v>
      </c>
      <c r="M9" s="47" t="s">
        <v>194</v>
      </c>
      <c r="N9" s="44" t="s">
        <v>206</v>
      </c>
      <c r="O9" s="44" t="s">
        <v>207</v>
      </c>
      <c r="P9" s="45" t="s">
        <v>206</v>
      </c>
      <c r="Q9" s="48" t="s">
        <v>207</v>
      </c>
      <c r="S9" s="22" t="s">
        <v>191</v>
      </c>
      <c r="T9" s="23">
        <f ca="1">ROUND(IF((E12-E16)*$A$22&gt;4.5,(E12-E16)*$A$22/2,(E15-E16)*$A$22),2)</f>
        <v>106.13</v>
      </c>
      <c r="U9" s="24" t="e">
        <f ca="1">ROUND(IF((F12-F16)*$A$22&gt;4.5,(F12-F16)*$A$22/2,(F15-F16)*$A$22),2)</f>
        <v>#N/A</v>
      </c>
    </row>
    <row r="10" spans="1:21" ht="15.75" thickBot="1">
      <c r="D10" s="9" t="s">
        <v>2</v>
      </c>
      <c r="E10" s="36">
        <f>MAX(K21:K10000)</f>
        <v>3.5</v>
      </c>
      <c r="F10" s="36">
        <f t="shared" ref="F10:J10" si="10">MAX(L21:L10000)</f>
        <v>142.73000000000002</v>
      </c>
      <c r="G10" s="36">
        <f t="shared" si="10"/>
        <v>12.61</v>
      </c>
      <c r="H10" s="36">
        <f t="shared" si="10"/>
        <v>31.769999999999996</v>
      </c>
      <c r="I10" s="36">
        <f t="shared" si="10"/>
        <v>115.60999999999999</v>
      </c>
      <c r="J10" s="66">
        <f t="shared" si="10"/>
        <v>4.0499999999999972</v>
      </c>
      <c r="M10" s="30" t="s">
        <v>196</v>
      </c>
      <c r="N10" s="43">
        <f ca="1">$E$4</f>
        <v>17.13</v>
      </c>
      <c r="O10" s="43">
        <f t="shared" ref="O10:O15" ca="1" si="11">100*((N10-$O$5)/$Q$5)/2</f>
        <v>146.29999999999998</v>
      </c>
      <c r="P10" s="43">
        <f ca="1">$E$11</f>
        <v>106.13</v>
      </c>
      <c r="Q10" s="49">
        <f t="shared" ref="Q10:Q15" ca="1" si="12">100*((P10-$O$6)/$Q$6)/2</f>
        <v>1036.3</v>
      </c>
      <c r="S10" s="22" t="s">
        <v>0</v>
      </c>
      <c r="T10" s="23" t="e">
        <f ca="1">T9-U9</f>
        <v>#N/A</v>
      </c>
      <c r="U10" s="25"/>
    </row>
    <row r="11" spans="1:21" ht="19.5" thickBot="1">
      <c r="D11" s="56" t="s">
        <v>192</v>
      </c>
      <c r="E11" s="57">
        <f ca="1">ROUND(IF((E12-E16)*$A$22&gt;4.5,(E12-E16)*$A$22/2,(E14-E16)*$A$22),2)</f>
        <v>106.13</v>
      </c>
      <c r="F11" s="57" t="e">
        <f ca="1">ROUND(IF((F12-F16)*$A$22&gt;4.5,(F12-F16)*$A$22/2,(F15-F16)*$A$22),2)</f>
        <v>#N/A</v>
      </c>
      <c r="G11" s="57" t="e">
        <f ca="1">ROUND(IF((G12-G16)*$A$22&gt;4.5,(G12-G16)*$A$22/2,(G15-G16)*$A$22),2)</f>
        <v>#N/A</v>
      </c>
      <c r="H11" s="57" t="e">
        <f ca="1">ROUND(IF((H12-H16)*$A$22&gt;4.5,(H12-H16)*$A$22/2,(H15-H16)*$A$22),2)</f>
        <v>#N/A</v>
      </c>
      <c r="I11" s="57" t="e">
        <f ca="1">ROUND(IF((I12-I16)*$A$22&gt;4.5,(I12-I16)*$A$22/2,(I15-I16)*$A$22),2)</f>
        <v>#N/A</v>
      </c>
      <c r="J11" s="69">
        <f ca="1">ROUND(IF((J12-J16)*$A$22&gt;4.5,(J12-J16)*$A$22/2,(J15-J16)*$A$22),2)</f>
        <v>-448.4</v>
      </c>
      <c r="M11" s="30" t="s">
        <v>195</v>
      </c>
      <c r="N11" s="43" t="e">
        <f ca="1">$F$4</f>
        <v>#N/A</v>
      </c>
      <c r="O11" s="43" t="e">
        <f t="shared" ca="1" si="11"/>
        <v>#N/A</v>
      </c>
      <c r="P11" s="43" t="e">
        <f ca="1">$F$11</f>
        <v>#N/A</v>
      </c>
      <c r="Q11" s="49" t="e">
        <f t="shared" ca="1" si="12"/>
        <v>#N/A</v>
      </c>
      <c r="S11" s="6" t="s">
        <v>190</v>
      </c>
      <c r="T11" s="7" t="s">
        <v>25</v>
      </c>
      <c r="U11" s="8" t="s">
        <v>26</v>
      </c>
    </row>
    <row r="12" spans="1:21">
      <c r="D12" s="53" t="s">
        <v>11</v>
      </c>
      <c r="E12" s="36">
        <f ca="1">$A$3+E14+E13</f>
        <v>955</v>
      </c>
      <c r="F12" s="36" t="e">
        <f ca="1">$A$3+F14+F13</f>
        <v>#N/A</v>
      </c>
      <c r="G12" s="36" t="e">
        <f t="shared" ref="G12:J12" ca="1" si="13">$A$3+G14+G13</f>
        <v>#N/A</v>
      </c>
      <c r="H12" s="36" t="e">
        <f t="shared" ca="1" si="13"/>
        <v>#N/A</v>
      </c>
      <c r="I12" s="36" t="e">
        <f t="shared" ca="1" si="13"/>
        <v>#N/A</v>
      </c>
      <c r="J12" s="66">
        <f t="shared" ca="1" si="13"/>
        <v>1451</v>
      </c>
      <c r="M12" s="30" t="s">
        <v>197</v>
      </c>
      <c r="N12" s="43" t="e">
        <f ca="1">$G$4</f>
        <v>#N/A</v>
      </c>
      <c r="O12" s="43" t="e">
        <f t="shared" ca="1" si="11"/>
        <v>#N/A</v>
      </c>
      <c r="P12" s="43" t="e">
        <f ca="1">$G$11</f>
        <v>#N/A</v>
      </c>
      <c r="Q12" s="49" t="e">
        <f t="shared" ca="1" si="12"/>
        <v>#N/A</v>
      </c>
      <c r="S12" s="22" t="s">
        <v>191</v>
      </c>
      <c r="T12" s="23">
        <f ca="1">ROUND(IF((E5-E9)*$A$22&gt;4.5,(E5-E9)*$A$22/2,(E7-E9)*$A$22),2)</f>
        <v>17.13</v>
      </c>
      <c r="U12" s="24" t="e">
        <f ca="1">ROUND(IF((F5-F9)*$A$22&gt;4.5,(F5-F9)*$A$22/2,(F7-F9)*$A$22),2)</f>
        <v>#N/A</v>
      </c>
    </row>
    <row r="13" spans="1:21">
      <c r="D13" s="9" t="s">
        <v>209</v>
      </c>
      <c r="E13" s="36">
        <f ca="1">MATCH(E15-$A$2,INDIRECT(ADDRESS($A$3+VALUE(E14),3)):INDIRECT(ADDRESS($A$3+VALUE(E14)+$A$5,3)),-1)</f>
        <v>51</v>
      </c>
      <c r="F13" s="36" t="e">
        <f ca="1">MATCH(F15-$A$2,INDIRECT(ADDRESS($A$3+VALUE(F14),3)):INDIRECT(ADDRESS($A$3+VALUE(F14)+$A$5,3)),-1)</f>
        <v>#N/A</v>
      </c>
      <c r="G13" s="36" t="e">
        <f ca="1">MATCH(G15-$A$2,INDIRECT(ADDRESS($A$3+VALUE(G14),3)):INDIRECT(ADDRESS($A$3+VALUE(G14)+$A$5,3)),-1)</f>
        <v>#N/A</v>
      </c>
      <c r="H13" s="36" t="e">
        <f ca="1">MATCH(H15-$A$2,INDIRECT(ADDRESS($A$3+VALUE(H14),3)):INDIRECT(ADDRESS($A$3+VALUE(H14)+$A$5,3)),-1)</f>
        <v>#N/A</v>
      </c>
      <c r="I13" s="36" t="e">
        <f ca="1">MATCH(I15-$A$2,INDIRECT(ADDRESS($A$3+VALUE(I14),3)):INDIRECT(ADDRESS($A$3+VALUE(I14)+$A$5,3)),-1)</f>
        <v>#N/A</v>
      </c>
      <c r="J13" s="66">
        <f ca="1">MATCH(J15-$A$2,INDIRECT(ADDRESS($A$3+VALUE(J14),3)):INDIRECT(ADDRESS($A$3+VALUE(J14)+$A$5,3)),-1)</f>
        <v>51</v>
      </c>
      <c r="M13" s="30" t="s">
        <v>198</v>
      </c>
      <c r="N13" s="43" t="e">
        <f ca="1">$H$4</f>
        <v>#N/A</v>
      </c>
      <c r="O13" s="43" t="e">
        <f t="shared" ca="1" si="11"/>
        <v>#N/A</v>
      </c>
      <c r="P13" s="43" t="e">
        <f ca="1">$H$11</f>
        <v>#N/A</v>
      </c>
      <c r="Q13" s="49" t="e">
        <f t="shared" ca="1" si="12"/>
        <v>#N/A</v>
      </c>
      <c r="S13" s="22" t="s">
        <v>0</v>
      </c>
      <c r="T13" s="23" t="e">
        <f ca="1">T12-U12</f>
        <v>#N/A</v>
      </c>
      <c r="U13" s="25"/>
    </row>
    <row r="14" spans="1:21">
      <c r="D14" s="9" t="s">
        <v>12</v>
      </c>
      <c r="E14" s="36">
        <f>MATCH(E15,C21:C10000,0)+$A$3</f>
        <v>884</v>
      </c>
      <c r="F14" s="36">
        <f>MATCH(F15,D21:D10000,0)+$A$3</f>
        <v>759</v>
      </c>
      <c r="G14" s="36">
        <f t="shared" ref="G14:J14" si="14">MATCH(G15,E21:E10000,0)+$A$3</f>
        <v>813</v>
      </c>
      <c r="H14" s="36">
        <f t="shared" si="14"/>
        <v>793</v>
      </c>
      <c r="I14" s="36">
        <f t="shared" si="14"/>
        <v>741</v>
      </c>
      <c r="J14" s="66">
        <f t="shared" si="14"/>
        <v>1380</v>
      </c>
      <c r="M14" s="30" t="s">
        <v>199</v>
      </c>
      <c r="N14" s="43" t="e">
        <f ca="1">$I$4</f>
        <v>#N/A</v>
      </c>
      <c r="O14" s="43" t="e">
        <f t="shared" ca="1" si="11"/>
        <v>#N/A</v>
      </c>
      <c r="P14" s="43" t="e">
        <f ca="1">$I$11</f>
        <v>#N/A</v>
      </c>
      <c r="Q14" s="49" t="e">
        <f t="shared" ca="1" si="12"/>
        <v>#N/A</v>
      </c>
    </row>
    <row r="15" spans="1:21" ht="15.75" thickBot="1">
      <c r="D15" s="9" t="s">
        <v>1</v>
      </c>
      <c r="E15" s="36">
        <f>MAX(INDEX(C:C,$A$3+MATCH(E8, C21:C10000, 0)+$A$4) : C10000)</f>
        <v>149.51</v>
      </c>
      <c r="F15" s="36">
        <f>MAX(INDEX(D:D,$A$3+MATCH(F8, D21:D10000, 0)+$A$4) : D10000)</f>
        <v>254.56</v>
      </c>
      <c r="G15" s="36">
        <f>MAX(INDEX(E:E,$A$3+MATCH(G8, E21:E10000, 0)+$A$4) : E10000)</f>
        <v>165.84</v>
      </c>
      <c r="H15" s="36">
        <f>MAX(INDEX(F:F,$A$3+MATCH(H8, F21:F10000, 0)+$A$4) : F10000)</f>
        <v>166.4</v>
      </c>
      <c r="I15" s="36">
        <f>MAX(INDEX(G:G,$A$3+MATCH(I8, G21:G10000, 0)+$A$4) : G10000)</f>
        <v>227.51</v>
      </c>
      <c r="J15" s="66">
        <f>MAX(INDEX(H:H,$A$3+MATCH(J8, H21:H10000, 0)+$A$4) : H10000)</f>
        <v>123.4</v>
      </c>
      <c r="M15" s="50" t="s">
        <v>200</v>
      </c>
      <c r="N15" s="51">
        <f ca="1">$J$4</f>
        <v>-138.5</v>
      </c>
      <c r="O15" s="51">
        <f t="shared" ca="1" si="11"/>
        <v>-1410</v>
      </c>
      <c r="P15" s="51">
        <f ca="1">$J$11</f>
        <v>-448.4</v>
      </c>
      <c r="Q15" s="52">
        <f t="shared" ca="1" si="12"/>
        <v>-4509</v>
      </c>
    </row>
    <row r="16" spans="1:21">
      <c r="D16" s="9" t="s">
        <v>210</v>
      </c>
      <c r="E16" s="36">
        <f>MATCH(E17,K21:K10000,0)+$A$3</f>
        <v>106</v>
      </c>
      <c r="F16" s="36">
        <f>MATCH(F17,L21:L10000,0)+$A$3</f>
        <v>782</v>
      </c>
      <c r="G16" s="36">
        <f t="shared" ref="G16:J16" ca="1" si="15">MATCH(G17,M21:M10000,0)+$A$3</f>
        <v>1322</v>
      </c>
      <c r="H16" s="36">
        <f t="shared" ca="1" si="15"/>
        <v>261</v>
      </c>
      <c r="I16" s="36">
        <f t="shared" ca="1" si="15"/>
        <v>759</v>
      </c>
      <c r="J16" s="66">
        <f t="shared" ca="1" si="15"/>
        <v>1917</v>
      </c>
      <c r="N16" s="36"/>
      <c r="O16" s="36"/>
    </row>
    <row r="17" spans="1:16" ht="15.75" thickBot="1">
      <c r="D17" s="11" t="s">
        <v>2</v>
      </c>
      <c r="E17" s="12">
        <f>MAX(INDEX(K:K, $A$4+MATCH(E8, C:C, 0)):K10000)</f>
        <v>0.17000000000000171</v>
      </c>
      <c r="F17" s="12">
        <f>MAX(INDEX(L:L, $A$4+MATCH(F8, D:D, 0)):L10000)</f>
        <v>50.72</v>
      </c>
      <c r="G17" s="12">
        <f ca="1">MAX(INDEX(M:M, $A$4+MATCH(G8, E:E, 0)):M10000)</f>
        <v>0.11000000000001364</v>
      </c>
      <c r="H17" s="12">
        <f ca="1">MAX(INDEX(N:N, $A$4+MATCH(H8, F:F, 0)):N10000)</f>
        <v>0.23000000000000398</v>
      </c>
      <c r="I17" s="12">
        <f ca="1">MAX(INDEX(O:O, $A$4+MATCH(I8, G:G, 0)):O10000)</f>
        <v>61.5</v>
      </c>
      <c r="J17" s="13">
        <f ca="1">MAX(INDEX(P:P, $A$4+MATCH(J8, H:H, 0)):P10000)</f>
        <v>4.0499999999999972</v>
      </c>
      <c r="N17" s="36"/>
    </row>
    <row r="18" spans="1:16" ht="15.75" thickBot="1"/>
    <row r="19" spans="1:16" ht="15.75" thickBot="1">
      <c r="A19" s="19" t="s">
        <v>17</v>
      </c>
      <c r="B19" s="20"/>
      <c r="C19" s="20"/>
      <c r="D19" s="20"/>
      <c r="E19" s="20"/>
      <c r="F19" s="20"/>
      <c r="G19" s="20"/>
      <c r="H19" s="21"/>
      <c r="K19" s="16">
        <v>11</v>
      </c>
      <c r="L19" s="17">
        <v>12</v>
      </c>
      <c r="M19" s="87" t="s">
        <v>18</v>
      </c>
      <c r="N19" s="87"/>
      <c r="O19" s="17">
        <v>15</v>
      </c>
      <c r="P19" s="18">
        <v>16</v>
      </c>
    </row>
    <row r="20" spans="1:16" ht="15.75" thickBot="1">
      <c r="A20" s="5" t="s">
        <v>3</v>
      </c>
      <c r="B20" s="41" t="s">
        <v>4</v>
      </c>
      <c r="C20" s="5" t="s">
        <v>5</v>
      </c>
      <c r="D20" s="5" t="s">
        <v>6</v>
      </c>
      <c r="E20" s="5" t="s">
        <v>7</v>
      </c>
      <c r="F20" s="5" t="s">
        <v>8</v>
      </c>
      <c r="G20" s="5" t="s">
        <v>9</v>
      </c>
      <c r="H20" s="5" t="s">
        <v>10</v>
      </c>
      <c r="K20" s="14" t="s">
        <v>5</v>
      </c>
      <c r="L20" s="1" t="s">
        <v>6</v>
      </c>
      <c r="M20" s="1" t="s">
        <v>7</v>
      </c>
      <c r="N20" s="1" t="s">
        <v>8</v>
      </c>
      <c r="O20" s="1" t="s">
        <v>9</v>
      </c>
      <c r="P20" s="15" t="s">
        <v>10</v>
      </c>
    </row>
    <row r="21" spans="1:16">
      <c r="A21">
        <v>0</v>
      </c>
      <c r="B21">
        <v>42.12</v>
      </c>
      <c r="C21">
        <v>44.67</v>
      </c>
      <c r="D21">
        <v>42.28</v>
      </c>
      <c r="E21">
        <v>38.229999999999997</v>
      </c>
      <c r="F21">
        <v>38.51</v>
      </c>
      <c r="G21">
        <v>37.56</v>
      </c>
      <c r="H21">
        <v>38.9</v>
      </c>
      <c r="K21" s="31">
        <f>C24-C21</f>
        <v>0.55999999999999517</v>
      </c>
      <c r="L21" s="32">
        <f>D24-D21</f>
        <v>-0.10999999999999943</v>
      </c>
      <c r="M21" s="32">
        <f t="shared" ref="M21:P36" si="16">E24-E21</f>
        <v>-0.10999999999999943</v>
      </c>
      <c r="N21" s="32">
        <f t="shared" si="16"/>
        <v>0.16000000000000369</v>
      </c>
      <c r="O21" s="32">
        <f t="shared" si="16"/>
        <v>0.1699999999999946</v>
      </c>
      <c r="P21" s="33">
        <f t="shared" si="16"/>
        <v>0</v>
      </c>
    </row>
    <row r="22" spans="1:16">
      <c r="A22">
        <v>0.25</v>
      </c>
      <c r="B22">
        <v>42.17</v>
      </c>
      <c r="C22">
        <v>44.84</v>
      </c>
      <c r="D22">
        <v>42.34</v>
      </c>
      <c r="E22">
        <v>38.229999999999997</v>
      </c>
      <c r="F22">
        <v>38.67</v>
      </c>
      <c r="G22">
        <v>37.67</v>
      </c>
      <c r="H22">
        <v>38.729999999999997</v>
      </c>
      <c r="K22" s="9">
        <f t="shared" ref="K22:O85" si="17">C25-C22</f>
        <v>0.60999999999999943</v>
      </c>
      <c r="L22">
        <f t="shared" si="17"/>
        <v>-0.17000000000000171</v>
      </c>
      <c r="M22">
        <f t="shared" si="16"/>
        <v>-0.10999999999999943</v>
      </c>
      <c r="N22">
        <f t="shared" si="16"/>
        <v>0</v>
      </c>
      <c r="O22">
        <f t="shared" si="16"/>
        <v>0.17000000000000171</v>
      </c>
      <c r="P22" s="10">
        <f t="shared" si="16"/>
        <v>0</v>
      </c>
    </row>
    <row r="23" spans="1:16">
      <c r="A23">
        <v>0.5</v>
      </c>
      <c r="B23">
        <v>42.23</v>
      </c>
      <c r="C23">
        <v>45.01</v>
      </c>
      <c r="D23">
        <v>42.34</v>
      </c>
      <c r="E23">
        <v>38.17</v>
      </c>
      <c r="F23">
        <v>38.619999999999997</v>
      </c>
      <c r="G23">
        <v>37.729999999999997</v>
      </c>
      <c r="H23">
        <v>38.78</v>
      </c>
      <c r="K23" s="9">
        <f t="shared" si="17"/>
        <v>0.60999999999999943</v>
      </c>
      <c r="L23">
        <f t="shared" si="17"/>
        <v>-0.22000000000000597</v>
      </c>
      <c r="M23">
        <f t="shared" si="16"/>
        <v>-5.0000000000004263E-2</v>
      </c>
      <c r="N23">
        <f t="shared" si="16"/>
        <v>5.0000000000004263E-2</v>
      </c>
      <c r="O23">
        <f t="shared" si="16"/>
        <v>0.11000000000000654</v>
      </c>
      <c r="P23" s="10">
        <f t="shared" si="16"/>
        <v>-5.0000000000004263E-2</v>
      </c>
    </row>
    <row r="24" spans="1:16">
      <c r="A24">
        <v>0.75</v>
      </c>
      <c r="B24">
        <v>42.28</v>
      </c>
      <c r="C24">
        <v>45.23</v>
      </c>
      <c r="D24">
        <v>42.17</v>
      </c>
      <c r="E24">
        <v>38.119999999999997</v>
      </c>
      <c r="F24">
        <v>38.67</v>
      </c>
      <c r="G24">
        <v>37.729999999999997</v>
      </c>
      <c r="H24">
        <v>38.9</v>
      </c>
      <c r="K24" s="9">
        <f t="shared" si="17"/>
        <v>0.55000000000000426</v>
      </c>
      <c r="L24">
        <f t="shared" si="17"/>
        <v>0.17000000000000171</v>
      </c>
      <c r="M24">
        <f t="shared" si="16"/>
        <v>0</v>
      </c>
      <c r="N24">
        <f t="shared" si="16"/>
        <v>-5.0000000000004263E-2</v>
      </c>
      <c r="O24">
        <f t="shared" si="16"/>
        <v>0.17000000000000171</v>
      </c>
      <c r="P24" s="10">
        <f t="shared" si="16"/>
        <v>-0.22999999999999687</v>
      </c>
    </row>
    <row r="25" spans="1:16">
      <c r="A25">
        <v>1</v>
      </c>
      <c r="B25">
        <v>42.34</v>
      </c>
      <c r="C25">
        <v>45.45</v>
      </c>
      <c r="D25">
        <v>42.17</v>
      </c>
      <c r="E25">
        <v>38.119999999999997</v>
      </c>
      <c r="F25">
        <v>38.67</v>
      </c>
      <c r="G25">
        <v>37.840000000000003</v>
      </c>
      <c r="H25">
        <v>38.729999999999997</v>
      </c>
      <c r="K25" s="9">
        <f t="shared" si="17"/>
        <v>0.39000000000000057</v>
      </c>
      <c r="L25">
        <f t="shared" si="17"/>
        <v>-0.27000000000000313</v>
      </c>
      <c r="M25">
        <f t="shared" si="16"/>
        <v>-5.9999999999995168E-2</v>
      </c>
      <c r="N25">
        <f t="shared" si="16"/>
        <v>-5.0000000000004263E-2</v>
      </c>
      <c r="O25">
        <f t="shared" si="16"/>
        <v>5.9999999999995168E-2</v>
      </c>
      <c r="P25" s="10">
        <f t="shared" si="16"/>
        <v>-5.9999999999995168E-2</v>
      </c>
    </row>
    <row r="26" spans="1:16">
      <c r="A26">
        <v>1.25</v>
      </c>
      <c r="B26">
        <v>42.4</v>
      </c>
      <c r="C26">
        <v>45.62</v>
      </c>
      <c r="D26">
        <v>42.12</v>
      </c>
      <c r="E26">
        <v>38.119999999999997</v>
      </c>
      <c r="F26">
        <v>38.67</v>
      </c>
      <c r="G26">
        <v>37.840000000000003</v>
      </c>
      <c r="H26">
        <v>38.729999999999997</v>
      </c>
      <c r="K26" s="9">
        <f t="shared" si="17"/>
        <v>0.39000000000000057</v>
      </c>
      <c r="L26">
        <f t="shared" si="17"/>
        <v>-0.21999999999999886</v>
      </c>
      <c r="M26">
        <f t="shared" si="16"/>
        <v>0</v>
      </c>
      <c r="N26">
        <f t="shared" si="16"/>
        <v>-5.0000000000004263E-2</v>
      </c>
      <c r="O26">
        <f t="shared" si="16"/>
        <v>0.1699999999999946</v>
      </c>
      <c r="P26" s="10">
        <f t="shared" si="16"/>
        <v>-5.9999999999995168E-2</v>
      </c>
    </row>
    <row r="27" spans="1:16">
      <c r="A27">
        <v>1.5</v>
      </c>
      <c r="B27">
        <v>42.45</v>
      </c>
      <c r="C27">
        <v>45.78</v>
      </c>
      <c r="D27">
        <v>42.34</v>
      </c>
      <c r="E27">
        <v>38.119999999999997</v>
      </c>
      <c r="F27">
        <v>38.619999999999997</v>
      </c>
      <c r="G27">
        <v>37.9</v>
      </c>
      <c r="H27">
        <v>38.67</v>
      </c>
      <c r="K27" s="9">
        <f t="shared" si="17"/>
        <v>0.39000000000000057</v>
      </c>
      <c r="L27">
        <f t="shared" si="17"/>
        <v>-0.44000000000000483</v>
      </c>
      <c r="M27">
        <f t="shared" si="16"/>
        <v>5.0000000000004263E-2</v>
      </c>
      <c r="N27">
        <f t="shared" si="16"/>
        <v>0.16000000000000369</v>
      </c>
      <c r="O27">
        <f t="shared" si="16"/>
        <v>0.16000000000000369</v>
      </c>
      <c r="P27" s="10">
        <f t="shared" si="16"/>
        <v>-5.0000000000004263E-2</v>
      </c>
    </row>
    <row r="28" spans="1:16">
      <c r="A28">
        <v>1.75</v>
      </c>
      <c r="B28">
        <v>42.51</v>
      </c>
      <c r="C28">
        <v>45.84</v>
      </c>
      <c r="D28">
        <v>41.9</v>
      </c>
      <c r="E28">
        <v>38.06</v>
      </c>
      <c r="F28">
        <v>38.619999999999997</v>
      </c>
      <c r="G28">
        <v>37.9</v>
      </c>
      <c r="H28">
        <v>38.67</v>
      </c>
      <c r="K28" s="9">
        <f t="shared" si="17"/>
        <v>0.27999999999999403</v>
      </c>
      <c r="L28">
        <f t="shared" si="17"/>
        <v>0.38000000000000256</v>
      </c>
      <c r="M28">
        <f t="shared" si="16"/>
        <v>5.9999999999995168E-2</v>
      </c>
      <c r="N28">
        <f t="shared" si="16"/>
        <v>0.10999999999999943</v>
      </c>
      <c r="O28">
        <f t="shared" si="16"/>
        <v>0.10999999999999943</v>
      </c>
      <c r="P28" s="10">
        <f t="shared" si="16"/>
        <v>5.9999999999995168E-2</v>
      </c>
    </row>
    <row r="29" spans="1:16">
      <c r="A29">
        <v>2</v>
      </c>
      <c r="B29">
        <v>42.56</v>
      </c>
      <c r="C29">
        <v>46.01</v>
      </c>
      <c r="D29">
        <v>41.9</v>
      </c>
      <c r="E29">
        <v>38.119999999999997</v>
      </c>
      <c r="F29">
        <v>38.619999999999997</v>
      </c>
      <c r="G29">
        <v>38.01</v>
      </c>
      <c r="H29">
        <v>38.67</v>
      </c>
      <c r="K29" s="9">
        <f t="shared" si="17"/>
        <v>0.16000000000000369</v>
      </c>
      <c r="L29">
        <f t="shared" si="17"/>
        <v>0.10999999999999943</v>
      </c>
      <c r="M29">
        <f t="shared" si="16"/>
        <v>5.0000000000004263E-2</v>
      </c>
      <c r="N29">
        <f t="shared" si="16"/>
        <v>0.16000000000000369</v>
      </c>
      <c r="O29">
        <f t="shared" si="16"/>
        <v>5.0000000000004263E-2</v>
      </c>
      <c r="P29" s="10">
        <f t="shared" si="16"/>
        <v>5.9999999999995168E-2</v>
      </c>
    </row>
    <row r="30" spans="1:16">
      <c r="A30">
        <v>2.25</v>
      </c>
      <c r="B30">
        <v>42.73</v>
      </c>
      <c r="C30">
        <v>46.17</v>
      </c>
      <c r="D30">
        <v>41.9</v>
      </c>
      <c r="E30">
        <v>38.17</v>
      </c>
      <c r="F30">
        <v>38.78</v>
      </c>
      <c r="G30">
        <v>38.06</v>
      </c>
      <c r="H30">
        <v>38.619999999999997</v>
      </c>
      <c r="K30" s="9">
        <f t="shared" si="17"/>
        <v>0</v>
      </c>
      <c r="L30">
        <f t="shared" si="17"/>
        <v>0.10999999999999943</v>
      </c>
      <c r="M30">
        <f t="shared" si="16"/>
        <v>0</v>
      </c>
      <c r="N30">
        <f t="shared" si="16"/>
        <v>0</v>
      </c>
      <c r="O30">
        <f t="shared" si="16"/>
        <v>5.9999999999995168E-2</v>
      </c>
      <c r="P30" s="10">
        <f t="shared" si="16"/>
        <v>0.10999999999999943</v>
      </c>
    </row>
    <row r="31" spans="1:16">
      <c r="A31">
        <v>2.5</v>
      </c>
      <c r="B31">
        <v>42.95</v>
      </c>
      <c r="C31">
        <v>46.12</v>
      </c>
      <c r="D31">
        <v>42.28</v>
      </c>
      <c r="E31">
        <v>38.119999999999997</v>
      </c>
      <c r="F31">
        <v>38.729999999999997</v>
      </c>
      <c r="G31">
        <v>38.01</v>
      </c>
      <c r="H31">
        <v>38.729999999999997</v>
      </c>
      <c r="K31" s="9">
        <f t="shared" si="17"/>
        <v>5.0000000000004263E-2</v>
      </c>
      <c r="L31">
        <f t="shared" si="17"/>
        <v>-0.21999999999999886</v>
      </c>
      <c r="M31">
        <f t="shared" si="16"/>
        <v>0</v>
      </c>
      <c r="N31">
        <f t="shared" si="16"/>
        <v>5.0000000000004263E-2</v>
      </c>
      <c r="O31">
        <f t="shared" si="16"/>
        <v>0.16000000000000369</v>
      </c>
      <c r="P31" s="10">
        <f t="shared" si="16"/>
        <v>5.0000000000004263E-2</v>
      </c>
    </row>
    <row r="32" spans="1:16">
      <c r="A32">
        <v>2.75</v>
      </c>
      <c r="B32">
        <v>43.23</v>
      </c>
      <c r="C32">
        <v>46.17</v>
      </c>
      <c r="D32">
        <v>42.01</v>
      </c>
      <c r="E32">
        <v>38.17</v>
      </c>
      <c r="F32">
        <v>38.78</v>
      </c>
      <c r="G32">
        <v>38.06</v>
      </c>
      <c r="H32">
        <v>38.729999999999997</v>
      </c>
      <c r="K32" s="9">
        <f t="shared" si="17"/>
        <v>5.9999999999995168E-2</v>
      </c>
      <c r="L32">
        <f t="shared" si="17"/>
        <v>-0.44999999999999574</v>
      </c>
      <c r="M32">
        <f t="shared" si="16"/>
        <v>-0.10999999999999943</v>
      </c>
      <c r="N32">
        <f t="shared" si="16"/>
        <v>6.0000000000002274E-2</v>
      </c>
      <c r="O32">
        <f t="shared" si="16"/>
        <v>5.9999999999995168E-2</v>
      </c>
      <c r="P32" s="10">
        <f t="shared" si="16"/>
        <v>-0.10999999999999943</v>
      </c>
    </row>
    <row r="33" spans="1:16">
      <c r="A33">
        <v>3</v>
      </c>
      <c r="B33">
        <v>43.73</v>
      </c>
      <c r="C33">
        <v>46.17</v>
      </c>
      <c r="D33">
        <v>42.01</v>
      </c>
      <c r="E33">
        <v>38.17</v>
      </c>
      <c r="F33">
        <v>38.78</v>
      </c>
      <c r="G33">
        <v>38.119999999999997</v>
      </c>
      <c r="H33">
        <v>38.729999999999997</v>
      </c>
      <c r="K33" s="9">
        <f t="shared" si="17"/>
        <v>-5.0000000000004263E-2</v>
      </c>
      <c r="L33">
        <f t="shared" si="17"/>
        <v>-0.60999999999999943</v>
      </c>
      <c r="M33">
        <f t="shared" si="16"/>
        <v>0</v>
      </c>
      <c r="N33">
        <f t="shared" si="16"/>
        <v>0.11999999999999744</v>
      </c>
      <c r="O33">
        <f t="shared" si="16"/>
        <v>0.10999999999999943</v>
      </c>
      <c r="P33" s="10">
        <f t="shared" si="16"/>
        <v>-5.9999999999995168E-2</v>
      </c>
    </row>
    <row r="34" spans="1:16">
      <c r="A34">
        <v>3.25</v>
      </c>
      <c r="B34">
        <v>44.4</v>
      </c>
      <c r="C34">
        <v>46.17</v>
      </c>
      <c r="D34">
        <v>42.06</v>
      </c>
      <c r="E34">
        <v>38.119999999999997</v>
      </c>
      <c r="F34">
        <v>38.78</v>
      </c>
      <c r="G34">
        <v>38.17</v>
      </c>
      <c r="H34">
        <v>38.78</v>
      </c>
      <c r="K34" s="9">
        <f t="shared" si="17"/>
        <v>-0.21999999999999886</v>
      </c>
      <c r="L34">
        <f t="shared" si="17"/>
        <v>-0.44000000000000483</v>
      </c>
      <c r="M34">
        <f t="shared" si="16"/>
        <v>0</v>
      </c>
      <c r="N34">
        <f t="shared" si="16"/>
        <v>0.17000000000000171</v>
      </c>
      <c r="O34">
        <f t="shared" si="16"/>
        <v>0.17000000000000171</v>
      </c>
      <c r="P34" s="10">
        <f t="shared" si="16"/>
        <v>-0.16000000000000369</v>
      </c>
    </row>
    <row r="35" spans="1:16">
      <c r="A35">
        <v>3.5</v>
      </c>
      <c r="B35">
        <v>45.17</v>
      </c>
      <c r="C35">
        <v>46.23</v>
      </c>
      <c r="D35">
        <v>41.56</v>
      </c>
      <c r="E35">
        <v>38.06</v>
      </c>
      <c r="F35">
        <v>38.840000000000003</v>
      </c>
      <c r="G35">
        <v>38.119999999999997</v>
      </c>
      <c r="H35">
        <v>38.619999999999997</v>
      </c>
      <c r="K35" s="9">
        <f t="shared" si="17"/>
        <v>-0.27999999999999403</v>
      </c>
      <c r="L35">
        <f t="shared" si="17"/>
        <v>0.21999999999999886</v>
      </c>
      <c r="M35">
        <f t="shared" si="16"/>
        <v>0</v>
      </c>
      <c r="N35">
        <f t="shared" si="16"/>
        <v>0.21999999999999886</v>
      </c>
      <c r="O35">
        <f t="shared" si="16"/>
        <v>0.22000000000000597</v>
      </c>
      <c r="P35" s="10">
        <f t="shared" si="16"/>
        <v>0.22000000000000597</v>
      </c>
    </row>
    <row r="36" spans="1:16">
      <c r="A36">
        <v>3.75</v>
      </c>
      <c r="B36">
        <v>45.67</v>
      </c>
      <c r="C36">
        <v>46.12</v>
      </c>
      <c r="D36">
        <v>41.4</v>
      </c>
      <c r="E36">
        <v>38.17</v>
      </c>
      <c r="F36">
        <v>38.9</v>
      </c>
      <c r="G36">
        <v>38.229999999999997</v>
      </c>
      <c r="H36">
        <v>38.67</v>
      </c>
      <c r="K36" s="9">
        <f t="shared" si="17"/>
        <v>-0.27999999999999403</v>
      </c>
      <c r="L36">
        <f t="shared" si="17"/>
        <v>0.44000000000000483</v>
      </c>
      <c r="M36">
        <f t="shared" si="16"/>
        <v>-5.0000000000004263E-2</v>
      </c>
      <c r="N36">
        <f t="shared" si="16"/>
        <v>0.16000000000000369</v>
      </c>
      <c r="O36">
        <f t="shared" si="16"/>
        <v>0.17000000000000171</v>
      </c>
      <c r="P36" s="10">
        <f t="shared" si="16"/>
        <v>5.9999999999995168E-2</v>
      </c>
    </row>
    <row r="37" spans="1:16">
      <c r="A37">
        <v>4</v>
      </c>
      <c r="B37">
        <v>46.17</v>
      </c>
      <c r="C37">
        <v>45.95</v>
      </c>
      <c r="D37">
        <v>41.62</v>
      </c>
      <c r="E37">
        <v>38.119999999999997</v>
      </c>
      <c r="F37">
        <v>38.950000000000003</v>
      </c>
      <c r="G37">
        <v>38.340000000000003</v>
      </c>
      <c r="H37">
        <v>38.619999999999997</v>
      </c>
      <c r="K37" s="9">
        <f t="shared" si="17"/>
        <v>-0.22000000000000597</v>
      </c>
      <c r="L37">
        <f t="shared" si="17"/>
        <v>0.16000000000000369</v>
      </c>
      <c r="M37">
        <f t="shared" si="17"/>
        <v>0</v>
      </c>
      <c r="N37">
        <f t="shared" si="17"/>
        <v>0.10999999999999943</v>
      </c>
      <c r="O37">
        <f t="shared" si="17"/>
        <v>0.10999999999999943</v>
      </c>
      <c r="P37" s="10">
        <f t="shared" ref="P37:P100" si="18">H40-H37</f>
        <v>5.0000000000004263E-2</v>
      </c>
    </row>
    <row r="38" spans="1:16">
      <c r="A38">
        <v>4.25</v>
      </c>
      <c r="B38">
        <v>46.4</v>
      </c>
      <c r="C38">
        <v>45.95</v>
      </c>
      <c r="D38">
        <v>41.78</v>
      </c>
      <c r="E38">
        <v>38.06</v>
      </c>
      <c r="F38">
        <v>39.06</v>
      </c>
      <c r="G38">
        <v>38.340000000000003</v>
      </c>
      <c r="H38">
        <v>38.840000000000003</v>
      </c>
      <c r="K38" s="9">
        <f t="shared" si="17"/>
        <v>-0.28000000000000114</v>
      </c>
      <c r="L38">
        <f t="shared" si="17"/>
        <v>-5.0000000000004263E-2</v>
      </c>
      <c r="M38">
        <f t="shared" si="17"/>
        <v>5.9999999999995168E-2</v>
      </c>
      <c r="N38">
        <f t="shared" si="17"/>
        <v>0.21999999999999886</v>
      </c>
      <c r="O38">
        <f t="shared" si="17"/>
        <v>0.10999999999999943</v>
      </c>
      <c r="P38" s="10">
        <f t="shared" si="18"/>
        <v>-0.22000000000000597</v>
      </c>
    </row>
    <row r="39" spans="1:16">
      <c r="A39">
        <v>4.5</v>
      </c>
      <c r="B39">
        <v>46.56</v>
      </c>
      <c r="C39">
        <v>45.84</v>
      </c>
      <c r="D39">
        <v>41.84</v>
      </c>
      <c r="E39">
        <v>38.119999999999997</v>
      </c>
      <c r="F39">
        <v>39.06</v>
      </c>
      <c r="G39">
        <v>38.4</v>
      </c>
      <c r="H39">
        <v>38.729999999999997</v>
      </c>
      <c r="K39" s="9">
        <f t="shared" si="17"/>
        <v>-0.22000000000000597</v>
      </c>
      <c r="L39">
        <f t="shared" si="17"/>
        <v>-6.0000000000002274E-2</v>
      </c>
      <c r="M39">
        <f t="shared" si="17"/>
        <v>0</v>
      </c>
      <c r="N39">
        <f t="shared" si="17"/>
        <v>0.28000000000000114</v>
      </c>
      <c r="O39">
        <f t="shared" si="17"/>
        <v>0.21999999999999886</v>
      </c>
      <c r="P39" s="10">
        <f t="shared" si="18"/>
        <v>0.28000000000000114</v>
      </c>
    </row>
    <row r="40" spans="1:16">
      <c r="A40">
        <v>4.75</v>
      </c>
      <c r="B40">
        <v>46.62</v>
      </c>
      <c r="C40">
        <v>45.73</v>
      </c>
      <c r="D40">
        <v>41.78</v>
      </c>
      <c r="E40">
        <v>38.119999999999997</v>
      </c>
      <c r="F40">
        <v>39.06</v>
      </c>
      <c r="G40">
        <v>38.450000000000003</v>
      </c>
      <c r="H40">
        <v>38.67</v>
      </c>
      <c r="K40" s="9">
        <f t="shared" si="17"/>
        <v>-0.21999999999999886</v>
      </c>
      <c r="L40">
        <f t="shared" si="17"/>
        <v>-0.21999999999999886</v>
      </c>
      <c r="M40">
        <f t="shared" si="17"/>
        <v>0</v>
      </c>
      <c r="N40">
        <f t="shared" si="17"/>
        <v>0.39000000000000057</v>
      </c>
      <c r="O40">
        <f t="shared" si="17"/>
        <v>0.21999999999999886</v>
      </c>
      <c r="P40" s="10">
        <f t="shared" si="18"/>
        <v>0.33999999999999631</v>
      </c>
    </row>
    <row r="41" spans="1:16">
      <c r="A41">
        <v>5</v>
      </c>
      <c r="B41">
        <v>46.56</v>
      </c>
      <c r="C41">
        <v>45.67</v>
      </c>
      <c r="D41">
        <v>41.73</v>
      </c>
      <c r="E41">
        <v>38.119999999999997</v>
      </c>
      <c r="F41">
        <v>39.28</v>
      </c>
      <c r="G41">
        <v>38.450000000000003</v>
      </c>
      <c r="H41">
        <v>38.619999999999997</v>
      </c>
      <c r="K41" s="9">
        <f t="shared" si="17"/>
        <v>-0.32999999999999829</v>
      </c>
      <c r="L41">
        <f t="shared" si="17"/>
        <v>-0.1699999999999946</v>
      </c>
      <c r="M41">
        <f t="shared" si="17"/>
        <v>5.0000000000004263E-2</v>
      </c>
      <c r="N41">
        <f t="shared" si="17"/>
        <v>0.17000000000000171</v>
      </c>
      <c r="O41">
        <f t="shared" si="17"/>
        <v>0.27999999999999403</v>
      </c>
      <c r="P41" s="10">
        <f t="shared" si="18"/>
        <v>0.5</v>
      </c>
    </row>
    <row r="42" spans="1:16">
      <c r="A42">
        <v>5.25</v>
      </c>
      <c r="B42">
        <v>46.62</v>
      </c>
      <c r="C42">
        <v>45.62</v>
      </c>
      <c r="D42">
        <v>41.78</v>
      </c>
      <c r="E42">
        <v>38.119999999999997</v>
      </c>
      <c r="F42">
        <v>39.340000000000003</v>
      </c>
      <c r="G42">
        <v>38.619999999999997</v>
      </c>
      <c r="H42">
        <v>39.01</v>
      </c>
      <c r="K42" s="9">
        <f t="shared" si="17"/>
        <v>-0.39000000000000057</v>
      </c>
      <c r="L42">
        <f t="shared" si="17"/>
        <v>-0.16000000000000369</v>
      </c>
      <c r="M42">
        <f t="shared" si="17"/>
        <v>5.0000000000004263E-2</v>
      </c>
      <c r="N42">
        <f t="shared" si="17"/>
        <v>0.1699999999999946</v>
      </c>
      <c r="O42">
        <f t="shared" si="17"/>
        <v>0.22000000000000597</v>
      </c>
      <c r="P42" s="10">
        <f t="shared" si="18"/>
        <v>0.10999999999999943</v>
      </c>
    </row>
    <row r="43" spans="1:16">
      <c r="A43">
        <v>5.5</v>
      </c>
      <c r="B43">
        <v>46.78</v>
      </c>
      <c r="C43">
        <v>45.51</v>
      </c>
      <c r="D43">
        <v>41.56</v>
      </c>
      <c r="E43">
        <v>38.119999999999997</v>
      </c>
      <c r="F43">
        <v>39.450000000000003</v>
      </c>
      <c r="G43">
        <v>38.67</v>
      </c>
      <c r="H43">
        <v>39.01</v>
      </c>
      <c r="K43" s="9">
        <f t="shared" si="17"/>
        <v>-0.33999999999999631</v>
      </c>
      <c r="L43">
        <f t="shared" si="17"/>
        <v>0.10999999999999943</v>
      </c>
      <c r="M43">
        <f t="shared" si="17"/>
        <v>5.0000000000004263E-2</v>
      </c>
      <c r="N43">
        <f t="shared" si="17"/>
        <v>5.9999999999995168E-2</v>
      </c>
      <c r="O43">
        <f t="shared" si="17"/>
        <v>0.17000000000000171</v>
      </c>
      <c r="P43" s="10">
        <f t="shared" si="18"/>
        <v>0.21999999999999886</v>
      </c>
    </row>
    <row r="44" spans="1:16">
      <c r="A44">
        <v>5.75</v>
      </c>
      <c r="B44">
        <v>47.06</v>
      </c>
      <c r="C44">
        <v>45.34</v>
      </c>
      <c r="D44">
        <v>41.56</v>
      </c>
      <c r="E44">
        <v>38.17</v>
      </c>
      <c r="F44">
        <v>39.450000000000003</v>
      </c>
      <c r="G44">
        <v>38.729999999999997</v>
      </c>
      <c r="H44">
        <v>39.119999999999997</v>
      </c>
      <c r="K44" s="9">
        <f t="shared" si="17"/>
        <v>-0.39000000000000057</v>
      </c>
      <c r="L44">
        <f t="shared" si="17"/>
        <v>0.1699999999999946</v>
      </c>
      <c r="M44">
        <f t="shared" si="17"/>
        <v>0</v>
      </c>
      <c r="N44">
        <f t="shared" si="17"/>
        <v>0.1699999999999946</v>
      </c>
      <c r="O44">
        <f t="shared" si="17"/>
        <v>5.0000000000004263E-2</v>
      </c>
      <c r="P44" s="10">
        <f t="shared" si="18"/>
        <v>0.16000000000000369</v>
      </c>
    </row>
    <row r="45" spans="1:16">
      <c r="A45">
        <v>6</v>
      </c>
      <c r="B45">
        <v>47.51</v>
      </c>
      <c r="C45">
        <v>45.23</v>
      </c>
      <c r="D45">
        <v>41.62</v>
      </c>
      <c r="E45">
        <v>38.17</v>
      </c>
      <c r="F45">
        <v>39.51</v>
      </c>
      <c r="G45">
        <v>38.840000000000003</v>
      </c>
      <c r="H45">
        <v>39.119999999999997</v>
      </c>
      <c r="K45" s="9">
        <f t="shared" si="17"/>
        <v>-0.32999999999999829</v>
      </c>
      <c r="L45">
        <f t="shared" si="17"/>
        <v>5.0000000000004263E-2</v>
      </c>
      <c r="M45">
        <f t="shared" si="17"/>
        <v>5.9999999999995168E-2</v>
      </c>
      <c r="N45">
        <f t="shared" si="17"/>
        <v>0.10999999999999943</v>
      </c>
      <c r="O45">
        <f t="shared" si="17"/>
        <v>-6.0000000000002274E-2</v>
      </c>
      <c r="P45" s="10">
        <f t="shared" si="18"/>
        <v>0.55000000000000426</v>
      </c>
    </row>
    <row r="46" spans="1:16">
      <c r="A46">
        <v>6.25</v>
      </c>
      <c r="B46">
        <v>47.73</v>
      </c>
      <c r="C46">
        <v>45.17</v>
      </c>
      <c r="D46">
        <v>41.67</v>
      </c>
      <c r="E46">
        <v>38.17</v>
      </c>
      <c r="F46">
        <v>39.51</v>
      </c>
      <c r="G46">
        <v>38.840000000000003</v>
      </c>
      <c r="H46">
        <v>39.229999999999997</v>
      </c>
      <c r="K46" s="9">
        <f t="shared" si="17"/>
        <v>-0.39000000000000057</v>
      </c>
      <c r="L46">
        <f t="shared" si="17"/>
        <v>0</v>
      </c>
      <c r="M46">
        <f t="shared" si="17"/>
        <v>0.10999999999999943</v>
      </c>
      <c r="N46">
        <f t="shared" si="17"/>
        <v>0.21999999999999886</v>
      </c>
      <c r="O46">
        <f t="shared" si="17"/>
        <v>0.21999999999999886</v>
      </c>
      <c r="P46" s="10">
        <f t="shared" si="18"/>
        <v>0.39000000000000057</v>
      </c>
    </row>
    <row r="47" spans="1:16">
      <c r="A47">
        <v>6.5</v>
      </c>
      <c r="B47">
        <v>47.95</v>
      </c>
      <c r="C47">
        <v>44.95</v>
      </c>
      <c r="D47">
        <v>41.73</v>
      </c>
      <c r="E47">
        <v>38.17</v>
      </c>
      <c r="F47">
        <v>39.619999999999997</v>
      </c>
      <c r="G47">
        <v>38.78</v>
      </c>
      <c r="H47">
        <v>39.28</v>
      </c>
      <c r="K47" s="9">
        <f t="shared" si="17"/>
        <v>-0.22000000000000597</v>
      </c>
      <c r="L47">
        <f t="shared" si="17"/>
        <v>-0.10999999999999943</v>
      </c>
      <c r="M47">
        <f t="shared" si="17"/>
        <v>0.10999999999999943</v>
      </c>
      <c r="N47">
        <f t="shared" si="17"/>
        <v>0.10999999999999943</v>
      </c>
      <c r="O47">
        <f t="shared" si="17"/>
        <v>0.33999999999999631</v>
      </c>
      <c r="P47" s="10">
        <f t="shared" si="18"/>
        <v>0.39000000000000057</v>
      </c>
    </row>
    <row r="48" spans="1:16">
      <c r="A48">
        <v>6.75</v>
      </c>
      <c r="B48">
        <v>48.12</v>
      </c>
      <c r="C48">
        <v>44.9</v>
      </c>
      <c r="D48">
        <v>41.67</v>
      </c>
      <c r="E48">
        <v>38.229999999999997</v>
      </c>
      <c r="F48">
        <v>39.619999999999997</v>
      </c>
      <c r="G48">
        <v>38.78</v>
      </c>
      <c r="H48">
        <v>39.67</v>
      </c>
      <c r="K48" s="9">
        <f t="shared" si="17"/>
        <v>-0.33999999999999631</v>
      </c>
      <c r="L48">
        <f t="shared" si="17"/>
        <v>-5.0000000000004263E-2</v>
      </c>
      <c r="M48">
        <f t="shared" si="17"/>
        <v>5.0000000000004263E-2</v>
      </c>
      <c r="N48">
        <f t="shared" si="17"/>
        <v>0.22000000000000597</v>
      </c>
      <c r="O48">
        <f t="shared" si="17"/>
        <v>0.28000000000000114</v>
      </c>
      <c r="P48" s="10">
        <f t="shared" si="18"/>
        <v>0.22999999999999687</v>
      </c>
    </row>
    <row r="49" spans="1:16">
      <c r="A49">
        <v>7</v>
      </c>
      <c r="B49">
        <v>48.4</v>
      </c>
      <c r="C49">
        <v>44.78</v>
      </c>
      <c r="D49">
        <v>41.67</v>
      </c>
      <c r="E49">
        <v>38.28</v>
      </c>
      <c r="F49">
        <v>39.729999999999997</v>
      </c>
      <c r="G49">
        <v>39.06</v>
      </c>
      <c r="H49">
        <v>39.619999999999997</v>
      </c>
      <c r="K49" s="9">
        <f t="shared" si="17"/>
        <v>-0.27000000000000313</v>
      </c>
      <c r="L49">
        <f t="shared" si="17"/>
        <v>5.9999999999995168E-2</v>
      </c>
      <c r="M49">
        <f t="shared" si="17"/>
        <v>6.0000000000002274E-2</v>
      </c>
      <c r="N49">
        <f t="shared" si="17"/>
        <v>0.17000000000000171</v>
      </c>
      <c r="O49">
        <f t="shared" si="17"/>
        <v>0.1699999999999946</v>
      </c>
      <c r="P49" s="10">
        <f t="shared" si="18"/>
        <v>0.10999999999999943</v>
      </c>
    </row>
    <row r="50" spans="1:16">
      <c r="A50">
        <v>7.25</v>
      </c>
      <c r="B50">
        <v>48.56</v>
      </c>
      <c r="C50">
        <v>44.73</v>
      </c>
      <c r="D50">
        <v>41.62</v>
      </c>
      <c r="E50">
        <v>38.28</v>
      </c>
      <c r="F50">
        <v>39.729999999999997</v>
      </c>
      <c r="G50">
        <v>39.119999999999997</v>
      </c>
      <c r="H50">
        <v>39.67</v>
      </c>
      <c r="K50" s="9">
        <f t="shared" si="17"/>
        <v>-0.38999999999999346</v>
      </c>
      <c r="L50">
        <f t="shared" si="17"/>
        <v>5.0000000000004263E-2</v>
      </c>
      <c r="M50">
        <f t="shared" si="17"/>
        <v>6.0000000000002274E-2</v>
      </c>
      <c r="N50">
        <f t="shared" si="17"/>
        <v>0.17000000000000171</v>
      </c>
      <c r="O50">
        <f t="shared" si="17"/>
        <v>5.0000000000004263E-2</v>
      </c>
      <c r="P50" s="10">
        <f t="shared" si="18"/>
        <v>0.22999999999999687</v>
      </c>
    </row>
    <row r="51" spans="1:16">
      <c r="A51">
        <v>7.5</v>
      </c>
      <c r="B51">
        <v>48.62</v>
      </c>
      <c r="C51">
        <v>44.56</v>
      </c>
      <c r="D51">
        <v>41.62</v>
      </c>
      <c r="E51">
        <v>38.28</v>
      </c>
      <c r="F51">
        <v>39.840000000000003</v>
      </c>
      <c r="G51">
        <v>39.06</v>
      </c>
      <c r="H51">
        <v>39.9</v>
      </c>
      <c r="K51" s="9">
        <f t="shared" si="17"/>
        <v>-0.21999999999999886</v>
      </c>
      <c r="L51">
        <f t="shared" si="17"/>
        <v>-0.21999999999999886</v>
      </c>
      <c r="M51">
        <f t="shared" si="17"/>
        <v>6.0000000000002274E-2</v>
      </c>
      <c r="N51">
        <f t="shared" si="17"/>
        <v>0.27999999999999403</v>
      </c>
      <c r="O51">
        <f t="shared" si="17"/>
        <v>0.33999999999999631</v>
      </c>
      <c r="P51" s="10">
        <f t="shared" si="18"/>
        <v>5.0000000000004263E-2</v>
      </c>
    </row>
    <row r="52" spans="1:16">
      <c r="A52">
        <v>7.75</v>
      </c>
      <c r="B52">
        <v>49.06</v>
      </c>
      <c r="C52">
        <v>44.51</v>
      </c>
      <c r="D52">
        <v>41.73</v>
      </c>
      <c r="E52">
        <v>38.340000000000003</v>
      </c>
      <c r="F52">
        <v>39.9</v>
      </c>
      <c r="G52">
        <v>39.229999999999997</v>
      </c>
      <c r="H52">
        <v>39.729999999999997</v>
      </c>
      <c r="K52" s="9">
        <f t="shared" si="17"/>
        <v>-0.33999999999999631</v>
      </c>
      <c r="L52">
        <f t="shared" si="17"/>
        <v>-0.21999999999999886</v>
      </c>
      <c r="M52">
        <f t="shared" si="17"/>
        <v>-6.0000000000002274E-2</v>
      </c>
      <c r="N52">
        <f t="shared" si="17"/>
        <v>0.21999999999999886</v>
      </c>
      <c r="O52">
        <f t="shared" si="17"/>
        <v>0.22000000000000597</v>
      </c>
      <c r="P52" s="10">
        <f t="shared" si="18"/>
        <v>0.3300000000000054</v>
      </c>
    </row>
    <row r="53" spans="1:16">
      <c r="A53">
        <v>8</v>
      </c>
      <c r="B53">
        <v>49.62</v>
      </c>
      <c r="C53">
        <v>44.34</v>
      </c>
      <c r="D53">
        <v>41.67</v>
      </c>
      <c r="E53">
        <v>38.340000000000003</v>
      </c>
      <c r="F53">
        <v>39.9</v>
      </c>
      <c r="G53">
        <v>39.17</v>
      </c>
      <c r="H53">
        <v>39.9</v>
      </c>
      <c r="K53" s="9">
        <f t="shared" si="17"/>
        <v>-0.11000000000000654</v>
      </c>
      <c r="L53">
        <f t="shared" si="17"/>
        <v>-0.21999999999999886</v>
      </c>
      <c r="M53">
        <f t="shared" si="17"/>
        <v>0.10999999999999943</v>
      </c>
      <c r="N53">
        <f t="shared" si="17"/>
        <v>0.16000000000000369</v>
      </c>
      <c r="O53">
        <f t="shared" si="17"/>
        <v>0.39000000000000057</v>
      </c>
      <c r="P53" s="10">
        <f t="shared" si="18"/>
        <v>0.21999999999999886</v>
      </c>
    </row>
    <row r="54" spans="1:16">
      <c r="A54">
        <v>8.25</v>
      </c>
      <c r="B54">
        <v>50.28</v>
      </c>
      <c r="C54">
        <v>44.34</v>
      </c>
      <c r="D54">
        <v>41.4</v>
      </c>
      <c r="E54">
        <v>38.340000000000003</v>
      </c>
      <c r="F54">
        <v>40.119999999999997</v>
      </c>
      <c r="G54">
        <v>39.4</v>
      </c>
      <c r="H54">
        <v>39.950000000000003</v>
      </c>
      <c r="K54" s="9">
        <f t="shared" si="17"/>
        <v>-0.28000000000000114</v>
      </c>
      <c r="L54">
        <f t="shared" si="17"/>
        <v>0.10999999999999943</v>
      </c>
      <c r="M54">
        <f t="shared" si="17"/>
        <v>0.10999999999999943</v>
      </c>
      <c r="N54">
        <f t="shared" si="17"/>
        <v>0.10999999999999943</v>
      </c>
      <c r="O54">
        <f t="shared" si="17"/>
        <v>0.27000000000000313</v>
      </c>
      <c r="P54" s="10">
        <f t="shared" si="18"/>
        <v>0.21999999999999886</v>
      </c>
    </row>
    <row r="55" spans="1:16">
      <c r="A55">
        <v>8.5</v>
      </c>
      <c r="B55">
        <v>50.84</v>
      </c>
      <c r="C55">
        <v>44.17</v>
      </c>
      <c r="D55">
        <v>41.51</v>
      </c>
      <c r="E55">
        <v>38.28</v>
      </c>
      <c r="F55">
        <v>40.119999999999997</v>
      </c>
      <c r="G55">
        <v>39.450000000000003</v>
      </c>
      <c r="H55">
        <v>40.06</v>
      </c>
      <c r="K55" s="9">
        <f t="shared" si="17"/>
        <v>-0.10999999999999943</v>
      </c>
      <c r="L55">
        <f t="shared" si="17"/>
        <v>-0.1699999999999946</v>
      </c>
      <c r="M55">
        <f t="shared" si="17"/>
        <v>0.22999999999999687</v>
      </c>
      <c r="N55">
        <f t="shared" si="17"/>
        <v>5.0000000000004263E-2</v>
      </c>
      <c r="O55">
        <f t="shared" si="17"/>
        <v>0.5</v>
      </c>
      <c r="P55" s="10">
        <f t="shared" si="18"/>
        <v>0.21999999999999886</v>
      </c>
    </row>
    <row r="56" spans="1:16">
      <c r="A56">
        <v>8.75</v>
      </c>
      <c r="B56">
        <v>51.28</v>
      </c>
      <c r="C56">
        <v>44.23</v>
      </c>
      <c r="D56">
        <v>41.45</v>
      </c>
      <c r="E56">
        <v>38.450000000000003</v>
      </c>
      <c r="F56">
        <v>40.06</v>
      </c>
      <c r="G56">
        <v>39.56</v>
      </c>
      <c r="H56">
        <v>40.119999999999997</v>
      </c>
      <c r="K56" s="9">
        <f t="shared" si="17"/>
        <v>-0.1699999999999946</v>
      </c>
      <c r="L56">
        <f t="shared" si="17"/>
        <v>5.9999999999995168E-2</v>
      </c>
      <c r="M56">
        <f t="shared" si="17"/>
        <v>-5.0000000000004263E-2</v>
      </c>
      <c r="N56">
        <f t="shared" si="17"/>
        <v>0</v>
      </c>
      <c r="O56">
        <f t="shared" si="17"/>
        <v>0.71999999999999886</v>
      </c>
      <c r="P56" s="10">
        <f t="shared" si="18"/>
        <v>0.3300000000000054</v>
      </c>
    </row>
    <row r="57" spans="1:16">
      <c r="A57">
        <v>9</v>
      </c>
      <c r="B57">
        <v>51.62</v>
      </c>
      <c r="C57">
        <v>44.06</v>
      </c>
      <c r="D57">
        <v>41.51</v>
      </c>
      <c r="E57">
        <v>38.450000000000003</v>
      </c>
      <c r="F57">
        <v>40.229999999999997</v>
      </c>
      <c r="G57">
        <v>39.67</v>
      </c>
      <c r="H57">
        <v>40.17</v>
      </c>
      <c r="K57" s="9">
        <f t="shared" si="17"/>
        <v>0</v>
      </c>
      <c r="L57">
        <f t="shared" si="17"/>
        <v>0.27000000000000313</v>
      </c>
      <c r="M57">
        <f t="shared" si="17"/>
        <v>5.9999999999995168E-2</v>
      </c>
      <c r="N57">
        <f t="shared" si="17"/>
        <v>0.11000000000000654</v>
      </c>
      <c r="O57">
        <f t="shared" si="17"/>
        <v>1.3900000000000006</v>
      </c>
      <c r="P57" s="10">
        <f t="shared" si="18"/>
        <v>0.44999999999999574</v>
      </c>
    </row>
    <row r="58" spans="1:16">
      <c r="A58">
        <v>9.25</v>
      </c>
      <c r="B58">
        <v>51.78</v>
      </c>
      <c r="C58">
        <v>44.06</v>
      </c>
      <c r="D58">
        <v>41.34</v>
      </c>
      <c r="E58">
        <v>38.51</v>
      </c>
      <c r="F58">
        <v>40.17</v>
      </c>
      <c r="G58">
        <v>39.950000000000003</v>
      </c>
      <c r="H58">
        <v>40.28</v>
      </c>
      <c r="K58" s="9">
        <f t="shared" si="17"/>
        <v>0</v>
      </c>
      <c r="L58">
        <f t="shared" si="17"/>
        <v>0.60999999999999943</v>
      </c>
      <c r="M58">
        <f t="shared" si="17"/>
        <v>5.0000000000004263E-2</v>
      </c>
      <c r="N58">
        <f t="shared" si="17"/>
        <v>0.28000000000000114</v>
      </c>
      <c r="O58">
        <f t="shared" si="17"/>
        <v>1.5599999999999952</v>
      </c>
      <c r="P58" s="10">
        <f t="shared" si="18"/>
        <v>0.44999999999999574</v>
      </c>
    </row>
    <row r="59" spans="1:16">
      <c r="A59">
        <v>9.5</v>
      </c>
      <c r="B59">
        <v>51.84</v>
      </c>
      <c r="C59">
        <v>44.06</v>
      </c>
      <c r="D59">
        <v>41.51</v>
      </c>
      <c r="E59">
        <v>38.4</v>
      </c>
      <c r="F59">
        <v>40.06</v>
      </c>
      <c r="G59">
        <v>40.28</v>
      </c>
      <c r="H59">
        <v>40.450000000000003</v>
      </c>
      <c r="K59" s="9">
        <f t="shared" si="17"/>
        <v>5.9999999999995168E-2</v>
      </c>
      <c r="L59">
        <f t="shared" si="17"/>
        <v>0.89000000000000057</v>
      </c>
      <c r="M59">
        <f t="shared" si="17"/>
        <v>0.16000000000000369</v>
      </c>
      <c r="N59">
        <f t="shared" si="17"/>
        <v>0.33999999999999631</v>
      </c>
      <c r="O59">
        <f t="shared" si="17"/>
        <v>1.4499999999999957</v>
      </c>
      <c r="P59" s="10">
        <f t="shared" si="18"/>
        <v>0.32999999999999829</v>
      </c>
    </row>
    <row r="60" spans="1:16">
      <c r="A60">
        <v>9.75</v>
      </c>
      <c r="B60">
        <v>52.01</v>
      </c>
      <c r="C60">
        <v>44.06</v>
      </c>
      <c r="D60">
        <v>41.78</v>
      </c>
      <c r="E60">
        <v>38.51</v>
      </c>
      <c r="F60">
        <v>40.340000000000003</v>
      </c>
      <c r="G60">
        <v>41.06</v>
      </c>
      <c r="H60">
        <v>40.619999999999997</v>
      </c>
      <c r="K60" s="9">
        <f t="shared" si="17"/>
        <v>0.1699999999999946</v>
      </c>
      <c r="L60">
        <f t="shared" si="17"/>
        <v>0.78000000000000114</v>
      </c>
      <c r="M60">
        <f t="shared" si="17"/>
        <v>5.0000000000004263E-2</v>
      </c>
      <c r="N60">
        <f t="shared" si="17"/>
        <v>0</v>
      </c>
      <c r="O60">
        <f t="shared" si="17"/>
        <v>1.3399999999999963</v>
      </c>
      <c r="P60" s="10">
        <f t="shared" si="18"/>
        <v>0.3300000000000054</v>
      </c>
    </row>
    <row r="61" spans="1:16">
      <c r="A61">
        <v>10</v>
      </c>
      <c r="B61">
        <v>51.95</v>
      </c>
      <c r="C61">
        <v>44.06</v>
      </c>
      <c r="D61">
        <v>41.95</v>
      </c>
      <c r="E61">
        <v>38.56</v>
      </c>
      <c r="F61">
        <v>40.450000000000003</v>
      </c>
      <c r="G61">
        <v>41.51</v>
      </c>
      <c r="H61">
        <v>40.729999999999997</v>
      </c>
      <c r="K61" s="9">
        <f t="shared" si="17"/>
        <v>0.21999999999999886</v>
      </c>
      <c r="L61">
        <f t="shared" si="17"/>
        <v>0.44999999999999574</v>
      </c>
      <c r="M61">
        <f t="shared" si="17"/>
        <v>0.10999999999999943</v>
      </c>
      <c r="N61">
        <f t="shared" si="17"/>
        <v>0</v>
      </c>
      <c r="O61">
        <f t="shared" si="17"/>
        <v>1.7199999999999989</v>
      </c>
      <c r="P61" s="10">
        <f t="shared" si="18"/>
        <v>0</v>
      </c>
    </row>
    <row r="62" spans="1:16">
      <c r="A62">
        <v>10.25</v>
      </c>
      <c r="B62">
        <v>51.9</v>
      </c>
      <c r="C62">
        <v>44.12</v>
      </c>
      <c r="D62">
        <v>42.4</v>
      </c>
      <c r="E62">
        <v>38.56</v>
      </c>
      <c r="F62">
        <v>40.4</v>
      </c>
      <c r="G62">
        <v>41.73</v>
      </c>
      <c r="H62">
        <v>40.78</v>
      </c>
      <c r="K62" s="9">
        <f t="shared" si="17"/>
        <v>0.3300000000000054</v>
      </c>
      <c r="L62">
        <f t="shared" si="17"/>
        <v>0.16000000000000369</v>
      </c>
      <c r="M62">
        <f t="shared" si="17"/>
        <v>5.9999999999995168E-2</v>
      </c>
      <c r="N62">
        <f t="shared" si="17"/>
        <v>0</v>
      </c>
      <c r="O62">
        <f t="shared" si="17"/>
        <v>2.220000000000006</v>
      </c>
      <c r="P62" s="10">
        <f t="shared" si="18"/>
        <v>0</v>
      </c>
    </row>
    <row r="63" spans="1:16">
      <c r="A63">
        <v>10.5</v>
      </c>
      <c r="B63">
        <v>51.95</v>
      </c>
      <c r="C63">
        <v>44.23</v>
      </c>
      <c r="D63">
        <v>42.56</v>
      </c>
      <c r="E63">
        <v>38.56</v>
      </c>
      <c r="F63">
        <v>40.340000000000003</v>
      </c>
      <c r="G63">
        <v>42.4</v>
      </c>
      <c r="H63">
        <v>40.950000000000003</v>
      </c>
      <c r="K63" s="9">
        <f t="shared" si="17"/>
        <v>0.3300000000000054</v>
      </c>
      <c r="L63">
        <f t="shared" si="17"/>
        <v>0</v>
      </c>
      <c r="M63">
        <f t="shared" si="17"/>
        <v>0.1699999999999946</v>
      </c>
      <c r="N63">
        <f t="shared" si="17"/>
        <v>0.1699999999999946</v>
      </c>
      <c r="O63">
        <f t="shared" si="17"/>
        <v>3.2199999999999989</v>
      </c>
      <c r="P63" s="10">
        <f t="shared" si="18"/>
        <v>-0.10999999999999943</v>
      </c>
    </row>
    <row r="64" spans="1:16">
      <c r="A64">
        <v>10.75</v>
      </c>
      <c r="B64">
        <v>51.95</v>
      </c>
      <c r="C64">
        <v>44.28</v>
      </c>
      <c r="D64">
        <v>42.4</v>
      </c>
      <c r="E64">
        <v>38.67</v>
      </c>
      <c r="F64">
        <v>40.450000000000003</v>
      </c>
      <c r="G64">
        <v>43.23</v>
      </c>
      <c r="H64">
        <v>40.729999999999997</v>
      </c>
      <c r="K64" s="9">
        <f t="shared" si="17"/>
        <v>0.39000000000000057</v>
      </c>
      <c r="L64">
        <f t="shared" si="17"/>
        <v>5.0000000000004263E-2</v>
      </c>
      <c r="M64">
        <f t="shared" si="17"/>
        <v>0.10999999999999943</v>
      </c>
      <c r="N64">
        <f t="shared" si="17"/>
        <v>5.9999999999995168E-2</v>
      </c>
      <c r="O64">
        <f t="shared" si="17"/>
        <v>4.6700000000000017</v>
      </c>
      <c r="P64" s="10">
        <f t="shared" si="18"/>
        <v>0.39000000000000057</v>
      </c>
    </row>
    <row r="65" spans="1:16">
      <c r="A65">
        <v>11</v>
      </c>
      <c r="B65">
        <v>52.01</v>
      </c>
      <c r="C65">
        <v>44.45</v>
      </c>
      <c r="D65">
        <v>42.56</v>
      </c>
      <c r="E65">
        <v>38.619999999999997</v>
      </c>
      <c r="F65">
        <v>40.4</v>
      </c>
      <c r="G65">
        <v>43.95</v>
      </c>
      <c r="H65">
        <v>40.78</v>
      </c>
      <c r="K65" s="9">
        <f t="shared" si="17"/>
        <v>0.32999999999999829</v>
      </c>
      <c r="L65">
        <f t="shared" si="17"/>
        <v>-0.28000000000000114</v>
      </c>
      <c r="M65">
        <f t="shared" si="17"/>
        <v>0.16000000000000369</v>
      </c>
      <c r="N65">
        <f t="shared" si="17"/>
        <v>0.21999999999999886</v>
      </c>
      <c r="O65">
        <f t="shared" si="17"/>
        <v>6.8900000000000006</v>
      </c>
      <c r="P65" s="10">
        <f t="shared" si="18"/>
        <v>0.5</v>
      </c>
    </row>
    <row r="66" spans="1:16">
      <c r="A66">
        <v>11.25</v>
      </c>
      <c r="B66">
        <v>52.06</v>
      </c>
      <c r="C66">
        <v>44.56</v>
      </c>
      <c r="D66">
        <v>42.56</v>
      </c>
      <c r="E66">
        <v>38.729999999999997</v>
      </c>
      <c r="F66">
        <v>40.51</v>
      </c>
      <c r="G66">
        <v>45.62</v>
      </c>
      <c r="H66">
        <v>40.840000000000003</v>
      </c>
      <c r="K66" s="9">
        <f t="shared" si="17"/>
        <v>0.39000000000000057</v>
      </c>
      <c r="L66">
        <f t="shared" si="17"/>
        <v>0.28000000000000114</v>
      </c>
      <c r="M66">
        <f t="shared" si="17"/>
        <v>0</v>
      </c>
      <c r="N66">
        <f t="shared" si="17"/>
        <v>0.16000000000000369</v>
      </c>
      <c r="O66">
        <f t="shared" ref="O66:P129" si="19">G69-G66</f>
        <v>7.6099999999999994</v>
      </c>
      <c r="P66" s="10">
        <f t="shared" si="18"/>
        <v>0.5</v>
      </c>
    </row>
    <row r="67" spans="1:16">
      <c r="A67">
        <v>11.5</v>
      </c>
      <c r="B67">
        <v>52.12</v>
      </c>
      <c r="C67">
        <v>44.67</v>
      </c>
      <c r="D67">
        <v>42.45</v>
      </c>
      <c r="E67">
        <v>38.78</v>
      </c>
      <c r="F67">
        <v>40.51</v>
      </c>
      <c r="G67">
        <v>47.9</v>
      </c>
      <c r="H67">
        <v>41.12</v>
      </c>
      <c r="K67" s="9">
        <f t="shared" si="17"/>
        <v>0.39000000000000057</v>
      </c>
      <c r="L67">
        <f t="shared" si="17"/>
        <v>0.94999999999999574</v>
      </c>
      <c r="M67">
        <f t="shared" si="17"/>
        <v>6.0000000000002274E-2</v>
      </c>
      <c r="N67">
        <f t="shared" si="17"/>
        <v>0.27000000000000313</v>
      </c>
      <c r="O67">
        <f t="shared" si="19"/>
        <v>4.5</v>
      </c>
      <c r="P67" s="10">
        <f t="shared" si="18"/>
        <v>0.39000000000000057</v>
      </c>
    </row>
    <row r="68" spans="1:16">
      <c r="A68">
        <v>11.75</v>
      </c>
      <c r="B68">
        <v>52.28</v>
      </c>
      <c r="C68">
        <v>44.78</v>
      </c>
      <c r="D68">
        <v>42.28</v>
      </c>
      <c r="E68">
        <v>38.78</v>
      </c>
      <c r="F68">
        <v>40.619999999999997</v>
      </c>
      <c r="G68">
        <v>50.84</v>
      </c>
      <c r="H68">
        <v>41.28</v>
      </c>
      <c r="K68" s="9">
        <f t="shared" si="17"/>
        <v>0.44999999999999574</v>
      </c>
      <c r="L68">
        <f t="shared" si="17"/>
        <v>1.2800000000000011</v>
      </c>
      <c r="M68">
        <f t="shared" si="17"/>
        <v>0.11999999999999744</v>
      </c>
      <c r="N68">
        <f t="shared" si="17"/>
        <v>0.16000000000000369</v>
      </c>
      <c r="O68">
        <f t="shared" si="19"/>
        <v>-1.4400000000000048</v>
      </c>
      <c r="P68" s="10">
        <f t="shared" si="18"/>
        <v>0.44999999999999574</v>
      </c>
    </row>
    <row r="69" spans="1:16">
      <c r="A69">
        <v>12</v>
      </c>
      <c r="B69">
        <v>52.28</v>
      </c>
      <c r="C69">
        <v>44.95</v>
      </c>
      <c r="D69">
        <v>42.84</v>
      </c>
      <c r="E69">
        <v>38.729999999999997</v>
      </c>
      <c r="F69">
        <v>40.67</v>
      </c>
      <c r="G69">
        <v>53.23</v>
      </c>
      <c r="H69">
        <v>41.34</v>
      </c>
      <c r="K69" s="9">
        <f t="shared" si="17"/>
        <v>0.27999999999999403</v>
      </c>
      <c r="L69">
        <f t="shared" si="17"/>
        <v>0.77999999999999403</v>
      </c>
      <c r="M69">
        <f t="shared" si="17"/>
        <v>0.28000000000000114</v>
      </c>
      <c r="N69">
        <f t="shared" si="17"/>
        <v>0.33999999999999631</v>
      </c>
      <c r="O69">
        <f t="shared" si="19"/>
        <v>-5.779999999999994</v>
      </c>
      <c r="P69" s="10">
        <f t="shared" si="18"/>
        <v>0.55999999999999517</v>
      </c>
    </row>
    <row r="70" spans="1:16">
      <c r="A70">
        <v>12.25</v>
      </c>
      <c r="B70">
        <v>52.62</v>
      </c>
      <c r="C70">
        <v>45.06</v>
      </c>
      <c r="D70">
        <v>43.4</v>
      </c>
      <c r="E70">
        <v>38.840000000000003</v>
      </c>
      <c r="F70">
        <v>40.78</v>
      </c>
      <c r="G70">
        <v>52.4</v>
      </c>
      <c r="H70">
        <v>41.51</v>
      </c>
      <c r="K70" s="9">
        <f t="shared" si="17"/>
        <v>0.1699999999999946</v>
      </c>
      <c r="L70">
        <f t="shared" si="17"/>
        <v>0.44000000000000483</v>
      </c>
      <c r="M70">
        <f t="shared" si="17"/>
        <v>0.21999999999999886</v>
      </c>
      <c r="N70">
        <f t="shared" si="17"/>
        <v>0.44999999999999574</v>
      </c>
      <c r="O70">
        <f t="shared" si="19"/>
        <v>-5.7800000000000011</v>
      </c>
      <c r="P70" s="10">
        <f t="shared" si="18"/>
        <v>0.44000000000000483</v>
      </c>
    </row>
    <row r="71" spans="1:16">
      <c r="A71">
        <v>12.5</v>
      </c>
      <c r="B71">
        <v>53.06</v>
      </c>
      <c r="C71">
        <v>45.23</v>
      </c>
      <c r="D71">
        <v>43.56</v>
      </c>
      <c r="E71">
        <v>38.9</v>
      </c>
      <c r="F71">
        <v>40.78</v>
      </c>
      <c r="G71">
        <v>49.4</v>
      </c>
      <c r="H71">
        <v>41.73</v>
      </c>
      <c r="K71" s="9">
        <f t="shared" si="17"/>
        <v>0.22000000000000597</v>
      </c>
      <c r="L71">
        <f t="shared" si="17"/>
        <v>-0.10999999999999943</v>
      </c>
      <c r="M71">
        <f t="shared" si="17"/>
        <v>0.10999999999999943</v>
      </c>
      <c r="N71">
        <f t="shared" si="17"/>
        <v>0.83999999999999631</v>
      </c>
      <c r="O71">
        <f t="shared" si="19"/>
        <v>-2.3900000000000006</v>
      </c>
      <c r="P71" s="10">
        <f t="shared" si="18"/>
        <v>0.39000000000000057</v>
      </c>
    </row>
    <row r="72" spans="1:16">
      <c r="A72">
        <v>12.75</v>
      </c>
      <c r="B72">
        <v>53.34</v>
      </c>
      <c r="C72">
        <v>45.23</v>
      </c>
      <c r="D72">
        <v>43.62</v>
      </c>
      <c r="E72">
        <v>39.01</v>
      </c>
      <c r="F72">
        <v>41.01</v>
      </c>
      <c r="G72">
        <v>47.45</v>
      </c>
      <c r="H72">
        <v>41.9</v>
      </c>
      <c r="K72" s="9">
        <f t="shared" si="17"/>
        <v>0.39000000000000057</v>
      </c>
      <c r="L72">
        <f t="shared" si="17"/>
        <v>-5.9999999999995168E-2</v>
      </c>
      <c r="M72">
        <f t="shared" si="17"/>
        <v>5.0000000000004263E-2</v>
      </c>
      <c r="N72">
        <f t="shared" si="17"/>
        <v>1</v>
      </c>
      <c r="O72">
        <f t="shared" si="19"/>
        <v>-0.44000000000000483</v>
      </c>
      <c r="P72" s="10">
        <f t="shared" si="18"/>
        <v>0.10999999999999943</v>
      </c>
    </row>
    <row r="73" spans="1:16">
      <c r="A73">
        <v>13</v>
      </c>
      <c r="B73">
        <v>53.78</v>
      </c>
      <c r="C73">
        <v>45.23</v>
      </c>
      <c r="D73">
        <v>43.84</v>
      </c>
      <c r="E73">
        <v>39.06</v>
      </c>
      <c r="F73">
        <v>41.23</v>
      </c>
      <c r="G73">
        <v>46.62</v>
      </c>
      <c r="H73">
        <v>41.95</v>
      </c>
      <c r="K73" s="9">
        <f t="shared" si="17"/>
        <v>0.61000000000000654</v>
      </c>
      <c r="L73">
        <f t="shared" si="17"/>
        <v>-0.56000000000000227</v>
      </c>
      <c r="M73">
        <f t="shared" si="17"/>
        <v>0.10999999999999943</v>
      </c>
      <c r="N73">
        <f t="shared" si="17"/>
        <v>1.220000000000006</v>
      </c>
      <c r="O73">
        <f t="shared" si="19"/>
        <v>0.72000000000000597</v>
      </c>
      <c r="P73" s="10">
        <f t="shared" si="18"/>
        <v>0</v>
      </c>
    </row>
    <row r="74" spans="1:16">
      <c r="A74">
        <v>13.25</v>
      </c>
      <c r="B74">
        <v>54.06</v>
      </c>
      <c r="C74">
        <v>45.45</v>
      </c>
      <c r="D74">
        <v>43.45</v>
      </c>
      <c r="E74">
        <v>39.01</v>
      </c>
      <c r="F74">
        <v>41.62</v>
      </c>
      <c r="G74">
        <v>47.01</v>
      </c>
      <c r="H74">
        <v>42.12</v>
      </c>
      <c r="K74" s="9">
        <f t="shared" si="17"/>
        <v>0.55999999999999517</v>
      </c>
      <c r="L74">
        <f t="shared" si="17"/>
        <v>0.6699999999999946</v>
      </c>
      <c r="M74">
        <f t="shared" si="17"/>
        <v>0.10999999999999943</v>
      </c>
      <c r="N74">
        <f t="shared" si="17"/>
        <v>1.220000000000006</v>
      </c>
      <c r="O74">
        <f t="shared" si="19"/>
        <v>1.2199999999999989</v>
      </c>
      <c r="P74" s="10">
        <f t="shared" si="18"/>
        <v>0.10999999999999943</v>
      </c>
    </row>
    <row r="75" spans="1:16">
      <c r="A75">
        <v>13.5</v>
      </c>
      <c r="B75">
        <v>54.4</v>
      </c>
      <c r="C75">
        <v>45.62</v>
      </c>
      <c r="D75">
        <v>43.56</v>
      </c>
      <c r="E75">
        <v>39.06</v>
      </c>
      <c r="F75">
        <v>42.01</v>
      </c>
      <c r="G75">
        <v>47.01</v>
      </c>
      <c r="H75">
        <v>42.01</v>
      </c>
      <c r="K75" s="9">
        <f t="shared" si="17"/>
        <v>0.55000000000000426</v>
      </c>
      <c r="L75">
        <f t="shared" si="17"/>
        <v>1</v>
      </c>
      <c r="M75">
        <f t="shared" si="17"/>
        <v>0.21999999999999886</v>
      </c>
      <c r="N75">
        <f t="shared" si="17"/>
        <v>1.1099999999999994</v>
      </c>
      <c r="O75">
        <f t="shared" si="19"/>
        <v>1.6600000000000037</v>
      </c>
      <c r="P75" s="10">
        <f t="shared" si="18"/>
        <v>0.16000000000000369</v>
      </c>
    </row>
    <row r="76" spans="1:16">
      <c r="A76">
        <v>13.75</v>
      </c>
      <c r="B76">
        <v>54.51</v>
      </c>
      <c r="C76">
        <v>45.84</v>
      </c>
      <c r="D76">
        <v>43.28</v>
      </c>
      <c r="E76">
        <v>39.17</v>
      </c>
      <c r="F76">
        <v>42.45</v>
      </c>
      <c r="G76">
        <v>47.34</v>
      </c>
      <c r="H76">
        <v>41.95</v>
      </c>
      <c r="K76" s="9">
        <f t="shared" si="17"/>
        <v>0.55999999999999517</v>
      </c>
      <c r="L76">
        <f t="shared" si="17"/>
        <v>2.2800000000000011</v>
      </c>
      <c r="M76">
        <f t="shared" si="17"/>
        <v>0.10999999999999943</v>
      </c>
      <c r="N76">
        <f t="shared" si="17"/>
        <v>0.89000000000000057</v>
      </c>
      <c r="O76">
        <f t="shared" si="19"/>
        <v>0.1699999999999946</v>
      </c>
      <c r="P76" s="10">
        <f t="shared" si="18"/>
        <v>0.5</v>
      </c>
    </row>
    <row r="77" spans="1:16">
      <c r="A77">
        <v>14</v>
      </c>
      <c r="B77">
        <v>54.51</v>
      </c>
      <c r="C77">
        <v>46.01</v>
      </c>
      <c r="D77">
        <v>44.12</v>
      </c>
      <c r="E77">
        <v>39.119999999999997</v>
      </c>
      <c r="F77">
        <v>42.84</v>
      </c>
      <c r="G77">
        <v>48.23</v>
      </c>
      <c r="H77">
        <v>42.23</v>
      </c>
      <c r="K77" s="9">
        <f t="shared" si="17"/>
        <v>0.55000000000000426</v>
      </c>
      <c r="L77">
        <f t="shared" si="17"/>
        <v>2.4400000000000048</v>
      </c>
      <c r="M77">
        <f t="shared" si="17"/>
        <v>0.28000000000000114</v>
      </c>
      <c r="N77">
        <f t="shared" si="17"/>
        <v>0.55999999999999517</v>
      </c>
      <c r="O77">
        <f t="shared" si="19"/>
        <v>-1.5599999999999952</v>
      </c>
      <c r="P77" s="10">
        <f t="shared" si="18"/>
        <v>5.0000000000004263E-2</v>
      </c>
    </row>
    <row r="78" spans="1:16">
      <c r="A78">
        <v>14.25</v>
      </c>
      <c r="B78">
        <v>54.62</v>
      </c>
      <c r="C78">
        <v>46.17</v>
      </c>
      <c r="D78">
        <v>44.56</v>
      </c>
      <c r="E78">
        <v>39.28</v>
      </c>
      <c r="F78">
        <v>43.12</v>
      </c>
      <c r="G78">
        <v>48.67</v>
      </c>
      <c r="H78">
        <v>42.17</v>
      </c>
      <c r="K78" s="9">
        <f t="shared" si="17"/>
        <v>0.55999999999999517</v>
      </c>
      <c r="L78">
        <f t="shared" si="17"/>
        <v>2.2800000000000011</v>
      </c>
      <c r="M78">
        <f t="shared" si="17"/>
        <v>0.22999999999999687</v>
      </c>
      <c r="N78">
        <f t="shared" si="17"/>
        <v>0.5</v>
      </c>
      <c r="O78">
        <f t="shared" si="19"/>
        <v>-2.3299999999999983</v>
      </c>
      <c r="P78" s="10">
        <f t="shared" si="18"/>
        <v>0.28000000000000114</v>
      </c>
    </row>
    <row r="79" spans="1:16">
      <c r="A79">
        <v>14.5</v>
      </c>
      <c r="B79">
        <v>54.62</v>
      </c>
      <c r="C79">
        <v>46.4</v>
      </c>
      <c r="D79">
        <v>45.56</v>
      </c>
      <c r="E79">
        <v>39.28</v>
      </c>
      <c r="F79">
        <v>43.34</v>
      </c>
      <c r="G79">
        <v>47.51</v>
      </c>
      <c r="H79">
        <v>42.45</v>
      </c>
      <c r="K79" s="9">
        <f t="shared" si="17"/>
        <v>0.38000000000000256</v>
      </c>
      <c r="L79">
        <f t="shared" si="17"/>
        <v>1.7800000000000011</v>
      </c>
      <c r="M79">
        <f t="shared" si="17"/>
        <v>0.22999999999999687</v>
      </c>
      <c r="N79">
        <f t="shared" si="17"/>
        <v>0.43999999999999773</v>
      </c>
      <c r="O79">
        <f t="shared" si="19"/>
        <v>-0.5</v>
      </c>
      <c r="P79" s="10">
        <f t="shared" si="18"/>
        <v>-5.0000000000004263E-2</v>
      </c>
    </row>
    <row r="80" spans="1:16">
      <c r="A80">
        <v>14.75</v>
      </c>
      <c r="B80">
        <v>54.67</v>
      </c>
      <c r="C80">
        <v>46.56</v>
      </c>
      <c r="D80">
        <v>46.56</v>
      </c>
      <c r="E80">
        <v>39.4</v>
      </c>
      <c r="F80">
        <v>43.4</v>
      </c>
      <c r="G80">
        <v>46.67</v>
      </c>
      <c r="H80">
        <v>42.28</v>
      </c>
      <c r="K80" s="9">
        <f t="shared" si="17"/>
        <v>0.39000000000000057</v>
      </c>
      <c r="L80">
        <f t="shared" si="17"/>
        <v>2.8900000000000006</v>
      </c>
      <c r="M80">
        <f t="shared" si="17"/>
        <v>0.21999999999999886</v>
      </c>
      <c r="N80">
        <f t="shared" si="17"/>
        <v>0.66000000000000369</v>
      </c>
      <c r="O80">
        <f t="shared" si="19"/>
        <v>1.3399999999999963</v>
      </c>
      <c r="P80" s="10">
        <f t="shared" si="18"/>
        <v>0.22999999999999687</v>
      </c>
    </row>
    <row r="81" spans="1:16">
      <c r="A81">
        <v>15</v>
      </c>
      <c r="B81">
        <v>55.06</v>
      </c>
      <c r="C81">
        <v>46.73</v>
      </c>
      <c r="D81">
        <v>46.84</v>
      </c>
      <c r="E81">
        <v>39.51</v>
      </c>
      <c r="F81">
        <v>43.62</v>
      </c>
      <c r="G81">
        <v>46.34</v>
      </c>
      <c r="H81">
        <v>42.45</v>
      </c>
      <c r="K81" s="9">
        <f t="shared" si="17"/>
        <v>0.28000000000000114</v>
      </c>
      <c r="L81">
        <f t="shared" si="17"/>
        <v>5.9399999999999977</v>
      </c>
      <c r="M81">
        <f t="shared" si="17"/>
        <v>5.0000000000004263E-2</v>
      </c>
      <c r="N81">
        <f t="shared" si="17"/>
        <v>0.66000000000000369</v>
      </c>
      <c r="O81">
        <f t="shared" si="19"/>
        <v>2.6699999999999946</v>
      </c>
      <c r="P81" s="10">
        <f t="shared" si="18"/>
        <v>0</v>
      </c>
    </row>
    <row r="82" spans="1:16">
      <c r="A82">
        <v>15.25</v>
      </c>
      <c r="B82">
        <v>55.56</v>
      </c>
      <c r="C82">
        <v>46.78</v>
      </c>
      <c r="D82">
        <v>47.34</v>
      </c>
      <c r="E82">
        <v>39.51</v>
      </c>
      <c r="F82">
        <v>43.78</v>
      </c>
      <c r="G82">
        <v>47.01</v>
      </c>
      <c r="H82">
        <v>42.4</v>
      </c>
      <c r="K82" s="9">
        <f t="shared" si="17"/>
        <v>0.44999999999999574</v>
      </c>
      <c r="L82">
        <f t="shared" si="17"/>
        <v>9.5599999999999952</v>
      </c>
      <c r="M82">
        <f t="shared" si="17"/>
        <v>0.21999999999999886</v>
      </c>
      <c r="N82">
        <f t="shared" si="17"/>
        <v>0.67000000000000171</v>
      </c>
      <c r="O82">
        <f t="shared" si="19"/>
        <v>3.6600000000000037</v>
      </c>
      <c r="P82" s="10">
        <f t="shared" si="18"/>
        <v>0.27000000000000313</v>
      </c>
    </row>
    <row r="83" spans="1:16">
      <c r="A83">
        <v>15.5</v>
      </c>
      <c r="B83">
        <v>56.01</v>
      </c>
      <c r="C83">
        <v>46.95</v>
      </c>
      <c r="D83">
        <v>49.45</v>
      </c>
      <c r="E83">
        <v>39.619999999999997</v>
      </c>
      <c r="F83">
        <v>44.06</v>
      </c>
      <c r="G83">
        <v>48.01</v>
      </c>
      <c r="H83">
        <v>42.51</v>
      </c>
      <c r="K83" s="9">
        <f t="shared" si="17"/>
        <v>0.5</v>
      </c>
      <c r="L83">
        <f t="shared" si="17"/>
        <v>11</v>
      </c>
      <c r="M83">
        <f t="shared" si="17"/>
        <v>0.22000000000000597</v>
      </c>
      <c r="N83">
        <f t="shared" si="17"/>
        <v>0.6699999999999946</v>
      </c>
      <c r="O83">
        <f t="shared" si="19"/>
        <v>4.3900000000000006</v>
      </c>
      <c r="P83" s="10">
        <f t="shared" si="18"/>
        <v>5.0000000000004263E-2</v>
      </c>
    </row>
    <row r="84" spans="1:16">
      <c r="A84">
        <v>15.75</v>
      </c>
      <c r="B84">
        <v>56.51</v>
      </c>
      <c r="C84">
        <v>47.01</v>
      </c>
      <c r="D84">
        <v>52.78</v>
      </c>
      <c r="E84">
        <v>39.56</v>
      </c>
      <c r="F84">
        <v>44.28</v>
      </c>
      <c r="G84">
        <v>49.01</v>
      </c>
      <c r="H84">
        <v>42.45</v>
      </c>
      <c r="K84" s="9">
        <f t="shared" si="17"/>
        <v>0.55000000000000426</v>
      </c>
      <c r="L84">
        <f t="shared" si="17"/>
        <v>10.780000000000001</v>
      </c>
      <c r="M84">
        <f t="shared" si="17"/>
        <v>0.44999999999999574</v>
      </c>
      <c r="N84">
        <f t="shared" si="17"/>
        <v>0.5</v>
      </c>
      <c r="O84">
        <f t="shared" si="19"/>
        <v>5.2700000000000031</v>
      </c>
      <c r="P84" s="10">
        <f t="shared" si="18"/>
        <v>0.39000000000000057</v>
      </c>
    </row>
    <row r="85" spans="1:16">
      <c r="A85">
        <v>16</v>
      </c>
      <c r="B85">
        <v>56.84</v>
      </c>
      <c r="C85">
        <v>47.23</v>
      </c>
      <c r="D85">
        <v>56.9</v>
      </c>
      <c r="E85">
        <v>39.729999999999997</v>
      </c>
      <c r="F85">
        <v>44.45</v>
      </c>
      <c r="G85">
        <v>50.67</v>
      </c>
      <c r="H85">
        <v>42.67</v>
      </c>
      <c r="K85" s="9">
        <f t="shared" si="17"/>
        <v>0.5</v>
      </c>
      <c r="L85">
        <f t="shared" si="17"/>
        <v>9.6100000000000065</v>
      </c>
      <c r="M85">
        <f t="shared" si="17"/>
        <v>0.3300000000000054</v>
      </c>
      <c r="N85">
        <f t="shared" si="17"/>
        <v>0.44999999999999574</v>
      </c>
      <c r="O85">
        <f t="shared" si="19"/>
        <v>3.8900000000000006</v>
      </c>
      <c r="P85" s="10">
        <f t="shared" si="18"/>
        <v>0.17000000000000171</v>
      </c>
    </row>
    <row r="86" spans="1:16">
      <c r="A86">
        <v>16.25</v>
      </c>
      <c r="B86">
        <v>57.01</v>
      </c>
      <c r="C86">
        <v>47.45</v>
      </c>
      <c r="D86">
        <v>60.45</v>
      </c>
      <c r="E86">
        <v>39.840000000000003</v>
      </c>
      <c r="F86">
        <v>44.73</v>
      </c>
      <c r="G86">
        <v>52.4</v>
      </c>
      <c r="H86">
        <v>42.56</v>
      </c>
      <c r="K86" s="9">
        <f t="shared" ref="K86:N149" si="20">C89-C86</f>
        <v>0.39000000000000057</v>
      </c>
      <c r="L86">
        <f t="shared" si="20"/>
        <v>8.6700000000000017</v>
      </c>
      <c r="M86">
        <f t="shared" si="20"/>
        <v>0.43999999999999773</v>
      </c>
      <c r="N86">
        <f t="shared" si="20"/>
        <v>0.22000000000000597</v>
      </c>
      <c r="O86">
        <f t="shared" si="19"/>
        <v>5.0000000000004263E-2</v>
      </c>
      <c r="P86" s="10">
        <f t="shared" si="18"/>
        <v>0.39000000000000057</v>
      </c>
    </row>
    <row r="87" spans="1:16">
      <c r="A87">
        <v>16.5</v>
      </c>
      <c r="B87">
        <v>57.12</v>
      </c>
      <c r="C87">
        <v>47.56</v>
      </c>
      <c r="D87">
        <v>63.56</v>
      </c>
      <c r="E87">
        <v>40.01</v>
      </c>
      <c r="F87">
        <v>44.78</v>
      </c>
      <c r="G87">
        <v>54.28</v>
      </c>
      <c r="H87">
        <v>42.84</v>
      </c>
      <c r="K87" s="9">
        <f t="shared" si="20"/>
        <v>0.39000000000000057</v>
      </c>
      <c r="L87">
        <f t="shared" si="20"/>
        <v>7.3900000000000006</v>
      </c>
      <c r="M87">
        <f t="shared" si="20"/>
        <v>0.44000000000000483</v>
      </c>
      <c r="N87">
        <f t="shared" si="20"/>
        <v>0.28000000000000114</v>
      </c>
      <c r="O87">
        <f t="shared" si="19"/>
        <v>-3.9399999999999977</v>
      </c>
      <c r="P87" s="10">
        <f t="shared" si="18"/>
        <v>0.10999999999999943</v>
      </c>
    </row>
    <row r="88" spans="1:16">
      <c r="A88">
        <v>16.75</v>
      </c>
      <c r="B88">
        <v>57.17</v>
      </c>
      <c r="C88">
        <v>47.73</v>
      </c>
      <c r="D88">
        <v>66.510000000000005</v>
      </c>
      <c r="E88">
        <v>40.06</v>
      </c>
      <c r="F88">
        <v>44.9</v>
      </c>
      <c r="G88">
        <v>54.56</v>
      </c>
      <c r="H88">
        <v>42.84</v>
      </c>
      <c r="K88" s="9">
        <f t="shared" si="20"/>
        <v>0.28000000000000114</v>
      </c>
      <c r="L88">
        <f t="shared" si="20"/>
        <v>3.9399999999999977</v>
      </c>
      <c r="M88">
        <f t="shared" si="20"/>
        <v>0.6699999999999946</v>
      </c>
      <c r="N88">
        <f t="shared" si="20"/>
        <v>0.27000000000000313</v>
      </c>
      <c r="O88">
        <f t="shared" si="19"/>
        <v>-5.5</v>
      </c>
      <c r="P88" s="10">
        <f t="shared" si="18"/>
        <v>0.21999999999999886</v>
      </c>
    </row>
    <row r="89" spans="1:16">
      <c r="A89">
        <v>17</v>
      </c>
      <c r="B89">
        <v>57.23</v>
      </c>
      <c r="C89">
        <v>47.84</v>
      </c>
      <c r="D89">
        <v>69.12</v>
      </c>
      <c r="E89">
        <v>40.28</v>
      </c>
      <c r="F89">
        <v>44.95</v>
      </c>
      <c r="G89">
        <v>52.45</v>
      </c>
      <c r="H89">
        <v>42.95</v>
      </c>
      <c r="K89" s="9">
        <f t="shared" si="20"/>
        <v>0.27999999999999403</v>
      </c>
      <c r="L89">
        <f t="shared" si="20"/>
        <v>-1.9500000000000028</v>
      </c>
      <c r="M89">
        <f t="shared" si="20"/>
        <v>0.67000000000000171</v>
      </c>
      <c r="N89">
        <f t="shared" si="20"/>
        <v>0.39000000000000057</v>
      </c>
      <c r="O89">
        <f t="shared" si="19"/>
        <v>-4.2800000000000011</v>
      </c>
      <c r="P89" s="10">
        <f t="shared" si="18"/>
        <v>0.27999999999999403</v>
      </c>
    </row>
    <row r="90" spans="1:16">
      <c r="A90">
        <v>17.25</v>
      </c>
      <c r="B90">
        <v>57.12</v>
      </c>
      <c r="C90">
        <v>47.95</v>
      </c>
      <c r="D90">
        <v>70.95</v>
      </c>
      <c r="E90">
        <v>40.450000000000003</v>
      </c>
      <c r="F90">
        <v>45.06</v>
      </c>
      <c r="G90">
        <v>50.34</v>
      </c>
      <c r="H90">
        <v>42.95</v>
      </c>
      <c r="K90" s="9">
        <f t="shared" si="20"/>
        <v>0.1699999999999946</v>
      </c>
      <c r="L90">
        <f t="shared" si="20"/>
        <v>-7.220000000000006</v>
      </c>
      <c r="M90">
        <f t="shared" si="20"/>
        <v>0.77999999999999403</v>
      </c>
      <c r="N90">
        <f t="shared" si="20"/>
        <v>0.71999999999999886</v>
      </c>
      <c r="O90">
        <f t="shared" si="19"/>
        <v>-2.5600000000000023</v>
      </c>
      <c r="P90" s="10">
        <f t="shared" si="18"/>
        <v>0.71999999999999886</v>
      </c>
    </row>
    <row r="91" spans="1:16">
      <c r="A91">
        <v>17.5</v>
      </c>
      <c r="B91">
        <v>57.12</v>
      </c>
      <c r="C91">
        <v>48.01</v>
      </c>
      <c r="D91">
        <v>70.45</v>
      </c>
      <c r="E91">
        <v>40.729999999999997</v>
      </c>
      <c r="F91">
        <v>45.17</v>
      </c>
      <c r="G91">
        <v>49.06</v>
      </c>
      <c r="H91">
        <v>43.06</v>
      </c>
      <c r="K91" s="9">
        <f t="shared" si="20"/>
        <v>0.3300000000000054</v>
      </c>
      <c r="L91">
        <f t="shared" si="20"/>
        <v>-7.4400000000000048</v>
      </c>
      <c r="M91">
        <f t="shared" si="20"/>
        <v>0.78000000000000114</v>
      </c>
      <c r="N91">
        <f t="shared" si="20"/>
        <v>0.94999999999999574</v>
      </c>
      <c r="O91">
        <f t="shared" si="19"/>
        <v>-1.3900000000000006</v>
      </c>
      <c r="P91" s="10">
        <f t="shared" si="18"/>
        <v>0.60999999999999943</v>
      </c>
    </row>
    <row r="92" spans="1:16">
      <c r="A92">
        <v>17.75</v>
      </c>
      <c r="B92">
        <v>57.34</v>
      </c>
      <c r="C92">
        <v>48.12</v>
      </c>
      <c r="D92">
        <v>67.17</v>
      </c>
      <c r="E92">
        <v>40.950000000000003</v>
      </c>
      <c r="F92">
        <v>45.34</v>
      </c>
      <c r="G92">
        <v>48.17</v>
      </c>
      <c r="H92">
        <v>43.23</v>
      </c>
      <c r="K92" s="9">
        <f t="shared" si="20"/>
        <v>0.16000000000000369</v>
      </c>
      <c r="L92">
        <f t="shared" si="20"/>
        <v>-4.2199999999999989</v>
      </c>
      <c r="M92">
        <f t="shared" si="20"/>
        <v>0.77999999999999403</v>
      </c>
      <c r="N92">
        <f t="shared" si="20"/>
        <v>1.0599999999999952</v>
      </c>
      <c r="O92">
        <f t="shared" si="19"/>
        <v>-0.44000000000000483</v>
      </c>
      <c r="P92" s="10">
        <f t="shared" si="18"/>
        <v>0.39000000000000057</v>
      </c>
    </row>
    <row r="93" spans="1:16">
      <c r="A93">
        <v>18</v>
      </c>
      <c r="B93">
        <v>57.45</v>
      </c>
      <c r="C93">
        <v>48.12</v>
      </c>
      <c r="D93">
        <v>63.73</v>
      </c>
      <c r="E93">
        <v>41.23</v>
      </c>
      <c r="F93">
        <v>45.78</v>
      </c>
      <c r="G93">
        <v>47.78</v>
      </c>
      <c r="H93">
        <v>43.67</v>
      </c>
      <c r="K93" s="9">
        <f t="shared" si="20"/>
        <v>0.22000000000000597</v>
      </c>
      <c r="L93">
        <f t="shared" si="20"/>
        <v>-1.279999999999994</v>
      </c>
      <c r="M93">
        <f t="shared" si="20"/>
        <v>0.72000000000000597</v>
      </c>
      <c r="N93">
        <f t="shared" si="20"/>
        <v>1</v>
      </c>
      <c r="O93">
        <f t="shared" si="19"/>
        <v>0.17000000000000171</v>
      </c>
      <c r="P93" s="10">
        <f t="shared" si="18"/>
        <v>0.39000000000000057</v>
      </c>
    </row>
    <row r="94" spans="1:16">
      <c r="A94">
        <v>18.25</v>
      </c>
      <c r="B94">
        <v>57.9</v>
      </c>
      <c r="C94">
        <v>48.34</v>
      </c>
      <c r="D94">
        <v>63.01</v>
      </c>
      <c r="E94">
        <v>41.51</v>
      </c>
      <c r="F94">
        <v>46.12</v>
      </c>
      <c r="G94">
        <v>47.67</v>
      </c>
      <c r="H94">
        <v>43.67</v>
      </c>
      <c r="K94" s="9">
        <f t="shared" si="20"/>
        <v>0.10999999999999943</v>
      </c>
      <c r="L94">
        <f t="shared" si="20"/>
        <v>-1.3399999999999963</v>
      </c>
      <c r="M94">
        <f t="shared" si="20"/>
        <v>0.71999999999999886</v>
      </c>
      <c r="N94">
        <f t="shared" si="20"/>
        <v>0.89000000000000057</v>
      </c>
      <c r="O94">
        <f t="shared" si="19"/>
        <v>0.5</v>
      </c>
      <c r="P94" s="10">
        <f t="shared" si="18"/>
        <v>0.39000000000000057</v>
      </c>
    </row>
    <row r="95" spans="1:16">
      <c r="A95">
        <v>18.5</v>
      </c>
      <c r="B95">
        <v>58.17</v>
      </c>
      <c r="C95">
        <v>48.28</v>
      </c>
      <c r="D95">
        <v>62.95</v>
      </c>
      <c r="E95">
        <v>41.73</v>
      </c>
      <c r="F95">
        <v>46.4</v>
      </c>
      <c r="G95">
        <v>47.73</v>
      </c>
      <c r="H95">
        <v>43.62</v>
      </c>
      <c r="K95" s="9">
        <f t="shared" si="20"/>
        <v>0.22999999999999687</v>
      </c>
      <c r="L95">
        <f t="shared" si="20"/>
        <v>-2.3900000000000006</v>
      </c>
      <c r="M95">
        <f t="shared" si="20"/>
        <v>0.72000000000000597</v>
      </c>
      <c r="N95">
        <f t="shared" si="20"/>
        <v>0.82999999999999829</v>
      </c>
      <c r="O95">
        <f t="shared" si="19"/>
        <v>0.61000000000000654</v>
      </c>
      <c r="P95" s="10">
        <f t="shared" si="18"/>
        <v>0.60999999999999943</v>
      </c>
    </row>
    <row r="96" spans="1:16">
      <c r="A96">
        <v>18.75</v>
      </c>
      <c r="B96">
        <v>58.45</v>
      </c>
      <c r="C96">
        <v>48.34</v>
      </c>
      <c r="D96">
        <v>62.45</v>
      </c>
      <c r="E96">
        <v>41.95</v>
      </c>
      <c r="F96">
        <v>46.78</v>
      </c>
      <c r="G96">
        <v>47.95</v>
      </c>
      <c r="H96">
        <v>44.06</v>
      </c>
      <c r="K96" s="9">
        <f t="shared" si="20"/>
        <v>0.27999999999999403</v>
      </c>
      <c r="L96">
        <f t="shared" si="20"/>
        <v>-2.6700000000000017</v>
      </c>
      <c r="M96">
        <f t="shared" si="20"/>
        <v>0.71999999999999886</v>
      </c>
      <c r="N96">
        <f t="shared" si="20"/>
        <v>0.5</v>
      </c>
      <c r="O96">
        <f t="shared" si="19"/>
        <v>0.39000000000000057</v>
      </c>
      <c r="P96" s="10">
        <f t="shared" si="18"/>
        <v>0.39000000000000057</v>
      </c>
    </row>
    <row r="97" spans="1:16">
      <c r="A97">
        <v>19</v>
      </c>
      <c r="B97">
        <v>58.56</v>
      </c>
      <c r="C97">
        <v>48.45</v>
      </c>
      <c r="D97">
        <v>61.67</v>
      </c>
      <c r="E97">
        <v>42.23</v>
      </c>
      <c r="F97">
        <v>47.01</v>
      </c>
      <c r="G97">
        <v>48.17</v>
      </c>
      <c r="H97">
        <v>44.06</v>
      </c>
      <c r="K97" s="9">
        <f t="shared" si="20"/>
        <v>0.1699999999999946</v>
      </c>
      <c r="L97">
        <f t="shared" si="20"/>
        <v>-2.6099999999999994</v>
      </c>
      <c r="M97">
        <f t="shared" si="20"/>
        <v>0.8300000000000054</v>
      </c>
      <c r="N97">
        <f t="shared" si="20"/>
        <v>0.39000000000000057</v>
      </c>
      <c r="O97">
        <f t="shared" si="19"/>
        <v>0.44999999999999574</v>
      </c>
      <c r="P97" s="10">
        <f t="shared" si="18"/>
        <v>1.1099999999999994</v>
      </c>
    </row>
    <row r="98" spans="1:16">
      <c r="A98">
        <v>19.25</v>
      </c>
      <c r="B98">
        <v>58.73</v>
      </c>
      <c r="C98">
        <v>48.51</v>
      </c>
      <c r="D98">
        <v>60.56</v>
      </c>
      <c r="E98">
        <v>42.45</v>
      </c>
      <c r="F98">
        <v>47.23</v>
      </c>
      <c r="G98">
        <v>48.34</v>
      </c>
      <c r="H98">
        <v>44.23</v>
      </c>
      <c r="K98" s="9">
        <f t="shared" si="20"/>
        <v>0.21999999999999886</v>
      </c>
      <c r="L98">
        <f t="shared" si="20"/>
        <v>-2.6099999999999994</v>
      </c>
      <c r="M98">
        <f t="shared" si="20"/>
        <v>0.77999999999999403</v>
      </c>
      <c r="N98">
        <f t="shared" si="20"/>
        <v>0.28000000000000114</v>
      </c>
      <c r="O98">
        <f t="shared" si="19"/>
        <v>0.6699999999999946</v>
      </c>
      <c r="P98" s="10">
        <f t="shared" si="18"/>
        <v>1.3900000000000006</v>
      </c>
    </row>
    <row r="99" spans="1:16">
      <c r="A99">
        <v>19.5</v>
      </c>
      <c r="B99">
        <v>58.73</v>
      </c>
      <c r="C99">
        <v>48.62</v>
      </c>
      <c r="D99">
        <v>59.78</v>
      </c>
      <c r="E99">
        <v>42.67</v>
      </c>
      <c r="F99">
        <v>47.28</v>
      </c>
      <c r="G99">
        <v>48.34</v>
      </c>
      <c r="H99">
        <v>44.45</v>
      </c>
      <c r="K99" s="9">
        <f t="shared" si="20"/>
        <v>0.10999999999999943</v>
      </c>
      <c r="L99">
        <f t="shared" si="20"/>
        <v>-1.9399999999999977</v>
      </c>
      <c r="M99">
        <f t="shared" si="20"/>
        <v>0.78000000000000114</v>
      </c>
      <c r="N99">
        <f t="shared" si="20"/>
        <v>0.28000000000000114</v>
      </c>
      <c r="O99">
        <f t="shared" si="19"/>
        <v>1.279999999999994</v>
      </c>
      <c r="P99" s="10">
        <f t="shared" si="18"/>
        <v>1.4499999999999957</v>
      </c>
    </row>
    <row r="100" spans="1:16">
      <c r="A100">
        <v>19.75</v>
      </c>
      <c r="B100">
        <v>58.9</v>
      </c>
      <c r="C100">
        <v>48.62</v>
      </c>
      <c r="D100">
        <v>59.06</v>
      </c>
      <c r="E100">
        <v>43.06</v>
      </c>
      <c r="F100">
        <v>47.4</v>
      </c>
      <c r="G100">
        <v>48.62</v>
      </c>
      <c r="H100">
        <v>45.17</v>
      </c>
      <c r="K100" s="9">
        <f t="shared" si="20"/>
        <v>0.28000000000000114</v>
      </c>
      <c r="L100">
        <f t="shared" si="20"/>
        <v>0.28000000000000114</v>
      </c>
      <c r="M100">
        <f t="shared" si="20"/>
        <v>0.55999999999999517</v>
      </c>
      <c r="N100">
        <f t="shared" si="20"/>
        <v>0.16000000000000369</v>
      </c>
      <c r="O100">
        <f t="shared" si="19"/>
        <v>1.6099999999999994</v>
      </c>
      <c r="P100" s="10">
        <f t="shared" si="18"/>
        <v>0.89000000000000057</v>
      </c>
    </row>
    <row r="101" spans="1:16">
      <c r="A101">
        <v>20</v>
      </c>
      <c r="B101">
        <v>58.9</v>
      </c>
      <c r="C101">
        <v>48.73</v>
      </c>
      <c r="D101">
        <v>57.95</v>
      </c>
      <c r="E101">
        <v>43.23</v>
      </c>
      <c r="F101">
        <v>47.51</v>
      </c>
      <c r="G101">
        <v>49.01</v>
      </c>
      <c r="H101">
        <v>45.62</v>
      </c>
      <c r="K101" s="9">
        <f t="shared" si="20"/>
        <v>0.28000000000000114</v>
      </c>
      <c r="L101">
        <f t="shared" si="20"/>
        <v>5.6099999999999994</v>
      </c>
      <c r="M101">
        <f t="shared" si="20"/>
        <v>0.67000000000000171</v>
      </c>
      <c r="N101">
        <f t="shared" si="20"/>
        <v>0.10999999999999943</v>
      </c>
      <c r="O101">
        <f t="shared" si="19"/>
        <v>2.0500000000000043</v>
      </c>
      <c r="P101" s="10">
        <f t="shared" si="19"/>
        <v>0.3300000000000054</v>
      </c>
    </row>
    <row r="102" spans="1:16">
      <c r="A102">
        <v>20.25</v>
      </c>
      <c r="B102">
        <v>59.12</v>
      </c>
      <c r="C102">
        <v>48.73</v>
      </c>
      <c r="D102">
        <v>57.84</v>
      </c>
      <c r="E102">
        <v>43.45</v>
      </c>
      <c r="F102">
        <v>47.56</v>
      </c>
      <c r="G102">
        <v>49.62</v>
      </c>
      <c r="H102">
        <v>45.9</v>
      </c>
      <c r="K102" s="9">
        <f t="shared" si="20"/>
        <v>0.39000000000000057</v>
      </c>
      <c r="L102">
        <f t="shared" si="20"/>
        <v>9.4399999999999977</v>
      </c>
      <c r="M102">
        <f t="shared" si="20"/>
        <v>0.6699999999999946</v>
      </c>
      <c r="N102">
        <f t="shared" si="20"/>
        <v>0.1699999999999946</v>
      </c>
      <c r="O102">
        <f t="shared" si="19"/>
        <v>2.220000000000006</v>
      </c>
      <c r="P102" s="10">
        <f t="shared" si="19"/>
        <v>0.32999999999999829</v>
      </c>
    </row>
    <row r="103" spans="1:16">
      <c r="A103">
        <v>20.5</v>
      </c>
      <c r="B103">
        <v>59.67</v>
      </c>
      <c r="C103">
        <v>48.9</v>
      </c>
      <c r="D103">
        <v>59.34</v>
      </c>
      <c r="E103">
        <v>43.62</v>
      </c>
      <c r="F103">
        <v>47.56</v>
      </c>
      <c r="G103">
        <v>50.23</v>
      </c>
      <c r="H103">
        <v>46.06</v>
      </c>
      <c r="K103" s="9">
        <f t="shared" si="20"/>
        <v>0.27000000000000313</v>
      </c>
      <c r="L103">
        <f t="shared" si="20"/>
        <v>11.11</v>
      </c>
      <c r="M103">
        <f t="shared" si="20"/>
        <v>0.72000000000000597</v>
      </c>
      <c r="N103">
        <f t="shared" si="20"/>
        <v>0.21999999999999886</v>
      </c>
      <c r="O103">
        <f t="shared" si="19"/>
        <v>2.7800000000000011</v>
      </c>
      <c r="P103" s="10">
        <f t="shared" si="19"/>
        <v>5.9999999999995168E-2</v>
      </c>
    </row>
    <row r="104" spans="1:16">
      <c r="A104">
        <v>20.75</v>
      </c>
      <c r="B104">
        <v>60.28</v>
      </c>
      <c r="C104">
        <v>49.01</v>
      </c>
      <c r="D104">
        <v>63.56</v>
      </c>
      <c r="E104">
        <v>43.9</v>
      </c>
      <c r="F104">
        <v>47.62</v>
      </c>
      <c r="G104">
        <v>51.06</v>
      </c>
      <c r="H104">
        <v>45.95</v>
      </c>
      <c r="K104" s="9">
        <f t="shared" si="20"/>
        <v>0.27000000000000313</v>
      </c>
      <c r="L104">
        <f t="shared" si="20"/>
        <v>9.11</v>
      </c>
      <c r="M104">
        <f t="shared" si="20"/>
        <v>0.66000000000000369</v>
      </c>
      <c r="N104">
        <f t="shared" si="20"/>
        <v>0.22000000000000597</v>
      </c>
      <c r="O104">
        <f t="shared" si="19"/>
        <v>2.2800000000000011</v>
      </c>
      <c r="P104" s="10">
        <f t="shared" si="19"/>
        <v>0.21999999999999886</v>
      </c>
    </row>
    <row r="105" spans="1:16">
      <c r="A105">
        <v>21</v>
      </c>
      <c r="B105">
        <v>60.95</v>
      </c>
      <c r="C105">
        <v>49.12</v>
      </c>
      <c r="D105">
        <v>67.28</v>
      </c>
      <c r="E105">
        <v>44.12</v>
      </c>
      <c r="F105">
        <v>47.73</v>
      </c>
      <c r="G105">
        <v>51.84</v>
      </c>
      <c r="H105">
        <v>46.23</v>
      </c>
      <c r="K105" s="9">
        <f t="shared" si="20"/>
        <v>0.22000000000000597</v>
      </c>
      <c r="L105">
        <f t="shared" si="20"/>
        <v>7.8400000000000034</v>
      </c>
      <c r="M105">
        <f t="shared" si="20"/>
        <v>0.60999999999999943</v>
      </c>
      <c r="N105">
        <f t="shared" si="20"/>
        <v>0.28000000000000114</v>
      </c>
      <c r="O105">
        <f t="shared" si="19"/>
        <v>0.93999999999999773</v>
      </c>
      <c r="P105" s="10">
        <f t="shared" si="19"/>
        <v>5.0000000000004263E-2</v>
      </c>
    </row>
    <row r="106" spans="1:16">
      <c r="A106">
        <v>21.25</v>
      </c>
      <c r="B106">
        <v>61.34</v>
      </c>
      <c r="C106">
        <v>49.17</v>
      </c>
      <c r="D106">
        <v>70.45</v>
      </c>
      <c r="E106">
        <v>44.34</v>
      </c>
      <c r="F106">
        <v>47.78</v>
      </c>
      <c r="G106">
        <v>53.01</v>
      </c>
      <c r="H106">
        <v>46.12</v>
      </c>
      <c r="K106" s="9">
        <f t="shared" si="20"/>
        <v>0.17000000000000171</v>
      </c>
      <c r="L106">
        <f t="shared" si="20"/>
        <v>6.8299999999999983</v>
      </c>
      <c r="M106">
        <f t="shared" si="20"/>
        <v>0.60999999999999943</v>
      </c>
      <c r="N106">
        <f t="shared" si="20"/>
        <v>0.44999999999999574</v>
      </c>
      <c r="O106">
        <f t="shared" si="19"/>
        <v>-1.2800000000000011</v>
      </c>
      <c r="P106" s="10">
        <f t="shared" si="19"/>
        <v>0.16000000000000369</v>
      </c>
    </row>
    <row r="107" spans="1:16">
      <c r="A107">
        <v>21.5</v>
      </c>
      <c r="B107">
        <v>61.45</v>
      </c>
      <c r="C107">
        <v>49.28</v>
      </c>
      <c r="D107">
        <v>72.67</v>
      </c>
      <c r="E107">
        <v>44.56</v>
      </c>
      <c r="F107">
        <v>47.84</v>
      </c>
      <c r="G107">
        <v>53.34</v>
      </c>
      <c r="H107">
        <v>46.17</v>
      </c>
      <c r="K107" s="9">
        <f t="shared" si="20"/>
        <v>6.0000000000002274E-2</v>
      </c>
      <c r="L107">
        <f t="shared" si="20"/>
        <v>2.8400000000000034</v>
      </c>
      <c r="M107">
        <f t="shared" si="20"/>
        <v>0.60999999999999943</v>
      </c>
      <c r="N107">
        <f t="shared" si="20"/>
        <v>0.6699999999999946</v>
      </c>
      <c r="O107">
        <f t="shared" si="19"/>
        <v>-1.8300000000000054</v>
      </c>
      <c r="P107" s="10">
        <f t="shared" si="19"/>
        <v>0.28000000000000114</v>
      </c>
    </row>
    <row r="108" spans="1:16">
      <c r="A108">
        <v>21.75</v>
      </c>
      <c r="B108">
        <v>61.51</v>
      </c>
      <c r="C108">
        <v>49.34</v>
      </c>
      <c r="D108">
        <v>75.12</v>
      </c>
      <c r="E108">
        <v>44.73</v>
      </c>
      <c r="F108">
        <v>48.01</v>
      </c>
      <c r="G108">
        <v>52.78</v>
      </c>
      <c r="H108">
        <v>46.28</v>
      </c>
      <c r="K108" s="9">
        <f t="shared" si="20"/>
        <v>0.10999999999999943</v>
      </c>
      <c r="L108">
        <f t="shared" si="20"/>
        <v>-2.2199999999999989</v>
      </c>
      <c r="M108">
        <f t="shared" si="20"/>
        <v>0.78000000000000114</v>
      </c>
      <c r="N108">
        <f t="shared" si="20"/>
        <v>0.77000000000000313</v>
      </c>
      <c r="O108">
        <f t="shared" si="19"/>
        <v>-0.21999999999999886</v>
      </c>
      <c r="P108" s="10">
        <f t="shared" si="19"/>
        <v>0.28000000000000114</v>
      </c>
    </row>
    <row r="109" spans="1:16">
      <c r="A109">
        <v>22</v>
      </c>
      <c r="B109">
        <v>61.51</v>
      </c>
      <c r="C109">
        <v>49.34</v>
      </c>
      <c r="D109">
        <v>77.28</v>
      </c>
      <c r="E109">
        <v>44.95</v>
      </c>
      <c r="F109">
        <v>48.23</v>
      </c>
      <c r="G109">
        <v>51.73</v>
      </c>
      <c r="H109">
        <v>46.28</v>
      </c>
      <c r="K109" s="9">
        <f t="shared" si="20"/>
        <v>0.1699999999999946</v>
      </c>
      <c r="L109">
        <f t="shared" si="20"/>
        <v>-6.769999999999996</v>
      </c>
      <c r="M109">
        <f t="shared" si="20"/>
        <v>0.82999999999999829</v>
      </c>
      <c r="N109">
        <f t="shared" si="20"/>
        <v>0.89000000000000057</v>
      </c>
      <c r="O109">
        <f t="shared" si="19"/>
        <v>1.8900000000000006</v>
      </c>
      <c r="P109" s="10">
        <f t="shared" si="19"/>
        <v>0.17000000000000171</v>
      </c>
    </row>
    <row r="110" spans="1:16">
      <c r="A110">
        <v>22.25</v>
      </c>
      <c r="B110">
        <v>61.45</v>
      </c>
      <c r="C110">
        <v>49.34</v>
      </c>
      <c r="D110">
        <v>75.510000000000005</v>
      </c>
      <c r="E110">
        <v>45.17</v>
      </c>
      <c r="F110">
        <v>48.51</v>
      </c>
      <c r="G110">
        <v>51.51</v>
      </c>
      <c r="H110">
        <v>46.45</v>
      </c>
      <c r="K110" s="9">
        <f t="shared" si="20"/>
        <v>0.1699999999999946</v>
      </c>
      <c r="L110">
        <f t="shared" si="20"/>
        <v>-7.0600000000000023</v>
      </c>
      <c r="M110">
        <f t="shared" si="20"/>
        <v>0.78000000000000114</v>
      </c>
      <c r="N110">
        <f t="shared" si="20"/>
        <v>0.8300000000000054</v>
      </c>
      <c r="O110">
        <f t="shared" si="19"/>
        <v>3.5500000000000043</v>
      </c>
      <c r="P110" s="10">
        <f t="shared" si="19"/>
        <v>0.39000000000000057</v>
      </c>
    </row>
    <row r="111" spans="1:16">
      <c r="A111">
        <v>22.5</v>
      </c>
      <c r="B111">
        <v>61.51</v>
      </c>
      <c r="C111">
        <v>49.45</v>
      </c>
      <c r="D111">
        <v>72.900000000000006</v>
      </c>
      <c r="E111">
        <v>45.51</v>
      </c>
      <c r="F111">
        <v>48.78</v>
      </c>
      <c r="G111">
        <v>52.56</v>
      </c>
      <c r="H111">
        <v>46.56</v>
      </c>
      <c r="K111" s="9">
        <f t="shared" si="20"/>
        <v>0.1699999999999946</v>
      </c>
      <c r="L111">
        <f t="shared" si="20"/>
        <v>-6.0600000000000023</v>
      </c>
      <c r="M111">
        <f t="shared" si="20"/>
        <v>0.71999999999999886</v>
      </c>
      <c r="N111">
        <f t="shared" si="20"/>
        <v>0.78000000000000114</v>
      </c>
      <c r="O111">
        <f t="shared" si="19"/>
        <v>3.8900000000000006</v>
      </c>
      <c r="P111" s="10">
        <f t="shared" si="19"/>
        <v>0.28000000000000114</v>
      </c>
    </row>
    <row r="112" spans="1:16">
      <c r="A112">
        <v>22.75</v>
      </c>
      <c r="B112">
        <v>61.51</v>
      </c>
      <c r="C112">
        <v>49.51</v>
      </c>
      <c r="D112">
        <v>70.510000000000005</v>
      </c>
      <c r="E112">
        <v>45.78</v>
      </c>
      <c r="F112">
        <v>49.12</v>
      </c>
      <c r="G112">
        <v>53.62</v>
      </c>
      <c r="H112">
        <v>46.45</v>
      </c>
      <c r="K112" s="9">
        <f t="shared" si="20"/>
        <v>0.10999999999999943</v>
      </c>
      <c r="L112">
        <f t="shared" si="20"/>
        <v>-5.1700000000000017</v>
      </c>
      <c r="M112">
        <f t="shared" si="20"/>
        <v>0.78000000000000114</v>
      </c>
      <c r="N112">
        <f t="shared" si="20"/>
        <v>0.66000000000000369</v>
      </c>
      <c r="O112">
        <f t="shared" si="19"/>
        <v>5.220000000000006</v>
      </c>
      <c r="P112" s="10">
        <f t="shared" si="19"/>
        <v>0.55999999999999517</v>
      </c>
    </row>
    <row r="113" spans="1:16">
      <c r="A113">
        <v>23</v>
      </c>
      <c r="B113">
        <v>61.45</v>
      </c>
      <c r="C113">
        <v>49.51</v>
      </c>
      <c r="D113">
        <v>68.45</v>
      </c>
      <c r="E113">
        <v>45.95</v>
      </c>
      <c r="F113">
        <v>49.34</v>
      </c>
      <c r="G113">
        <v>55.06</v>
      </c>
      <c r="H113">
        <v>46.84</v>
      </c>
      <c r="K113" s="9">
        <f t="shared" si="20"/>
        <v>0.21999999999999886</v>
      </c>
      <c r="L113">
        <f t="shared" si="20"/>
        <v>-4.8300000000000054</v>
      </c>
      <c r="M113">
        <f t="shared" si="20"/>
        <v>0.82999999999999829</v>
      </c>
      <c r="N113">
        <f t="shared" si="20"/>
        <v>0.6699999999999946</v>
      </c>
      <c r="O113">
        <f t="shared" si="19"/>
        <v>5.6099999999999994</v>
      </c>
      <c r="P113" s="10">
        <f t="shared" si="19"/>
        <v>0.10999999999999943</v>
      </c>
    </row>
    <row r="114" spans="1:16">
      <c r="A114">
        <v>23.25</v>
      </c>
      <c r="B114">
        <v>61.51</v>
      </c>
      <c r="C114">
        <v>49.62</v>
      </c>
      <c r="D114">
        <v>66.84</v>
      </c>
      <c r="E114">
        <v>46.23</v>
      </c>
      <c r="F114">
        <v>49.56</v>
      </c>
      <c r="G114">
        <v>56.45</v>
      </c>
      <c r="H114">
        <v>46.84</v>
      </c>
      <c r="K114" s="9">
        <f t="shared" si="20"/>
        <v>0.16000000000000369</v>
      </c>
      <c r="L114">
        <f t="shared" si="20"/>
        <v>-4.5</v>
      </c>
      <c r="M114">
        <f t="shared" si="20"/>
        <v>0.78000000000000114</v>
      </c>
      <c r="N114">
        <f t="shared" si="20"/>
        <v>0.55999999999999517</v>
      </c>
      <c r="O114">
        <f t="shared" si="19"/>
        <v>3.6099999999999994</v>
      </c>
      <c r="P114" s="10">
        <f t="shared" si="19"/>
        <v>0.38999999999999346</v>
      </c>
    </row>
    <row r="115" spans="1:16">
      <c r="A115">
        <v>23.5</v>
      </c>
      <c r="B115">
        <v>61.4</v>
      </c>
      <c r="C115">
        <v>49.62</v>
      </c>
      <c r="D115">
        <v>65.34</v>
      </c>
      <c r="E115">
        <v>46.56</v>
      </c>
      <c r="F115">
        <v>49.78</v>
      </c>
      <c r="G115">
        <v>58.84</v>
      </c>
      <c r="H115">
        <v>47.01</v>
      </c>
      <c r="K115" s="9">
        <f t="shared" si="20"/>
        <v>0.16000000000000369</v>
      </c>
      <c r="L115">
        <f t="shared" si="20"/>
        <v>-3.5600000000000023</v>
      </c>
      <c r="M115">
        <f t="shared" si="20"/>
        <v>0.60999999999999943</v>
      </c>
      <c r="N115">
        <f t="shared" si="20"/>
        <v>0.5</v>
      </c>
      <c r="O115">
        <f t="shared" si="19"/>
        <v>-1.2800000000000011</v>
      </c>
      <c r="P115" s="10">
        <f t="shared" si="19"/>
        <v>0.60999999999999943</v>
      </c>
    </row>
    <row r="116" spans="1:16">
      <c r="A116">
        <v>23.75</v>
      </c>
      <c r="B116">
        <v>61.51</v>
      </c>
      <c r="C116">
        <v>49.73</v>
      </c>
      <c r="D116">
        <v>63.62</v>
      </c>
      <c r="E116">
        <v>46.78</v>
      </c>
      <c r="F116">
        <v>50.01</v>
      </c>
      <c r="G116">
        <v>60.67</v>
      </c>
      <c r="H116">
        <v>46.95</v>
      </c>
      <c r="K116" s="9">
        <f t="shared" si="20"/>
        <v>0.11000000000000654</v>
      </c>
      <c r="L116">
        <f t="shared" si="20"/>
        <v>-2.5</v>
      </c>
      <c r="M116">
        <f t="shared" si="20"/>
        <v>0.61999999999999744</v>
      </c>
      <c r="N116">
        <f t="shared" si="20"/>
        <v>0.21999999999999886</v>
      </c>
      <c r="O116">
        <f t="shared" si="19"/>
        <v>-4.6600000000000037</v>
      </c>
      <c r="P116" s="10">
        <f t="shared" si="19"/>
        <v>0.5</v>
      </c>
    </row>
    <row r="117" spans="1:16">
      <c r="A117">
        <v>24</v>
      </c>
      <c r="B117">
        <v>61.51</v>
      </c>
      <c r="C117">
        <v>49.78</v>
      </c>
      <c r="D117">
        <v>62.34</v>
      </c>
      <c r="E117">
        <v>47.01</v>
      </c>
      <c r="F117">
        <v>50.12</v>
      </c>
      <c r="G117">
        <v>60.06</v>
      </c>
      <c r="H117">
        <v>47.23</v>
      </c>
      <c r="K117" s="9">
        <f t="shared" si="20"/>
        <v>0.11999999999999744</v>
      </c>
      <c r="L117">
        <f t="shared" si="20"/>
        <v>-1</v>
      </c>
      <c r="M117">
        <f t="shared" si="20"/>
        <v>0.60999999999999943</v>
      </c>
      <c r="N117">
        <f t="shared" si="20"/>
        <v>0.22000000000000597</v>
      </c>
      <c r="O117">
        <f t="shared" si="19"/>
        <v>-5.1099999999999994</v>
      </c>
      <c r="P117" s="10">
        <f t="shared" si="19"/>
        <v>0.55000000000000426</v>
      </c>
    </row>
    <row r="118" spans="1:16">
      <c r="A118">
        <v>24.25</v>
      </c>
      <c r="B118">
        <v>61.67</v>
      </c>
      <c r="C118">
        <v>49.78</v>
      </c>
      <c r="D118">
        <v>61.78</v>
      </c>
      <c r="E118">
        <v>47.17</v>
      </c>
      <c r="F118">
        <v>50.28</v>
      </c>
      <c r="G118">
        <v>57.56</v>
      </c>
      <c r="H118">
        <v>47.62</v>
      </c>
      <c r="K118" s="9">
        <f t="shared" si="20"/>
        <v>0.17000000000000171</v>
      </c>
      <c r="L118">
        <f t="shared" si="20"/>
        <v>2</v>
      </c>
      <c r="M118">
        <f t="shared" si="20"/>
        <v>0.5</v>
      </c>
      <c r="N118">
        <f t="shared" si="20"/>
        <v>0.28000000000000114</v>
      </c>
      <c r="O118">
        <f t="shared" si="19"/>
        <v>-3</v>
      </c>
      <c r="P118" s="10">
        <f t="shared" si="19"/>
        <v>0.28000000000000114</v>
      </c>
    </row>
    <row r="119" spans="1:16">
      <c r="A119">
        <v>24.5</v>
      </c>
      <c r="B119">
        <v>61.9</v>
      </c>
      <c r="C119">
        <v>49.84</v>
      </c>
      <c r="D119">
        <v>61.12</v>
      </c>
      <c r="E119">
        <v>47.4</v>
      </c>
      <c r="F119">
        <v>50.23</v>
      </c>
      <c r="G119">
        <v>56.01</v>
      </c>
      <c r="H119">
        <v>47.45</v>
      </c>
      <c r="K119" s="9">
        <f t="shared" si="20"/>
        <v>5.9999999999995168E-2</v>
      </c>
      <c r="L119">
        <f t="shared" si="20"/>
        <v>5.3900000000000077</v>
      </c>
      <c r="M119">
        <f t="shared" si="20"/>
        <v>0.5</v>
      </c>
      <c r="N119">
        <f t="shared" si="20"/>
        <v>0.67000000000000171</v>
      </c>
      <c r="O119">
        <f t="shared" si="19"/>
        <v>-1.6099999999999994</v>
      </c>
      <c r="P119" s="10">
        <f t="shared" si="19"/>
        <v>0.89000000000000057</v>
      </c>
    </row>
    <row r="120" spans="1:16">
      <c r="A120">
        <v>24.75</v>
      </c>
      <c r="B120">
        <v>62.45</v>
      </c>
      <c r="C120">
        <v>49.9</v>
      </c>
      <c r="D120">
        <v>61.34</v>
      </c>
      <c r="E120">
        <v>47.62</v>
      </c>
      <c r="F120">
        <v>50.34</v>
      </c>
      <c r="G120">
        <v>54.95</v>
      </c>
      <c r="H120">
        <v>47.78</v>
      </c>
      <c r="K120" s="9">
        <f t="shared" si="20"/>
        <v>0.16000000000000369</v>
      </c>
      <c r="L120">
        <f t="shared" si="20"/>
        <v>6.2800000000000011</v>
      </c>
      <c r="M120">
        <f t="shared" si="20"/>
        <v>0.3300000000000054</v>
      </c>
      <c r="N120">
        <f t="shared" si="20"/>
        <v>0.88999999999999346</v>
      </c>
      <c r="O120">
        <f t="shared" si="19"/>
        <v>-0.44000000000000483</v>
      </c>
      <c r="P120" s="10">
        <f t="shared" si="19"/>
        <v>0.44999999999999574</v>
      </c>
    </row>
    <row r="121" spans="1:16">
      <c r="A121">
        <v>25</v>
      </c>
      <c r="B121">
        <v>63.17</v>
      </c>
      <c r="C121">
        <v>49.95</v>
      </c>
      <c r="D121">
        <v>63.78</v>
      </c>
      <c r="E121">
        <v>47.67</v>
      </c>
      <c r="F121">
        <v>50.56</v>
      </c>
      <c r="G121">
        <v>54.56</v>
      </c>
      <c r="H121">
        <v>47.9</v>
      </c>
      <c r="K121" s="9">
        <f t="shared" si="20"/>
        <v>0.21999999999999886</v>
      </c>
      <c r="L121">
        <f t="shared" si="20"/>
        <v>4.6200000000000045</v>
      </c>
      <c r="M121">
        <f t="shared" si="20"/>
        <v>0.5</v>
      </c>
      <c r="N121">
        <f t="shared" si="20"/>
        <v>0.94999999999999574</v>
      </c>
      <c r="O121">
        <f t="shared" si="19"/>
        <v>0.6699999999999946</v>
      </c>
      <c r="P121" s="10">
        <f t="shared" si="19"/>
        <v>5.0000000000004263E-2</v>
      </c>
    </row>
    <row r="122" spans="1:16">
      <c r="A122">
        <v>25.25</v>
      </c>
      <c r="B122">
        <v>63.78</v>
      </c>
      <c r="C122">
        <v>49.9</v>
      </c>
      <c r="D122">
        <v>66.510000000000005</v>
      </c>
      <c r="E122">
        <v>47.9</v>
      </c>
      <c r="F122">
        <v>50.9</v>
      </c>
      <c r="G122">
        <v>54.4</v>
      </c>
      <c r="H122">
        <v>48.34</v>
      </c>
      <c r="K122" s="9">
        <f t="shared" si="20"/>
        <v>0.38000000000000256</v>
      </c>
      <c r="L122">
        <f t="shared" si="20"/>
        <v>1.6099999999999994</v>
      </c>
      <c r="M122">
        <f t="shared" si="20"/>
        <v>0.38000000000000256</v>
      </c>
      <c r="N122">
        <f t="shared" si="20"/>
        <v>0.82999999999999829</v>
      </c>
      <c r="O122">
        <f t="shared" si="19"/>
        <v>1.2199999999999989</v>
      </c>
      <c r="P122" s="10">
        <f t="shared" si="19"/>
        <v>-0.56000000000000227</v>
      </c>
    </row>
    <row r="123" spans="1:16">
      <c r="A123">
        <v>25.5</v>
      </c>
      <c r="B123">
        <v>64.28</v>
      </c>
      <c r="C123">
        <v>50.06</v>
      </c>
      <c r="D123">
        <v>67.62</v>
      </c>
      <c r="E123">
        <v>47.95</v>
      </c>
      <c r="F123">
        <v>51.23</v>
      </c>
      <c r="G123">
        <v>54.51</v>
      </c>
      <c r="H123">
        <v>48.23</v>
      </c>
      <c r="K123" s="9">
        <f t="shared" si="20"/>
        <v>0.33999999999999631</v>
      </c>
      <c r="L123">
        <f t="shared" si="20"/>
        <v>-0.17000000000000171</v>
      </c>
      <c r="M123">
        <f t="shared" si="20"/>
        <v>0.6699999999999946</v>
      </c>
      <c r="N123">
        <f t="shared" si="20"/>
        <v>0.78000000000000114</v>
      </c>
      <c r="O123">
        <f t="shared" si="19"/>
        <v>1.5</v>
      </c>
      <c r="P123" s="10">
        <f t="shared" si="19"/>
        <v>-0.5</v>
      </c>
    </row>
    <row r="124" spans="1:16">
      <c r="A124">
        <v>25.75</v>
      </c>
      <c r="B124">
        <v>64.62</v>
      </c>
      <c r="C124">
        <v>50.17</v>
      </c>
      <c r="D124">
        <v>68.400000000000006</v>
      </c>
      <c r="E124">
        <v>48.17</v>
      </c>
      <c r="F124">
        <v>51.51</v>
      </c>
      <c r="G124">
        <v>55.23</v>
      </c>
      <c r="H124">
        <v>47.95</v>
      </c>
      <c r="K124" s="9">
        <f t="shared" si="20"/>
        <v>0.39000000000000057</v>
      </c>
      <c r="L124">
        <f t="shared" si="20"/>
        <v>-0.89000000000000057</v>
      </c>
      <c r="M124">
        <f t="shared" si="20"/>
        <v>0.60999999999999943</v>
      </c>
      <c r="N124">
        <f t="shared" si="20"/>
        <v>0.55000000000000426</v>
      </c>
      <c r="O124">
        <f t="shared" si="19"/>
        <v>2.0500000000000043</v>
      </c>
      <c r="P124" s="10">
        <f t="shared" si="19"/>
        <v>-0.17000000000000171</v>
      </c>
    </row>
    <row r="125" spans="1:16">
      <c r="A125">
        <v>26</v>
      </c>
      <c r="B125">
        <v>64.62</v>
      </c>
      <c r="C125">
        <v>50.28</v>
      </c>
      <c r="D125">
        <v>68.12</v>
      </c>
      <c r="E125">
        <v>48.28</v>
      </c>
      <c r="F125">
        <v>51.73</v>
      </c>
      <c r="G125">
        <v>55.62</v>
      </c>
      <c r="H125">
        <v>47.78</v>
      </c>
      <c r="K125" s="9">
        <f t="shared" si="20"/>
        <v>0.28000000000000114</v>
      </c>
      <c r="L125">
        <f t="shared" si="20"/>
        <v>-1.3400000000000034</v>
      </c>
      <c r="M125">
        <f t="shared" si="20"/>
        <v>0.67000000000000171</v>
      </c>
      <c r="N125">
        <f t="shared" si="20"/>
        <v>0.44000000000000483</v>
      </c>
      <c r="O125">
        <f t="shared" si="19"/>
        <v>2.1600000000000037</v>
      </c>
      <c r="P125" s="10">
        <f t="shared" si="19"/>
        <v>-0.21999999999999886</v>
      </c>
    </row>
    <row r="126" spans="1:16">
      <c r="A126">
        <v>26.25</v>
      </c>
      <c r="B126">
        <v>64.67</v>
      </c>
      <c r="C126">
        <v>50.4</v>
      </c>
      <c r="D126">
        <v>67.45</v>
      </c>
      <c r="E126">
        <v>48.62</v>
      </c>
      <c r="F126">
        <v>52.01</v>
      </c>
      <c r="G126">
        <v>56.01</v>
      </c>
      <c r="H126">
        <v>47.73</v>
      </c>
      <c r="K126" s="9">
        <f t="shared" si="20"/>
        <v>0.32999999999999829</v>
      </c>
      <c r="L126">
        <f t="shared" si="20"/>
        <v>-1.1099999999999994</v>
      </c>
      <c r="M126">
        <f t="shared" si="20"/>
        <v>0.55000000000000426</v>
      </c>
      <c r="N126">
        <f t="shared" si="20"/>
        <v>0.27000000000000313</v>
      </c>
      <c r="O126">
        <f t="shared" si="19"/>
        <v>0.89000000000000057</v>
      </c>
      <c r="P126" s="10">
        <f t="shared" si="19"/>
        <v>0.17000000000000171</v>
      </c>
    </row>
    <row r="127" spans="1:16">
      <c r="A127">
        <v>26.5</v>
      </c>
      <c r="B127">
        <v>64.84</v>
      </c>
      <c r="C127">
        <v>50.56</v>
      </c>
      <c r="D127">
        <v>67.510000000000005</v>
      </c>
      <c r="E127">
        <v>48.78</v>
      </c>
      <c r="F127">
        <v>52.06</v>
      </c>
      <c r="G127">
        <v>57.28</v>
      </c>
      <c r="H127">
        <v>47.78</v>
      </c>
      <c r="K127" s="9">
        <f t="shared" si="20"/>
        <v>0.39000000000000057</v>
      </c>
      <c r="L127">
        <f t="shared" si="20"/>
        <v>-1.3900000000000006</v>
      </c>
      <c r="M127">
        <f t="shared" si="20"/>
        <v>0.56000000000000227</v>
      </c>
      <c r="N127">
        <f t="shared" si="20"/>
        <v>0.5</v>
      </c>
      <c r="O127">
        <f t="shared" si="19"/>
        <v>-0.82999999999999829</v>
      </c>
      <c r="P127" s="10">
        <f t="shared" si="19"/>
        <v>0.44999999999999574</v>
      </c>
    </row>
    <row r="128" spans="1:16">
      <c r="A128">
        <v>26.75</v>
      </c>
      <c r="B128">
        <v>64.84</v>
      </c>
      <c r="C128">
        <v>50.56</v>
      </c>
      <c r="D128">
        <v>66.78</v>
      </c>
      <c r="E128">
        <v>48.95</v>
      </c>
      <c r="F128">
        <v>52.17</v>
      </c>
      <c r="G128">
        <v>57.78</v>
      </c>
      <c r="H128">
        <v>47.56</v>
      </c>
      <c r="K128" s="9">
        <f t="shared" si="20"/>
        <v>0.60999999999999943</v>
      </c>
      <c r="L128">
        <f t="shared" si="20"/>
        <v>-0.82999999999999829</v>
      </c>
      <c r="M128">
        <f t="shared" si="20"/>
        <v>0.6699999999999946</v>
      </c>
      <c r="N128">
        <f t="shared" si="20"/>
        <v>0.55999999999999517</v>
      </c>
      <c r="O128">
        <f t="shared" si="19"/>
        <v>-2</v>
      </c>
      <c r="P128" s="10">
        <f t="shared" si="19"/>
        <v>0.60999999999999943</v>
      </c>
    </row>
    <row r="129" spans="1:16">
      <c r="A129">
        <v>27</v>
      </c>
      <c r="B129">
        <v>64.900000000000006</v>
      </c>
      <c r="C129">
        <v>50.73</v>
      </c>
      <c r="D129">
        <v>66.34</v>
      </c>
      <c r="E129">
        <v>49.17</v>
      </c>
      <c r="F129">
        <v>52.28</v>
      </c>
      <c r="G129">
        <v>56.9</v>
      </c>
      <c r="H129">
        <v>47.9</v>
      </c>
      <c r="K129" s="9">
        <f t="shared" si="20"/>
        <v>0.72000000000000597</v>
      </c>
      <c r="L129">
        <f t="shared" si="20"/>
        <v>1.4399999999999977</v>
      </c>
      <c r="M129">
        <f t="shared" si="20"/>
        <v>0.60999999999999943</v>
      </c>
      <c r="N129">
        <f t="shared" si="20"/>
        <v>0.61999999999999744</v>
      </c>
      <c r="O129">
        <f t="shared" si="19"/>
        <v>-0.22999999999999687</v>
      </c>
      <c r="P129" s="10">
        <f t="shared" si="19"/>
        <v>0.32999999999999829</v>
      </c>
    </row>
    <row r="130" spans="1:16">
      <c r="A130">
        <v>27.25</v>
      </c>
      <c r="B130">
        <v>64.900000000000006</v>
      </c>
      <c r="C130">
        <v>50.95</v>
      </c>
      <c r="D130">
        <v>66.12</v>
      </c>
      <c r="E130">
        <v>49.34</v>
      </c>
      <c r="F130">
        <v>52.56</v>
      </c>
      <c r="G130">
        <v>56.45</v>
      </c>
      <c r="H130">
        <v>48.23</v>
      </c>
      <c r="K130" s="9">
        <f t="shared" si="20"/>
        <v>0.82999999999999829</v>
      </c>
      <c r="L130">
        <f t="shared" si="20"/>
        <v>6.8900000000000006</v>
      </c>
      <c r="M130">
        <f t="shared" si="20"/>
        <v>0.71999999999999886</v>
      </c>
      <c r="N130">
        <f t="shared" si="20"/>
        <v>0.60999999999999943</v>
      </c>
      <c r="O130">
        <f t="shared" ref="O130:P193" si="21">G133-G130</f>
        <v>1.1099999999999994</v>
      </c>
      <c r="P130" s="10">
        <f t="shared" si="21"/>
        <v>0.39000000000000057</v>
      </c>
    </row>
    <row r="131" spans="1:16">
      <c r="A131">
        <v>27.5</v>
      </c>
      <c r="B131">
        <v>64.95</v>
      </c>
      <c r="C131">
        <v>51.17</v>
      </c>
      <c r="D131">
        <v>65.95</v>
      </c>
      <c r="E131">
        <v>49.62</v>
      </c>
      <c r="F131">
        <v>52.73</v>
      </c>
      <c r="G131">
        <v>55.78</v>
      </c>
      <c r="H131">
        <v>48.17</v>
      </c>
      <c r="K131" s="9">
        <f t="shared" si="20"/>
        <v>0.94999999999999574</v>
      </c>
      <c r="L131">
        <f t="shared" si="20"/>
        <v>10.5</v>
      </c>
      <c r="M131">
        <f t="shared" si="20"/>
        <v>0.66000000000000369</v>
      </c>
      <c r="N131">
        <f t="shared" si="20"/>
        <v>0.55000000000000426</v>
      </c>
      <c r="O131">
        <f t="shared" si="21"/>
        <v>3</v>
      </c>
      <c r="P131" s="10">
        <f t="shared" si="21"/>
        <v>0.60999999999999943</v>
      </c>
    </row>
    <row r="132" spans="1:16">
      <c r="A132">
        <v>27.75</v>
      </c>
      <c r="B132">
        <v>65.12</v>
      </c>
      <c r="C132">
        <v>51.45</v>
      </c>
      <c r="D132">
        <v>67.78</v>
      </c>
      <c r="E132">
        <v>49.78</v>
      </c>
      <c r="F132">
        <v>52.9</v>
      </c>
      <c r="G132">
        <v>56.67</v>
      </c>
      <c r="H132">
        <v>48.23</v>
      </c>
      <c r="K132" s="9">
        <f t="shared" si="20"/>
        <v>1</v>
      </c>
      <c r="L132">
        <f t="shared" si="20"/>
        <v>11.120000000000005</v>
      </c>
      <c r="M132">
        <f t="shared" si="20"/>
        <v>0.56000000000000227</v>
      </c>
      <c r="N132">
        <f t="shared" si="20"/>
        <v>0.60999999999999943</v>
      </c>
      <c r="O132">
        <f t="shared" si="21"/>
        <v>3.7800000000000011</v>
      </c>
      <c r="P132" s="10">
        <f t="shared" si="21"/>
        <v>0.72000000000000597</v>
      </c>
    </row>
    <row r="133" spans="1:16">
      <c r="A133">
        <v>28</v>
      </c>
      <c r="B133">
        <v>65.45</v>
      </c>
      <c r="C133">
        <v>51.78</v>
      </c>
      <c r="D133">
        <v>73.010000000000005</v>
      </c>
      <c r="E133">
        <v>50.06</v>
      </c>
      <c r="F133">
        <v>53.17</v>
      </c>
      <c r="G133">
        <v>57.56</v>
      </c>
      <c r="H133">
        <v>48.62</v>
      </c>
      <c r="K133" s="9">
        <f t="shared" si="20"/>
        <v>0.94999999999999574</v>
      </c>
      <c r="L133">
        <f t="shared" si="20"/>
        <v>8.4399999999999977</v>
      </c>
      <c r="M133">
        <f t="shared" si="20"/>
        <v>0.5</v>
      </c>
      <c r="N133">
        <f t="shared" si="20"/>
        <v>0.5</v>
      </c>
      <c r="O133">
        <f t="shared" si="21"/>
        <v>4.7800000000000011</v>
      </c>
      <c r="P133" s="10">
        <f t="shared" si="21"/>
        <v>0.39000000000000057</v>
      </c>
    </row>
    <row r="134" spans="1:16">
      <c r="A134">
        <v>28.25</v>
      </c>
      <c r="B134">
        <v>65.73</v>
      </c>
      <c r="C134">
        <v>52.12</v>
      </c>
      <c r="D134">
        <v>76.45</v>
      </c>
      <c r="E134">
        <v>50.28</v>
      </c>
      <c r="F134">
        <v>53.28</v>
      </c>
      <c r="G134">
        <v>58.78</v>
      </c>
      <c r="H134">
        <v>48.78</v>
      </c>
      <c r="K134" s="9">
        <f t="shared" si="20"/>
        <v>0.89000000000000057</v>
      </c>
      <c r="L134">
        <f t="shared" si="20"/>
        <v>7.7199999999999989</v>
      </c>
      <c r="M134">
        <f t="shared" si="20"/>
        <v>0.44999999999999574</v>
      </c>
      <c r="N134">
        <f t="shared" si="20"/>
        <v>0.5</v>
      </c>
      <c r="O134">
        <f t="shared" si="21"/>
        <v>5.9500000000000028</v>
      </c>
      <c r="P134" s="10">
        <f t="shared" si="21"/>
        <v>0.22999999999999687</v>
      </c>
    </row>
    <row r="135" spans="1:16">
      <c r="A135">
        <v>28.5</v>
      </c>
      <c r="B135">
        <v>66.06</v>
      </c>
      <c r="C135">
        <v>52.45</v>
      </c>
      <c r="D135">
        <v>78.900000000000006</v>
      </c>
      <c r="E135">
        <v>50.34</v>
      </c>
      <c r="F135">
        <v>53.51</v>
      </c>
      <c r="G135">
        <v>60.45</v>
      </c>
      <c r="H135">
        <v>48.95</v>
      </c>
      <c r="K135" s="9">
        <f t="shared" si="20"/>
        <v>0.82999999999999829</v>
      </c>
      <c r="L135">
        <f t="shared" si="20"/>
        <v>4.9399999999999977</v>
      </c>
      <c r="M135">
        <f t="shared" si="20"/>
        <v>0.6699999999999946</v>
      </c>
      <c r="N135">
        <f t="shared" si="20"/>
        <v>0.5</v>
      </c>
      <c r="O135">
        <f t="shared" si="21"/>
        <v>4.5600000000000023</v>
      </c>
      <c r="P135" s="10">
        <f t="shared" si="21"/>
        <v>0.21999999999999886</v>
      </c>
    </row>
    <row r="136" spans="1:16">
      <c r="A136">
        <v>28.75</v>
      </c>
      <c r="B136">
        <v>66.17</v>
      </c>
      <c r="C136">
        <v>52.73</v>
      </c>
      <c r="D136">
        <v>81.45</v>
      </c>
      <c r="E136">
        <v>50.56</v>
      </c>
      <c r="F136">
        <v>53.67</v>
      </c>
      <c r="G136">
        <v>62.34</v>
      </c>
      <c r="H136">
        <v>49.01</v>
      </c>
      <c r="K136" s="9">
        <f t="shared" si="20"/>
        <v>0.89000000000000057</v>
      </c>
      <c r="L136">
        <f t="shared" si="20"/>
        <v>-0.21999999999999886</v>
      </c>
      <c r="M136">
        <f t="shared" si="20"/>
        <v>0.60999999999999943</v>
      </c>
      <c r="N136">
        <f t="shared" si="20"/>
        <v>0.5</v>
      </c>
      <c r="O136">
        <f t="shared" si="21"/>
        <v>1.1099999999999994</v>
      </c>
      <c r="P136" s="10">
        <f t="shared" si="21"/>
        <v>-0.1699999999999946</v>
      </c>
    </row>
    <row r="137" spans="1:16">
      <c r="A137">
        <v>29</v>
      </c>
      <c r="B137">
        <v>66.23</v>
      </c>
      <c r="C137">
        <v>53.01</v>
      </c>
      <c r="D137">
        <v>84.17</v>
      </c>
      <c r="E137">
        <v>50.73</v>
      </c>
      <c r="F137">
        <v>53.78</v>
      </c>
      <c r="G137">
        <v>64.73</v>
      </c>
      <c r="H137">
        <v>49.01</v>
      </c>
      <c r="K137" s="9">
        <f t="shared" si="20"/>
        <v>0.94000000000000483</v>
      </c>
      <c r="L137">
        <f t="shared" si="20"/>
        <v>-5.5499999999999972</v>
      </c>
      <c r="M137">
        <f t="shared" si="20"/>
        <v>0.67000000000000171</v>
      </c>
      <c r="N137">
        <f t="shared" si="20"/>
        <v>0.5</v>
      </c>
      <c r="O137">
        <f t="shared" si="21"/>
        <v>-3.7800000000000011</v>
      </c>
      <c r="P137" s="10">
        <f t="shared" si="21"/>
        <v>0.27000000000000313</v>
      </c>
    </row>
    <row r="138" spans="1:16">
      <c r="A138">
        <v>29.25</v>
      </c>
      <c r="B138">
        <v>66.34</v>
      </c>
      <c r="C138">
        <v>53.28</v>
      </c>
      <c r="D138">
        <v>83.84</v>
      </c>
      <c r="E138">
        <v>51.01</v>
      </c>
      <c r="F138">
        <v>54.01</v>
      </c>
      <c r="G138">
        <v>65.010000000000005</v>
      </c>
      <c r="H138">
        <v>49.17</v>
      </c>
      <c r="K138" s="9">
        <f t="shared" si="20"/>
        <v>1.1199999999999974</v>
      </c>
      <c r="L138">
        <f t="shared" si="20"/>
        <v>-8.61</v>
      </c>
      <c r="M138">
        <f t="shared" si="20"/>
        <v>0.66000000000000369</v>
      </c>
      <c r="N138">
        <f t="shared" si="20"/>
        <v>0.3300000000000054</v>
      </c>
      <c r="O138">
        <f t="shared" si="21"/>
        <v>-5.730000000000004</v>
      </c>
      <c r="P138" s="10">
        <f t="shared" si="21"/>
        <v>0.28000000000000114</v>
      </c>
    </row>
    <row r="139" spans="1:16">
      <c r="A139">
        <v>29.5</v>
      </c>
      <c r="B139">
        <v>66.510000000000005</v>
      </c>
      <c r="C139">
        <v>53.62</v>
      </c>
      <c r="D139">
        <v>81.23</v>
      </c>
      <c r="E139">
        <v>51.17</v>
      </c>
      <c r="F139">
        <v>54.17</v>
      </c>
      <c r="G139">
        <v>63.45</v>
      </c>
      <c r="H139">
        <v>48.84</v>
      </c>
      <c r="K139" s="9">
        <f t="shared" si="20"/>
        <v>1</v>
      </c>
      <c r="L139">
        <f t="shared" si="20"/>
        <v>-8.7800000000000011</v>
      </c>
      <c r="M139">
        <f t="shared" si="20"/>
        <v>0.83999999999999631</v>
      </c>
      <c r="N139">
        <f t="shared" si="20"/>
        <v>0.39000000000000057</v>
      </c>
      <c r="O139">
        <f t="shared" si="21"/>
        <v>-5.1099999999999994</v>
      </c>
      <c r="P139" s="10">
        <f t="shared" si="21"/>
        <v>0.6699999999999946</v>
      </c>
    </row>
    <row r="140" spans="1:16">
      <c r="A140">
        <v>29.75</v>
      </c>
      <c r="B140">
        <v>66.510000000000005</v>
      </c>
      <c r="C140">
        <v>53.95</v>
      </c>
      <c r="D140">
        <v>78.62</v>
      </c>
      <c r="E140">
        <v>51.4</v>
      </c>
      <c r="F140">
        <v>54.28</v>
      </c>
      <c r="G140">
        <v>60.95</v>
      </c>
      <c r="H140">
        <v>49.28</v>
      </c>
      <c r="K140" s="9">
        <f t="shared" si="20"/>
        <v>0.94999999999999574</v>
      </c>
      <c r="L140">
        <f t="shared" si="20"/>
        <v>-5.6099999999999994</v>
      </c>
      <c r="M140">
        <f t="shared" si="20"/>
        <v>0.71999999999999886</v>
      </c>
      <c r="N140">
        <f t="shared" si="20"/>
        <v>0.56000000000000227</v>
      </c>
      <c r="O140">
        <f t="shared" si="21"/>
        <v>-3.1099999999999994</v>
      </c>
      <c r="P140" s="10">
        <f t="shared" si="21"/>
        <v>0.61999999999999744</v>
      </c>
    </row>
    <row r="141" spans="1:16">
      <c r="A141">
        <v>30</v>
      </c>
      <c r="B141">
        <v>66.56</v>
      </c>
      <c r="C141">
        <v>54.4</v>
      </c>
      <c r="D141">
        <v>75.23</v>
      </c>
      <c r="E141">
        <v>51.67</v>
      </c>
      <c r="F141">
        <v>54.34</v>
      </c>
      <c r="G141">
        <v>59.28</v>
      </c>
      <c r="H141">
        <v>49.45</v>
      </c>
      <c r="K141" s="9">
        <f t="shared" si="20"/>
        <v>0.88000000000000256</v>
      </c>
      <c r="L141">
        <f t="shared" si="20"/>
        <v>0.54999999999999716</v>
      </c>
      <c r="M141">
        <f t="shared" si="20"/>
        <v>0.60999999999999943</v>
      </c>
      <c r="N141">
        <f t="shared" si="20"/>
        <v>0.88999999999999346</v>
      </c>
      <c r="O141">
        <f t="shared" si="21"/>
        <v>-1.5</v>
      </c>
      <c r="P141" s="10">
        <f t="shared" si="21"/>
        <v>0.21999999999999886</v>
      </c>
    </row>
    <row r="142" spans="1:16">
      <c r="A142">
        <v>30.25</v>
      </c>
      <c r="B142">
        <v>66.900000000000006</v>
      </c>
      <c r="C142">
        <v>54.62</v>
      </c>
      <c r="D142">
        <v>72.45</v>
      </c>
      <c r="E142">
        <v>52.01</v>
      </c>
      <c r="F142">
        <v>54.56</v>
      </c>
      <c r="G142">
        <v>58.34</v>
      </c>
      <c r="H142">
        <v>49.51</v>
      </c>
      <c r="K142" s="9">
        <f t="shared" si="20"/>
        <v>0.94000000000000483</v>
      </c>
      <c r="L142">
        <f t="shared" si="20"/>
        <v>4.0600000000000023</v>
      </c>
      <c r="M142">
        <f t="shared" si="20"/>
        <v>0.55000000000000426</v>
      </c>
      <c r="N142">
        <f t="shared" si="20"/>
        <v>0.94999999999999574</v>
      </c>
      <c r="O142">
        <f t="shared" si="21"/>
        <v>-0.89000000000000057</v>
      </c>
      <c r="P142" s="10">
        <f t="shared" si="21"/>
        <v>0.60999999999999943</v>
      </c>
    </row>
    <row r="143" spans="1:16">
      <c r="A143">
        <v>30.5</v>
      </c>
      <c r="B143">
        <v>67.34</v>
      </c>
      <c r="C143">
        <v>54.9</v>
      </c>
      <c r="D143">
        <v>73.010000000000005</v>
      </c>
      <c r="E143">
        <v>52.12</v>
      </c>
      <c r="F143">
        <v>54.84</v>
      </c>
      <c r="G143">
        <v>57.84</v>
      </c>
      <c r="H143">
        <v>49.9</v>
      </c>
      <c r="K143" s="9">
        <f t="shared" si="20"/>
        <v>0.94000000000000483</v>
      </c>
      <c r="L143">
        <f t="shared" si="20"/>
        <v>3.0499999999999972</v>
      </c>
      <c r="M143">
        <f t="shared" si="20"/>
        <v>0.55000000000000426</v>
      </c>
      <c r="N143">
        <f t="shared" si="20"/>
        <v>0.93999999999999773</v>
      </c>
      <c r="O143">
        <f t="shared" si="21"/>
        <v>-0.39000000000000057</v>
      </c>
      <c r="P143" s="10">
        <f t="shared" si="21"/>
        <v>0.27000000000000313</v>
      </c>
    </row>
    <row r="144" spans="1:16">
      <c r="A144">
        <v>30.75</v>
      </c>
      <c r="B144">
        <v>67.73</v>
      </c>
      <c r="C144">
        <v>55.28</v>
      </c>
      <c r="D144">
        <v>75.78</v>
      </c>
      <c r="E144">
        <v>52.28</v>
      </c>
      <c r="F144">
        <v>55.23</v>
      </c>
      <c r="G144">
        <v>57.78</v>
      </c>
      <c r="H144">
        <v>49.67</v>
      </c>
      <c r="K144" s="9">
        <f t="shared" si="20"/>
        <v>0.83999999999999631</v>
      </c>
      <c r="L144">
        <f t="shared" si="20"/>
        <v>-0.43999999999999773</v>
      </c>
      <c r="M144">
        <f t="shared" si="20"/>
        <v>0.61999999999999744</v>
      </c>
      <c r="N144">
        <f t="shared" si="20"/>
        <v>0.78000000000000114</v>
      </c>
      <c r="O144">
        <f t="shared" si="21"/>
        <v>-0.16000000000000369</v>
      </c>
      <c r="P144" s="10">
        <f t="shared" si="21"/>
        <v>0.67000000000000171</v>
      </c>
    </row>
    <row r="145" spans="1:16">
      <c r="A145">
        <v>31</v>
      </c>
      <c r="B145">
        <v>68.17</v>
      </c>
      <c r="C145">
        <v>55.56</v>
      </c>
      <c r="D145">
        <v>76.510000000000005</v>
      </c>
      <c r="E145">
        <v>52.56</v>
      </c>
      <c r="F145">
        <v>55.51</v>
      </c>
      <c r="G145">
        <v>57.45</v>
      </c>
      <c r="H145">
        <v>50.12</v>
      </c>
      <c r="K145" s="9">
        <f t="shared" si="20"/>
        <v>0.94999999999999574</v>
      </c>
      <c r="L145">
        <f t="shared" si="20"/>
        <v>-1.730000000000004</v>
      </c>
      <c r="M145">
        <f t="shared" si="20"/>
        <v>0.44999999999999574</v>
      </c>
      <c r="N145">
        <f t="shared" si="20"/>
        <v>0.71999999999999886</v>
      </c>
      <c r="O145">
        <f t="shared" si="21"/>
        <v>5.9999999999995168E-2</v>
      </c>
      <c r="P145" s="10">
        <f t="shared" si="21"/>
        <v>5.0000000000004263E-2</v>
      </c>
    </row>
    <row r="146" spans="1:16">
      <c r="A146">
        <v>31.25</v>
      </c>
      <c r="B146">
        <v>68.34</v>
      </c>
      <c r="C146">
        <v>55.84</v>
      </c>
      <c r="D146">
        <v>76.06</v>
      </c>
      <c r="E146">
        <v>52.67</v>
      </c>
      <c r="F146">
        <v>55.78</v>
      </c>
      <c r="G146">
        <v>57.45</v>
      </c>
      <c r="H146">
        <v>50.17</v>
      </c>
      <c r="K146" s="9">
        <f t="shared" si="20"/>
        <v>0.93999999999999773</v>
      </c>
      <c r="L146">
        <f t="shared" si="20"/>
        <v>-2.7800000000000011</v>
      </c>
      <c r="M146">
        <f t="shared" si="20"/>
        <v>0.67000000000000171</v>
      </c>
      <c r="N146">
        <f t="shared" si="20"/>
        <v>0.5</v>
      </c>
      <c r="O146">
        <f t="shared" si="21"/>
        <v>0.10999999999999943</v>
      </c>
      <c r="P146" s="10">
        <f t="shared" si="21"/>
        <v>0</v>
      </c>
    </row>
    <row r="147" spans="1:16">
      <c r="A147">
        <v>31.5</v>
      </c>
      <c r="B147">
        <v>68.34</v>
      </c>
      <c r="C147">
        <v>56.12</v>
      </c>
      <c r="D147">
        <v>75.34</v>
      </c>
      <c r="E147">
        <v>52.9</v>
      </c>
      <c r="F147">
        <v>56.01</v>
      </c>
      <c r="G147">
        <v>57.62</v>
      </c>
      <c r="H147">
        <v>50.34</v>
      </c>
      <c r="K147" s="9">
        <f t="shared" si="20"/>
        <v>0.94000000000000483</v>
      </c>
      <c r="L147">
        <f t="shared" si="20"/>
        <v>-2.9399999999999977</v>
      </c>
      <c r="M147">
        <f t="shared" si="20"/>
        <v>0.60999999999999943</v>
      </c>
      <c r="N147">
        <f t="shared" si="20"/>
        <v>0.3300000000000054</v>
      </c>
      <c r="O147">
        <f t="shared" si="21"/>
        <v>0.89000000000000057</v>
      </c>
      <c r="P147" s="10">
        <f t="shared" si="21"/>
        <v>-0.17000000000000171</v>
      </c>
    </row>
    <row r="148" spans="1:16">
      <c r="A148">
        <v>31.75</v>
      </c>
      <c r="B148">
        <v>68.28</v>
      </c>
      <c r="C148">
        <v>56.51</v>
      </c>
      <c r="D148">
        <v>74.78</v>
      </c>
      <c r="E148">
        <v>53.01</v>
      </c>
      <c r="F148">
        <v>56.23</v>
      </c>
      <c r="G148">
        <v>57.51</v>
      </c>
      <c r="H148">
        <v>50.17</v>
      </c>
      <c r="K148" s="9">
        <f t="shared" si="20"/>
        <v>0.71999999999999886</v>
      </c>
      <c r="L148">
        <f t="shared" si="20"/>
        <v>-3.0499999999999972</v>
      </c>
      <c r="M148">
        <f t="shared" si="20"/>
        <v>0.66000000000000369</v>
      </c>
      <c r="N148">
        <f t="shared" si="20"/>
        <v>0.11000000000000654</v>
      </c>
      <c r="O148">
        <f t="shared" si="21"/>
        <v>1.8300000000000054</v>
      </c>
      <c r="P148" s="10">
        <f t="shared" si="21"/>
        <v>0.28000000000000114</v>
      </c>
    </row>
    <row r="149" spans="1:16">
      <c r="A149">
        <v>32</v>
      </c>
      <c r="B149">
        <v>68.17</v>
      </c>
      <c r="C149">
        <v>56.78</v>
      </c>
      <c r="D149">
        <v>73.28</v>
      </c>
      <c r="E149">
        <v>53.34</v>
      </c>
      <c r="F149">
        <v>56.28</v>
      </c>
      <c r="G149">
        <v>57.56</v>
      </c>
      <c r="H149">
        <v>50.17</v>
      </c>
      <c r="K149" s="9">
        <f t="shared" si="20"/>
        <v>0.67000000000000171</v>
      </c>
      <c r="L149">
        <f t="shared" si="20"/>
        <v>-1.9399999999999977</v>
      </c>
      <c r="M149">
        <f t="shared" si="20"/>
        <v>0.55999999999999517</v>
      </c>
      <c r="N149">
        <f t="shared" ref="N149:P212" si="22">F152-F149</f>
        <v>0.22999999999999687</v>
      </c>
      <c r="O149">
        <f t="shared" si="21"/>
        <v>2.7800000000000011</v>
      </c>
      <c r="P149" s="10">
        <f t="shared" si="21"/>
        <v>0.39000000000000057</v>
      </c>
    </row>
    <row r="150" spans="1:16">
      <c r="A150">
        <v>32.25</v>
      </c>
      <c r="B150">
        <v>68.28</v>
      </c>
      <c r="C150">
        <v>57.06</v>
      </c>
      <c r="D150">
        <v>72.400000000000006</v>
      </c>
      <c r="E150">
        <v>53.51</v>
      </c>
      <c r="F150">
        <v>56.34</v>
      </c>
      <c r="G150">
        <v>58.51</v>
      </c>
      <c r="H150">
        <v>50.17</v>
      </c>
      <c r="K150" s="9">
        <f t="shared" ref="K150:P213" si="23">C153-C150</f>
        <v>0.55999999999999517</v>
      </c>
      <c r="L150">
        <f t="shared" si="23"/>
        <v>-0.67000000000000171</v>
      </c>
      <c r="M150">
        <f t="shared" si="23"/>
        <v>0.55000000000000426</v>
      </c>
      <c r="N150">
        <f t="shared" si="22"/>
        <v>0.10999999999999943</v>
      </c>
      <c r="O150">
        <f t="shared" si="21"/>
        <v>3.7199999999999989</v>
      </c>
      <c r="P150" s="10">
        <f t="shared" si="21"/>
        <v>0.28000000000000114</v>
      </c>
    </row>
    <row r="151" spans="1:16">
      <c r="A151">
        <v>32.5</v>
      </c>
      <c r="B151">
        <v>68.17</v>
      </c>
      <c r="C151">
        <v>57.23</v>
      </c>
      <c r="D151">
        <v>71.73</v>
      </c>
      <c r="E151">
        <v>53.67</v>
      </c>
      <c r="F151">
        <v>56.34</v>
      </c>
      <c r="G151">
        <v>59.34</v>
      </c>
      <c r="H151">
        <v>50.45</v>
      </c>
      <c r="K151" s="9">
        <f t="shared" si="23"/>
        <v>0.61000000000000654</v>
      </c>
      <c r="L151">
        <f t="shared" si="23"/>
        <v>3.5499999999999972</v>
      </c>
      <c r="M151">
        <f t="shared" si="23"/>
        <v>0.60999999999999943</v>
      </c>
      <c r="N151">
        <f t="shared" si="22"/>
        <v>0.1699999999999946</v>
      </c>
      <c r="O151">
        <f t="shared" si="21"/>
        <v>5.2199999999999989</v>
      </c>
      <c r="P151" s="10">
        <f t="shared" si="21"/>
        <v>-0.10999999999999943</v>
      </c>
    </row>
    <row r="152" spans="1:16">
      <c r="A152">
        <v>32.75</v>
      </c>
      <c r="B152">
        <v>68.17</v>
      </c>
      <c r="C152">
        <v>57.45</v>
      </c>
      <c r="D152">
        <v>71.34</v>
      </c>
      <c r="E152">
        <v>53.9</v>
      </c>
      <c r="F152">
        <v>56.51</v>
      </c>
      <c r="G152">
        <v>60.34</v>
      </c>
      <c r="H152">
        <v>50.56</v>
      </c>
      <c r="K152" s="9">
        <f t="shared" si="23"/>
        <v>0.5</v>
      </c>
      <c r="L152">
        <f t="shared" si="23"/>
        <v>8.9399999999999977</v>
      </c>
      <c r="M152">
        <f t="shared" si="23"/>
        <v>0.55000000000000426</v>
      </c>
      <c r="N152">
        <f t="shared" si="22"/>
        <v>0</v>
      </c>
      <c r="O152">
        <f t="shared" si="21"/>
        <v>7.1099999999999994</v>
      </c>
      <c r="P152" s="10">
        <f t="shared" si="21"/>
        <v>-0.3300000000000054</v>
      </c>
    </row>
    <row r="153" spans="1:16">
      <c r="A153">
        <v>33</v>
      </c>
      <c r="B153">
        <v>68.34</v>
      </c>
      <c r="C153">
        <v>57.62</v>
      </c>
      <c r="D153">
        <v>71.73</v>
      </c>
      <c r="E153">
        <v>54.06</v>
      </c>
      <c r="F153">
        <v>56.45</v>
      </c>
      <c r="G153">
        <v>62.23</v>
      </c>
      <c r="H153">
        <v>50.45</v>
      </c>
      <c r="K153" s="9">
        <f t="shared" si="23"/>
        <v>0.44000000000000483</v>
      </c>
      <c r="L153">
        <f t="shared" si="23"/>
        <v>10.5</v>
      </c>
      <c r="M153">
        <f t="shared" si="23"/>
        <v>0.5</v>
      </c>
      <c r="N153">
        <f t="shared" si="22"/>
        <v>-5.0000000000004263E-2</v>
      </c>
      <c r="O153">
        <f t="shared" si="21"/>
        <v>4.9400000000000048</v>
      </c>
      <c r="P153" s="10">
        <f t="shared" si="21"/>
        <v>-0.28000000000000114</v>
      </c>
    </row>
    <row r="154" spans="1:16">
      <c r="A154">
        <v>33.25</v>
      </c>
      <c r="B154">
        <v>68.510000000000005</v>
      </c>
      <c r="C154">
        <v>57.84</v>
      </c>
      <c r="D154">
        <v>75.28</v>
      </c>
      <c r="E154">
        <v>54.28</v>
      </c>
      <c r="F154">
        <v>56.51</v>
      </c>
      <c r="G154">
        <v>64.56</v>
      </c>
      <c r="H154">
        <v>50.34</v>
      </c>
      <c r="K154" s="9">
        <f t="shared" si="23"/>
        <v>0.32999999999999829</v>
      </c>
      <c r="L154">
        <f t="shared" si="23"/>
        <v>10.39</v>
      </c>
      <c r="M154">
        <f t="shared" si="23"/>
        <v>0.44999999999999574</v>
      </c>
      <c r="N154">
        <f t="shared" si="22"/>
        <v>0</v>
      </c>
      <c r="O154">
        <f t="shared" si="21"/>
        <v>0.39000000000000057</v>
      </c>
      <c r="P154" s="10">
        <f t="shared" si="21"/>
        <v>-0.11000000000000654</v>
      </c>
    </row>
    <row r="155" spans="1:16">
      <c r="A155">
        <v>33.5</v>
      </c>
      <c r="B155">
        <v>68.78</v>
      </c>
      <c r="C155">
        <v>57.95</v>
      </c>
      <c r="D155">
        <v>80.28</v>
      </c>
      <c r="E155">
        <v>54.45</v>
      </c>
      <c r="F155">
        <v>56.51</v>
      </c>
      <c r="G155">
        <v>67.45</v>
      </c>
      <c r="H155">
        <v>50.23</v>
      </c>
      <c r="K155" s="9">
        <f t="shared" si="23"/>
        <v>0.39000000000000057</v>
      </c>
      <c r="L155">
        <f t="shared" si="23"/>
        <v>9.9500000000000028</v>
      </c>
      <c r="M155">
        <f t="shared" si="23"/>
        <v>0.39000000000000057</v>
      </c>
      <c r="N155">
        <f t="shared" si="22"/>
        <v>0</v>
      </c>
      <c r="O155">
        <f t="shared" si="21"/>
        <v>-4.6700000000000017</v>
      </c>
      <c r="P155" s="10">
        <f t="shared" si="21"/>
        <v>0.11000000000000654</v>
      </c>
    </row>
    <row r="156" spans="1:16">
      <c r="A156">
        <v>33.75</v>
      </c>
      <c r="B156">
        <v>69.06</v>
      </c>
      <c r="C156">
        <v>58.06</v>
      </c>
      <c r="D156">
        <v>82.23</v>
      </c>
      <c r="E156">
        <v>54.56</v>
      </c>
      <c r="F156">
        <v>56.4</v>
      </c>
      <c r="G156">
        <v>67.17</v>
      </c>
      <c r="H156">
        <v>50.17</v>
      </c>
      <c r="K156" s="9">
        <f t="shared" si="23"/>
        <v>0.5</v>
      </c>
      <c r="L156">
        <f t="shared" si="23"/>
        <v>8.5</v>
      </c>
      <c r="M156">
        <f t="shared" si="23"/>
        <v>0.60999999999999943</v>
      </c>
      <c r="N156">
        <f t="shared" si="22"/>
        <v>0.27000000000000313</v>
      </c>
      <c r="O156">
        <f t="shared" si="21"/>
        <v>-5.1600000000000037</v>
      </c>
      <c r="P156" s="10">
        <f t="shared" si="21"/>
        <v>0.33999999999999631</v>
      </c>
    </row>
    <row r="157" spans="1:16">
      <c r="A157">
        <v>34</v>
      </c>
      <c r="B157">
        <v>69.34</v>
      </c>
      <c r="C157">
        <v>58.17</v>
      </c>
      <c r="D157">
        <v>85.67</v>
      </c>
      <c r="E157">
        <v>54.73</v>
      </c>
      <c r="F157">
        <v>56.51</v>
      </c>
      <c r="G157">
        <v>64.95</v>
      </c>
      <c r="H157">
        <v>50.23</v>
      </c>
      <c r="K157" s="9">
        <f t="shared" si="23"/>
        <v>0.44999999999999574</v>
      </c>
      <c r="L157">
        <f t="shared" si="23"/>
        <v>2.2800000000000011</v>
      </c>
      <c r="M157">
        <f t="shared" si="23"/>
        <v>0.61000000000000654</v>
      </c>
      <c r="N157">
        <f t="shared" si="22"/>
        <v>0.3300000000000054</v>
      </c>
      <c r="O157">
        <f t="shared" si="21"/>
        <v>-3.5</v>
      </c>
      <c r="P157" s="10">
        <f t="shared" si="21"/>
        <v>0.5</v>
      </c>
    </row>
    <row r="158" spans="1:16">
      <c r="A158">
        <v>34.25</v>
      </c>
      <c r="B158">
        <v>69.34</v>
      </c>
      <c r="C158">
        <v>58.34</v>
      </c>
      <c r="D158">
        <v>90.23</v>
      </c>
      <c r="E158">
        <v>54.84</v>
      </c>
      <c r="F158">
        <v>56.51</v>
      </c>
      <c r="G158">
        <v>62.78</v>
      </c>
      <c r="H158">
        <v>50.34</v>
      </c>
      <c r="K158" s="9">
        <f t="shared" si="23"/>
        <v>0.43999999999999773</v>
      </c>
      <c r="L158">
        <f t="shared" si="23"/>
        <v>-5.6099999999999994</v>
      </c>
      <c r="M158">
        <f t="shared" si="23"/>
        <v>0.60999999999999943</v>
      </c>
      <c r="N158">
        <f t="shared" si="22"/>
        <v>0.71999999999999886</v>
      </c>
      <c r="O158">
        <f t="shared" si="21"/>
        <v>-1.6600000000000037</v>
      </c>
      <c r="P158" s="10">
        <f t="shared" si="21"/>
        <v>0.55999999999999517</v>
      </c>
    </row>
    <row r="159" spans="1:16">
      <c r="A159">
        <v>34.5</v>
      </c>
      <c r="B159">
        <v>69.400000000000006</v>
      </c>
      <c r="C159">
        <v>58.56</v>
      </c>
      <c r="D159">
        <v>90.73</v>
      </c>
      <c r="E159">
        <v>55.17</v>
      </c>
      <c r="F159">
        <v>56.67</v>
      </c>
      <c r="G159">
        <v>62.01</v>
      </c>
      <c r="H159">
        <v>50.51</v>
      </c>
      <c r="K159" s="9">
        <f t="shared" si="23"/>
        <v>0.33999999999999631</v>
      </c>
      <c r="L159">
        <f t="shared" si="23"/>
        <v>-9</v>
      </c>
      <c r="M159">
        <f t="shared" si="23"/>
        <v>0.55999999999999517</v>
      </c>
      <c r="N159">
        <f t="shared" si="22"/>
        <v>0.83999999999999631</v>
      </c>
      <c r="O159">
        <f t="shared" si="21"/>
        <v>-0.83999999999999631</v>
      </c>
      <c r="P159" s="10">
        <f t="shared" si="21"/>
        <v>0.3300000000000054</v>
      </c>
    </row>
    <row r="160" spans="1:16">
      <c r="A160">
        <v>34.75</v>
      </c>
      <c r="B160">
        <v>69.45</v>
      </c>
      <c r="C160">
        <v>58.62</v>
      </c>
      <c r="D160">
        <v>87.95</v>
      </c>
      <c r="E160">
        <v>55.34</v>
      </c>
      <c r="F160">
        <v>56.84</v>
      </c>
      <c r="G160">
        <v>61.45</v>
      </c>
      <c r="H160">
        <v>50.73</v>
      </c>
      <c r="K160" s="9">
        <f t="shared" si="23"/>
        <v>0.5</v>
      </c>
      <c r="L160">
        <f t="shared" si="23"/>
        <v>-8.3299999999999983</v>
      </c>
      <c r="M160">
        <f t="shared" si="23"/>
        <v>0.6699999999999946</v>
      </c>
      <c r="N160">
        <f t="shared" si="22"/>
        <v>1</v>
      </c>
      <c r="O160">
        <f t="shared" si="21"/>
        <v>5.9999999999995168E-2</v>
      </c>
      <c r="P160" s="10">
        <f t="shared" si="21"/>
        <v>-0.27999999999999403</v>
      </c>
    </row>
    <row r="161" spans="1:16">
      <c r="A161">
        <v>35</v>
      </c>
      <c r="B161">
        <v>69.510000000000005</v>
      </c>
      <c r="C161">
        <v>58.78</v>
      </c>
      <c r="D161">
        <v>84.62</v>
      </c>
      <c r="E161">
        <v>55.45</v>
      </c>
      <c r="F161">
        <v>57.23</v>
      </c>
      <c r="G161">
        <v>61.12</v>
      </c>
      <c r="H161">
        <v>50.9</v>
      </c>
      <c r="K161" s="9">
        <f t="shared" si="23"/>
        <v>0.56000000000000227</v>
      </c>
      <c r="L161">
        <f t="shared" si="23"/>
        <v>-6.8900000000000006</v>
      </c>
      <c r="M161">
        <f t="shared" si="23"/>
        <v>0.77999999999999403</v>
      </c>
      <c r="N161">
        <f t="shared" si="22"/>
        <v>0.89000000000000057</v>
      </c>
      <c r="O161">
        <f t="shared" si="21"/>
        <v>1</v>
      </c>
      <c r="P161" s="10">
        <f t="shared" si="21"/>
        <v>-0.44999999999999574</v>
      </c>
    </row>
    <row r="162" spans="1:16">
      <c r="A162">
        <v>35.25</v>
      </c>
      <c r="B162">
        <v>69.510000000000005</v>
      </c>
      <c r="C162">
        <v>58.9</v>
      </c>
      <c r="D162">
        <v>81.73</v>
      </c>
      <c r="E162">
        <v>55.73</v>
      </c>
      <c r="F162">
        <v>57.51</v>
      </c>
      <c r="G162">
        <v>61.17</v>
      </c>
      <c r="H162">
        <v>50.84</v>
      </c>
      <c r="K162" s="9">
        <f t="shared" si="23"/>
        <v>0.71999999999999886</v>
      </c>
      <c r="L162">
        <f t="shared" si="23"/>
        <v>-5.6700000000000017</v>
      </c>
      <c r="M162">
        <f t="shared" si="23"/>
        <v>0.67000000000000171</v>
      </c>
      <c r="N162">
        <f t="shared" si="22"/>
        <v>0.8300000000000054</v>
      </c>
      <c r="O162">
        <f t="shared" si="21"/>
        <v>1.0599999999999952</v>
      </c>
      <c r="P162" s="10">
        <f t="shared" si="21"/>
        <v>-0.56000000000000227</v>
      </c>
    </row>
    <row r="163" spans="1:16">
      <c r="A163">
        <v>35.5</v>
      </c>
      <c r="B163">
        <v>69.62</v>
      </c>
      <c r="C163">
        <v>59.12</v>
      </c>
      <c r="D163">
        <v>79.62</v>
      </c>
      <c r="E163">
        <v>56.01</v>
      </c>
      <c r="F163">
        <v>57.84</v>
      </c>
      <c r="G163">
        <v>61.51</v>
      </c>
      <c r="H163">
        <v>50.45</v>
      </c>
      <c r="K163" s="9">
        <f t="shared" si="23"/>
        <v>0.66000000000000369</v>
      </c>
      <c r="L163">
        <f t="shared" si="23"/>
        <v>-4.9500000000000028</v>
      </c>
      <c r="M163">
        <f t="shared" si="23"/>
        <v>0.66000000000000369</v>
      </c>
      <c r="N163">
        <f t="shared" si="22"/>
        <v>0.6699999999999946</v>
      </c>
      <c r="O163">
        <f t="shared" si="21"/>
        <v>1.8300000000000054</v>
      </c>
      <c r="P163" s="10">
        <f t="shared" si="21"/>
        <v>-0.3300000000000054</v>
      </c>
    </row>
    <row r="164" spans="1:16">
      <c r="A164">
        <v>35.75</v>
      </c>
      <c r="B164">
        <v>69.62</v>
      </c>
      <c r="C164">
        <v>59.34</v>
      </c>
      <c r="D164">
        <v>77.73</v>
      </c>
      <c r="E164">
        <v>56.23</v>
      </c>
      <c r="F164">
        <v>58.12</v>
      </c>
      <c r="G164">
        <v>62.12</v>
      </c>
      <c r="H164">
        <v>50.45</v>
      </c>
      <c r="K164" s="9">
        <f t="shared" si="23"/>
        <v>0.71999999999999886</v>
      </c>
      <c r="L164">
        <f t="shared" si="23"/>
        <v>-4.5</v>
      </c>
      <c r="M164">
        <f t="shared" si="23"/>
        <v>0.55000000000000426</v>
      </c>
      <c r="N164">
        <f t="shared" si="22"/>
        <v>0.55000000000000426</v>
      </c>
      <c r="O164">
        <f t="shared" si="21"/>
        <v>2.220000000000006</v>
      </c>
      <c r="P164" s="10">
        <f t="shared" si="21"/>
        <v>0</v>
      </c>
    </row>
    <row r="165" spans="1:16">
      <c r="A165">
        <v>36</v>
      </c>
      <c r="B165">
        <v>69.62</v>
      </c>
      <c r="C165">
        <v>59.62</v>
      </c>
      <c r="D165">
        <v>76.06</v>
      </c>
      <c r="E165">
        <v>56.4</v>
      </c>
      <c r="F165">
        <v>58.34</v>
      </c>
      <c r="G165">
        <v>62.23</v>
      </c>
      <c r="H165">
        <v>50.28</v>
      </c>
      <c r="K165" s="9">
        <f t="shared" si="23"/>
        <v>0.60999999999999943</v>
      </c>
      <c r="L165">
        <f t="shared" si="23"/>
        <v>-3.7800000000000011</v>
      </c>
      <c r="M165">
        <f t="shared" si="23"/>
        <v>0.60999999999999943</v>
      </c>
      <c r="N165">
        <f t="shared" si="22"/>
        <v>0.38999999999999346</v>
      </c>
      <c r="O165">
        <f t="shared" si="21"/>
        <v>1.3900000000000006</v>
      </c>
      <c r="P165" s="10">
        <f t="shared" si="21"/>
        <v>0.28000000000000114</v>
      </c>
    </row>
    <row r="166" spans="1:16">
      <c r="A166">
        <v>36.25</v>
      </c>
      <c r="B166">
        <v>69.67</v>
      </c>
      <c r="C166">
        <v>59.78</v>
      </c>
      <c r="D166">
        <v>74.67</v>
      </c>
      <c r="E166">
        <v>56.67</v>
      </c>
      <c r="F166">
        <v>58.51</v>
      </c>
      <c r="G166">
        <v>63.34</v>
      </c>
      <c r="H166">
        <v>50.12</v>
      </c>
      <c r="K166" s="9">
        <f t="shared" si="23"/>
        <v>0.56000000000000227</v>
      </c>
      <c r="L166">
        <f t="shared" si="23"/>
        <v>-4</v>
      </c>
      <c r="M166">
        <f t="shared" si="23"/>
        <v>0.39000000000000057</v>
      </c>
      <c r="N166">
        <f t="shared" si="22"/>
        <v>0.21999999999999886</v>
      </c>
      <c r="O166">
        <f t="shared" si="21"/>
        <v>-0.3300000000000054</v>
      </c>
      <c r="P166" s="10">
        <f t="shared" si="21"/>
        <v>1.220000000000006</v>
      </c>
    </row>
    <row r="167" spans="1:16">
      <c r="A167">
        <v>36.5</v>
      </c>
      <c r="B167">
        <v>69.56</v>
      </c>
      <c r="C167">
        <v>60.06</v>
      </c>
      <c r="D167">
        <v>73.23</v>
      </c>
      <c r="E167">
        <v>56.78</v>
      </c>
      <c r="F167">
        <v>58.67</v>
      </c>
      <c r="G167">
        <v>64.34</v>
      </c>
      <c r="H167">
        <v>50.45</v>
      </c>
      <c r="K167" s="9">
        <f t="shared" si="23"/>
        <v>0.33999999999999631</v>
      </c>
      <c r="L167">
        <f t="shared" si="23"/>
        <v>-2.8900000000000006</v>
      </c>
      <c r="M167">
        <f t="shared" si="23"/>
        <v>0.44999999999999574</v>
      </c>
      <c r="N167">
        <f t="shared" si="22"/>
        <v>0.22999999999999687</v>
      </c>
      <c r="O167">
        <f t="shared" si="21"/>
        <v>-2.1100000000000065</v>
      </c>
      <c r="P167" s="10">
        <f t="shared" si="21"/>
        <v>1</v>
      </c>
    </row>
    <row r="168" spans="1:16">
      <c r="A168">
        <v>36.75</v>
      </c>
      <c r="B168">
        <v>69.510000000000005</v>
      </c>
      <c r="C168">
        <v>60.23</v>
      </c>
      <c r="D168">
        <v>72.28</v>
      </c>
      <c r="E168">
        <v>57.01</v>
      </c>
      <c r="F168">
        <v>58.73</v>
      </c>
      <c r="G168">
        <v>63.62</v>
      </c>
      <c r="H168">
        <v>50.56</v>
      </c>
      <c r="K168" s="9">
        <f t="shared" si="23"/>
        <v>0.3300000000000054</v>
      </c>
      <c r="L168">
        <f t="shared" si="23"/>
        <v>1.1200000000000045</v>
      </c>
      <c r="M168">
        <f t="shared" si="23"/>
        <v>0.3300000000000054</v>
      </c>
      <c r="N168">
        <f t="shared" si="22"/>
        <v>0.28000000000000114</v>
      </c>
      <c r="O168">
        <f t="shared" si="21"/>
        <v>-1</v>
      </c>
      <c r="P168" s="10">
        <f t="shared" si="21"/>
        <v>1.1099999999999994</v>
      </c>
    </row>
    <row r="169" spans="1:16">
      <c r="A169">
        <v>37</v>
      </c>
      <c r="B169">
        <v>69.78</v>
      </c>
      <c r="C169">
        <v>60.34</v>
      </c>
      <c r="D169">
        <v>70.67</v>
      </c>
      <c r="E169">
        <v>57.06</v>
      </c>
      <c r="F169">
        <v>58.73</v>
      </c>
      <c r="G169">
        <v>63.01</v>
      </c>
      <c r="H169">
        <v>51.34</v>
      </c>
      <c r="K169" s="9">
        <f t="shared" si="23"/>
        <v>0.38999999999999346</v>
      </c>
      <c r="L169">
        <f t="shared" si="23"/>
        <v>7.3400000000000034</v>
      </c>
      <c r="M169">
        <f t="shared" si="23"/>
        <v>0.33999999999999631</v>
      </c>
      <c r="N169">
        <f t="shared" si="22"/>
        <v>0.5</v>
      </c>
      <c r="O169">
        <f t="shared" si="21"/>
        <v>0.5</v>
      </c>
      <c r="P169" s="10">
        <f t="shared" si="21"/>
        <v>5.9999999999995168E-2</v>
      </c>
    </row>
    <row r="170" spans="1:16">
      <c r="A170">
        <v>37.25</v>
      </c>
      <c r="B170">
        <v>70.12</v>
      </c>
      <c r="C170">
        <v>60.4</v>
      </c>
      <c r="D170">
        <v>70.34</v>
      </c>
      <c r="E170">
        <v>57.23</v>
      </c>
      <c r="F170">
        <v>58.9</v>
      </c>
      <c r="G170">
        <v>62.23</v>
      </c>
      <c r="H170">
        <v>51.45</v>
      </c>
      <c r="K170" s="9">
        <f t="shared" si="23"/>
        <v>0.32999999999999829</v>
      </c>
      <c r="L170">
        <f t="shared" si="23"/>
        <v>11.560000000000002</v>
      </c>
      <c r="M170">
        <f t="shared" si="23"/>
        <v>0.22000000000000597</v>
      </c>
      <c r="N170">
        <f t="shared" si="22"/>
        <v>0.5</v>
      </c>
      <c r="O170">
        <f t="shared" si="21"/>
        <v>2.3900000000000077</v>
      </c>
      <c r="P170" s="10">
        <f t="shared" si="21"/>
        <v>0.77999999999999403</v>
      </c>
    </row>
    <row r="171" spans="1:16">
      <c r="A171">
        <v>37.5</v>
      </c>
      <c r="B171">
        <v>70.62</v>
      </c>
      <c r="C171">
        <v>60.56</v>
      </c>
      <c r="D171">
        <v>73.400000000000006</v>
      </c>
      <c r="E171">
        <v>57.34</v>
      </c>
      <c r="F171">
        <v>59.01</v>
      </c>
      <c r="G171">
        <v>62.62</v>
      </c>
      <c r="H171">
        <v>51.67</v>
      </c>
      <c r="K171" s="9">
        <f t="shared" si="23"/>
        <v>0.33999999999999631</v>
      </c>
      <c r="L171">
        <f t="shared" si="23"/>
        <v>11.049999999999997</v>
      </c>
      <c r="M171">
        <f t="shared" si="23"/>
        <v>0.21999999999999886</v>
      </c>
      <c r="N171">
        <f t="shared" si="22"/>
        <v>0.55000000000000426</v>
      </c>
      <c r="O171">
        <f t="shared" si="21"/>
        <v>3.3300000000000054</v>
      </c>
      <c r="P171" s="10">
        <f t="shared" si="21"/>
        <v>0.83999999999999631</v>
      </c>
    </row>
    <row r="172" spans="1:16">
      <c r="A172">
        <v>37.75</v>
      </c>
      <c r="B172">
        <v>71.12</v>
      </c>
      <c r="C172">
        <v>60.73</v>
      </c>
      <c r="D172">
        <v>78.010000000000005</v>
      </c>
      <c r="E172">
        <v>57.4</v>
      </c>
      <c r="F172">
        <v>59.23</v>
      </c>
      <c r="G172">
        <v>63.51</v>
      </c>
      <c r="H172">
        <v>51.4</v>
      </c>
      <c r="K172" s="9">
        <f t="shared" si="23"/>
        <v>0.28000000000000114</v>
      </c>
      <c r="L172">
        <f t="shared" si="23"/>
        <v>8.269999999999996</v>
      </c>
      <c r="M172">
        <f t="shared" si="23"/>
        <v>0.32999999999999829</v>
      </c>
      <c r="N172">
        <f t="shared" si="22"/>
        <v>0.5</v>
      </c>
      <c r="O172">
        <f t="shared" si="21"/>
        <v>3.8900000000000077</v>
      </c>
      <c r="P172" s="10">
        <f t="shared" si="21"/>
        <v>0.60999999999999943</v>
      </c>
    </row>
    <row r="173" spans="1:16">
      <c r="A173">
        <v>38</v>
      </c>
      <c r="B173">
        <v>71.510000000000005</v>
      </c>
      <c r="C173">
        <v>60.73</v>
      </c>
      <c r="D173">
        <v>81.900000000000006</v>
      </c>
      <c r="E173">
        <v>57.45</v>
      </c>
      <c r="F173">
        <v>59.4</v>
      </c>
      <c r="G173">
        <v>64.62</v>
      </c>
      <c r="H173">
        <v>52.23</v>
      </c>
      <c r="K173" s="9">
        <f t="shared" si="23"/>
        <v>0.39000000000000057</v>
      </c>
      <c r="L173">
        <f t="shared" si="23"/>
        <v>5.8799999999999955</v>
      </c>
      <c r="M173">
        <f t="shared" si="23"/>
        <v>0.32999999999999829</v>
      </c>
      <c r="N173">
        <f t="shared" si="22"/>
        <v>0.55000000000000426</v>
      </c>
      <c r="O173">
        <f t="shared" si="21"/>
        <v>4.9399999999999977</v>
      </c>
      <c r="P173" s="10">
        <f t="shared" si="21"/>
        <v>0.22000000000000597</v>
      </c>
    </row>
    <row r="174" spans="1:16">
      <c r="A174">
        <v>38.25</v>
      </c>
      <c r="B174">
        <v>71.73</v>
      </c>
      <c r="C174">
        <v>60.9</v>
      </c>
      <c r="D174">
        <v>84.45</v>
      </c>
      <c r="E174">
        <v>57.56</v>
      </c>
      <c r="F174">
        <v>59.56</v>
      </c>
      <c r="G174">
        <v>65.95</v>
      </c>
      <c r="H174">
        <v>52.51</v>
      </c>
      <c r="K174" s="9">
        <f t="shared" si="23"/>
        <v>0.5</v>
      </c>
      <c r="L174">
        <f t="shared" si="23"/>
        <v>4.9500000000000028</v>
      </c>
      <c r="M174">
        <f t="shared" si="23"/>
        <v>0.39000000000000057</v>
      </c>
      <c r="N174">
        <f t="shared" si="22"/>
        <v>0.55999999999999517</v>
      </c>
      <c r="O174">
        <f t="shared" si="21"/>
        <v>4.2199999999999989</v>
      </c>
      <c r="P174" s="10">
        <f t="shared" si="21"/>
        <v>-0.83999999999999631</v>
      </c>
    </row>
    <row r="175" spans="1:16">
      <c r="A175">
        <v>38.5</v>
      </c>
      <c r="B175">
        <v>71.78</v>
      </c>
      <c r="C175">
        <v>61.01</v>
      </c>
      <c r="D175">
        <v>86.28</v>
      </c>
      <c r="E175">
        <v>57.73</v>
      </c>
      <c r="F175">
        <v>59.73</v>
      </c>
      <c r="G175">
        <v>67.400000000000006</v>
      </c>
      <c r="H175">
        <v>52.01</v>
      </c>
      <c r="K175" s="9">
        <f t="shared" si="23"/>
        <v>0.5</v>
      </c>
      <c r="L175">
        <f t="shared" si="23"/>
        <v>1.1200000000000045</v>
      </c>
      <c r="M175">
        <f t="shared" si="23"/>
        <v>0.5</v>
      </c>
      <c r="N175">
        <f t="shared" si="22"/>
        <v>0.39000000000000057</v>
      </c>
      <c r="O175">
        <f t="shared" si="21"/>
        <v>0.76999999999999602</v>
      </c>
      <c r="P175" s="10">
        <f t="shared" si="21"/>
        <v>-0.33999999999999631</v>
      </c>
    </row>
    <row r="176" spans="1:16">
      <c r="A176">
        <v>38.75</v>
      </c>
      <c r="B176">
        <v>71.73</v>
      </c>
      <c r="C176">
        <v>61.12</v>
      </c>
      <c r="D176">
        <v>87.78</v>
      </c>
      <c r="E176">
        <v>57.78</v>
      </c>
      <c r="F176">
        <v>59.95</v>
      </c>
      <c r="G176">
        <v>69.56</v>
      </c>
      <c r="H176">
        <v>52.45</v>
      </c>
      <c r="K176" s="9">
        <f t="shared" si="23"/>
        <v>0.5</v>
      </c>
      <c r="L176">
        <f t="shared" si="23"/>
        <v>-2.769999999999996</v>
      </c>
      <c r="M176">
        <f t="shared" si="23"/>
        <v>0.5</v>
      </c>
      <c r="N176">
        <f t="shared" si="22"/>
        <v>0.21999999999999886</v>
      </c>
      <c r="O176">
        <f t="shared" si="21"/>
        <v>-3.3299999999999983</v>
      </c>
      <c r="P176" s="10">
        <f t="shared" si="21"/>
        <v>-0.60999999999999943</v>
      </c>
    </row>
    <row r="177" spans="1:16">
      <c r="A177">
        <v>39</v>
      </c>
      <c r="B177">
        <v>71.78</v>
      </c>
      <c r="C177">
        <v>61.4</v>
      </c>
      <c r="D177">
        <v>89.4</v>
      </c>
      <c r="E177">
        <v>57.95</v>
      </c>
      <c r="F177">
        <v>60.12</v>
      </c>
      <c r="G177">
        <v>70.17</v>
      </c>
      <c r="H177">
        <v>51.67</v>
      </c>
      <c r="K177" s="9">
        <f t="shared" si="23"/>
        <v>0.32999999999999829</v>
      </c>
      <c r="L177">
        <f t="shared" si="23"/>
        <v>-7.3900000000000006</v>
      </c>
      <c r="M177">
        <f t="shared" si="23"/>
        <v>0.60999999999999943</v>
      </c>
      <c r="N177">
        <f t="shared" si="22"/>
        <v>5.0000000000004263E-2</v>
      </c>
      <c r="O177">
        <f t="shared" si="21"/>
        <v>-4.8299999999999983</v>
      </c>
      <c r="P177" s="10">
        <f t="shared" si="21"/>
        <v>0.22999999999999687</v>
      </c>
    </row>
    <row r="178" spans="1:16">
      <c r="A178">
        <v>39.25</v>
      </c>
      <c r="B178">
        <v>71.73</v>
      </c>
      <c r="C178">
        <v>61.51</v>
      </c>
      <c r="D178">
        <v>87.4</v>
      </c>
      <c r="E178">
        <v>58.23</v>
      </c>
      <c r="F178">
        <v>60.12</v>
      </c>
      <c r="G178">
        <v>68.17</v>
      </c>
      <c r="H178">
        <v>51.67</v>
      </c>
      <c r="K178" s="9">
        <f t="shared" si="23"/>
        <v>0.39000000000000057</v>
      </c>
      <c r="L178">
        <f t="shared" si="23"/>
        <v>-7.8400000000000034</v>
      </c>
      <c r="M178">
        <f t="shared" si="23"/>
        <v>0.55000000000000426</v>
      </c>
      <c r="N178">
        <f t="shared" si="22"/>
        <v>0.22000000000000597</v>
      </c>
      <c r="O178">
        <f t="shared" si="21"/>
        <v>-3.6099999999999994</v>
      </c>
      <c r="P178" s="10">
        <f t="shared" si="21"/>
        <v>0.28000000000000114</v>
      </c>
    </row>
    <row r="179" spans="1:16">
      <c r="A179">
        <v>39.5</v>
      </c>
      <c r="B179">
        <v>71.62</v>
      </c>
      <c r="C179">
        <v>61.62</v>
      </c>
      <c r="D179">
        <v>85.01</v>
      </c>
      <c r="E179">
        <v>58.28</v>
      </c>
      <c r="F179">
        <v>60.17</v>
      </c>
      <c r="G179">
        <v>66.23</v>
      </c>
      <c r="H179">
        <v>51.84</v>
      </c>
      <c r="K179" s="9">
        <f t="shared" si="23"/>
        <v>0.3300000000000054</v>
      </c>
      <c r="L179">
        <f t="shared" si="23"/>
        <v>-5.3400000000000034</v>
      </c>
      <c r="M179">
        <f t="shared" si="23"/>
        <v>0.67000000000000171</v>
      </c>
      <c r="N179">
        <f t="shared" si="22"/>
        <v>0.39000000000000057</v>
      </c>
      <c r="O179">
        <f t="shared" si="21"/>
        <v>-1.9500000000000028</v>
      </c>
      <c r="P179" s="10">
        <f t="shared" si="21"/>
        <v>0.1699999999999946</v>
      </c>
    </row>
    <row r="180" spans="1:16">
      <c r="A180">
        <v>39.75</v>
      </c>
      <c r="B180">
        <v>71.510000000000005</v>
      </c>
      <c r="C180">
        <v>61.73</v>
      </c>
      <c r="D180">
        <v>82.01</v>
      </c>
      <c r="E180">
        <v>58.56</v>
      </c>
      <c r="F180">
        <v>60.17</v>
      </c>
      <c r="G180">
        <v>65.34</v>
      </c>
      <c r="H180">
        <v>51.9</v>
      </c>
      <c r="K180" s="9">
        <f t="shared" si="23"/>
        <v>0.3300000000000054</v>
      </c>
      <c r="L180">
        <f t="shared" si="23"/>
        <v>-0.84000000000000341</v>
      </c>
      <c r="M180">
        <f t="shared" si="23"/>
        <v>0.55999999999999517</v>
      </c>
      <c r="N180">
        <f t="shared" si="22"/>
        <v>0.55999999999999517</v>
      </c>
      <c r="O180">
        <f t="shared" si="21"/>
        <v>-1</v>
      </c>
      <c r="P180" s="10">
        <f t="shared" si="21"/>
        <v>0.38000000000000256</v>
      </c>
    </row>
    <row r="181" spans="1:16">
      <c r="A181">
        <v>40</v>
      </c>
      <c r="B181">
        <v>71.56</v>
      </c>
      <c r="C181">
        <v>61.9</v>
      </c>
      <c r="D181">
        <v>79.56</v>
      </c>
      <c r="E181">
        <v>58.78</v>
      </c>
      <c r="F181">
        <v>60.34</v>
      </c>
      <c r="G181">
        <v>64.56</v>
      </c>
      <c r="H181">
        <v>51.95</v>
      </c>
      <c r="K181" s="9">
        <f t="shared" si="23"/>
        <v>0.44000000000000483</v>
      </c>
      <c r="L181">
        <f t="shared" si="23"/>
        <v>2.2199999999999989</v>
      </c>
      <c r="M181">
        <f t="shared" si="23"/>
        <v>0.5</v>
      </c>
      <c r="N181">
        <f t="shared" si="22"/>
        <v>0.60999999999999943</v>
      </c>
      <c r="O181">
        <f t="shared" si="21"/>
        <v>0.10999999999999943</v>
      </c>
      <c r="P181" s="10">
        <f t="shared" si="21"/>
        <v>0.10999999999999943</v>
      </c>
    </row>
    <row r="182" spans="1:16">
      <c r="A182">
        <v>40.25</v>
      </c>
      <c r="B182">
        <v>71.73</v>
      </c>
      <c r="C182">
        <v>61.95</v>
      </c>
      <c r="D182">
        <v>79.67</v>
      </c>
      <c r="E182">
        <v>58.95</v>
      </c>
      <c r="F182">
        <v>60.56</v>
      </c>
      <c r="G182">
        <v>64.28</v>
      </c>
      <c r="H182">
        <v>52.01</v>
      </c>
      <c r="K182" s="9">
        <f t="shared" si="23"/>
        <v>0.5</v>
      </c>
      <c r="L182">
        <f t="shared" si="23"/>
        <v>1.5600000000000023</v>
      </c>
      <c r="M182">
        <f t="shared" si="23"/>
        <v>0.5</v>
      </c>
      <c r="N182">
        <f t="shared" si="22"/>
        <v>0.60999999999999943</v>
      </c>
      <c r="O182">
        <f t="shared" si="21"/>
        <v>1</v>
      </c>
      <c r="P182" s="10">
        <f t="shared" si="21"/>
        <v>0</v>
      </c>
    </row>
    <row r="183" spans="1:16">
      <c r="A183">
        <v>40.5</v>
      </c>
      <c r="B183">
        <v>71.84</v>
      </c>
      <c r="C183">
        <v>62.06</v>
      </c>
      <c r="D183">
        <v>81.17</v>
      </c>
      <c r="E183">
        <v>59.12</v>
      </c>
      <c r="F183">
        <v>60.73</v>
      </c>
      <c r="G183">
        <v>64.34</v>
      </c>
      <c r="H183">
        <v>52.28</v>
      </c>
      <c r="K183" s="9">
        <f t="shared" si="23"/>
        <v>0.44999999999999574</v>
      </c>
      <c r="L183">
        <f t="shared" si="23"/>
        <v>-0.93999999999999773</v>
      </c>
      <c r="M183">
        <f t="shared" si="23"/>
        <v>0.44000000000000483</v>
      </c>
      <c r="N183">
        <f t="shared" si="22"/>
        <v>0.5</v>
      </c>
      <c r="O183">
        <f t="shared" si="21"/>
        <v>1.5600000000000023</v>
      </c>
      <c r="P183" s="10">
        <f t="shared" si="21"/>
        <v>-0.5</v>
      </c>
    </row>
    <row r="184" spans="1:16">
      <c r="A184">
        <v>40.75</v>
      </c>
      <c r="B184">
        <v>72.06</v>
      </c>
      <c r="C184">
        <v>62.34</v>
      </c>
      <c r="D184">
        <v>81.78</v>
      </c>
      <c r="E184">
        <v>59.28</v>
      </c>
      <c r="F184">
        <v>60.95</v>
      </c>
      <c r="G184">
        <v>64.67</v>
      </c>
      <c r="H184">
        <v>52.06</v>
      </c>
      <c r="K184" s="9">
        <f t="shared" si="23"/>
        <v>0.38999999999999346</v>
      </c>
      <c r="L184">
        <f t="shared" si="23"/>
        <v>-2.1099999999999994</v>
      </c>
      <c r="M184">
        <f t="shared" si="23"/>
        <v>0.5</v>
      </c>
      <c r="N184">
        <f t="shared" si="22"/>
        <v>0.39000000000000057</v>
      </c>
      <c r="O184">
        <f t="shared" si="21"/>
        <v>2.1099999999999994</v>
      </c>
      <c r="P184" s="10">
        <f t="shared" si="21"/>
        <v>0.6699999999999946</v>
      </c>
    </row>
    <row r="185" spans="1:16">
      <c r="A185">
        <v>41</v>
      </c>
      <c r="B185">
        <v>72.23</v>
      </c>
      <c r="C185">
        <v>62.45</v>
      </c>
      <c r="D185">
        <v>81.23</v>
      </c>
      <c r="E185">
        <v>59.45</v>
      </c>
      <c r="F185">
        <v>61.17</v>
      </c>
      <c r="G185">
        <v>65.28</v>
      </c>
      <c r="H185">
        <v>52.01</v>
      </c>
      <c r="K185" s="9">
        <f t="shared" si="23"/>
        <v>0.39000000000000057</v>
      </c>
      <c r="L185">
        <f t="shared" si="23"/>
        <v>-2</v>
      </c>
      <c r="M185">
        <f t="shared" si="23"/>
        <v>0.44999999999999574</v>
      </c>
      <c r="N185">
        <f t="shared" si="22"/>
        <v>0.17000000000000171</v>
      </c>
      <c r="O185">
        <f t="shared" si="21"/>
        <v>2.2800000000000011</v>
      </c>
      <c r="P185" s="10">
        <f t="shared" si="21"/>
        <v>0.77000000000000313</v>
      </c>
    </row>
    <row r="186" spans="1:16">
      <c r="A186">
        <v>41.25</v>
      </c>
      <c r="B186">
        <v>72.17</v>
      </c>
      <c r="C186">
        <v>62.51</v>
      </c>
      <c r="D186">
        <v>80.23</v>
      </c>
      <c r="E186">
        <v>59.56</v>
      </c>
      <c r="F186">
        <v>61.23</v>
      </c>
      <c r="G186">
        <v>65.900000000000006</v>
      </c>
      <c r="H186">
        <v>51.78</v>
      </c>
      <c r="K186" s="9">
        <f t="shared" si="23"/>
        <v>0.44000000000000483</v>
      </c>
      <c r="L186">
        <f t="shared" si="23"/>
        <v>-1.6700000000000017</v>
      </c>
      <c r="M186">
        <f t="shared" si="23"/>
        <v>0.55999999999999517</v>
      </c>
      <c r="N186">
        <f t="shared" si="22"/>
        <v>0.11000000000000654</v>
      </c>
      <c r="O186">
        <f t="shared" si="21"/>
        <v>1.5</v>
      </c>
      <c r="P186" s="10">
        <f t="shared" si="21"/>
        <v>1.2299999999999969</v>
      </c>
    </row>
    <row r="187" spans="1:16">
      <c r="A187">
        <v>41.5</v>
      </c>
      <c r="B187">
        <v>72.28</v>
      </c>
      <c r="C187">
        <v>62.73</v>
      </c>
      <c r="D187">
        <v>79.67</v>
      </c>
      <c r="E187">
        <v>59.78</v>
      </c>
      <c r="F187">
        <v>61.34</v>
      </c>
      <c r="G187">
        <v>66.78</v>
      </c>
      <c r="H187">
        <v>52.73</v>
      </c>
      <c r="K187" s="9">
        <f t="shared" si="23"/>
        <v>0.3300000000000054</v>
      </c>
      <c r="L187">
        <f t="shared" si="23"/>
        <v>-2</v>
      </c>
      <c r="M187">
        <f t="shared" si="23"/>
        <v>0.44999999999999574</v>
      </c>
      <c r="N187">
        <f t="shared" si="22"/>
        <v>5.9999999999995168E-2</v>
      </c>
      <c r="O187">
        <f t="shared" si="21"/>
        <v>0</v>
      </c>
      <c r="P187" s="10">
        <f t="shared" si="21"/>
        <v>-5.9999999999995168E-2</v>
      </c>
    </row>
    <row r="188" spans="1:16">
      <c r="A188">
        <v>41.75</v>
      </c>
      <c r="B188">
        <v>72.28</v>
      </c>
      <c r="C188">
        <v>62.84</v>
      </c>
      <c r="D188">
        <v>79.23</v>
      </c>
      <c r="E188">
        <v>59.9</v>
      </c>
      <c r="F188">
        <v>61.34</v>
      </c>
      <c r="G188">
        <v>67.56</v>
      </c>
      <c r="H188">
        <v>52.78</v>
      </c>
      <c r="K188" s="9">
        <f t="shared" si="23"/>
        <v>0.38999999999999346</v>
      </c>
      <c r="L188">
        <f t="shared" si="23"/>
        <v>-2.3299999999999983</v>
      </c>
      <c r="M188">
        <f t="shared" si="23"/>
        <v>0.5</v>
      </c>
      <c r="N188">
        <f t="shared" si="22"/>
        <v>0.1699999999999946</v>
      </c>
      <c r="O188">
        <f t="shared" si="21"/>
        <v>-1.6099999999999994</v>
      </c>
      <c r="P188" s="10">
        <f t="shared" si="21"/>
        <v>-0.16000000000000369</v>
      </c>
    </row>
    <row r="189" spans="1:16">
      <c r="A189">
        <v>42</v>
      </c>
      <c r="B189">
        <v>72.56</v>
      </c>
      <c r="C189">
        <v>62.95</v>
      </c>
      <c r="D189">
        <v>78.56</v>
      </c>
      <c r="E189">
        <v>60.12</v>
      </c>
      <c r="F189">
        <v>61.34</v>
      </c>
      <c r="G189">
        <v>67.400000000000006</v>
      </c>
      <c r="H189">
        <v>53.01</v>
      </c>
      <c r="K189" s="9">
        <f t="shared" si="23"/>
        <v>0.60999999999999943</v>
      </c>
      <c r="L189">
        <f t="shared" si="23"/>
        <v>-1.9399999999999977</v>
      </c>
      <c r="M189">
        <f t="shared" si="23"/>
        <v>0.5</v>
      </c>
      <c r="N189">
        <f t="shared" si="22"/>
        <v>0.32999999999999829</v>
      </c>
      <c r="O189">
        <f t="shared" si="21"/>
        <v>-2.0600000000000023</v>
      </c>
      <c r="P189" s="10">
        <f t="shared" si="21"/>
        <v>0</v>
      </c>
    </row>
    <row r="190" spans="1:16">
      <c r="A190">
        <v>42.25</v>
      </c>
      <c r="B190">
        <v>72.84</v>
      </c>
      <c r="C190">
        <v>63.06</v>
      </c>
      <c r="D190">
        <v>77.67</v>
      </c>
      <c r="E190">
        <v>60.23</v>
      </c>
      <c r="F190">
        <v>61.4</v>
      </c>
      <c r="G190">
        <v>66.78</v>
      </c>
      <c r="H190">
        <v>52.67</v>
      </c>
      <c r="K190" s="9">
        <f t="shared" si="23"/>
        <v>0.83999999999999631</v>
      </c>
      <c r="L190">
        <f t="shared" si="23"/>
        <v>1.1700000000000017</v>
      </c>
      <c r="M190">
        <f t="shared" si="23"/>
        <v>0.39000000000000057</v>
      </c>
      <c r="N190">
        <f t="shared" si="22"/>
        <v>0.5</v>
      </c>
      <c r="O190">
        <f t="shared" si="21"/>
        <v>-2.0499999999999972</v>
      </c>
      <c r="P190" s="10">
        <f t="shared" si="21"/>
        <v>1.0599999999999952</v>
      </c>
    </row>
    <row r="191" spans="1:16">
      <c r="A191">
        <v>42.5</v>
      </c>
      <c r="B191">
        <v>73.06</v>
      </c>
      <c r="C191">
        <v>63.23</v>
      </c>
      <c r="D191">
        <v>76.900000000000006</v>
      </c>
      <c r="E191">
        <v>60.4</v>
      </c>
      <c r="F191">
        <v>61.51</v>
      </c>
      <c r="G191">
        <v>65.95</v>
      </c>
      <c r="H191">
        <v>52.62</v>
      </c>
      <c r="K191" s="9">
        <f t="shared" si="23"/>
        <v>0.94000000000000483</v>
      </c>
      <c r="L191">
        <f t="shared" si="23"/>
        <v>5.769999999999996</v>
      </c>
      <c r="M191">
        <f t="shared" si="23"/>
        <v>0.55000000000000426</v>
      </c>
      <c r="N191">
        <f t="shared" si="22"/>
        <v>0.60999999999999943</v>
      </c>
      <c r="O191">
        <f t="shared" si="21"/>
        <v>-1.6700000000000017</v>
      </c>
      <c r="P191" s="10">
        <f t="shared" si="21"/>
        <v>0.72000000000000597</v>
      </c>
    </row>
    <row r="192" spans="1:16">
      <c r="A192">
        <v>42.75</v>
      </c>
      <c r="B192">
        <v>73.34</v>
      </c>
      <c r="C192">
        <v>63.56</v>
      </c>
      <c r="D192">
        <v>76.62</v>
      </c>
      <c r="E192">
        <v>60.62</v>
      </c>
      <c r="F192">
        <v>61.67</v>
      </c>
      <c r="G192">
        <v>65.34</v>
      </c>
      <c r="H192">
        <v>53.01</v>
      </c>
      <c r="K192" s="9">
        <f t="shared" si="23"/>
        <v>0.95000000000000284</v>
      </c>
      <c r="L192">
        <f t="shared" si="23"/>
        <v>8.9399999999999977</v>
      </c>
      <c r="M192">
        <f t="shared" si="23"/>
        <v>0.39000000000000057</v>
      </c>
      <c r="N192">
        <f t="shared" si="22"/>
        <v>0.5</v>
      </c>
      <c r="O192">
        <f t="shared" si="21"/>
        <v>-1.1700000000000017</v>
      </c>
      <c r="P192" s="10">
        <f t="shared" si="21"/>
        <v>0.5</v>
      </c>
    </row>
    <row r="193" spans="1:16">
      <c r="A193">
        <v>43</v>
      </c>
      <c r="B193">
        <v>73.400000000000006</v>
      </c>
      <c r="C193">
        <v>63.9</v>
      </c>
      <c r="D193">
        <v>78.84</v>
      </c>
      <c r="E193">
        <v>60.62</v>
      </c>
      <c r="F193">
        <v>61.9</v>
      </c>
      <c r="G193">
        <v>64.73</v>
      </c>
      <c r="H193">
        <v>53.73</v>
      </c>
      <c r="K193" s="9">
        <f t="shared" si="23"/>
        <v>0.88000000000000256</v>
      </c>
      <c r="L193">
        <f t="shared" si="23"/>
        <v>9</v>
      </c>
      <c r="M193">
        <f t="shared" si="23"/>
        <v>0.44000000000000483</v>
      </c>
      <c r="N193">
        <f t="shared" si="22"/>
        <v>0.5</v>
      </c>
      <c r="O193">
        <f t="shared" si="21"/>
        <v>-0.45000000000000284</v>
      </c>
      <c r="P193" s="10">
        <f t="shared" si="21"/>
        <v>0</v>
      </c>
    </row>
    <row r="194" spans="1:16">
      <c r="A194">
        <v>43.25</v>
      </c>
      <c r="B194">
        <v>73.510000000000005</v>
      </c>
      <c r="C194">
        <v>64.17</v>
      </c>
      <c r="D194">
        <v>82.67</v>
      </c>
      <c r="E194">
        <v>60.95</v>
      </c>
      <c r="F194">
        <v>62.12</v>
      </c>
      <c r="G194">
        <v>64.28</v>
      </c>
      <c r="H194">
        <v>53.34</v>
      </c>
      <c r="K194" s="9">
        <f t="shared" si="23"/>
        <v>0.73000000000000398</v>
      </c>
      <c r="L194">
        <f t="shared" si="23"/>
        <v>8.11</v>
      </c>
      <c r="M194">
        <f t="shared" si="23"/>
        <v>0.32999999999999829</v>
      </c>
      <c r="N194">
        <f t="shared" si="22"/>
        <v>0.3300000000000054</v>
      </c>
      <c r="O194">
        <f t="shared" si="22"/>
        <v>0.39000000000000057</v>
      </c>
      <c r="P194" s="10">
        <f t="shared" si="22"/>
        <v>0.1699999999999946</v>
      </c>
    </row>
    <row r="195" spans="1:16">
      <c r="A195">
        <v>43.5</v>
      </c>
      <c r="B195">
        <v>73.45</v>
      </c>
      <c r="C195">
        <v>64.510000000000005</v>
      </c>
      <c r="D195">
        <v>85.56</v>
      </c>
      <c r="E195">
        <v>61.01</v>
      </c>
      <c r="F195">
        <v>62.17</v>
      </c>
      <c r="G195">
        <v>64.17</v>
      </c>
      <c r="H195">
        <v>53.51</v>
      </c>
      <c r="K195" s="9">
        <f t="shared" si="23"/>
        <v>0.60999999999999943</v>
      </c>
      <c r="L195">
        <f t="shared" si="23"/>
        <v>6.6099999999999994</v>
      </c>
      <c r="M195">
        <f t="shared" si="23"/>
        <v>0.39000000000000057</v>
      </c>
      <c r="N195">
        <f t="shared" si="22"/>
        <v>0.55999999999999517</v>
      </c>
      <c r="O195">
        <f t="shared" si="22"/>
        <v>0.56000000000000227</v>
      </c>
      <c r="P195" s="10">
        <f t="shared" si="22"/>
        <v>5.0000000000004263E-2</v>
      </c>
    </row>
    <row r="196" spans="1:16">
      <c r="A196">
        <v>43.75</v>
      </c>
      <c r="B196">
        <v>73.400000000000006</v>
      </c>
      <c r="C196">
        <v>64.78</v>
      </c>
      <c r="D196">
        <v>87.84</v>
      </c>
      <c r="E196">
        <v>61.06</v>
      </c>
      <c r="F196">
        <v>62.4</v>
      </c>
      <c r="G196">
        <v>64.28</v>
      </c>
      <c r="H196">
        <v>53.73</v>
      </c>
      <c r="K196" s="9">
        <f t="shared" si="23"/>
        <v>0.5</v>
      </c>
      <c r="L196">
        <f t="shared" si="23"/>
        <v>2.8299999999999983</v>
      </c>
      <c r="M196">
        <f t="shared" si="23"/>
        <v>0.60999999999999943</v>
      </c>
      <c r="N196">
        <f t="shared" si="22"/>
        <v>0.38000000000000256</v>
      </c>
      <c r="O196">
        <f t="shared" si="22"/>
        <v>0.78000000000000114</v>
      </c>
      <c r="P196" s="10">
        <f t="shared" si="22"/>
        <v>-0.10999999999999943</v>
      </c>
    </row>
    <row r="197" spans="1:16">
      <c r="A197">
        <v>44</v>
      </c>
      <c r="B197">
        <v>73.400000000000006</v>
      </c>
      <c r="C197">
        <v>64.900000000000006</v>
      </c>
      <c r="D197">
        <v>90.78</v>
      </c>
      <c r="E197">
        <v>61.28</v>
      </c>
      <c r="F197">
        <v>62.45</v>
      </c>
      <c r="G197">
        <v>64.67</v>
      </c>
      <c r="H197">
        <v>53.51</v>
      </c>
      <c r="K197" s="9">
        <f t="shared" si="23"/>
        <v>0.60999999999999943</v>
      </c>
      <c r="L197">
        <f t="shared" si="23"/>
        <v>-3.269999999999996</v>
      </c>
      <c r="M197">
        <f t="shared" si="23"/>
        <v>0.5</v>
      </c>
      <c r="N197">
        <f t="shared" si="22"/>
        <v>0.39000000000000057</v>
      </c>
      <c r="O197">
        <f t="shared" si="22"/>
        <v>0.95000000000000284</v>
      </c>
      <c r="P197" s="10">
        <f t="shared" si="22"/>
        <v>0.27000000000000313</v>
      </c>
    </row>
    <row r="198" spans="1:16">
      <c r="A198">
        <v>44.25</v>
      </c>
      <c r="B198">
        <v>73.34</v>
      </c>
      <c r="C198">
        <v>65.12</v>
      </c>
      <c r="D198">
        <v>92.17</v>
      </c>
      <c r="E198">
        <v>61.4</v>
      </c>
      <c r="F198">
        <v>62.73</v>
      </c>
      <c r="G198">
        <v>64.73</v>
      </c>
      <c r="H198">
        <v>53.56</v>
      </c>
      <c r="K198" s="9">
        <f t="shared" si="23"/>
        <v>0.5</v>
      </c>
      <c r="L198">
        <f t="shared" si="23"/>
        <v>-6.5499999999999972</v>
      </c>
      <c r="M198">
        <f t="shared" si="23"/>
        <v>0.5</v>
      </c>
      <c r="N198">
        <f t="shared" si="22"/>
        <v>0.17000000000000171</v>
      </c>
      <c r="O198">
        <f t="shared" si="22"/>
        <v>1.6099999999999994</v>
      </c>
      <c r="P198" s="10">
        <f t="shared" si="22"/>
        <v>-0.16000000000000369</v>
      </c>
    </row>
    <row r="199" spans="1:16">
      <c r="A199">
        <v>44.5</v>
      </c>
      <c r="B199">
        <v>73.06</v>
      </c>
      <c r="C199">
        <v>65.28</v>
      </c>
      <c r="D199">
        <v>90.67</v>
      </c>
      <c r="E199">
        <v>61.67</v>
      </c>
      <c r="F199">
        <v>62.78</v>
      </c>
      <c r="G199">
        <v>65.06</v>
      </c>
      <c r="H199">
        <v>53.62</v>
      </c>
      <c r="K199" s="9">
        <f t="shared" si="23"/>
        <v>0.45000000000000284</v>
      </c>
      <c r="L199">
        <f t="shared" si="23"/>
        <v>-7.6599999999999966</v>
      </c>
      <c r="M199">
        <f t="shared" si="23"/>
        <v>0.39000000000000057</v>
      </c>
      <c r="N199">
        <f t="shared" si="22"/>
        <v>6.0000000000002274E-2</v>
      </c>
      <c r="O199">
        <f t="shared" si="22"/>
        <v>2.4500000000000028</v>
      </c>
      <c r="P199" s="10">
        <f t="shared" si="22"/>
        <v>-0.1699999999999946</v>
      </c>
    </row>
    <row r="200" spans="1:16">
      <c r="A200">
        <v>44.75</v>
      </c>
      <c r="B200">
        <v>73.12</v>
      </c>
      <c r="C200">
        <v>65.510000000000005</v>
      </c>
      <c r="D200">
        <v>87.51</v>
      </c>
      <c r="E200">
        <v>61.78</v>
      </c>
      <c r="F200">
        <v>62.84</v>
      </c>
      <c r="G200">
        <v>65.62</v>
      </c>
      <c r="H200">
        <v>53.78</v>
      </c>
      <c r="K200" s="9">
        <f t="shared" si="23"/>
        <v>0.32999999999999829</v>
      </c>
      <c r="L200">
        <f t="shared" si="23"/>
        <v>-6.5</v>
      </c>
      <c r="M200">
        <f t="shared" si="23"/>
        <v>0.44999999999999574</v>
      </c>
      <c r="N200">
        <f t="shared" si="22"/>
        <v>-0.11000000000000654</v>
      </c>
      <c r="O200">
        <f t="shared" si="22"/>
        <v>3.2800000000000011</v>
      </c>
      <c r="P200" s="10">
        <f t="shared" si="22"/>
        <v>-5.0000000000004263E-2</v>
      </c>
    </row>
    <row r="201" spans="1:16">
      <c r="A201">
        <v>45</v>
      </c>
      <c r="B201">
        <v>72.95</v>
      </c>
      <c r="C201">
        <v>65.62</v>
      </c>
      <c r="D201">
        <v>85.62</v>
      </c>
      <c r="E201">
        <v>61.9</v>
      </c>
      <c r="F201">
        <v>62.9</v>
      </c>
      <c r="G201">
        <v>66.34</v>
      </c>
      <c r="H201">
        <v>53.4</v>
      </c>
      <c r="K201" s="9">
        <f t="shared" si="23"/>
        <v>0.39000000000000057</v>
      </c>
      <c r="L201">
        <f t="shared" si="23"/>
        <v>-3.3900000000000006</v>
      </c>
      <c r="M201">
        <f t="shared" si="23"/>
        <v>0.55000000000000426</v>
      </c>
      <c r="N201">
        <f t="shared" si="22"/>
        <v>-0.17000000000000171</v>
      </c>
      <c r="O201">
        <f t="shared" si="22"/>
        <v>4.7800000000000011</v>
      </c>
      <c r="P201" s="10">
        <f t="shared" si="22"/>
        <v>0.38000000000000256</v>
      </c>
    </row>
    <row r="202" spans="1:16">
      <c r="A202">
        <v>45.25</v>
      </c>
      <c r="B202">
        <v>72.84</v>
      </c>
      <c r="C202">
        <v>65.73</v>
      </c>
      <c r="D202">
        <v>83.01</v>
      </c>
      <c r="E202">
        <v>62.06</v>
      </c>
      <c r="F202">
        <v>62.84</v>
      </c>
      <c r="G202">
        <v>67.510000000000005</v>
      </c>
      <c r="H202">
        <v>53.45</v>
      </c>
      <c r="K202" s="9">
        <f t="shared" si="23"/>
        <v>0.43999999999999773</v>
      </c>
      <c r="L202">
        <f t="shared" si="23"/>
        <v>-0.17000000000000171</v>
      </c>
      <c r="M202">
        <f t="shared" si="23"/>
        <v>0.5</v>
      </c>
      <c r="N202">
        <f t="shared" si="22"/>
        <v>-0.11000000000000654</v>
      </c>
      <c r="O202">
        <f t="shared" si="22"/>
        <v>5.8900000000000006</v>
      </c>
      <c r="P202" s="10">
        <f t="shared" si="22"/>
        <v>0.21999999999999886</v>
      </c>
    </row>
    <row r="203" spans="1:16">
      <c r="A203">
        <v>45.5</v>
      </c>
      <c r="B203">
        <v>72.900000000000006</v>
      </c>
      <c r="C203">
        <v>65.84</v>
      </c>
      <c r="D203">
        <v>81.010000000000005</v>
      </c>
      <c r="E203">
        <v>62.23</v>
      </c>
      <c r="F203">
        <v>62.73</v>
      </c>
      <c r="G203">
        <v>68.900000000000006</v>
      </c>
      <c r="H203">
        <v>53.73</v>
      </c>
      <c r="K203" s="9">
        <f t="shared" si="23"/>
        <v>0.5</v>
      </c>
      <c r="L203">
        <f t="shared" si="23"/>
        <v>2.269999999999996</v>
      </c>
      <c r="M203">
        <f t="shared" si="23"/>
        <v>0.5</v>
      </c>
      <c r="N203">
        <f t="shared" si="22"/>
        <v>-5.9999999999995168E-2</v>
      </c>
      <c r="O203">
        <f t="shared" si="22"/>
        <v>3.769999999999996</v>
      </c>
      <c r="P203" s="10">
        <f t="shared" si="22"/>
        <v>0</v>
      </c>
    </row>
    <row r="204" spans="1:16">
      <c r="A204">
        <v>45.75</v>
      </c>
      <c r="B204">
        <v>72.84</v>
      </c>
      <c r="C204">
        <v>66.010000000000005</v>
      </c>
      <c r="D204">
        <v>82.23</v>
      </c>
      <c r="E204">
        <v>62.45</v>
      </c>
      <c r="F204">
        <v>62.73</v>
      </c>
      <c r="G204">
        <v>71.12</v>
      </c>
      <c r="H204">
        <v>53.78</v>
      </c>
      <c r="K204" s="9">
        <f t="shared" si="23"/>
        <v>0.54999999999999716</v>
      </c>
      <c r="L204">
        <f t="shared" si="23"/>
        <v>1</v>
      </c>
      <c r="M204">
        <f t="shared" si="23"/>
        <v>0.44999999999999574</v>
      </c>
      <c r="N204">
        <f t="shared" si="22"/>
        <v>0</v>
      </c>
      <c r="O204">
        <f t="shared" si="22"/>
        <v>-1.1099999999999994</v>
      </c>
      <c r="P204" s="10">
        <f t="shared" si="22"/>
        <v>0.22999999999999687</v>
      </c>
    </row>
    <row r="205" spans="1:16">
      <c r="A205">
        <v>46</v>
      </c>
      <c r="B205">
        <v>72.67</v>
      </c>
      <c r="C205">
        <v>66.17</v>
      </c>
      <c r="D205">
        <v>82.84</v>
      </c>
      <c r="E205">
        <v>62.56</v>
      </c>
      <c r="F205">
        <v>62.73</v>
      </c>
      <c r="G205">
        <v>73.400000000000006</v>
      </c>
      <c r="H205">
        <v>53.67</v>
      </c>
      <c r="K205" s="9">
        <f t="shared" si="23"/>
        <v>0.67000000000000171</v>
      </c>
      <c r="L205">
        <f t="shared" si="23"/>
        <v>-0.28000000000000114</v>
      </c>
      <c r="M205">
        <f t="shared" si="23"/>
        <v>0.55999999999999517</v>
      </c>
      <c r="N205">
        <f t="shared" si="22"/>
        <v>5.0000000000004263E-2</v>
      </c>
      <c r="O205">
        <f t="shared" si="22"/>
        <v>-4.5</v>
      </c>
      <c r="P205" s="10">
        <f t="shared" si="22"/>
        <v>0.39000000000000057</v>
      </c>
    </row>
    <row r="206" spans="1:16">
      <c r="A206">
        <v>46.25</v>
      </c>
      <c r="B206">
        <v>72.62</v>
      </c>
      <c r="C206">
        <v>66.34</v>
      </c>
      <c r="D206">
        <v>83.28</v>
      </c>
      <c r="E206">
        <v>62.73</v>
      </c>
      <c r="F206">
        <v>62.67</v>
      </c>
      <c r="G206">
        <v>72.67</v>
      </c>
      <c r="H206">
        <v>53.73</v>
      </c>
      <c r="K206" s="9">
        <f t="shared" si="23"/>
        <v>0.60999999999999943</v>
      </c>
      <c r="L206">
        <f t="shared" si="23"/>
        <v>-1.3299999999999983</v>
      </c>
      <c r="M206">
        <f t="shared" si="23"/>
        <v>0.5</v>
      </c>
      <c r="N206">
        <f t="shared" si="22"/>
        <v>0.17000000000000171</v>
      </c>
      <c r="O206">
        <f t="shared" si="22"/>
        <v>-4.6099999999999994</v>
      </c>
      <c r="P206" s="10">
        <f t="shared" si="22"/>
        <v>0.78000000000000114</v>
      </c>
    </row>
    <row r="207" spans="1:16">
      <c r="A207">
        <v>46.5</v>
      </c>
      <c r="B207">
        <v>72.56</v>
      </c>
      <c r="C207">
        <v>66.56</v>
      </c>
      <c r="D207">
        <v>83.23</v>
      </c>
      <c r="E207">
        <v>62.9</v>
      </c>
      <c r="F207">
        <v>62.73</v>
      </c>
      <c r="G207">
        <v>70.010000000000005</v>
      </c>
      <c r="H207">
        <v>54.01</v>
      </c>
      <c r="K207" s="9">
        <f t="shared" si="23"/>
        <v>0.56000000000000227</v>
      </c>
      <c r="L207">
        <f t="shared" si="23"/>
        <v>-2.3299999999999983</v>
      </c>
      <c r="M207">
        <f t="shared" si="23"/>
        <v>0.60999999999999943</v>
      </c>
      <c r="N207">
        <f t="shared" si="22"/>
        <v>0.5</v>
      </c>
      <c r="O207">
        <f t="shared" si="22"/>
        <v>-2.230000000000004</v>
      </c>
      <c r="P207" s="10">
        <f t="shared" si="22"/>
        <v>0.5</v>
      </c>
    </row>
    <row r="208" spans="1:16">
      <c r="A208">
        <v>46.75</v>
      </c>
      <c r="B208">
        <v>72.56</v>
      </c>
      <c r="C208">
        <v>66.84</v>
      </c>
      <c r="D208">
        <v>82.56</v>
      </c>
      <c r="E208">
        <v>63.12</v>
      </c>
      <c r="F208">
        <v>62.78</v>
      </c>
      <c r="G208">
        <v>68.900000000000006</v>
      </c>
      <c r="H208">
        <v>54.06</v>
      </c>
      <c r="K208" s="9">
        <f t="shared" si="23"/>
        <v>0.5</v>
      </c>
      <c r="L208">
        <f t="shared" si="23"/>
        <v>-2.2800000000000011</v>
      </c>
      <c r="M208">
        <f t="shared" si="23"/>
        <v>0.44000000000000483</v>
      </c>
      <c r="N208">
        <f t="shared" si="22"/>
        <v>0.61999999999999744</v>
      </c>
      <c r="O208">
        <f t="shared" si="22"/>
        <v>-1.4500000000000028</v>
      </c>
      <c r="P208" s="10">
        <f t="shared" si="22"/>
        <v>0.39000000000000057</v>
      </c>
    </row>
    <row r="209" spans="1:16">
      <c r="A209">
        <v>47</v>
      </c>
      <c r="B209">
        <v>72.510000000000005</v>
      </c>
      <c r="C209">
        <v>66.95</v>
      </c>
      <c r="D209">
        <v>81.95</v>
      </c>
      <c r="E209">
        <v>63.23</v>
      </c>
      <c r="F209">
        <v>62.84</v>
      </c>
      <c r="G209">
        <v>68.06</v>
      </c>
      <c r="H209">
        <v>54.51</v>
      </c>
      <c r="K209" s="9">
        <f t="shared" si="23"/>
        <v>0.60999999999999943</v>
      </c>
      <c r="L209">
        <f t="shared" si="23"/>
        <v>-2.1099999999999994</v>
      </c>
      <c r="M209">
        <f t="shared" si="23"/>
        <v>0.55000000000000426</v>
      </c>
      <c r="N209">
        <f t="shared" si="22"/>
        <v>0.93999999999999773</v>
      </c>
      <c r="O209">
        <f t="shared" si="22"/>
        <v>0.10999999999999943</v>
      </c>
      <c r="P209" s="10">
        <f t="shared" si="22"/>
        <v>0</v>
      </c>
    </row>
    <row r="210" spans="1:16">
      <c r="A210">
        <v>47.25</v>
      </c>
      <c r="B210">
        <v>72.45</v>
      </c>
      <c r="C210">
        <v>67.12</v>
      </c>
      <c r="D210">
        <v>80.900000000000006</v>
      </c>
      <c r="E210">
        <v>63.51</v>
      </c>
      <c r="F210">
        <v>63.23</v>
      </c>
      <c r="G210">
        <v>67.78</v>
      </c>
      <c r="H210">
        <v>54.51</v>
      </c>
      <c r="K210" s="9">
        <f t="shared" si="23"/>
        <v>0.60999999999999943</v>
      </c>
      <c r="L210">
        <f t="shared" si="23"/>
        <v>-1.5600000000000023</v>
      </c>
      <c r="M210">
        <f t="shared" si="23"/>
        <v>0.39000000000000057</v>
      </c>
      <c r="N210">
        <f t="shared" si="22"/>
        <v>0.67000000000000171</v>
      </c>
      <c r="O210">
        <f t="shared" si="22"/>
        <v>0.62000000000000455</v>
      </c>
      <c r="P210" s="10">
        <f t="shared" si="22"/>
        <v>5.0000000000004263E-2</v>
      </c>
    </row>
    <row r="211" spans="1:16">
      <c r="A211">
        <v>47.5</v>
      </c>
      <c r="B211">
        <v>72.45</v>
      </c>
      <c r="C211">
        <v>67.34</v>
      </c>
      <c r="D211">
        <v>80.28</v>
      </c>
      <c r="E211">
        <v>63.56</v>
      </c>
      <c r="F211">
        <v>63.4</v>
      </c>
      <c r="G211">
        <v>67.45</v>
      </c>
      <c r="H211">
        <v>54.45</v>
      </c>
      <c r="K211" s="9">
        <f t="shared" si="23"/>
        <v>0.56000000000000227</v>
      </c>
      <c r="L211">
        <f t="shared" si="23"/>
        <v>-1.8299999999999983</v>
      </c>
      <c r="M211">
        <f t="shared" si="23"/>
        <v>0.56000000000000227</v>
      </c>
      <c r="N211">
        <f t="shared" si="22"/>
        <v>0.72000000000000597</v>
      </c>
      <c r="O211">
        <f t="shared" si="22"/>
        <v>1.1700000000000017</v>
      </c>
      <c r="P211" s="10">
        <f t="shared" si="22"/>
        <v>1.279999999999994</v>
      </c>
    </row>
    <row r="212" spans="1:16">
      <c r="A212">
        <v>47.75</v>
      </c>
      <c r="B212">
        <v>72.510000000000005</v>
      </c>
      <c r="C212">
        <v>67.56</v>
      </c>
      <c r="D212">
        <v>79.84</v>
      </c>
      <c r="E212">
        <v>63.78</v>
      </c>
      <c r="F212">
        <v>63.78</v>
      </c>
      <c r="G212">
        <v>68.17</v>
      </c>
      <c r="H212">
        <v>54.51</v>
      </c>
      <c r="K212" s="9">
        <f t="shared" si="23"/>
        <v>0.5</v>
      </c>
      <c r="L212">
        <f t="shared" si="23"/>
        <v>-1.8900000000000006</v>
      </c>
      <c r="M212">
        <f t="shared" si="23"/>
        <v>0.5</v>
      </c>
      <c r="N212">
        <f t="shared" si="22"/>
        <v>0.56000000000000227</v>
      </c>
      <c r="O212">
        <f t="shared" si="22"/>
        <v>0.5</v>
      </c>
      <c r="P212" s="10">
        <f t="shared" si="22"/>
        <v>0.89000000000000057</v>
      </c>
    </row>
    <row r="213" spans="1:16">
      <c r="A213">
        <v>48</v>
      </c>
      <c r="B213">
        <v>72.45</v>
      </c>
      <c r="C213">
        <v>67.73</v>
      </c>
      <c r="D213">
        <v>79.34</v>
      </c>
      <c r="E213">
        <v>63.9</v>
      </c>
      <c r="F213">
        <v>63.9</v>
      </c>
      <c r="G213">
        <v>68.400000000000006</v>
      </c>
      <c r="H213">
        <v>54.56</v>
      </c>
      <c r="K213" s="9">
        <f t="shared" si="23"/>
        <v>0.5</v>
      </c>
      <c r="L213">
        <f t="shared" si="23"/>
        <v>-2.2199999999999989</v>
      </c>
      <c r="M213">
        <f t="shared" si="23"/>
        <v>0.44000000000000483</v>
      </c>
      <c r="N213">
        <f t="shared" si="23"/>
        <v>0.55000000000000426</v>
      </c>
      <c r="O213">
        <f t="shared" si="23"/>
        <v>1.1099999999999994</v>
      </c>
      <c r="P213" s="10">
        <f t="shared" si="23"/>
        <v>0.83999999999999631</v>
      </c>
    </row>
    <row r="214" spans="1:16">
      <c r="A214">
        <v>48.25</v>
      </c>
      <c r="B214">
        <v>72.45</v>
      </c>
      <c r="C214">
        <v>67.900000000000006</v>
      </c>
      <c r="D214">
        <v>78.45</v>
      </c>
      <c r="E214">
        <v>64.12</v>
      </c>
      <c r="F214">
        <v>64.12</v>
      </c>
      <c r="G214">
        <v>68.62</v>
      </c>
      <c r="H214">
        <v>55.73</v>
      </c>
      <c r="K214" s="9">
        <f t="shared" ref="K214:N277" si="24">C217-C214</f>
        <v>0.37999999999999545</v>
      </c>
      <c r="L214">
        <f t="shared" si="24"/>
        <v>-2.3299999999999983</v>
      </c>
      <c r="M214">
        <f t="shared" si="24"/>
        <v>0.43999999999999773</v>
      </c>
      <c r="N214">
        <f t="shared" si="24"/>
        <v>0.39000000000000057</v>
      </c>
      <c r="O214">
        <f t="shared" ref="O214:P277" si="25">G217-G214</f>
        <v>1.5</v>
      </c>
      <c r="P214" s="10">
        <f t="shared" si="25"/>
        <v>0.39000000000000057</v>
      </c>
    </row>
    <row r="215" spans="1:16">
      <c r="A215">
        <v>48.5</v>
      </c>
      <c r="B215">
        <v>72.400000000000006</v>
      </c>
      <c r="C215">
        <v>68.06</v>
      </c>
      <c r="D215">
        <v>77.95</v>
      </c>
      <c r="E215">
        <v>64.28</v>
      </c>
      <c r="F215">
        <v>64.34</v>
      </c>
      <c r="G215">
        <v>68.67</v>
      </c>
      <c r="H215">
        <v>55.4</v>
      </c>
      <c r="K215" s="9">
        <f t="shared" si="24"/>
        <v>0.39000000000000057</v>
      </c>
      <c r="L215">
        <f t="shared" si="24"/>
        <v>-2.3900000000000006</v>
      </c>
      <c r="M215">
        <f t="shared" si="24"/>
        <v>0.34000000000000341</v>
      </c>
      <c r="N215">
        <f t="shared" si="24"/>
        <v>0.21999999999999886</v>
      </c>
      <c r="O215">
        <f t="shared" si="25"/>
        <v>0.95000000000000284</v>
      </c>
      <c r="P215" s="10">
        <f t="shared" si="25"/>
        <v>0.82999999999999829</v>
      </c>
    </row>
    <row r="216" spans="1:16">
      <c r="A216">
        <v>48.75</v>
      </c>
      <c r="B216">
        <v>72.34</v>
      </c>
      <c r="C216">
        <v>68.23</v>
      </c>
      <c r="D216">
        <v>77.12</v>
      </c>
      <c r="E216">
        <v>64.34</v>
      </c>
      <c r="F216">
        <v>64.45</v>
      </c>
      <c r="G216">
        <v>69.510000000000005</v>
      </c>
      <c r="H216">
        <v>55.4</v>
      </c>
      <c r="K216" s="9">
        <f t="shared" si="24"/>
        <v>0.43999999999999773</v>
      </c>
      <c r="L216">
        <f t="shared" si="24"/>
        <v>-1.2800000000000011</v>
      </c>
      <c r="M216">
        <f t="shared" si="24"/>
        <v>0.5</v>
      </c>
      <c r="N216">
        <f t="shared" si="24"/>
        <v>0.21999999999999886</v>
      </c>
      <c r="O216">
        <f t="shared" si="25"/>
        <v>-0.17000000000000171</v>
      </c>
      <c r="P216" s="10">
        <f t="shared" si="25"/>
        <v>1.0500000000000043</v>
      </c>
    </row>
    <row r="217" spans="1:16">
      <c r="A217">
        <v>49</v>
      </c>
      <c r="B217">
        <v>72.400000000000006</v>
      </c>
      <c r="C217">
        <v>68.28</v>
      </c>
      <c r="D217">
        <v>76.12</v>
      </c>
      <c r="E217">
        <v>64.56</v>
      </c>
      <c r="F217">
        <v>64.510000000000005</v>
      </c>
      <c r="G217">
        <v>70.12</v>
      </c>
      <c r="H217">
        <v>56.12</v>
      </c>
      <c r="K217" s="9">
        <f t="shared" si="24"/>
        <v>0.56000000000000227</v>
      </c>
      <c r="L217">
        <f t="shared" si="24"/>
        <v>1.4399999999999977</v>
      </c>
      <c r="M217">
        <f t="shared" si="24"/>
        <v>0.34000000000000341</v>
      </c>
      <c r="N217">
        <f t="shared" si="24"/>
        <v>0.32999999999999829</v>
      </c>
      <c r="O217">
        <f t="shared" si="25"/>
        <v>-0.34000000000000341</v>
      </c>
      <c r="P217" s="10">
        <f t="shared" si="25"/>
        <v>0.22000000000000597</v>
      </c>
    </row>
    <row r="218" spans="1:16">
      <c r="A218">
        <v>49.25</v>
      </c>
      <c r="B218">
        <v>72.34</v>
      </c>
      <c r="C218">
        <v>68.45</v>
      </c>
      <c r="D218">
        <v>75.56</v>
      </c>
      <c r="E218">
        <v>64.62</v>
      </c>
      <c r="F218">
        <v>64.56</v>
      </c>
      <c r="G218">
        <v>69.62</v>
      </c>
      <c r="H218">
        <v>56.23</v>
      </c>
      <c r="K218" s="9">
        <f t="shared" si="24"/>
        <v>0.67000000000000171</v>
      </c>
      <c r="L218">
        <f t="shared" si="24"/>
        <v>4.7199999999999989</v>
      </c>
      <c r="M218">
        <f t="shared" si="24"/>
        <v>0.43999999999999773</v>
      </c>
      <c r="N218">
        <f t="shared" si="24"/>
        <v>0.45000000000000284</v>
      </c>
      <c r="O218">
        <f t="shared" si="25"/>
        <v>1.2800000000000011</v>
      </c>
      <c r="P218" s="10">
        <f t="shared" si="25"/>
        <v>0.55000000000000426</v>
      </c>
    </row>
    <row r="219" spans="1:16">
      <c r="A219">
        <v>49.5</v>
      </c>
      <c r="B219">
        <v>72.400000000000006</v>
      </c>
      <c r="C219">
        <v>68.67</v>
      </c>
      <c r="D219">
        <v>75.84</v>
      </c>
      <c r="E219">
        <v>64.84</v>
      </c>
      <c r="F219">
        <v>64.67</v>
      </c>
      <c r="G219">
        <v>69.34</v>
      </c>
      <c r="H219">
        <v>56.45</v>
      </c>
      <c r="K219" s="9">
        <f t="shared" si="24"/>
        <v>0.67000000000000171</v>
      </c>
      <c r="L219">
        <f t="shared" si="24"/>
        <v>7.0600000000000023</v>
      </c>
      <c r="M219">
        <f t="shared" si="24"/>
        <v>0.28000000000000114</v>
      </c>
      <c r="N219">
        <f t="shared" si="24"/>
        <v>0.5</v>
      </c>
      <c r="O219">
        <f t="shared" si="25"/>
        <v>3</v>
      </c>
      <c r="P219" s="10">
        <f t="shared" si="25"/>
        <v>-5.0000000000004263E-2</v>
      </c>
    </row>
    <row r="220" spans="1:16">
      <c r="A220">
        <v>49.75</v>
      </c>
      <c r="B220">
        <v>72.400000000000006</v>
      </c>
      <c r="C220">
        <v>68.84</v>
      </c>
      <c r="D220">
        <v>77.56</v>
      </c>
      <c r="E220">
        <v>64.900000000000006</v>
      </c>
      <c r="F220">
        <v>64.84</v>
      </c>
      <c r="G220">
        <v>69.78</v>
      </c>
      <c r="H220">
        <v>56.34</v>
      </c>
      <c r="K220" s="9">
        <f t="shared" si="24"/>
        <v>0.67000000000000171</v>
      </c>
      <c r="L220">
        <f t="shared" si="24"/>
        <v>7.7199999999999989</v>
      </c>
      <c r="M220">
        <f t="shared" si="24"/>
        <v>0.26999999999999602</v>
      </c>
      <c r="N220">
        <f t="shared" si="24"/>
        <v>0.28000000000000114</v>
      </c>
      <c r="O220">
        <f t="shared" si="25"/>
        <v>4.5</v>
      </c>
      <c r="P220" s="10">
        <f t="shared" si="25"/>
        <v>-0.22000000000000597</v>
      </c>
    </row>
    <row r="221" spans="1:16">
      <c r="A221">
        <v>50</v>
      </c>
      <c r="B221">
        <v>72.400000000000006</v>
      </c>
      <c r="C221">
        <v>69.12</v>
      </c>
      <c r="D221">
        <v>80.28</v>
      </c>
      <c r="E221">
        <v>65.06</v>
      </c>
      <c r="F221">
        <v>65.010000000000005</v>
      </c>
      <c r="G221">
        <v>70.900000000000006</v>
      </c>
      <c r="H221">
        <v>56.78</v>
      </c>
      <c r="K221" s="9">
        <f t="shared" si="24"/>
        <v>0.54999999999999716</v>
      </c>
      <c r="L221">
        <f t="shared" si="24"/>
        <v>7.6700000000000017</v>
      </c>
      <c r="M221">
        <f t="shared" si="24"/>
        <v>0.28000000000000114</v>
      </c>
      <c r="N221">
        <f t="shared" si="24"/>
        <v>0.32999999999999829</v>
      </c>
      <c r="O221">
        <f t="shared" si="25"/>
        <v>3.8799999999999955</v>
      </c>
      <c r="P221" s="10">
        <f t="shared" si="25"/>
        <v>-0.5</v>
      </c>
    </row>
    <row r="222" spans="1:16">
      <c r="A222">
        <v>50.25</v>
      </c>
      <c r="B222">
        <v>72.45</v>
      </c>
      <c r="C222">
        <v>69.34</v>
      </c>
      <c r="D222">
        <v>82.9</v>
      </c>
      <c r="E222">
        <v>65.12</v>
      </c>
      <c r="F222">
        <v>65.17</v>
      </c>
      <c r="G222">
        <v>72.34</v>
      </c>
      <c r="H222">
        <v>56.4</v>
      </c>
      <c r="K222" s="9">
        <f t="shared" si="24"/>
        <v>0.43999999999999773</v>
      </c>
      <c r="L222">
        <f t="shared" si="24"/>
        <v>7.3799999999999955</v>
      </c>
      <c r="M222">
        <f t="shared" si="24"/>
        <v>0.32999999999999829</v>
      </c>
      <c r="N222">
        <f t="shared" si="24"/>
        <v>0.34000000000000341</v>
      </c>
      <c r="O222">
        <f t="shared" si="25"/>
        <v>1.3900000000000006</v>
      </c>
      <c r="P222" s="10">
        <f t="shared" si="25"/>
        <v>-5.9999999999995168E-2</v>
      </c>
    </row>
    <row r="223" spans="1:16">
      <c r="A223">
        <v>50.5</v>
      </c>
      <c r="B223">
        <v>72.510000000000005</v>
      </c>
      <c r="C223">
        <v>69.510000000000005</v>
      </c>
      <c r="D223">
        <v>85.28</v>
      </c>
      <c r="E223">
        <v>65.17</v>
      </c>
      <c r="F223">
        <v>65.12</v>
      </c>
      <c r="G223">
        <v>74.28</v>
      </c>
      <c r="H223">
        <v>56.12</v>
      </c>
      <c r="K223" s="9">
        <f t="shared" si="24"/>
        <v>0.21999999999999886</v>
      </c>
      <c r="L223">
        <f t="shared" si="24"/>
        <v>6.6200000000000045</v>
      </c>
      <c r="M223">
        <f t="shared" si="24"/>
        <v>0.45000000000000284</v>
      </c>
      <c r="N223">
        <f t="shared" si="24"/>
        <v>0.43999999999999773</v>
      </c>
      <c r="O223">
        <f t="shared" si="25"/>
        <v>-2.6599999999999966</v>
      </c>
      <c r="P223" s="10">
        <f t="shared" si="25"/>
        <v>0.72000000000000597</v>
      </c>
    </row>
    <row r="224" spans="1:16">
      <c r="A224">
        <v>50.75</v>
      </c>
      <c r="B224">
        <v>72.56</v>
      </c>
      <c r="C224">
        <v>69.67</v>
      </c>
      <c r="D224">
        <v>87.95</v>
      </c>
      <c r="E224">
        <v>65.34</v>
      </c>
      <c r="F224">
        <v>65.34</v>
      </c>
      <c r="G224">
        <v>74.78</v>
      </c>
      <c r="H224">
        <v>56.28</v>
      </c>
      <c r="K224" s="9">
        <f t="shared" si="24"/>
        <v>0.23000000000000398</v>
      </c>
      <c r="L224">
        <f t="shared" si="24"/>
        <v>4.3900000000000006</v>
      </c>
      <c r="M224">
        <f t="shared" si="24"/>
        <v>0.43999999999999773</v>
      </c>
      <c r="N224">
        <f t="shared" si="24"/>
        <v>0.28000000000000114</v>
      </c>
      <c r="O224">
        <f t="shared" si="25"/>
        <v>-4.1599999999999966</v>
      </c>
      <c r="P224" s="10">
        <f t="shared" si="25"/>
        <v>0.5</v>
      </c>
    </row>
    <row r="225" spans="1:16">
      <c r="A225">
        <v>51</v>
      </c>
      <c r="B225">
        <v>72.62</v>
      </c>
      <c r="C225">
        <v>69.78</v>
      </c>
      <c r="D225">
        <v>90.28</v>
      </c>
      <c r="E225">
        <v>65.45</v>
      </c>
      <c r="F225">
        <v>65.510000000000005</v>
      </c>
      <c r="G225">
        <v>73.73</v>
      </c>
      <c r="H225">
        <v>56.34</v>
      </c>
      <c r="K225" s="9">
        <f t="shared" si="24"/>
        <v>0.28000000000000114</v>
      </c>
      <c r="L225">
        <f t="shared" si="24"/>
        <v>1.1200000000000045</v>
      </c>
      <c r="M225">
        <f t="shared" si="24"/>
        <v>0.45000000000000284</v>
      </c>
      <c r="N225">
        <f t="shared" si="24"/>
        <v>0.21999999999999886</v>
      </c>
      <c r="O225">
        <f t="shared" si="25"/>
        <v>-3.9500000000000028</v>
      </c>
      <c r="P225" s="10">
        <f t="shared" si="25"/>
        <v>0.1699999999999946</v>
      </c>
    </row>
    <row r="226" spans="1:16">
      <c r="A226">
        <v>51.25</v>
      </c>
      <c r="B226">
        <v>72.84</v>
      </c>
      <c r="C226">
        <v>69.73</v>
      </c>
      <c r="D226">
        <v>91.9</v>
      </c>
      <c r="E226">
        <v>65.62</v>
      </c>
      <c r="F226">
        <v>65.56</v>
      </c>
      <c r="G226">
        <v>71.62</v>
      </c>
      <c r="H226">
        <v>56.84</v>
      </c>
      <c r="K226" s="9">
        <f t="shared" si="24"/>
        <v>0.60999999999999943</v>
      </c>
      <c r="L226">
        <f t="shared" si="24"/>
        <v>-2.7800000000000011</v>
      </c>
      <c r="M226">
        <f t="shared" si="24"/>
        <v>0.5</v>
      </c>
      <c r="N226">
        <f t="shared" si="24"/>
        <v>0.34000000000000341</v>
      </c>
      <c r="O226">
        <f t="shared" si="25"/>
        <v>-2.3900000000000006</v>
      </c>
      <c r="P226" s="10">
        <f t="shared" si="25"/>
        <v>0</v>
      </c>
    </row>
    <row r="227" spans="1:16">
      <c r="A227">
        <v>51.5</v>
      </c>
      <c r="B227">
        <v>73.28</v>
      </c>
      <c r="C227">
        <v>69.900000000000006</v>
      </c>
      <c r="D227">
        <v>92.34</v>
      </c>
      <c r="E227">
        <v>65.78</v>
      </c>
      <c r="F227">
        <v>65.62</v>
      </c>
      <c r="G227">
        <v>70.62</v>
      </c>
      <c r="H227">
        <v>56.78</v>
      </c>
      <c r="K227" s="9">
        <f t="shared" si="24"/>
        <v>0.76999999999999602</v>
      </c>
      <c r="L227">
        <f t="shared" si="24"/>
        <v>-5.6099999999999994</v>
      </c>
      <c r="M227">
        <f t="shared" si="24"/>
        <v>0.56000000000000227</v>
      </c>
      <c r="N227">
        <f t="shared" si="24"/>
        <v>0.39000000000000057</v>
      </c>
      <c r="O227">
        <f t="shared" si="25"/>
        <v>-1.6700000000000017</v>
      </c>
      <c r="P227" s="10">
        <f t="shared" si="25"/>
        <v>-0.32999999999999829</v>
      </c>
    </row>
    <row r="228" spans="1:16">
      <c r="A228">
        <v>51.75</v>
      </c>
      <c r="B228">
        <v>73.84</v>
      </c>
      <c r="C228">
        <v>70.06</v>
      </c>
      <c r="D228">
        <v>91.4</v>
      </c>
      <c r="E228">
        <v>65.900000000000006</v>
      </c>
      <c r="F228">
        <v>65.73</v>
      </c>
      <c r="G228">
        <v>69.78</v>
      </c>
      <c r="H228">
        <v>56.51</v>
      </c>
      <c r="K228" s="9">
        <f t="shared" si="24"/>
        <v>0.78000000000000114</v>
      </c>
      <c r="L228">
        <f t="shared" si="24"/>
        <v>-6.6700000000000017</v>
      </c>
      <c r="M228">
        <f t="shared" si="24"/>
        <v>0.65999999999999659</v>
      </c>
      <c r="N228">
        <f t="shared" si="24"/>
        <v>0.54999999999999716</v>
      </c>
      <c r="O228">
        <f t="shared" si="25"/>
        <v>-1.1599999999999966</v>
      </c>
      <c r="P228" s="10">
        <f t="shared" si="25"/>
        <v>0.3300000000000054</v>
      </c>
    </row>
    <row r="229" spans="1:16">
      <c r="A229">
        <v>52</v>
      </c>
      <c r="B229">
        <v>74.45</v>
      </c>
      <c r="C229">
        <v>70.34</v>
      </c>
      <c r="D229">
        <v>89.12</v>
      </c>
      <c r="E229">
        <v>66.12</v>
      </c>
      <c r="F229">
        <v>65.900000000000006</v>
      </c>
      <c r="G229">
        <v>69.23</v>
      </c>
      <c r="H229">
        <v>56.84</v>
      </c>
      <c r="K229" s="9">
        <f t="shared" si="24"/>
        <v>0.71999999999999886</v>
      </c>
      <c r="L229">
        <f t="shared" si="24"/>
        <v>-5.6099999999999994</v>
      </c>
      <c r="M229">
        <f t="shared" si="24"/>
        <v>0.60999999999999943</v>
      </c>
      <c r="N229">
        <f t="shared" si="24"/>
        <v>0.5</v>
      </c>
      <c r="O229">
        <f t="shared" si="25"/>
        <v>-0.82999999999999829</v>
      </c>
      <c r="P229" s="10">
        <f t="shared" si="25"/>
        <v>0.21999999999999886</v>
      </c>
    </row>
    <row r="230" spans="1:16">
      <c r="A230">
        <v>52.25</v>
      </c>
      <c r="B230">
        <v>74.84</v>
      </c>
      <c r="C230">
        <v>70.67</v>
      </c>
      <c r="D230">
        <v>86.73</v>
      </c>
      <c r="E230">
        <v>66.34</v>
      </c>
      <c r="F230">
        <v>66.010000000000005</v>
      </c>
      <c r="G230">
        <v>68.95</v>
      </c>
      <c r="H230">
        <v>56.45</v>
      </c>
      <c r="K230" s="9">
        <f t="shared" si="24"/>
        <v>0.73000000000000398</v>
      </c>
      <c r="L230">
        <f t="shared" si="24"/>
        <v>-3.2800000000000011</v>
      </c>
      <c r="M230">
        <f t="shared" si="24"/>
        <v>0.56000000000000227</v>
      </c>
      <c r="N230">
        <f t="shared" si="24"/>
        <v>0.54999999999999716</v>
      </c>
      <c r="O230">
        <f t="shared" si="25"/>
        <v>-0.82999999999999829</v>
      </c>
      <c r="P230" s="10">
        <f t="shared" si="25"/>
        <v>0.89000000000000057</v>
      </c>
    </row>
    <row r="231" spans="1:16">
      <c r="A231">
        <v>52.5</v>
      </c>
      <c r="B231">
        <v>75.17</v>
      </c>
      <c r="C231">
        <v>70.84</v>
      </c>
      <c r="D231">
        <v>84.73</v>
      </c>
      <c r="E231">
        <v>66.56</v>
      </c>
      <c r="F231">
        <v>66.28</v>
      </c>
      <c r="G231">
        <v>68.62</v>
      </c>
      <c r="H231">
        <v>56.84</v>
      </c>
      <c r="K231" s="9">
        <f t="shared" si="24"/>
        <v>0.71999999999999886</v>
      </c>
      <c r="L231">
        <f t="shared" si="24"/>
        <v>-1</v>
      </c>
      <c r="M231">
        <f t="shared" si="24"/>
        <v>0.5</v>
      </c>
      <c r="N231">
        <f t="shared" si="24"/>
        <v>0.39000000000000057</v>
      </c>
      <c r="O231">
        <f t="shared" si="25"/>
        <v>-0.60999999999999943</v>
      </c>
      <c r="P231" s="10">
        <f t="shared" si="25"/>
        <v>0.6699999999999946</v>
      </c>
    </row>
    <row r="232" spans="1:16">
      <c r="A232">
        <v>52.75</v>
      </c>
      <c r="B232">
        <v>75.510000000000005</v>
      </c>
      <c r="C232">
        <v>71.06</v>
      </c>
      <c r="D232">
        <v>83.51</v>
      </c>
      <c r="E232">
        <v>66.73</v>
      </c>
      <c r="F232">
        <v>66.400000000000006</v>
      </c>
      <c r="G232">
        <v>68.400000000000006</v>
      </c>
      <c r="H232">
        <v>57.06</v>
      </c>
      <c r="K232" s="9">
        <f t="shared" si="24"/>
        <v>0.60999999999999943</v>
      </c>
      <c r="L232">
        <f t="shared" si="24"/>
        <v>0.65999999999999659</v>
      </c>
      <c r="M232">
        <f t="shared" si="24"/>
        <v>0.54999999999999716</v>
      </c>
      <c r="N232">
        <f t="shared" si="24"/>
        <v>0.32999999999999829</v>
      </c>
      <c r="O232">
        <f t="shared" si="25"/>
        <v>-0.39000000000000057</v>
      </c>
      <c r="P232" s="10">
        <f t="shared" si="25"/>
        <v>0.94999999999999574</v>
      </c>
    </row>
    <row r="233" spans="1:16">
      <c r="A233">
        <v>53</v>
      </c>
      <c r="B233">
        <v>75.67</v>
      </c>
      <c r="C233">
        <v>71.400000000000006</v>
      </c>
      <c r="D233">
        <v>83.45</v>
      </c>
      <c r="E233">
        <v>66.900000000000006</v>
      </c>
      <c r="F233">
        <v>66.56</v>
      </c>
      <c r="G233">
        <v>68.12</v>
      </c>
      <c r="H233">
        <v>57.34</v>
      </c>
      <c r="K233" s="9">
        <f t="shared" si="24"/>
        <v>0.5</v>
      </c>
      <c r="L233">
        <f t="shared" si="24"/>
        <v>0</v>
      </c>
      <c r="M233">
        <f t="shared" si="24"/>
        <v>0.54999999999999716</v>
      </c>
      <c r="N233">
        <f t="shared" si="24"/>
        <v>0.17000000000000171</v>
      </c>
      <c r="O233">
        <f t="shared" si="25"/>
        <v>-0.10999999999999943</v>
      </c>
      <c r="P233" s="10">
        <f t="shared" si="25"/>
        <v>1.3299999999999983</v>
      </c>
    </row>
    <row r="234" spans="1:16">
      <c r="A234">
        <v>53.25</v>
      </c>
      <c r="B234">
        <v>75.78</v>
      </c>
      <c r="C234">
        <v>71.56</v>
      </c>
      <c r="D234">
        <v>83.73</v>
      </c>
      <c r="E234">
        <v>67.06</v>
      </c>
      <c r="F234">
        <v>66.67</v>
      </c>
      <c r="G234">
        <v>68.010000000000005</v>
      </c>
      <c r="H234">
        <v>57.51</v>
      </c>
      <c r="K234" s="9">
        <f t="shared" si="24"/>
        <v>0.5</v>
      </c>
      <c r="L234">
        <f t="shared" si="24"/>
        <v>-0.17000000000000171</v>
      </c>
      <c r="M234">
        <f t="shared" si="24"/>
        <v>0.56000000000000227</v>
      </c>
      <c r="N234">
        <f t="shared" si="24"/>
        <v>6.0000000000002274E-2</v>
      </c>
      <c r="O234">
        <f t="shared" si="25"/>
        <v>-6.0000000000002274E-2</v>
      </c>
      <c r="P234" s="10">
        <f t="shared" si="25"/>
        <v>0.8300000000000054</v>
      </c>
    </row>
    <row r="235" spans="1:16">
      <c r="A235">
        <v>53.5</v>
      </c>
      <c r="B235">
        <v>75.84</v>
      </c>
      <c r="C235">
        <v>71.67</v>
      </c>
      <c r="D235">
        <v>84.17</v>
      </c>
      <c r="E235">
        <v>67.28</v>
      </c>
      <c r="F235">
        <v>66.73</v>
      </c>
      <c r="G235">
        <v>68.010000000000005</v>
      </c>
      <c r="H235">
        <v>58.01</v>
      </c>
      <c r="K235" s="9">
        <f t="shared" si="24"/>
        <v>0.60999999999999943</v>
      </c>
      <c r="L235">
        <f t="shared" si="24"/>
        <v>-1.5499999999999972</v>
      </c>
      <c r="M235">
        <f t="shared" si="24"/>
        <v>0.5</v>
      </c>
      <c r="N235">
        <f t="shared" si="24"/>
        <v>-6.0000000000002274E-2</v>
      </c>
      <c r="O235">
        <f t="shared" si="25"/>
        <v>-0.17000000000000171</v>
      </c>
      <c r="P235" s="10">
        <f t="shared" si="25"/>
        <v>0.55000000000000426</v>
      </c>
    </row>
    <row r="236" spans="1:16">
      <c r="A236">
        <v>53.75</v>
      </c>
      <c r="B236">
        <v>75.84</v>
      </c>
      <c r="C236">
        <v>71.900000000000006</v>
      </c>
      <c r="D236">
        <v>83.45</v>
      </c>
      <c r="E236">
        <v>67.45</v>
      </c>
      <c r="F236">
        <v>66.73</v>
      </c>
      <c r="G236">
        <v>68.010000000000005</v>
      </c>
      <c r="H236">
        <v>58.67</v>
      </c>
      <c r="K236" s="9">
        <f t="shared" si="24"/>
        <v>0.60999999999999943</v>
      </c>
      <c r="L236">
        <f t="shared" si="24"/>
        <v>-1.1099999999999994</v>
      </c>
      <c r="M236">
        <f t="shared" si="24"/>
        <v>0.5</v>
      </c>
      <c r="N236">
        <f t="shared" si="24"/>
        <v>0</v>
      </c>
      <c r="O236">
        <f t="shared" si="25"/>
        <v>-0.17000000000000171</v>
      </c>
      <c r="P236" s="10">
        <f t="shared" si="25"/>
        <v>0.10999999999999943</v>
      </c>
    </row>
    <row r="237" spans="1:16">
      <c r="A237">
        <v>54</v>
      </c>
      <c r="B237">
        <v>75.78</v>
      </c>
      <c r="C237">
        <v>72.06</v>
      </c>
      <c r="D237">
        <v>83.56</v>
      </c>
      <c r="E237">
        <v>67.62</v>
      </c>
      <c r="F237">
        <v>66.73</v>
      </c>
      <c r="G237">
        <v>67.95</v>
      </c>
      <c r="H237">
        <v>58.34</v>
      </c>
      <c r="K237" s="9">
        <f t="shared" si="24"/>
        <v>0.56000000000000227</v>
      </c>
      <c r="L237">
        <f t="shared" si="24"/>
        <v>-0.21999999999999886</v>
      </c>
      <c r="M237">
        <f t="shared" si="24"/>
        <v>0.43999999999999773</v>
      </c>
      <c r="N237">
        <f t="shared" si="24"/>
        <v>-6.0000000000002274E-2</v>
      </c>
      <c r="O237">
        <f t="shared" si="25"/>
        <v>-0.21999999999999886</v>
      </c>
      <c r="P237" s="10">
        <f t="shared" si="25"/>
        <v>-0.39000000000000057</v>
      </c>
    </row>
    <row r="238" spans="1:16">
      <c r="A238">
        <v>54.25</v>
      </c>
      <c r="B238">
        <v>75.900000000000006</v>
      </c>
      <c r="C238">
        <v>72.28</v>
      </c>
      <c r="D238">
        <v>82.62</v>
      </c>
      <c r="E238">
        <v>67.78</v>
      </c>
      <c r="F238">
        <v>66.67</v>
      </c>
      <c r="G238">
        <v>67.84</v>
      </c>
      <c r="H238">
        <v>58.56</v>
      </c>
      <c r="K238" s="9">
        <f t="shared" si="24"/>
        <v>0.28000000000000114</v>
      </c>
      <c r="L238">
        <f t="shared" si="24"/>
        <v>4.3299999999999983</v>
      </c>
      <c r="M238">
        <f t="shared" si="24"/>
        <v>0.34000000000000341</v>
      </c>
      <c r="N238">
        <f t="shared" si="24"/>
        <v>-0.10999999999999943</v>
      </c>
      <c r="O238">
        <f t="shared" si="25"/>
        <v>0</v>
      </c>
      <c r="P238" s="10">
        <f t="shared" si="25"/>
        <v>-5.0000000000004263E-2</v>
      </c>
    </row>
    <row r="239" spans="1:16">
      <c r="A239">
        <v>54.5</v>
      </c>
      <c r="B239">
        <v>76.010000000000005</v>
      </c>
      <c r="C239">
        <v>72.510000000000005</v>
      </c>
      <c r="D239">
        <v>82.34</v>
      </c>
      <c r="E239">
        <v>67.95</v>
      </c>
      <c r="F239">
        <v>66.73</v>
      </c>
      <c r="G239">
        <v>67.84</v>
      </c>
      <c r="H239">
        <v>58.78</v>
      </c>
      <c r="K239" s="9">
        <f t="shared" si="24"/>
        <v>0.26999999999999602</v>
      </c>
      <c r="L239">
        <f t="shared" si="24"/>
        <v>7.2800000000000011</v>
      </c>
      <c r="M239">
        <f t="shared" si="24"/>
        <v>0.32999999999999829</v>
      </c>
      <c r="N239">
        <f t="shared" si="24"/>
        <v>-0.10999999999999943</v>
      </c>
      <c r="O239">
        <f t="shared" si="25"/>
        <v>6.0000000000002274E-2</v>
      </c>
      <c r="P239" s="10">
        <f t="shared" si="25"/>
        <v>0</v>
      </c>
    </row>
    <row r="240" spans="1:16">
      <c r="A240">
        <v>54.75</v>
      </c>
      <c r="B240">
        <v>76.12</v>
      </c>
      <c r="C240">
        <v>72.62</v>
      </c>
      <c r="D240">
        <v>83.34</v>
      </c>
      <c r="E240">
        <v>68.06</v>
      </c>
      <c r="F240">
        <v>66.67</v>
      </c>
      <c r="G240">
        <v>67.73</v>
      </c>
      <c r="H240">
        <v>57.95</v>
      </c>
      <c r="K240" s="9">
        <f t="shared" si="24"/>
        <v>0.28000000000000114</v>
      </c>
      <c r="L240">
        <f t="shared" si="24"/>
        <v>8.89</v>
      </c>
      <c r="M240">
        <f t="shared" si="24"/>
        <v>0.45000000000000284</v>
      </c>
      <c r="N240">
        <f t="shared" si="24"/>
        <v>0</v>
      </c>
      <c r="O240">
        <f t="shared" si="25"/>
        <v>0.17000000000000171</v>
      </c>
      <c r="P240" s="10">
        <f t="shared" si="25"/>
        <v>1.3299999999999983</v>
      </c>
    </row>
    <row r="241" spans="1:16">
      <c r="A241">
        <v>55</v>
      </c>
      <c r="B241">
        <v>76.17</v>
      </c>
      <c r="C241">
        <v>72.56</v>
      </c>
      <c r="D241">
        <v>86.95</v>
      </c>
      <c r="E241">
        <v>68.12</v>
      </c>
      <c r="F241">
        <v>66.56</v>
      </c>
      <c r="G241">
        <v>67.84</v>
      </c>
      <c r="H241">
        <v>58.51</v>
      </c>
      <c r="K241" s="9">
        <f t="shared" si="24"/>
        <v>0.39000000000000057</v>
      </c>
      <c r="L241">
        <f t="shared" si="24"/>
        <v>6.4500000000000028</v>
      </c>
      <c r="M241">
        <f t="shared" si="24"/>
        <v>0.43999999999999773</v>
      </c>
      <c r="N241">
        <f t="shared" si="24"/>
        <v>0.10999999999999943</v>
      </c>
      <c r="O241">
        <f t="shared" si="25"/>
        <v>-6.0000000000002274E-2</v>
      </c>
      <c r="P241" s="10">
        <f t="shared" si="25"/>
        <v>0.55000000000000426</v>
      </c>
    </row>
    <row r="242" spans="1:16">
      <c r="A242">
        <v>55.25</v>
      </c>
      <c r="B242">
        <v>76.28</v>
      </c>
      <c r="C242">
        <v>72.78</v>
      </c>
      <c r="D242">
        <v>89.62</v>
      </c>
      <c r="E242">
        <v>68.28</v>
      </c>
      <c r="F242">
        <v>66.62</v>
      </c>
      <c r="G242">
        <v>67.900000000000006</v>
      </c>
      <c r="H242">
        <v>58.78</v>
      </c>
      <c r="K242" s="9">
        <f t="shared" si="24"/>
        <v>0.28000000000000114</v>
      </c>
      <c r="L242">
        <f t="shared" si="24"/>
        <v>5.2199999999999989</v>
      </c>
      <c r="M242">
        <f t="shared" si="24"/>
        <v>0.39000000000000057</v>
      </c>
      <c r="N242">
        <f t="shared" si="24"/>
        <v>-6.0000000000002274E-2</v>
      </c>
      <c r="O242">
        <f t="shared" si="25"/>
        <v>-6.0000000000002274E-2</v>
      </c>
      <c r="P242" s="10">
        <f t="shared" si="25"/>
        <v>6.0000000000002274E-2</v>
      </c>
    </row>
    <row r="243" spans="1:16">
      <c r="A243">
        <v>55.5</v>
      </c>
      <c r="B243">
        <v>76.400000000000006</v>
      </c>
      <c r="C243">
        <v>72.900000000000006</v>
      </c>
      <c r="D243">
        <v>92.23</v>
      </c>
      <c r="E243">
        <v>68.510000000000005</v>
      </c>
      <c r="F243">
        <v>66.67</v>
      </c>
      <c r="G243">
        <v>67.900000000000006</v>
      </c>
      <c r="H243">
        <v>59.28</v>
      </c>
      <c r="K243" s="9">
        <f t="shared" si="24"/>
        <v>0.32999999999999829</v>
      </c>
      <c r="L243">
        <f t="shared" si="24"/>
        <v>1.8299999999999983</v>
      </c>
      <c r="M243">
        <f t="shared" si="24"/>
        <v>0.26999999999999602</v>
      </c>
      <c r="N243">
        <f t="shared" si="24"/>
        <v>-4.9999999999997158E-2</v>
      </c>
      <c r="O243">
        <f t="shared" si="25"/>
        <v>-0.23000000000000398</v>
      </c>
      <c r="P243" s="10">
        <f t="shared" si="25"/>
        <v>-0.27000000000000313</v>
      </c>
    </row>
    <row r="244" spans="1:16">
      <c r="A244">
        <v>55.75</v>
      </c>
      <c r="B244">
        <v>76.510000000000005</v>
      </c>
      <c r="C244">
        <v>72.95</v>
      </c>
      <c r="D244">
        <v>93.4</v>
      </c>
      <c r="E244">
        <v>68.56</v>
      </c>
      <c r="F244">
        <v>66.67</v>
      </c>
      <c r="G244">
        <v>67.78</v>
      </c>
      <c r="H244">
        <v>59.06</v>
      </c>
      <c r="K244" s="9">
        <f t="shared" si="24"/>
        <v>0.56000000000000227</v>
      </c>
      <c r="L244">
        <f t="shared" si="24"/>
        <v>-1.230000000000004</v>
      </c>
      <c r="M244">
        <f t="shared" si="24"/>
        <v>0.39000000000000057</v>
      </c>
      <c r="N244">
        <f t="shared" si="24"/>
        <v>6.0000000000002274E-2</v>
      </c>
      <c r="O244">
        <f t="shared" si="25"/>
        <v>-0.10999999999999943</v>
      </c>
      <c r="P244" s="10">
        <f t="shared" si="25"/>
        <v>-0.8300000000000054</v>
      </c>
    </row>
    <row r="245" spans="1:16">
      <c r="A245">
        <v>56</v>
      </c>
      <c r="B245">
        <v>76.510000000000005</v>
      </c>
      <c r="C245">
        <v>73.06</v>
      </c>
      <c r="D245">
        <v>94.84</v>
      </c>
      <c r="E245">
        <v>68.67</v>
      </c>
      <c r="F245">
        <v>66.56</v>
      </c>
      <c r="G245">
        <v>67.84</v>
      </c>
      <c r="H245">
        <v>58.84</v>
      </c>
      <c r="K245" s="9">
        <f t="shared" si="24"/>
        <v>0.56000000000000227</v>
      </c>
      <c r="L245">
        <f t="shared" si="24"/>
        <v>-4.6700000000000017</v>
      </c>
      <c r="M245">
        <f t="shared" si="24"/>
        <v>0.45000000000000284</v>
      </c>
      <c r="N245">
        <f t="shared" si="24"/>
        <v>0.10999999999999943</v>
      </c>
      <c r="O245">
        <f t="shared" si="25"/>
        <v>0</v>
      </c>
      <c r="P245" s="10">
        <f t="shared" si="25"/>
        <v>-0.94000000000000483</v>
      </c>
    </row>
    <row r="246" spans="1:16">
      <c r="A246">
        <v>56.25</v>
      </c>
      <c r="B246">
        <v>76.67</v>
      </c>
      <c r="C246">
        <v>73.23</v>
      </c>
      <c r="D246">
        <v>94.06</v>
      </c>
      <c r="E246">
        <v>68.78</v>
      </c>
      <c r="F246">
        <v>66.62</v>
      </c>
      <c r="G246">
        <v>67.67</v>
      </c>
      <c r="H246">
        <v>59.01</v>
      </c>
      <c r="K246" s="9">
        <f t="shared" si="24"/>
        <v>0.60999999999999943</v>
      </c>
      <c r="L246">
        <f t="shared" si="24"/>
        <v>-5.9399999999999977</v>
      </c>
      <c r="M246">
        <f t="shared" si="24"/>
        <v>0.45000000000000284</v>
      </c>
      <c r="N246">
        <f t="shared" si="24"/>
        <v>0</v>
      </c>
      <c r="O246">
        <f t="shared" si="25"/>
        <v>0.34000000000000341</v>
      </c>
      <c r="P246" s="10">
        <f t="shared" si="25"/>
        <v>-1.4499999999999957</v>
      </c>
    </row>
    <row r="247" spans="1:16">
      <c r="A247">
        <v>56.5</v>
      </c>
      <c r="B247">
        <v>77.12</v>
      </c>
      <c r="C247">
        <v>73.510000000000005</v>
      </c>
      <c r="D247">
        <v>92.17</v>
      </c>
      <c r="E247">
        <v>68.95</v>
      </c>
      <c r="F247">
        <v>66.73</v>
      </c>
      <c r="G247">
        <v>67.67</v>
      </c>
      <c r="H247">
        <v>58.23</v>
      </c>
      <c r="K247" s="9">
        <f t="shared" si="24"/>
        <v>0.5</v>
      </c>
      <c r="L247">
        <f t="shared" si="24"/>
        <v>-5.5499999999999972</v>
      </c>
      <c r="M247">
        <f t="shared" si="24"/>
        <v>0.39000000000000057</v>
      </c>
      <c r="N247">
        <f t="shared" si="24"/>
        <v>-0.10999999999999943</v>
      </c>
      <c r="O247">
        <f t="shared" si="25"/>
        <v>0.39000000000000057</v>
      </c>
      <c r="P247" s="10">
        <f t="shared" si="25"/>
        <v>-0.94999999999999574</v>
      </c>
    </row>
    <row r="248" spans="1:16">
      <c r="A248">
        <v>56.75</v>
      </c>
      <c r="B248">
        <v>77.56</v>
      </c>
      <c r="C248">
        <v>73.62</v>
      </c>
      <c r="D248">
        <v>90.17</v>
      </c>
      <c r="E248">
        <v>69.12</v>
      </c>
      <c r="F248">
        <v>66.67</v>
      </c>
      <c r="G248">
        <v>67.84</v>
      </c>
      <c r="H248">
        <v>57.9</v>
      </c>
      <c r="K248" s="9">
        <f t="shared" si="24"/>
        <v>0.43999999999999773</v>
      </c>
      <c r="L248">
        <f t="shared" si="24"/>
        <v>-4.8900000000000006</v>
      </c>
      <c r="M248">
        <f t="shared" si="24"/>
        <v>0.39000000000000057</v>
      </c>
      <c r="N248">
        <f t="shared" si="24"/>
        <v>-4.9999999999997158E-2</v>
      </c>
      <c r="O248">
        <f t="shared" si="25"/>
        <v>0.28000000000000114</v>
      </c>
      <c r="P248" s="10">
        <f t="shared" si="25"/>
        <v>-0.67000000000000171</v>
      </c>
    </row>
    <row r="249" spans="1:16">
      <c r="A249">
        <v>57</v>
      </c>
      <c r="B249">
        <v>77.900000000000006</v>
      </c>
      <c r="C249">
        <v>73.84</v>
      </c>
      <c r="D249">
        <v>88.12</v>
      </c>
      <c r="E249">
        <v>69.23</v>
      </c>
      <c r="F249">
        <v>66.62</v>
      </c>
      <c r="G249">
        <v>68.010000000000005</v>
      </c>
      <c r="H249">
        <v>57.56</v>
      </c>
      <c r="K249" s="9">
        <f t="shared" si="24"/>
        <v>0.28000000000000114</v>
      </c>
      <c r="L249">
        <f t="shared" si="24"/>
        <v>-3.7800000000000011</v>
      </c>
      <c r="M249">
        <f t="shared" si="24"/>
        <v>0.43999999999999773</v>
      </c>
      <c r="N249">
        <f t="shared" si="24"/>
        <v>4.9999999999997158E-2</v>
      </c>
      <c r="O249">
        <f t="shared" si="25"/>
        <v>0.43999999999999773</v>
      </c>
      <c r="P249" s="10">
        <f t="shared" si="25"/>
        <v>-0.5</v>
      </c>
    </row>
    <row r="250" spans="1:16">
      <c r="A250">
        <v>57.25</v>
      </c>
      <c r="B250">
        <v>78.28</v>
      </c>
      <c r="C250">
        <v>74.010000000000005</v>
      </c>
      <c r="D250">
        <v>86.62</v>
      </c>
      <c r="E250">
        <v>69.34</v>
      </c>
      <c r="F250">
        <v>66.62</v>
      </c>
      <c r="G250">
        <v>68.06</v>
      </c>
      <c r="H250">
        <v>57.28</v>
      </c>
      <c r="K250" s="9">
        <f t="shared" si="24"/>
        <v>0.10999999999999943</v>
      </c>
      <c r="L250">
        <f t="shared" si="24"/>
        <v>-3.2199999999999989</v>
      </c>
      <c r="M250">
        <f t="shared" si="24"/>
        <v>0.32999999999999829</v>
      </c>
      <c r="N250">
        <f t="shared" si="24"/>
        <v>-0.10999999999999943</v>
      </c>
      <c r="O250">
        <f t="shared" si="25"/>
        <v>0.39000000000000057</v>
      </c>
      <c r="P250" s="10">
        <f t="shared" si="25"/>
        <v>-0.27000000000000313</v>
      </c>
    </row>
    <row r="251" spans="1:16">
      <c r="A251">
        <v>57.5</v>
      </c>
      <c r="B251">
        <v>78.56</v>
      </c>
      <c r="C251">
        <v>74.06</v>
      </c>
      <c r="D251">
        <v>85.28</v>
      </c>
      <c r="E251">
        <v>69.510000000000005</v>
      </c>
      <c r="F251">
        <v>66.62</v>
      </c>
      <c r="G251">
        <v>68.12</v>
      </c>
      <c r="H251">
        <v>57.23</v>
      </c>
      <c r="K251" s="9">
        <f t="shared" si="24"/>
        <v>6.0000000000002274E-2</v>
      </c>
      <c r="L251">
        <f t="shared" si="24"/>
        <v>-3.0499999999999972</v>
      </c>
      <c r="M251">
        <f t="shared" si="24"/>
        <v>0.26999999999999602</v>
      </c>
      <c r="N251">
        <f t="shared" si="24"/>
        <v>-0.10999999999999943</v>
      </c>
      <c r="O251">
        <f t="shared" si="25"/>
        <v>0.82999999999999829</v>
      </c>
      <c r="P251" s="10">
        <f t="shared" si="25"/>
        <v>-0.27999999999999403</v>
      </c>
    </row>
    <row r="252" spans="1:16">
      <c r="A252">
        <v>57.75</v>
      </c>
      <c r="B252">
        <v>78.78</v>
      </c>
      <c r="C252">
        <v>74.12</v>
      </c>
      <c r="D252">
        <v>84.34</v>
      </c>
      <c r="E252">
        <v>69.67</v>
      </c>
      <c r="F252">
        <v>66.67</v>
      </c>
      <c r="G252">
        <v>68.45</v>
      </c>
      <c r="H252">
        <v>57.06</v>
      </c>
      <c r="K252" s="9">
        <f t="shared" si="24"/>
        <v>-6.0000000000002274E-2</v>
      </c>
      <c r="L252">
        <f t="shared" si="24"/>
        <v>-3.0600000000000023</v>
      </c>
      <c r="M252">
        <f t="shared" si="24"/>
        <v>0.23000000000000398</v>
      </c>
      <c r="N252">
        <f t="shared" si="24"/>
        <v>-0.15999999999999659</v>
      </c>
      <c r="O252">
        <f t="shared" si="25"/>
        <v>0.67000000000000171</v>
      </c>
      <c r="P252" s="10">
        <f t="shared" si="25"/>
        <v>-0.16000000000000369</v>
      </c>
    </row>
    <row r="253" spans="1:16">
      <c r="A253">
        <v>58</v>
      </c>
      <c r="B253">
        <v>78.95</v>
      </c>
      <c r="C253">
        <v>74.12</v>
      </c>
      <c r="D253">
        <v>83.4</v>
      </c>
      <c r="E253">
        <v>69.67</v>
      </c>
      <c r="F253">
        <v>66.510000000000005</v>
      </c>
      <c r="G253">
        <v>68.45</v>
      </c>
      <c r="H253">
        <v>57.01</v>
      </c>
      <c r="K253" s="9">
        <f t="shared" si="24"/>
        <v>0.15999999999999659</v>
      </c>
      <c r="L253">
        <f t="shared" si="24"/>
        <v>-2.8400000000000034</v>
      </c>
      <c r="M253">
        <f t="shared" si="24"/>
        <v>0.34000000000000341</v>
      </c>
      <c r="N253">
        <f t="shared" si="24"/>
        <v>0.10999999999999943</v>
      </c>
      <c r="O253">
        <f t="shared" si="25"/>
        <v>1.0600000000000023</v>
      </c>
      <c r="P253" s="10">
        <f t="shared" si="25"/>
        <v>-0.10999999999999943</v>
      </c>
    </row>
    <row r="254" spans="1:16">
      <c r="A254">
        <v>58.25</v>
      </c>
      <c r="B254">
        <v>78.900000000000006</v>
      </c>
      <c r="C254">
        <v>74.12</v>
      </c>
      <c r="D254">
        <v>82.23</v>
      </c>
      <c r="E254">
        <v>69.78</v>
      </c>
      <c r="F254">
        <v>66.510000000000005</v>
      </c>
      <c r="G254">
        <v>68.95</v>
      </c>
      <c r="H254">
        <v>56.95</v>
      </c>
      <c r="K254" s="9">
        <f t="shared" si="24"/>
        <v>0.15999999999999659</v>
      </c>
      <c r="L254">
        <f t="shared" si="24"/>
        <v>-2.3299999999999983</v>
      </c>
      <c r="M254">
        <f t="shared" si="24"/>
        <v>0.28000000000000114</v>
      </c>
      <c r="N254">
        <f t="shared" si="24"/>
        <v>4.9999999999997158E-2</v>
      </c>
      <c r="O254">
        <f t="shared" si="25"/>
        <v>1</v>
      </c>
      <c r="P254" s="10">
        <f t="shared" si="25"/>
        <v>-0.17000000000000171</v>
      </c>
    </row>
    <row r="255" spans="1:16">
      <c r="A255">
        <v>58.5</v>
      </c>
      <c r="B255">
        <v>78.84</v>
      </c>
      <c r="C255">
        <v>74.06</v>
      </c>
      <c r="D255">
        <v>81.28</v>
      </c>
      <c r="E255">
        <v>69.900000000000006</v>
      </c>
      <c r="F255">
        <v>66.510000000000005</v>
      </c>
      <c r="G255">
        <v>69.12</v>
      </c>
      <c r="H255">
        <v>56.9</v>
      </c>
      <c r="K255" s="9">
        <f t="shared" si="24"/>
        <v>0.45000000000000284</v>
      </c>
      <c r="L255">
        <f t="shared" si="24"/>
        <v>-2.3299999999999983</v>
      </c>
      <c r="M255">
        <f t="shared" si="24"/>
        <v>0.21999999999999886</v>
      </c>
      <c r="N255">
        <f t="shared" si="24"/>
        <v>0.10999999999999943</v>
      </c>
      <c r="O255">
        <f t="shared" si="25"/>
        <v>1.5499999999999972</v>
      </c>
      <c r="P255" s="10">
        <f t="shared" si="25"/>
        <v>-0.11999999999999744</v>
      </c>
    </row>
    <row r="256" spans="1:16">
      <c r="A256">
        <v>58.75</v>
      </c>
      <c r="B256">
        <v>78.78</v>
      </c>
      <c r="C256">
        <v>74.28</v>
      </c>
      <c r="D256">
        <v>80.56</v>
      </c>
      <c r="E256">
        <v>70.010000000000005</v>
      </c>
      <c r="F256">
        <v>66.62</v>
      </c>
      <c r="G256">
        <v>69.510000000000005</v>
      </c>
      <c r="H256">
        <v>56.9</v>
      </c>
      <c r="K256" s="9">
        <f t="shared" si="24"/>
        <v>0.28000000000000114</v>
      </c>
      <c r="L256">
        <f t="shared" si="24"/>
        <v>-2.5</v>
      </c>
      <c r="M256">
        <f t="shared" si="24"/>
        <v>4.9999999999997158E-2</v>
      </c>
      <c r="N256">
        <f t="shared" si="24"/>
        <v>4.9999999999997158E-2</v>
      </c>
      <c r="O256">
        <f t="shared" si="25"/>
        <v>2.0499999999999972</v>
      </c>
      <c r="P256" s="10">
        <f t="shared" si="25"/>
        <v>0.16000000000000369</v>
      </c>
    </row>
    <row r="257" spans="1:16">
      <c r="A257">
        <v>59</v>
      </c>
      <c r="B257">
        <v>78.73</v>
      </c>
      <c r="C257">
        <v>74.28</v>
      </c>
      <c r="D257">
        <v>79.900000000000006</v>
      </c>
      <c r="E257">
        <v>70.06</v>
      </c>
      <c r="F257">
        <v>66.56</v>
      </c>
      <c r="G257">
        <v>69.95</v>
      </c>
      <c r="H257">
        <v>56.78</v>
      </c>
      <c r="K257" s="9">
        <f t="shared" si="24"/>
        <v>0.34000000000000341</v>
      </c>
      <c r="L257">
        <f t="shared" si="24"/>
        <v>-2.230000000000004</v>
      </c>
      <c r="M257">
        <f t="shared" si="24"/>
        <v>0.21999999999999886</v>
      </c>
      <c r="N257">
        <f t="shared" si="24"/>
        <v>0.10999999999999943</v>
      </c>
      <c r="O257">
        <f t="shared" si="25"/>
        <v>3.2199999999999989</v>
      </c>
      <c r="P257" s="10">
        <f t="shared" si="25"/>
        <v>0.28000000000000114</v>
      </c>
    </row>
    <row r="258" spans="1:16">
      <c r="A258">
        <v>59.25</v>
      </c>
      <c r="B258">
        <v>78.62</v>
      </c>
      <c r="C258">
        <v>74.510000000000005</v>
      </c>
      <c r="D258">
        <v>78.95</v>
      </c>
      <c r="E258">
        <v>70.12</v>
      </c>
      <c r="F258">
        <v>66.62</v>
      </c>
      <c r="G258">
        <v>70.67</v>
      </c>
      <c r="H258">
        <v>56.78</v>
      </c>
      <c r="K258" s="9">
        <f t="shared" si="24"/>
        <v>4.9999999999997158E-2</v>
      </c>
      <c r="L258">
        <f t="shared" si="24"/>
        <v>-1.7800000000000011</v>
      </c>
      <c r="M258">
        <f t="shared" si="24"/>
        <v>0.10999999999999943</v>
      </c>
      <c r="N258">
        <f t="shared" si="24"/>
        <v>4.9999999999997158E-2</v>
      </c>
      <c r="O258">
        <f t="shared" si="25"/>
        <v>4.7800000000000011</v>
      </c>
      <c r="P258" s="10">
        <f t="shared" si="25"/>
        <v>0.33999999999999631</v>
      </c>
    </row>
    <row r="259" spans="1:16">
      <c r="A259">
        <v>59.5</v>
      </c>
      <c r="B259">
        <v>78.73</v>
      </c>
      <c r="C259">
        <v>74.56</v>
      </c>
      <c r="D259">
        <v>78.06</v>
      </c>
      <c r="E259">
        <v>70.06</v>
      </c>
      <c r="F259">
        <v>66.67</v>
      </c>
      <c r="G259">
        <v>71.56</v>
      </c>
      <c r="H259">
        <v>57.06</v>
      </c>
      <c r="K259" s="9">
        <f t="shared" si="24"/>
        <v>0.10999999999999943</v>
      </c>
      <c r="L259">
        <f t="shared" si="24"/>
        <v>-1.1099999999999994</v>
      </c>
      <c r="M259">
        <f t="shared" si="24"/>
        <v>0.17000000000000171</v>
      </c>
      <c r="N259">
        <f t="shared" si="24"/>
        <v>6.0000000000002274E-2</v>
      </c>
      <c r="O259">
        <f t="shared" si="25"/>
        <v>6.5</v>
      </c>
      <c r="P259" s="10">
        <f t="shared" si="25"/>
        <v>0.33999999999999631</v>
      </c>
    </row>
    <row r="260" spans="1:16">
      <c r="A260">
        <v>59.75</v>
      </c>
      <c r="B260">
        <v>78.62</v>
      </c>
      <c r="C260">
        <v>74.62</v>
      </c>
      <c r="D260">
        <v>77.67</v>
      </c>
      <c r="E260">
        <v>70.28</v>
      </c>
      <c r="F260">
        <v>66.67</v>
      </c>
      <c r="G260">
        <v>73.17</v>
      </c>
      <c r="H260">
        <v>57.06</v>
      </c>
      <c r="K260" s="9">
        <f t="shared" si="24"/>
        <v>0</v>
      </c>
      <c r="L260">
        <f t="shared" si="24"/>
        <v>-0.82999999999999829</v>
      </c>
      <c r="M260">
        <f t="shared" si="24"/>
        <v>6.0000000000002274E-2</v>
      </c>
      <c r="N260">
        <f t="shared" si="24"/>
        <v>0.10999999999999943</v>
      </c>
      <c r="O260">
        <f t="shared" si="25"/>
        <v>6.1099999999999994</v>
      </c>
      <c r="P260" s="10">
        <f t="shared" si="25"/>
        <v>0.5</v>
      </c>
    </row>
    <row r="261" spans="1:16">
      <c r="A261">
        <v>60</v>
      </c>
      <c r="B261">
        <v>78.62</v>
      </c>
      <c r="C261">
        <v>74.56</v>
      </c>
      <c r="D261">
        <v>77.17</v>
      </c>
      <c r="E261">
        <v>70.23</v>
      </c>
      <c r="F261">
        <v>66.67</v>
      </c>
      <c r="G261">
        <v>75.45</v>
      </c>
      <c r="H261">
        <v>57.12</v>
      </c>
      <c r="K261" s="9">
        <f t="shared" si="24"/>
        <v>0</v>
      </c>
      <c r="L261">
        <f t="shared" si="24"/>
        <v>-0.54999999999999716</v>
      </c>
      <c r="M261">
        <f t="shared" si="24"/>
        <v>0.21999999999999886</v>
      </c>
      <c r="N261">
        <f t="shared" si="24"/>
        <v>0.23000000000000398</v>
      </c>
      <c r="O261">
        <f t="shared" si="25"/>
        <v>3</v>
      </c>
      <c r="P261" s="10">
        <f t="shared" si="25"/>
        <v>0.5</v>
      </c>
    </row>
    <row r="262" spans="1:16">
      <c r="A262">
        <v>60.25</v>
      </c>
      <c r="B262">
        <v>78.73</v>
      </c>
      <c r="C262">
        <v>74.67</v>
      </c>
      <c r="D262">
        <v>76.95</v>
      </c>
      <c r="E262">
        <v>70.23</v>
      </c>
      <c r="F262">
        <v>66.73</v>
      </c>
      <c r="G262">
        <v>78.06</v>
      </c>
      <c r="H262">
        <v>57.4</v>
      </c>
      <c r="K262" s="9">
        <f t="shared" si="24"/>
        <v>-4.9999999999997158E-2</v>
      </c>
      <c r="L262">
        <f t="shared" si="24"/>
        <v>-0.54999999999999716</v>
      </c>
      <c r="M262">
        <f t="shared" si="24"/>
        <v>0.17000000000000171</v>
      </c>
      <c r="N262">
        <f t="shared" si="24"/>
        <v>0.28000000000000114</v>
      </c>
      <c r="O262">
        <f t="shared" si="25"/>
        <v>-2.6599999999999966</v>
      </c>
      <c r="P262" s="10">
        <f t="shared" si="25"/>
        <v>0.32999999999999829</v>
      </c>
    </row>
    <row r="263" spans="1:16">
      <c r="A263">
        <v>60.5</v>
      </c>
      <c r="B263">
        <v>78.84</v>
      </c>
      <c r="C263">
        <v>74.62</v>
      </c>
      <c r="D263">
        <v>76.84</v>
      </c>
      <c r="E263">
        <v>70.34</v>
      </c>
      <c r="F263">
        <v>66.78</v>
      </c>
      <c r="G263">
        <v>79.28</v>
      </c>
      <c r="H263">
        <v>57.56</v>
      </c>
      <c r="K263" s="9">
        <f t="shared" si="24"/>
        <v>0</v>
      </c>
      <c r="L263">
        <f t="shared" si="24"/>
        <v>-0.71999999999999886</v>
      </c>
      <c r="M263">
        <f t="shared" si="24"/>
        <v>0.21999999999999886</v>
      </c>
      <c r="N263">
        <f t="shared" si="24"/>
        <v>0.34000000000000341</v>
      </c>
      <c r="O263">
        <f t="shared" si="25"/>
        <v>-5.3299999999999983</v>
      </c>
      <c r="P263" s="10">
        <f t="shared" si="25"/>
        <v>0.28000000000000114</v>
      </c>
    </row>
    <row r="264" spans="1:16">
      <c r="A264">
        <v>60.75</v>
      </c>
      <c r="B264">
        <v>78.95</v>
      </c>
      <c r="C264">
        <v>74.56</v>
      </c>
      <c r="D264">
        <v>76.62</v>
      </c>
      <c r="E264">
        <v>70.45</v>
      </c>
      <c r="F264">
        <v>66.900000000000006</v>
      </c>
      <c r="G264">
        <v>78.45</v>
      </c>
      <c r="H264">
        <v>57.62</v>
      </c>
      <c r="K264" s="9">
        <f t="shared" si="24"/>
        <v>0.10999999999999943</v>
      </c>
      <c r="L264">
        <f t="shared" si="24"/>
        <v>-0.60999999999999943</v>
      </c>
      <c r="M264">
        <f t="shared" si="24"/>
        <v>0.10999999999999943</v>
      </c>
      <c r="N264">
        <f t="shared" si="24"/>
        <v>0.5</v>
      </c>
      <c r="O264">
        <f t="shared" si="25"/>
        <v>-5.2800000000000011</v>
      </c>
      <c r="P264" s="10">
        <f t="shared" si="25"/>
        <v>0.39000000000000057</v>
      </c>
    </row>
    <row r="265" spans="1:16">
      <c r="A265">
        <v>61</v>
      </c>
      <c r="B265">
        <v>79.17</v>
      </c>
      <c r="C265">
        <v>74.62</v>
      </c>
      <c r="D265">
        <v>76.400000000000006</v>
      </c>
      <c r="E265">
        <v>70.400000000000006</v>
      </c>
      <c r="F265">
        <v>67.010000000000005</v>
      </c>
      <c r="G265">
        <v>75.400000000000006</v>
      </c>
      <c r="H265">
        <v>57.73</v>
      </c>
      <c r="K265" s="9">
        <f t="shared" si="24"/>
        <v>-6.0000000000002274E-2</v>
      </c>
      <c r="L265">
        <f t="shared" si="24"/>
        <v>-0.62000000000000455</v>
      </c>
      <c r="M265">
        <f t="shared" si="24"/>
        <v>0.15999999999999659</v>
      </c>
      <c r="N265">
        <f t="shared" si="24"/>
        <v>0.71999999999999886</v>
      </c>
      <c r="O265">
        <f t="shared" si="25"/>
        <v>-2.1200000000000045</v>
      </c>
      <c r="P265" s="10">
        <f t="shared" si="25"/>
        <v>0.3300000000000054</v>
      </c>
    </row>
    <row r="266" spans="1:16">
      <c r="A266">
        <v>61.25</v>
      </c>
      <c r="B266">
        <v>79.45</v>
      </c>
      <c r="C266">
        <v>74.62</v>
      </c>
      <c r="D266">
        <v>76.12</v>
      </c>
      <c r="E266">
        <v>70.56</v>
      </c>
      <c r="F266">
        <v>67.12</v>
      </c>
      <c r="G266">
        <v>73.95</v>
      </c>
      <c r="H266">
        <v>57.84</v>
      </c>
      <c r="K266" s="9">
        <f t="shared" si="24"/>
        <v>4.9999999999997158E-2</v>
      </c>
      <c r="L266">
        <f t="shared" si="24"/>
        <v>-0.56000000000000227</v>
      </c>
      <c r="M266">
        <f t="shared" si="24"/>
        <v>6.0000000000002274E-2</v>
      </c>
      <c r="N266">
        <f t="shared" si="24"/>
        <v>1.0499999999999972</v>
      </c>
      <c r="O266">
        <f t="shared" si="25"/>
        <v>0.39000000000000057</v>
      </c>
      <c r="P266" s="10">
        <f t="shared" si="25"/>
        <v>0.21999999999999886</v>
      </c>
    </row>
    <row r="267" spans="1:16">
      <c r="A267">
        <v>61.5</v>
      </c>
      <c r="B267">
        <v>79.73</v>
      </c>
      <c r="C267">
        <v>74.67</v>
      </c>
      <c r="D267">
        <v>76.010000000000005</v>
      </c>
      <c r="E267">
        <v>70.56</v>
      </c>
      <c r="F267">
        <v>67.400000000000006</v>
      </c>
      <c r="G267">
        <v>73.17</v>
      </c>
      <c r="H267">
        <v>58.01</v>
      </c>
      <c r="K267" s="9">
        <f t="shared" si="24"/>
        <v>0.10999999999999943</v>
      </c>
      <c r="L267">
        <f t="shared" si="24"/>
        <v>-0.45000000000000284</v>
      </c>
      <c r="M267">
        <f t="shared" si="24"/>
        <v>6.0000000000002274E-2</v>
      </c>
      <c r="N267">
        <f t="shared" si="24"/>
        <v>1.1599999999999966</v>
      </c>
      <c r="O267">
        <f t="shared" si="25"/>
        <v>1.6099999999999994</v>
      </c>
      <c r="P267" s="10">
        <f t="shared" si="25"/>
        <v>0.16000000000000369</v>
      </c>
    </row>
    <row r="268" spans="1:16">
      <c r="A268">
        <v>61.75</v>
      </c>
      <c r="B268">
        <v>79.95</v>
      </c>
      <c r="C268">
        <v>74.56</v>
      </c>
      <c r="D268">
        <v>75.78</v>
      </c>
      <c r="E268">
        <v>70.56</v>
      </c>
      <c r="F268">
        <v>67.73</v>
      </c>
      <c r="G268">
        <v>73.28</v>
      </c>
      <c r="H268">
        <v>58.06</v>
      </c>
      <c r="K268" s="9">
        <f t="shared" si="24"/>
        <v>0.17000000000000171</v>
      </c>
      <c r="L268">
        <f t="shared" si="24"/>
        <v>-0.54999999999999716</v>
      </c>
      <c r="M268">
        <f t="shared" si="24"/>
        <v>0.17000000000000171</v>
      </c>
      <c r="N268">
        <f t="shared" si="24"/>
        <v>1.1700000000000017</v>
      </c>
      <c r="O268">
        <f t="shared" si="25"/>
        <v>1.230000000000004</v>
      </c>
      <c r="P268" s="10">
        <f t="shared" si="25"/>
        <v>0.1699999999999946</v>
      </c>
    </row>
    <row r="269" spans="1:16">
      <c r="A269">
        <v>62</v>
      </c>
      <c r="B269">
        <v>80.010000000000005</v>
      </c>
      <c r="C269">
        <v>74.67</v>
      </c>
      <c r="D269">
        <v>75.56</v>
      </c>
      <c r="E269">
        <v>70.62</v>
      </c>
      <c r="F269">
        <v>68.17</v>
      </c>
      <c r="G269">
        <v>74.34</v>
      </c>
      <c r="H269">
        <v>58.06</v>
      </c>
      <c r="K269" s="9">
        <f t="shared" si="24"/>
        <v>0.10999999999999943</v>
      </c>
      <c r="L269">
        <f t="shared" si="24"/>
        <v>-0.28000000000000114</v>
      </c>
      <c r="M269">
        <f t="shared" si="24"/>
        <v>4.9999999999997158E-2</v>
      </c>
      <c r="N269">
        <f t="shared" si="24"/>
        <v>1.0600000000000023</v>
      </c>
      <c r="O269">
        <f t="shared" si="25"/>
        <v>0.39000000000000057</v>
      </c>
      <c r="P269" s="10">
        <f t="shared" si="25"/>
        <v>0.21999999999999886</v>
      </c>
    </row>
    <row r="270" spans="1:16">
      <c r="A270">
        <v>62.25</v>
      </c>
      <c r="B270">
        <v>80.23</v>
      </c>
      <c r="C270">
        <v>74.78</v>
      </c>
      <c r="D270">
        <v>75.56</v>
      </c>
      <c r="E270">
        <v>70.62</v>
      </c>
      <c r="F270">
        <v>68.56</v>
      </c>
      <c r="G270">
        <v>74.78</v>
      </c>
      <c r="H270">
        <v>58.17</v>
      </c>
      <c r="K270" s="9">
        <f t="shared" si="24"/>
        <v>0</v>
      </c>
      <c r="L270">
        <f t="shared" si="24"/>
        <v>0.60999999999999943</v>
      </c>
      <c r="M270">
        <f t="shared" si="24"/>
        <v>0.15999999999999659</v>
      </c>
      <c r="N270">
        <f t="shared" si="24"/>
        <v>0.95000000000000284</v>
      </c>
      <c r="O270">
        <f t="shared" si="25"/>
        <v>-0.93999999999999773</v>
      </c>
      <c r="P270" s="10">
        <f t="shared" si="25"/>
        <v>0.28000000000000114</v>
      </c>
    </row>
    <row r="271" spans="1:16">
      <c r="A271">
        <v>62.5</v>
      </c>
      <c r="B271">
        <v>80.34</v>
      </c>
      <c r="C271">
        <v>74.73</v>
      </c>
      <c r="D271">
        <v>75.23</v>
      </c>
      <c r="E271">
        <v>70.73</v>
      </c>
      <c r="F271">
        <v>68.900000000000006</v>
      </c>
      <c r="G271">
        <v>74.510000000000005</v>
      </c>
      <c r="H271">
        <v>58.23</v>
      </c>
      <c r="K271" s="9">
        <f t="shared" si="24"/>
        <v>0.10999999999999943</v>
      </c>
      <c r="L271">
        <f t="shared" si="24"/>
        <v>2.0499999999999972</v>
      </c>
      <c r="M271">
        <f t="shared" si="24"/>
        <v>4.9999999999997158E-2</v>
      </c>
      <c r="N271">
        <f t="shared" si="24"/>
        <v>0.76999999999999602</v>
      </c>
      <c r="O271">
        <f t="shared" si="25"/>
        <v>-1.3900000000000006</v>
      </c>
      <c r="P271" s="10">
        <f t="shared" si="25"/>
        <v>0.3300000000000054</v>
      </c>
    </row>
    <row r="272" spans="1:16">
      <c r="A272">
        <v>62.75</v>
      </c>
      <c r="B272">
        <v>80.400000000000006</v>
      </c>
      <c r="C272">
        <v>74.78</v>
      </c>
      <c r="D272">
        <v>75.28</v>
      </c>
      <c r="E272">
        <v>70.67</v>
      </c>
      <c r="F272">
        <v>69.23</v>
      </c>
      <c r="G272">
        <v>74.73</v>
      </c>
      <c r="H272">
        <v>58.28</v>
      </c>
      <c r="K272" s="9">
        <f t="shared" si="24"/>
        <v>0</v>
      </c>
      <c r="L272">
        <f t="shared" si="24"/>
        <v>1.8900000000000006</v>
      </c>
      <c r="M272">
        <f t="shared" si="24"/>
        <v>0.23000000000000398</v>
      </c>
      <c r="N272">
        <f t="shared" si="24"/>
        <v>0.54999999999999716</v>
      </c>
      <c r="O272">
        <f t="shared" si="25"/>
        <v>-1.7800000000000011</v>
      </c>
      <c r="P272" s="10">
        <f t="shared" si="25"/>
        <v>0.22999999999999687</v>
      </c>
    </row>
    <row r="273" spans="1:16">
      <c r="A273">
        <v>63</v>
      </c>
      <c r="B273">
        <v>80.45</v>
      </c>
      <c r="C273">
        <v>74.78</v>
      </c>
      <c r="D273">
        <v>76.17</v>
      </c>
      <c r="E273">
        <v>70.78</v>
      </c>
      <c r="F273">
        <v>69.510000000000005</v>
      </c>
      <c r="G273">
        <v>73.84</v>
      </c>
      <c r="H273">
        <v>58.45</v>
      </c>
      <c r="K273" s="9">
        <f t="shared" si="24"/>
        <v>6.0000000000002274E-2</v>
      </c>
      <c r="L273">
        <f t="shared" si="24"/>
        <v>1.1700000000000017</v>
      </c>
      <c r="M273">
        <f t="shared" si="24"/>
        <v>0.23000000000000398</v>
      </c>
      <c r="N273">
        <f t="shared" si="24"/>
        <v>0.43999999999999773</v>
      </c>
      <c r="O273">
        <f t="shared" si="25"/>
        <v>-0.60999999999999943</v>
      </c>
      <c r="P273" s="10">
        <f t="shared" si="25"/>
        <v>0.27999999999999403</v>
      </c>
    </row>
    <row r="274" spans="1:16">
      <c r="A274">
        <v>63.25</v>
      </c>
      <c r="B274">
        <v>80.56</v>
      </c>
      <c r="C274">
        <v>74.84</v>
      </c>
      <c r="D274">
        <v>77.28</v>
      </c>
      <c r="E274">
        <v>70.78</v>
      </c>
      <c r="F274">
        <v>69.67</v>
      </c>
      <c r="G274">
        <v>73.12</v>
      </c>
      <c r="H274">
        <v>58.56</v>
      </c>
      <c r="K274" s="9">
        <f t="shared" si="24"/>
        <v>6.0000000000002274E-2</v>
      </c>
      <c r="L274">
        <f t="shared" si="24"/>
        <v>1.6700000000000017</v>
      </c>
      <c r="M274">
        <f t="shared" si="24"/>
        <v>0.23000000000000398</v>
      </c>
      <c r="N274">
        <f t="shared" si="24"/>
        <v>0.5</v>
      </c>
      <c r="O274">
        <f t="shared" si="25"/>
        <v>0.60999999999999943</v>
      </c>
      <c r="P274" s="10">
        <f t="shared" si="25"/>
        <v>0.28000000000000114</v>
      </c>
    </row>
    <row r="275" spans="1:16">
      <c r="A275">
        <v>63.5</v>
      </c>
      <c r="B275">
        <v>80.900000000000006</v>
      </c>
      <c r="C275">
        <v>74.78</v>
      </c>
      <c r="D275">
        <v>77.17</v>
      </c>
      <c r="E275">
        <v>70.900000000000006</v>
      </c>
      <c r="F275">
        <v>69.78</v>
      </c>
      <c r="G275">
        <v>72.95</v>
      </c>
      <c r="H275">
        <v>58.51</v>
      </c>
      <c r="K275" s="9">
        <f t="shared" si="24"/>
        <v>0.17000000000000171</v>
      </c>
      <c r="L275">
        <f t="shared" si="24"/>
        <v>3.6099999999999994</v>
      </c>
      <c r="M275">
        <f t="shared" si="24"/>
        <v>0.15999999999999659</v>
      </c>
      <c r="N275">
        <f t="shared" si="24"/>
        <v>0.45000000000000284</v>
      </c>
      <c r="O275">
        <f t="shared" si="25"/>
        <v>1.6099999999999994</v>
      </c>
      <c r="P275" s="10">
        <f t="shared" si="25"/>
        <v>0.39000000000000057</v>
      </c>
    </row>
    <row r="276" spans="1:16">
      <c r="A276">
        <v>63.75</v>
      </c>
      <c r="B276">
        <v>81.34</v>
      </c>
      <c r="C276">
        <v>74.84</v>
      </c>
      <c r="D276">
        <v>77.34</v>
      </c>
      <c r="E276">
        <v>71.010000000000005</v>
      </c>
      <c r="F276">
        <v>69.95</v>
      </c>
      <c r="G276">
        <v>73.23</v>
      </c>
      <c r="H276">
        <v>58.73</v>
      </c>
      <c r="K276" s="9">
        <f t="shared" si="24"/>
        <v>0.10999999999999943</v>
      </c>
      <c r="L276">
        <f t="shared" si="24"/>
        <v>6.4399999999999977</v>
      </c>
      <c r="M276">
        <f t="shared" si="24"/>
        <v>0.15999999999999659</v>
      </c>
      <c r="N276">
        <f t="shared" si="24"/>
        <v>0.39000000000000057</v>
      </c>
      <c r="O276">
        <f t="shared" si="25"/>
        <v>2.4399999999999977</v>
      </c>
      <c r="P276" s="10">
        <f t="shared" si="25"/>
        <v>0.3300000000000054</v>
      </c>
    </row>
    <row r="277" spans="1:16">
      <c r="A277">
        <v>64</v>
      </c>
      <c r="B277">
        <v>81.73</v>
      </c>
      <c r="C277">
        <v>74.900000000000006</v>
      </c>
      <c r="D277">
        <v>78.95</v>
      </c>
      <c r="E277">
        <v>71.010000000000005</v>
      </c>
      <c r="F277">
        <v>70.17</v>
      </c>
      <c r="G277">
        <v>73.73</v>
      </c>
      <c r="H277">
        <v>58.84</v>
      </c>
      <c r="K277" s="9">
        <f t="shared" si="24"/>
        <v>4.9999999999997158E-2</v>
      </c>
      <c r="L277">
        <f t="shared" si="24"/>
        <v>7.4500000000000028</v>
      </c>
      <c r="M277">
        <f t="shared" si="24"/>
        <v>0.26999999999999602</v>
      </c>
      <c r="N277">
        <f t="shared" ref="N277:P340" si="26">F280-F277</f>
        <v>0.34000000000000341</v>
      </c>
      <c r="O277">
        <f t="shared" si="25"/>
        <v>3.7199999999999989</v>
      </c>
      <c r="P277" s="10">
        <f t="shared" si="25"/>
        <v>0.55999999999999517</v>
      </c>
    </row>
    <row r="278" spans="1:16">
      <c r="A278">
        <v>64.25</v>
      </c>
      <c r="B278">
        <v>82.17</v>
      </c>
      <c r="C278">
        <v>74.95</v>
      </c>
      <c r="D278">
        <v>80.78</v>
      </c>
      <c r="E278">
        <v>71.06</v>
      </c>
      <c r="F278">
        <v>70.23</v>
      </c>
      <c r="G278">
        <v>74.56</v>
      </c>
      <c r="H278">
        <v>58.9</v>
      </c>
      <c r="K278" s="9">
        <f t="shared" ref="K278:P341" si="27">C281-C278</f>
        <v>-4.9999999999997158E-2</v>
      </c>
      <c r="L278">
        <f t="shared" si="27"/>
        <v>8.39</v>
      </c>
      <c r="M278">
        <f t="shared" si="27"/>
        <v>0.10999999999999943</v>
      </c>
      <c r="N278">
        <f t="shared" si="26"/>
        <v>0.5</v>
      </c>
      <c r="O278">
        <f t="shared" si="26"/>
        <v>4.6700000000000017</v>
      </c>
      <c r="P278" s="10">
        <f t="shared" si="26"/>
        <v>0.94000000000000483</v>
      </c>
    </row>
    <row r="279" spans="1:16">
      <c r="A279">
        <v>64.5</v>
      </c>
      <c r="B279">
        <v>82.51</v>
      </c>
      <c r="C279">
        <v>74.95</v>
      </c>
      <c r="D279">
        <v>83.78</v>
      </c>
      <c r="E279">
        <v>71.17</v>
      </c>
      <c r="F279">
        <v>70.34</v>
      </c>
      <c r="G279">
        <v>75.67</v>
      </c>
      <c r="H279">
        <v>59.06</v>
      </c>
      <c r="K279" s="9">
        <f t="shared" si="27"/>
        <v>6.0000000000002274E-2</v>
      </c>
      <c r="L279">
        <f t="shared" si="27"/>
        <v>8.89</v>
      </c>
      <c r="M279">
        <f t="shared" si="27"/>
        <v>0.17000000000000171</v>
      </c>
      <c r="N279">
        <f t="shared" si="26"/>
        <v>0.5</v>
      </c>
      <c r="O279">
        <f t="shared" si="26"/>
        <v>4.2800000000000011</v>
      </c>
      <c r="P279" s="10">
        <f t="shared" si="26"/>
        <v>1</v>
      </c>
    </row>
    <row r="280" spans="1:16">
      <c r="A280">
        <v>64.75</v>
      </c>
      <c r="B280">
        <v>82.84</v>
      </c>
      <c r="C280">
        <v>74.95</v>
      </c>
      <c r="D280">
        <v>86.4</v>
      </c>
      <c r="E280">
        <v>71.28</v>
      </c>
      <c r="F280">
        <v>70.510000000000005</v>
      </c>
      <c r="G280">
        <v>77.45</v>
      </c>
      <c r="H280">
        <v>59.4</v>
      </c>
      <c r="K280" s="9">
        <f t="shared" si="27"/>
        <v>0</v>
      </c>
      <c r="L280">
        <f t="shared" si="27"/>
        <v>8.269999999999996</v>
      </c>
      <c r="M280">
        <f t="shared" si="27"/>
        <v>6.0000000000002274E-2</v>
      </c>
      <c r="N280">
        <f t="shared" si="26"/>
        <v>0.43999999999999773</v>
      </c>
      <c r="O280">
        <f t="shared" si="26"/>
        <v>1.2199999999999989</v>
      </c>
      <c r="P280" s="10">
        <f t="shared" si="26"/>
        <v>0.94000000000000483</v>
      </c>
    </row>
    <row r="281" spans="1:16">
      <c r="A281">
        <v>65</v>
      </c>
      <c r="B281">
        <v>82.9</v>
      </c>
      <c r="C281">
        <v>74.900000000000006</v>
      </c>
      <c r="D281">
        <v>89.17</v>
      </c>
      <c r="E281">
        <v>71.17</v>
      </c>
      <c r="F281">
        <v>70.73</v>
      </c>
      <c r="G281">
        <v>79.23</v>
      </c>
      <c r="H281">
        <v>59.84</v>
      </c>
      <c r="K281" s="9">
        <f t="shared" si="27"/>
        <v>4.9999999999997158E-2</v>
      </c>
      <c r="L281">
        <f t="shared" si="27"/>
        <v>5.2800000000000011</v>
      </c>
      <c r="M281">
        <f t="shared" si="27"/>
        <v>0.28000000000000114</v>
      </c>
      <c r="N281">
        <f t="shared" si="26"/>
        <v>0.28000000000000114</v>
      </c>
      <c r="O281">
        <f t="shared" si="26"/>
        <v>-2.1099999999999994</v>
      </c>
      <c r="P281" s="10">
        <f t="shared" si="26"/>
        <v>0.88999999999999346</v>
      </c>
    </row>
    <row r="282" spans="1:16">
      <c r="A282">
        <v>65.25</v>
      </c>
      <c r="B282">
        <v>83.23</v>
      </c>
      <c r="C282">
        <v>75.010000000000005</v>
      </c>
      <c r="D282">
        <v>92.67</v>
      </c>
      <c r="E282">
        <v>71.34</v>
      </c>
      <c r="F282">
        <v>70.84</v>
      </c>
      <c r="G282">
        <v>79.95</v>
      </c>
      <c r="H282">
        <v>60.06</v>
      </c>
      <c r="K282" s="9">
        <f t="shared" si="27"/>
        <v>4.9999999999997158E-2</v>
      </c>
      <c r="L282">
        <f t="shared" si="27"/>
        <v>0.45000000000000284</v>
      </c>
      <c r="M282">
        <f t="shared" si="27"/>
        <v>0.21999999999999886</v>
      </c>
      <c r="N282">
        <f t="shared" si="26"/>
        <v>0.28000000000000114</v>
      </c>
      <c r="O282">
        <f t="shared" si="26"/>
        <v>-4</v>
      </c>
      <c r="P282" s="10">
        <f t="shared" si="26"/>
        <v>0.83999999999999631</v>
      </c>
    </row>
    <row r="283" spans="1:16">
      <c r="A283">
        <v>65.5</v>
      </c>
      <c r="B283">
        <v>83.06</v>
      </c>
      <c r="C283">
        <v>74.95</v>
      </c>
      <c r="D283">
        <v>94.67</v>
      </c>
      <c r="E283">
        <v>71.34</v>
      </c>
      <c r="F283">
        <v>70.95</v>
      </c>
      <c r="G283">
        <v>78.67</v>
      </c>
      <c r="H283">
        <v>60.34</v>
      </c>
      <c r="K283" s="9">
        <f t="shared" si="27"/>
        <v>0.17000000000000171</v>
      </c>
      <c r="L283">
        <f t="shared" si="27"/>
        <v>-3.6599999999999966</v>
      </c>
      <c r="M283">
        <f t="shared" si="27"/>
        <v>0.28000000000000114</v>
      </c>
      <c r="N283">
        <f t="shared" si="26"/>
        <v>0.39000000000000057</v>
      </c>
      <c r="O283">
        <f t="shared" si="26"/>
        <v>-3.6099999999999994</v>
      </c>
      <c r="P283" s="10">
        <f t="shared" si="26"/>
        <v>0.88999999999999346</v>
      </c>
    </row>
    <row r="284" spans="1:16">
      <c r="A284">
        <v>65.75</v>
      </c>
      <c r="B284">
        <v>83.01</v>
      </c>
      <c r="C284">
        <v>74.95</v>
      </c>
      <c r="D284">
        <v>94.45</v>
      </c>
      <c r="E284">
        <v>71.45</v>
      </c>
      <c r="F284">
        <v>71.010000000000005</v>
      </c>
      <c r="G284">
        <v>77.12</v>
      </c>
      <c r="H284">
        <v>60.73</v>
      </c>
      <c r="K284" s="9">
        <f t="shared" si="27"/>
        <v>0.17000000000000171</v>
      </c>
      <c r="L284">
        <f t="shared" si="27"/>
        <v>-5.5499999999999972</v>
      </c>
      <c r="M284">
        <f t="shared" si="27"/>
        <v>0.28000000000000114</v>
      </c>
      <c r="N284">
        <f t="shared" si="26"/>
        <v>0.65999999999999659</v>
      </c>
      <c r="O284">
        <f t="shared" si="26"/>
        <v>-2.5600000000000023</v>
      </c>
      <c r="P284" s="10">
        <f t="shared" si="26"/>
        <v>0.8300000000000054</v>
      </c>
    </row>
    <row r="285" spans="1:16">
      <c r="A285">
        <v>66</v>
      </c>
      <c r="B285">
        <v>82.9</v>
      </c>
      <c r="C285">
        <v>75.06</v>
      </c>
      <c r="D285">
        <v>93.12</v>
      </c>
      <c r="E285">
        <v>71.56</v>
      </c>
      <c r="F285">
        <v>71.12</v>
      </c>
      <c r="G285">
        <v>75.95</v>
      </c>
      <c r="H285">
        <v>60.9</v>
      </c>
      <c r="K285" s="9">
        <f t="shared" si="27"/>
        <v>6.0000000000002274E-2</v>
      </c>
      <c r="L285">
        <f t="shared" si="27"/>
        <v>-5.2199999999999989</v>
      </c>
      <c r="M285">
        <f t="shared" si="27"/>
        <v>0.39000000000000057</v>
      </c>
      <c r="N285">
        <f t="shared" si="26"/>
        <v>0.71999999999999886</v>
      </c>
      <c r="O285">
        <f t="shared" si="26"/>
        <v>-1.6700000000000017</v>
      </c>
      <c r="P285" s="10">
        <f t="shared" si="26"/>
        <v>0.82999999999999829</v>
      </c>
    </row>
    <row r="286" spans="1:16">
      <c r="A286">
        <v>66.25</v>
      </c>
      <c r="B286">
        <v>83.01</v>
      </c>
      <c r="C286">
        <v>75.12</v>
      </c>
      <c r="D286">
        <v>91.01</v>
      </c>
      <c r="E286">
        <v>71.62</v>
      </c>
      <c r="F286">
        <v>71.34</v>
      </c>
      <c r="G286">
        <v>75.06</v>
      </c>
      <c r="H286">
        <v>61.23</v>
      </c>
      <c r="K286" s="9">
        <f t="shared" si="27"/>
        <v>0.15999999999999659</v>
      </c>
      <c r="L286">
        <f t="shared" si="27"/>
        <v>-3</v>
      </c>
      <c r="M286">
        <f t="shared" si="27"/>
        <v>0.43999999999999773</v>
      </c>
      <c r="N286">
        <f t="shared" si="26"/>
        <v>0.78000000000000114</v>
      </c>
      <c r="O286">
        <f t="shared" si="26"/>
        <v>-0.78000000000000114</v>
      </c>
      <c r="P286" s="10">
        <f t="shared" si="26"/>
        <v>0.78000000000000114</v>
      </c>
    </row>
    <row r="287" spans="1:16">
      <c r="A287">
        <v>66.5</v>
      </c>
      <c r="B287">
        <v>83.12</v>
      </c>
      <c r="C287">
        <v>75.12</v>
      </c>
      <c r="D287">
        <v>88.9</v>
      </c>
      <c r="E287">
        <v>71.73</v>
      </c>
      <c r="F287">
        <v>71.67</v>
      </c>
      <c r="G287">
        <v>74.56</v>
      </c>
      <c r="H287">
        <v>61.56</v>
      </c>
      <c r="K287" s="9">
        <f t="shared" si="27"/>
        <v>0.15999999999999659</v>
      </c>
      <c r="L287">
        <f t="shared" si="27"/>
        <v>-1.1700000000000017</v>
      </c>
      <c r="M287">
        <f t="shared" si="27"/>
        <v>0.43999999999999773</v>
      </c>
      <c r="N287">
        <f t="shared" si="26"/>
        <v>0.67000000000000171</v>
      </c>
      <c r="O287">
        <f t="shared" si="26"/>
        <v>-0.10999999999999943</v>
      </c>
      <c r="P287" s="10">
        <f t="shared" si="26"/>
        <v>0.71999999999999886</v>
      </c>
    </row>
    <row r="288" spans="1:16">
      <c r="A288">
        <v>66.75</v>
      </c>
      <c r="B288">
        <v>83.28</v>
      </c>
      <c r="C288">
        <v>75.12</v>
      </c>
      <c r="D288">
        <v>87.9</v>
      </c>
      <c r="E288">
        <v>71.95</v>
      </c>
      <c r="F288">
        <v>71.84</v>
      </c>
      <c r="G288">
        <v>74.28</v>
      </c>
      <c r="H288">
        <v>61.73</v>
      </c>
      <c r="K288" s="9">
        <f t="shared" si="27"/>
        <v>0.32999999999999829</v>
      </c>
      <c r="L288">
        <f t="shared" si="27"/>
        <v>-0.45000000000000284</v>
      </c>
      <c r="M288">
        <f t="shared" si="27"/>
        <v>0.28000000000000114</v>
      </c>
      <c r="N288">
        <f t="shared" si="26"/>
        <v>0.71999999999999886</v>
      </c>
      <c r="O288">
        <f t="shared" si="26"/>
        <v>0.17000000000000171</v>
      </c>
      <c r="P288" s="10">
        <f t="shared" si="26"/>
        <v>1.3900000000000006</v>
      </c>
    </row>
    <row r="289" spans="1:16">
      <c r="A289">
        <v>67</v>
      </c>
      <c r="B289">
        <v>83.51</v>
      </c>
      <c r="C289">
        <v>75.28</v>
      </c>
      <c r="D289">
        <v>88.01</v>
      </c>
      <c r="E289">
        <v>72.06</v>
      </c>
      <c r="F289">
        <v>72.12</v>
      </c>
      <c r="G289">
        <v>74.28</v>
      </c>
      <c r="H289">
        <v>62.01</v>
      </c>
      <c r="K289" s="9">
        <f t="shared" si="27"/>
        <v>0.17000000000000171</v>
      </c>
      <c r="L289">
        <f t="shared" si="27"/>
        <v>-1.1099999999999994</v>
      </c>
      <c r="M289">
        <f t="shared" si="27"/>
        <v>0.21999999999999886</v>
      </c>
      <c r="N289">
        <f t="shared" si="26"/>
        <v>0.54999999999999716</v>
      </c>
      <c r="O289">
        <f t="shared" si="26"/>
        <v>0.28000000000000114</v>
      </c>
      <c r="P289" s="10">
        <f t="shared" si="26"/>
        <v>1</v>
      </c>
    </row>
    <row r="290" spans="1:16">
      <c r="A290">
        <v>67.25</v>
      </c>
      <c r="B290">
        <v>83.73</v>
      </c>
      <c r="C290">
        <v>75.28</v>
      </c>
      <c r="D290">
        <v>87.73</v>
      </c>
      <c r="E290">
        <v>72.17</v>
      </c>
      <c r="F290">
        <v>72.34</v>
      </c>
      <c r="G290">
        <v>74.45</v>
      </c>
      <c r="H290">
        <v>62.28</v>
      </c>
      <c r="K290" s="9">
        <f t="shared" si="27"/>
        <v>0.23000000000000398</v>
      </c>
      <c r="L290">
        <f t="shared" si="27"/>
        <v>-1.4500000000000028</v>
      </c>
      <c r="M290">
        <f t="shared" si="27"/>
        <v>0.28000000000000114</v>
      </c>
      <c r="N290">
        <f t="shared" si="26"/>
        <v>0.43999999999999773</v>
      </c>
      <c r="O290">
        <f t="shared" si="26"/>
        <v>0.21999999999999886</v>
      </c>
      <c r="P290" s="10">
        <f t="shared" si="26"/>
        <v>1.2299999999999969</v>
      </c>
    </row>
    <row r="291" spans="1:16">
      <c r="A291">
        <v>67.5</v>
      </c>
      <c r="B291">
        <v>83.78</v>
      </c>
      <c r="C291">
        <v>75.45</v>
      </c>
      <c r="D291">
        <v>87.45</v>
      </c>
      <c r="E291">
        <v>72.23</v>
      </c>
      <c r="F291">
        <v>72.56</v>
      </c>
      <c r="G291">
        <v>74.45</v>
      </c>
      <c r="H291">
        <v>63.12</v>
      </c>
      <c r="K291" s="9">
        <f t="shared" si="27"/>
        <v>0.17000000000000171</v>
      </c>
      <c r="L291">
        <f t="shared" si="27"/>
        <v>-1.6099999999999994</v>
      </c>
      <c r="M291">
        <f t="shared" si="27"/>
        <v>0.32999999999999829</v>
      </c>
      <c r="N291">
        <f t="shared" si="26"/>
        <v>0.39000000000000057</v>
      </c>
      <c r="O291">
        <f t="shared" si="26"/>
        <v>0.45000000000000284</v>
      </c>
      <c r="P291" s="10">
        <f t="shared" si="26"/>
        <v>0.28000000000000114</v>
      </c>
    </row>
    <row r="292" spans="1:16">
      <c r="A292">
        <v>67.75</v>
      </c>
      <c r="B292">
        <v>83.78</v>
      </c>
      <c r="C292">
        <v>75.45</v>
      </c>
      <c r="D292">
        <v>86.9</v>
      </c>
      <c r="E292">
        <v>72.28</v>
      </c>
      <c r="F292">
        <v>72.67</v>
      </c>
      <c r="G292">
        <v>74.56</v>
      </c>
      <c r="H292">
        <v>63.01</v>
      </c>
      <c r="K292" s="9">
        <f t="shared" si="27"/>
        <v>0.17000000000000171</v>
      </c>
      <c r="L292">
        <f t="shared" si="27"/>
        <v>-1.6700000000000017</v>
      </c>
      <c r="M292">
        <f t="shared" si="27"/>
        <v>0.39000000000000057</v>
      </c>
      <c r="N292">
        <f t="shared" si="26"/>
        <v>0.23000000000000398</v>
      </c>
      <c r="O292">
        <f t="shared" si="26"/>
        <v>0.60999999999999943</v>
      </c>
      <c r="P292" s="10">
        <f t="shared" si="26"/>
        <v>0.66000000000000369</v>
      </c>
    </row>
    <row r="293" spans="1:16">
      <c r="A293">
        <v>68</v>
      </c>
      <c r="B293">
        <v>83.9</v>
      </c>
      <c r="C293">
        <v>75.510000000000005</v>
      </c>
      <c r="D293">
        <v>86.28</v>
      </c>
      <c r="E293">
        <v>72.45</v>
      </c>
      <c r="F293">
        <v>72.78</v>
      </c>
      <c r="G293">
        <v>74.67</v>
      </c>
      <c r="H293">
        <v>63.51</v>
      </c>
      <c r="K293" s="9">
        <f t="shared" si="27"/>
        <v>0.10999999999999943</v>
      </c>
      <c r="L293">
        <f t="shared" si="27"/>
        <v>-0.93999999999999773</v>
      </c>
      <c r="M293">
        <f t="shared" si="27"/>
        <v>0.28000000000000114</v>
      </c>
      <c r="N293">
        <f t="shared" si="26"/>
        <v>0.12000000000000455</v>
      </c>
      <c r="O293">
        <f t="shared" si="26"/>
        <v>1.3400000000000034</v>
      </c>
      <c r="P293" s="10">
        <f t="shared" si="26"/>
        <v>0.16000000000000369</v>
      </c>
    </row>
    <row r="294" spans="1:16">
      <c r="A294">
        <v>68.25</v>
      </c>
      <c r="B294">
        <v>83.9</v>
      </c>
      <c r="C294">
        <v>75.62</v>
      </c>
      <c r="D294">
        <v>85.84</v>
      </c>
      <c r="E294">
        <v>72.56</v>
      </c>
      <c r="F294">
        <v>72.95</v>
      </c>
      <c r="G294">
        <v>74.900000000000006</v>
      </c>
      <c r="H294">
        <v>63.4</v>
      </c>
      <c r="K294" s="9">
        <f t="shared" si="27"/>
        <v>0.10999999999999943</v>
      </c>
      <c r="L294">
        <f t="shared" si="27"/>
        <v>2.0600000000000023</v>
      </c>
      <c r="M294">
        <f t="shared" si="27"/>
        <v>0.21999999999999886</v>
      </c>
      <c r="N294">
        <f t="shared" si="26"/>
        <v>0</v>
      </c>
      <c r="O294">
        <f t="shared" si="26"/>
        <v>2.2199999999999989</v>
      </c>
      <c r="P294" s="10">
        <f t="shared" si="26"/>
        <v>0.61000000000000654</v>
      </c>
    </row>
    <row r="295" spans="1:16">
      <c r="A295">
        <v>68.5</v>
      </c>
      <c r="B295">
        <v>83.95</v>
      </c>
      <c r="C295">
        <v>75.62</v>
      </c>
      <c r="D295">
        <v>85.23</v>
      </c>
      <c r="E295">
        <v>72.67</v>
      </c>
      <c r="F295">
        <v>72.900000000000006</v>
      </c>
      <c r="G295">
        <v>75.17</v>
      </c>
      <c r="H295">
        <v>63.67</v>
      </c>
      <c r="K295" s="9">
        <f t="shared" si="27"/>
        <v>0.15999999999999659</v>
      </c>
      <c r="L295">
        <f t="shared" si="27"/>
        <v>5.6099999999999994</v>
      </c>
      <c r="M295">
        <f t="shared" si="27"/>
        <v>0.28000000000000114</v>
      </c>
      <c r="N295">
        <f t="shared" si="26"/>
        <v>4.9999999999997158E-2</v>
      </c>
      <c r="O295">
        <f t="shared" si="26"/>
        <v>2.8900000000000006</v>
      </c>
      <c r="P295" s="10">
        <f t="shared" si="26"/>
        <v>0.45000000000000284</v>
      </c>
    </row>
    <row r="296" spans="1:16">
      <c r="A296">
        <v>68.75</v>
      </c>
      <c r="B296">
        <v>84.12</v>
      </c>
      <c r="C296">
        <v>75.62</v>
      </c>
      <c r="D296">
        <v>85.34</v>
      </c>
      <c r="E296">
        <v>72.73</v>
      </c>
      <c r="F296">
        <v>72.900000000000006</v>
      </c>
      <c r="G296">
        <v>76.010000000000005</v>
      </c>
      <c r="H296">
        <v>63.67</v>
      </c>
      <c r="K296" s="9">
        <f t="shared" si="27"/>
        <v>0.21999999999999886</v>
      </c>
      <c r="L296">
        <f t="shared" si="27"/>
        <v>7.6700000000000017</v>
      </c>
      <c r="M296">
        <f t="shared" si="27"/>
        <v>0.28000000000000114</v>
      </c>
      <c r="N296">
        <f t="shared" si="26"/>
        <v>0.10999999999999943</v>
      </c>
      <c r="O296">
        <f t="shared" si="26"/>
        <v>2.4399999999999977</v>
      </c>
      <c r="P296" s="10">
        <f t="shared" si="26"/>
        <v>0.67000000000000171</v>
      </c>
    </row>
    <row r="297" spans="1:16">
      <c r="A297">
        <v>69</v>
      </c>
      <c r="B297">
        <v>84.56</v>
      </c>
      <c r="C297">
        <v>75.73</v>
      </c>
      <c r="D297">
        <v>87.9</v>
      </c>
      <c r="E297">
        <v>72.78</v>
      </c>
      <c r="F297">
        <v>72.95</v>
      </c>
      <c r="G297">
        <v>77.12</v>
      </c>
      <c r="H297">
        <v>64.010000000000005</v>
      </c>
      <c r="K297" s="9">
        <f t="shared" si="27"/>
        <v>4.9999999999997158E-2</v>
      </c>
      <c r="L297">
        <f t="shared" si="27"/>
        <v>8.0499999999999972</v>
      </c>
      <c r="M297">
        <f t="shared" si="27"/>
        <v>0.34000000000000341</v>
      </c>
      <c r="N297">
        <f t="shared" si="26"/>
        <v>6.0000000000002274E-2</v>
      </c>
      <c r="O297">
        <f t="shared" si="26"/>
        <v>1</v>
      </c>
      <c r="P297" s="10">
        <f t="shared" si="26"/>
        <v>0.26999999999999602</v>
      </c>
    </row>
    <row r="298" spans="1:16">
      <c r="A298">
        <v>69.25</v>
      </c>
      <c r="B298">
        <v>85.01</v>
      </c>
      <c r="C298">
        <v>75.78</v>
      </c>
      <c r="D298">
        <v>90.84</v>
      </c>
      <c r="E298">
        <v>72.95</v>
      </c>
      <c r="F298">
        <v>72.95</v>
      </c>
      <c r="G298">
        <v>78.06</v>
      </c>
      <c r="H298">
        <v>64.12</v>
      </c>
      <c r="K298" s="9">
        <f t="shared" si="27"/>
        <v>0.17000000000000171</v>
      </c>
      <c r="L298">
        <f t="shared" si="27"/>
        <v>7.1099999999999994</v>
      </c>
      <c r="M298">
        <f t="shared" si="27"/>
        <v>0.28000000000000114</v>
      </c>
      <c r="N298">
        <f t="shared" si="26"/>
        <v>0.21999999999999886</v>
      </c>
      <c r="O298">
        <f t="shared" si="26"/>
        <v>-0.43999999999999773</v>
      </c>
      <c r="P298" s="10">
        <f t="shared" si="26"/>
        <v>0.28000000000000114</v>
      </c>
    </row>
    <row r="299" spans="1:16">
      <c r="A299">
        <v>69.5</v>
      </c>
      <c r="B299">
        <v>85.4</v>
      </c>
      <c r="C299">
        <v>75.84</v>
      </c>
      <c r="D299">
        <v>93.01</v>
      </c>
      <c r="E299">
        <v>73.010000000000005</v>
      </c>
      <c r="F299">
        <v>73.010000000000005</v>
      </c>
      <c r="G299">
        <v>78.45</v>
      </c>
      <c r="H299">
        <v>64.34</v>
      </c>
      <c r="K299" s="9">
        <f t="shared" si="27"/>
        <v>0.17000000000000171</v>
      </c>
      <c r="L299">
        <f t="shared" si="27"/>
        <v>5.5499999999999972</v>
      </c>
      <c r="M299">
        <f t="shared" si="27"/>
        <v>0.26999999999999602</v>
      </c>
      <c r="N299">
        <f t="shared" si="26"/>
        <v>0.21999999999999886</v>
      </c>
      <c r="O299">
        <f t="shared" si="26"/>
        <v>-1.6700000000000017</v>
      </c>
      <c r="P299" s="10">
        <f t="shared" si="26"/>
        <v>0.32999999999999829</v>
      </c>
    </row>
    <row r="300" spans="1:16">
      <c r="A300">
        <v>69.75</v>
      </c>
      <c r="B300">
        <v>85.78</v>
      </c>
      <c r="C300">
        <v>75.78</v>
      </c>
      <c r="D300">
        <v>95.95</v>
      </c>
      <c r="E300">
        <v>73.12</v>
      </c>
      <c r="F300">
        <v>73.010000000000005</v>
      </c>
      <c r="G300">
        <v>78.12</v>
      </c>
      <c r="H300">
        <v>64.28</v>
      </c>
      <c r="K300" s="9">
        <f t="shared" si="27"/>
        <v>0.28000000000000114</v>
      </c>
      <c r="L300">
        <f t="shared" si="27"/>
        <v>1.5</v>
      </c>
      <c r="M300">
        <f t="shared" si="27"/>
        <v>0.28000000000000114</v>
      </c>
      <c r="N300">
        <f t="shared" si="26"/>
        <v>0.43999999999999773</v>
      </c>
      <c r="O300">
        <f t="shared" si="26"/>
        <v>-1.4500000000000028</v>
      </c>
      <c r="P300" s="10">
        <f t="shared" si="26"/>
        <v>0.28000000000000114</v>
      </c>
    </row>
    <row r="301" spans="1:16">
      <c r="A301">
        <v>70</v>
      </c>
      <c r="B301">
        <v>86.12</v>
      </c>
      <c r="C301">
        <v>75.95</v>
      </c>
      <c r="D301">
        <v>97.95</v>
      </c>
      <c r="E301">
        <v>73.23</v>
      </c>
      <c r="F301">
        <v>73.17</v>
      </c>
      <c r="G301">
        <v>77.62</v>
      </c>
      <c r="H301">
        <v>64.400000000000006</v>
      </c>
      <c r="K301" s="9">
        <f t="shared" si="27"/>
        <v>0.28000000000000114</v>
      </c>
      <c r="L301">
        <f t="shared" si="27"/>
        <v>-2.3900000000000006</v>
      </c>
      <c r="M301">
        <f t="shared" si="27"/>
        <v>0.43999999999999773</v>
      </c>
      <c r="N301">
        <f t="shared" si="26"/>
        <v>0.5</v>
      </c>
      <c r="O301">
        <f t="shared" si="26"/>
        <v>-0.67000000000000171</v>
      </c>
      <c r="P301" s="10">
        <f t="shared" si="26"/>
        <v>0.21999999999999886</v>
      </c>
    </row>
    <row r="302" spans="1:16">
      <c r="A302">
        <v>70.25</v>
      </c>
      <c r="B302">
        <v>86.17</v>
      </c>
      <c r="C302">
        <v>76.010000000000005</v>
      </c>
      <c r="D302">
        <v>98.56</v>
      </c>
      <c r="E302">
        <v>73.28</v>
      </c>
      <c r="F302">
        <v>73.23</v>
      </c>
      <c r="G302">
        <v>76.78</v>
      </c>
      <c r="H302">
        <v>64.67</v>
      </c>
      <c r="K302" s="9">
        <f t="shared" si="27"/>
        <v>0.32999999999999829</v>
      </c>
      <c r="L302">
        <f t="shared" si="27"/>
        <v>-4.8299999999999983</v>
      </c>
      <c r="M302">
        <f t="shared" si="27"/>
        <v>0.5</v>
      </c>
      <c r="N302">
        <f t="shared" si="26"/>
        <v>0.67000000000000171</v>
      </c>
      <c r="O302">
        <f t="shared" si="26"/>
        <v>0.73000000000000398</v>
      </c>
      <c r="P302" s="10">
        <f t="shared" si="26"/>
        <v>-4.9999999999997158E-2</v>
      </c>
    </row>
    <row r="303" spans="1:16">
      <c r="A303">
        <v>70.5</v>
      </c>
      <c r="B303">
        <v>86.28</v>
      </c>
      <c r="C303">
        <v>76.06</v>
      </c>
      <c r="D303">
        <v>97.45</v>
      </c>
      <c r="E303">
        <v>73.400000000000006</v>
      </c>
      <c r="F303">
        <v>73.45</v>
      </c>
      <c r="G303">
        <v>76.67</v>
      </c>
      <c r="H303">
        <v>64.56</v>
      </c>
      <c r="K303" s="9">
        <f t="shared" si="27"/>
        <v>0.39000000000000057</v>
      </c>
      <c r="L303">
        <f t="shared" si="27"/>
        <v>-5.2800000000000011</v>
      </c>
      <c r="M303">
        <f t="shared" si="27"/>
        <v>0.54999999999999716</v>
      </c>
      <c r="N303">
        <f t="shared" si="26"/>
        <v>0.67000000000000171</v>
      </c>
      <c r="O303">
        <f t="shared" si="26"/>
        <v>1.5600000000000023</v>
      </c>
      <c r="P303" s="10">
        <f t="shared" si="26"/>
        <v>6.0000000000002274E-2</v>
      </c>
    </row>
    <row r="304" spans="1:16">
      <c r="A304">
        <v>70.75</v>
      </c>
      <c r="B304">
        <v>86.28</v>
      </c>
      <c r="C304">
        <v>76.23</v>
      </c>
      <c r="D304">
        <v>95.56</v>
      </c>
      <c r="E304">
        <v>73.67</v>
      </c>
      <c r="F304">
        <v>73.67</v>
      </c>
      <c r="G304">
        <v>76.95</v>
      </c>
      <c r="H304">
        <v>64.62</v>
      </c>
      <c r="K304" s="9">
        <f t="shared" si="27"/>
        <v>0.32999999999999829</v>
      </c>
      <c r="L304">
        <f t="shared" si="27"/>
        <v>-4.8299999999999983</v>
      </c>
      <c r="M304">
        <f t="shared" si="27"/>
        <v>0.39000000000000057</v>
      </c>
      <c r="N304">
        <f t="shared" si="26"/>
        <v>0.56000000000000227</v>
      </c>
      <c r="O304">
        <f t="shared" si="26"/>
        <v>2.2800000000000011</v>
      </c>
      <c r="P304" s="10">
        <f t="shared" si="26"/>
        <v>0.15999999999999659</v>
      </c>
    </row>
    <row r="305" spans="1:16">
      <c r="A305">
        <v>71</v>
      </c>
      <c r="B305">
        <v>86.23</v>
      </c>
      <c r="C305">
        <v>76.34</v>
      </c>
      <c r="D305">
        <v>93.73</v>
      </c>
      <c r="E305">
        <v>73.78</v>
      </c>
      <c r="F305">
        <v>73.900000000000006</v>
      </c>
      <c r="G305">
        <v>77.510000000000005</v>
      </c>
      <c r="H305">
        <v>64.62</v>
      </c>
      <c r="K305" s="9">
        <f t="shared" si="27"/>
        <v>0.28000000000000114</v>
      </c>
      <c r="L305">
        <f t="shared" si="27"/>
        <v>-4.2800000000000011</v>
      </c>
      <c r="M305">
        <f t="shared" si="27"/>
        <v>0.45000000000000284</v>
      </c>
      <c r="N305">
        <f t="shared" si="26"/>
        <v>0.43999999999999773</v>
      </c>
      <c r="O305">
        <f t="shared" si="26"/>
        <v>3.6099999999999994</v>
      </c>
      <c r="P305" s="10">
        <f t="shared" si="26"/>
        <v>0.32999999999999829</v>
      </c>
    </row>
    <row r="306" spans="1:16">
      <c r="A306">
        <v>71.25</v>
      </c>
      <c r="B306">
        <v>86.12</v>
      </c>
      <c r="C306">
        <v>76.45</v>
      </c>
      <c r="D306">
        <v>92.17</v>
      </c>
      <c r="E306">
        <v>73.95</v>
      </c>
      <c r="F306">
        <v>74.12</v>
      </c>
      <c r="G306">
        <v>78.23</v>
      </c>
      <c r="H306">
        <v>64.62</v>
      </c>
      <c r="K306" s="9">
        <f t="shared" si="27"/>
        <v>0.21999999999999886</v>
      </c>
      <c r="L306">
        <f t="shared" si="27"/>
        <v>-4</v>
      </c>
      <c r="M306">
        <f t="shared" si="27"/>
        <v>0.5</v>
      </c>
      <c r="N306">
        <f t="shared" si="26"/>
        <v>0.43999999999999773</v>
      </c>
      <c r="O306">
        <f t="shared" si="26"/>
        <v>5.7199999999999989</v>
      </c>
      <c r="P306" s="10">
        <f t="shared" si="26"/>
        <v>0.32999999999999829</v>
      </c>
    </row>
    <row r="307" spans="1:16">
      <c r="A307">
        <v>71.5</v>
      </c>
      <c r="B307">
        <v>86.06</v>
      </c>
      <c r="C307">
        <v>76.56</v>
      </c>
      <c r="D307">
        <v>90.73</v>
      </c>
      <c r="E307">
        <v>74.06</v>
      </c>
      <c r="F307">
        <v>74.23</v>
      </c>
      <c r="G307">
        <v>79.23</v>
      </c>
      <c r="H307">
        <v>64.78</v>
      </c>
      <c r="K307" s="9">
        <f t="shared" si="27"/>
        <v>0.21999999999999886</v>
      </c>
      <c r="L307">
        <f t="shared" si="27"/>
        <v>-3.8299999999999983</v>
      </c>
      <c r="M307">
        <f t="shared" si="27"/>
        <v>0.5</v>
      </c>
      <c r="N307">
        <f t="shared" si="26"/>
        <v>0.39000000000000057</v>
      </c>
      <c r="O307">
        <f t="shared" si="26"/>
        <v>6.2800000000000011</v>
      </c>
      <c r="P307" s="10">
        <f t="shared" si="26"/>
        <v>0.56000000000000227</v>
      </c>
    </row>
    <row r="308" spans="1:16">
      <c r="A308">
        <v>71.75</v>
      </c>
      <c r="B308">
        <v>86.01</v>
      </c>
      <c r="C308">
        <v>76.62</v>
      </c>
      <c r="D308">
        <v>89.45</v>
      </c>
      <c r="E308">
        <v>74.23</v>
      </c>
      <c r="F308">
        <v>74.34</v>
      </c>
      <c r="G308">
        <v>81.12</v>
      </c>
      <c r="H308">
        <v>64.95</v>
      </c>
      <c r="K308" s="9">
        <f t="shared" si="27"/>
        <v>0.15999999999999659</v>
      </c>
      <c r="L308">
        <f t="shared" si="27"/>
        <v>-3.5499999999999972</v>
      </c>
      <c r="M308">
        <f t="shared" si="27"/>
        <v>0.54999999999999716</v>
      </c>
      <c r="N308">
        <f t="shared" si="26"/>
        <v>0.60999999999999943</v>
      </c>
      <c r="O308">
        <f t="shared" si="26"/>
        <v>4.1099999999999994</v>
      </c>
      <c r="P308" s="10">
        <f t="shared" si="26"/>
        <v>0.78000000000000114</v>
      </c>
    </row>
    <row r="309" spans="1:16">
      <c r="A309">
        <v>72</v>
      </c>
      <c r="B309">
        <v>85.95</v>
      </c>
      <c r="C309">
        <v>76.67</v>
      </c>
      <c r="D309">
        <v>88.17</v>
      </c>
      <c r="E309">
        <v>74.45</v>
      </c>
      <c r="F309">
        <v>74.56</v>
      </c>
      <c r="G309">
        <v>83.95</v>
      </c>
      <c r="H309">
        <v>64.95</v>
      </c>
      <c r="K309" s="9">
        <f t="shared" si="27"/>
        <v>0.23000000000000398</v>
      </c>
      <c r="L309">
        <f t="shared" si="27"/>
        <v>-2.8299999999999983</v>
      </c>
      <c r="M309">
        <f t="shared" si="27"/>
        <v>0.5</v>
      </c>
      <c r="N309">
        <f t="shared" si="26"/>
        <v>0.56000000000000227</v>
      </c>
      <c r="O309">
        <f t="shared" si="26"/>
        <v>-1.5499999999999972</v>
      </c>
      <c r="P309" s="10">
        <f t="shared" si="26"/>
        <v>0.82999999999999829</v>
      </c>
    </row>
    <row r="310" spans="1:16">
      <c r="A310">
        <v>72.25</v>
      </c>
      <c r="B310">
        <v>85.95</v>
      </c>
      <c r="C310">
        <v>76.78</v>
      </c>
      <c r="D310">
        <v>86.9</v>
      </c>
      <c r="E310">
        <v>74.56</v>
      </c>
      <c r="F310">
        <v>74.62</v>
      </c>
      <c r="G310">
        <v>85.51</v>
      </c>
      <c r="H310">
        <v>65.34</v>
      </c>
      <c r="K310" s="9">
        <f t="shared" si="27"/>
        <v>0.28000000000000114</v>
      </c>
      <c r="L310">
        <f t="shared" si="27"/>
        <v>-1</v>
      </c>
      <c r="M310">
        <f t="shared" si="27"/>
        <v>0.39000000000000057</v>
      </c>
      <c r="N310">
        <f t="shared" si="26"/>
        <v>0.54999999999999716</v>
      </c>
      <c r="O310">
        <f t="shared" si="26"/>
        <v>-4.5600000000000023</v>
      </c>
      <c r="P310" s="10">
        <f t="shared" si="26"/>
        <v>0.71999999999999886</v>
      </c>
    </row>
    <row r="311" spans="1:16">
      <c r="A311">
        <v>72.5</v>
      </c>
      <c r="B311">
        <v>85.95</v>
      </c>
      <c r="C311">
        <v>76.78</v>
      </c>
      <c r="D311">
        <v>85.9</v>
      </c>
      <c r="E311">
        <v>74.78</v>
      </c>
      <c r="F311">
        <v>74.95</v>
      </c>
      <c r="G311">
        <v>85.23</v>
      </c>
      <c r="H311">
        <v>65.73</v>
      </c>
      <c r="K311" s="9">
        <f t="shared" si="27"/>
        <v>0.39000000000000057</v>
      </c>
      <c r="L311">
        <f t="shared" si="27"/>
        <v>1.2199999999999989</v>
      </c>
      <c r="M311">
        <f t="shared" si="27"/>
        <v>0.34000000000000341</v>
      </c>
      <c r="N311">
        <f t="shared" si="26"/>
        <v>0.39000000000000057</v>
      </c>
      <c r="O311">
        <f t="shared" si="26"/>
        <v>-5.2800000000000011</v>
      </c>
      <c r="P311" s="10">
        <f t="shared" si="26"/>
        <v>0.21999999999999886</v>
      </c>
    </row>
    <row r="312" spans="1:16">
      <c r="A312">
        <v>72.75</v>
      </c>
      <c r="B312">
        <v>85.95</v>
      </c>
      <c r="C312">
        <v>76.900000000000006</v>
      </c>
      <c r="D312">
        <v>85.34</v>
      </c>
      <c r="E312">
        <v>74.95</v>
      </c>
      <c r="F312">
        <v>75.12</v>
      </c>
      <c r="G312">
        <v>82.4</v>
      </c>
      <c r="H312">
        <v>65.78</v>
      </c>
      <c r="K312" s="9">
        <f t="shared" si="27"/>
        <v>0.43999999999999773</v>
      </c>
      <c r="L312">
        <f t="shared" si="27"/>
        <v>3.4399999999999977</v>
      </c>
      <c r="M312">
        <f t="shared" si="27"/>
        <v>0.28000000000000114</v>
      </c>
      <c r="N312">
        <f t="shared" si="26"/>
        <v>0.5</v>
      </c>
      <c r="O312">
        <f t="shared" si="26"/>
        <v>-2.7800000000000011</v>
      </c>
      <c r="P312" s="10">
        <f t="shared" si="26"/>
        <v>0.17000000000000171</v>
      </c>
    </row>
    <row r="313" spans="1:16">
      <c r="A313">
        <v>73</v>
      </c>
      <c r="B313">
        <v>86.28</v>
      </c>
      <c r="C313">
        <v>77.06</v>
      </c>
      <c r="D313">
        <v>85.9</v>
      </c>
      <c r="E313">
        <v>74.95</v>
      </c>
      <c r="F313">
        <v>75.17</v>
      </c>
      <c r="G313">
        <v>80.95</v>
      </c>
      <c r="H313">
        <v>66.06</v>
      </c>
      <c r="K313" s="9">
        <f t="shared" si="27"/>
        <v>0.45000000000000284</v>
      </c>
      <c r="L313">
        <f t="shared" si="27"/>
        <v>4.5</v>
      </c>
      <c r="M313">
        <f t="shared" si="27"/>
        <v>0.45000000000000284</v>
      </c>
      <c r="N313">
        <f t="shared" si="26"/>
        <v>0.73000000000000398</v>
      </c>
      <c r="O313">
        <f t="shared" si="26"/>
        <v>-1.5</v>
      </c>
      <c r="P313" s="10">
        <f t="shared" si="26"/>
        <v>-4.9999999999997158E-2</v>
      </c>
    </row>
    <row r="314" spans="1:16">
      <c r="A314">
        <v>73.25</v>
      </c>
      <c r="B314">
        <v>86.78</v>
      </c>
      <c r="C314">
        <v>77.17</v>
      </c>
      <c r="D314">
        <v>87.12</v>
      </c>
      <c r="E314">
        <v>75.12</v>
      </c>
      <c r="F314">
        <v>75.34</v>
      </c>
      <c r="G314">
        <v>79.95</v>
      </c>
      <c r="H314">
        <v>65.95</v>
      </c>
      <c r="K314" s="9">
        <f t="shared" si="27"/>
        <v>0.56000000000000227</v>
      </c>
      <c r="L314">
        <f t="shared" si="27"/>
        <v>3.4399999999999977</v>
      </c>
      <c r="M314">
        <f t="shared" si="27"/>
        <v>0.32999999999999829</v>
      </c>
      <c r="N314">
        <f t="shared" si="26"/>
        <v>0.89000000000000057</v>
      </c>
      <c r="O314">
        <f t="shared" si="26"/>
        <v>6.0000000000002274E-2</v>
      </c>
      <c r="P314" s="10">
        <f t="shared" si="26"/>
        <v>-4.9999999999997158E-2</v>
      </c>
    </row>
    <row r="315" spans="1:16">
      <c r="A315">
        <v>73.5</v>
      </c>
      <c r="B315">
        <v>87.23</v>
      </c>
      <c r="C315">
        <v>77.34</v>
      </c>
      <c r="D315">
        <v>88.78</v>
      </c>
      <c r="E315">
        <v>75.23</v>
      </c>
      <c r="F315">
        <v>75.62</v>
      </c>
      <c r="G315">
        <v>79.62</v>
      </c>
      <c r="H315">
        <v>65.95</v>
      </c>
      <c r="K315" s="9">
        <f t="shared" si="27"/>
        <v>0.56000000000000227</v>
      </c>
      <c r="L315">
        <f t="shared" si="27"/>
        <v>2.2800000000000011</v>
      </c>
      <c r="M315">
        <f t="shared" si="27"/>
        <v>0.43999999999999773</v>
      </c>
      <c r="N315">
        <f t="shared" si="26"/>
        <v>0.71999999999999886</v>
      </c>
      <c r="O315">
        <f t="shared" si="26"/>
        <v>1</v>
      </c>
      <c r="P315" s="10">
        <f t="shared" si="26"/>
        <v>-0.28000000000000114</v>
      </c>
    </row>
    <row r="316" spans="1:16">
      <c r="A316">
        <v>73.75</v>
      </c>
      <c r="B316">
        <v>87.67</v>
      </c>
      <c r="C316">
        <v>77.510000000000005</v>
      </c>
      <c r="D316">
        <v>90.4</v>
      </c>
      <c r="E316">
        <v>75.400000000000006</v>
      </c>
      <c r="F316">
        <v>75.900000000000006</v>
      </c>
      <c r="G316">
        <v>79.45</v>
      </c>
      <c r="H316">
        <v>66.010000000000005</v>
      </c>
      <c r="K316" s="9">
        <f t="shared" si="27"/>
        <v>0.60999999999999943</v>
      </c>
      <c r="L316">
        <f t="shared" si="27"/>
        <v>0.37999999999999545</v>
      </c>
      <c r="M316">
        <f t="shared" si="27"/>
        <v>0.37999999999999545</v>
      </c>
      <c r="N316">
        <f t="shared" si="26"/>
        <v>0.65999999999999659</v>
      </c>
      <c r="O316">
        <f t="shared" si="26"/>
        <v>1.8900000000000006</v>
      </c>
      <c r="P316" s="10">
        <f t="shared" si="26"/>
        <v>-0.39000000000000057</v>
      </c>
    </row>
    <row r="317" spans="1:16">
      <c r="A317">
        <v>74</v>
      </c>
      <c r="B317">
        <v>88.06</v>
      </c>
      <c r="C317">
        <v>77.73</v>
      </c>
      <c r="D317">
        <v>90.56</v>
      </c>
      <c r="E317">
        <v>75.45</v>
      </c>
      <c r="F317">
        <v>76.23</v>
      </c>
      <c r="G317">
        <v>80.010000000000005</v>
      </c>
      <c r="H317">
        <v>65.900000000000006</v>
      </c>
      <c r="K317" s="9">
        <f t="shared" si="27"/>
        <v>0.67000000000000171</v>
      </c>
      <c r="L317">
        <f t="shared" si="27"/>
        <v>0.28000000000000114</v>
      </c>
      <c r="M317">
        <f t="shared" si="27"/>
        <v>0.56000000000000227</v>
      </c>
      <c r="N317">
        <f t="shared" si="26"/>
        <v>0.54999999999999716</v>
      </c>
      <c r="O317">
        <f t="shared" si="26"/>
        <v>1.6599999999999966</v>
      </c>
      <c r="P317" s="10">
        <f t="shared" si="26"/>
        <v>-0.12000000000000455</v>
      </c>
    </row>
    <row r="318" spans="1:16">
      <c r="A318">
        <v>74.25</v>
      </c>
      <c r="B318">
        <v>88.23</v>
      </c>
      <c r="C318">
        <v>77.900000000000006</v>
      </c>
      <c r="D318">
        <v>91.06</v>
      </c>
      <c r="E318">
        <v>75.67</v>
      </c>
      <c r="F318">
        <v>76.34</v>
      </c>
      <c r="G318">
        <v>80.62</v>
      </c>
      <c r="H318">
        <v>65.67</v>
      </c>
      <c r="K318" s="9">
        <f t="shared" si="27"/>
        <v>0.60999999999999943</v>
      </c>
      <c r="L318">
        <f t="shared" si="27"/>
        <v>0</v>
      </c>
      <c r="M318">
        <f t="shared" si="27"/>
        <v>0.39000000000000057</v>
      </c>
      <c r="N318">
        <f t="shared" si="26"/>
        <v>0.5</v>
      </c>
      <c r="O318">
        <f t="shared" si="26"/>
        <v>1.2800000000000011</v>
      </c>
      <c r="P318" s="10">
        <f t="shared" si="26"/>
        <v>0.28000000000000114</v>
      </c>
    </row>
    <row r="319" spans="1:16">
      <c r="A319">
        <v>74.5</v>
      </c>
      <c r="B319">
        <v>88.56</v>
      </c>
      <c r="C319">
        <v>78.12</v>
      </c>
      <c r="D319">
        <v>90.78</v>
      </c>
      <c r="E319">
        <v>75.78</v>
      </c>
      <c r="F319">
        <v>76.56</v>
      </c>
      <c r="G319">
        <v>81.34</v>
      </c>
      <c r="H319">
        <v>65.62</v>
      </c>
      <c r="K319" s="9">
        <f t="shared" si="27"/>
        <v>0.60999999999999943</v>
      </c>
      <c r="L319">
        <f t="shared" si="27"/>
        <v>0.89000000000000057</v>
      </c>
      <c r="M319">
        <f t="shared" si="27"/>
        <v>0.5</v>
      </c>
      <c r="N319">
        <f t="shared" si="26"/>
        <v>0.45000000000000284</v>
      </c>
      <c r="O319">
        <f t="shared" si="26"/>
        <v>0.82999999999999829</v>
      </c>
      <c r="P319" s="10">
        <f t="shared" si="26"/>
        <v>0.10999999999999943</v>
      </c>
    </row>
    <row r="320" spans="1:16">
      <c r="A320">
        <v>74.75</v>
      </c>
      <c r="B320">
        <v>88.73</v>
      </c>
      <c r="C320">
        <v>78.400000000000006</v>
      </c>
      <c r="D320">
        <v>90.84</v>
      </c>
      <c r="E320">
        <v>76.010000000000005</v>
      </c>
      <c r="F320">
        <v>76.78</v>
      </c>
      <c r="G320">
        <v>81.67</v>
      </c>
      <c r="H320">
        <v>65.78</v>
      </c>
      <c r="K320" s="9">
        <f t="shared" si="27"/>
        <v>0.54999999999999716</v>
      </c>
      <c r="L320">
        <f t="shared" si="27"/>
        <v>0.21999999999999886</v>
      </c>
      <c r="M320">
        <f t="shared" si="27"/>
        <v>0.39000000000000057</v>
      </c>
      <c r="N320">
        <f t="shared" si="26"/>
        <v>0.23000000000000398</v>
      </c>
      <c r="O320">
        <f t="shared" si="26"/>
        <v>-0.26999999999999602</v>
      </c>
      <c r="P320" s="10">
        <f t="shared" si="26"/>
        <v>0</v>
      </c>
    </row>
    <row r="321" spans="1:16">
      <c r="A321">
        <v>75</v>
      </c>
      <c r="B321">
        <v>88.73</v>
      </c>
      <c r="C321">
        <v>78.510000000000005</v>
      </c>
      <c r="D321">
        <v>91.06</v>
      </c>
      <c r="E321">
        <v>76.06</v>
      </c>
      <c r="F321">
        <v>76.84</v>
      </c>
      <c r="G321">
        <v>81.900000000000006</v>
      </c>
      <c r="H321">
        <v>65.95</v>
      </c>
      <c r="K321" s="9">
        <f t="shared" si="27"/>
        <v>0.54999999999999716</v>
      </c>
      <c r="L321">
        <f t="shared" si="27"/>
        <v>-0.65999999999999659</v>
      </c>
      <c r="M321">
        <f t="shared" si="27"/>
        <v>0.5</v>
      </c>
      <c r="N321">
        <f t="shared" si="26"/>
        <v>0.17000000000000171</v>
      </c>
      <c r="O321">
        <f t="shared" si="26"/>
        <v>-1.0600000000000023</v>
      </c>
      <c r="P321" s="10">
        <f t="shared" si="26"/>
        <v>-0.17000000000000171</v>
      </c>
    </row>
    <row r="322" spans="1:16">
      <c r="A322">
        <v>75.25</v>
      </c>
      <c r="B322">
        <v>88.73</v>
      </c>
      <c r="C322">
        <v>78.73</v>
      </c>
      <c r="D322">
        <v>91.67</v>
      </c>
      <c r="E322">
        <v>76.28</v>
      </c>
      <c r="F322">
        <v>77.010000000000005</v>
      </c>
      <c r="G322">
        <v>82.17</v>
      </c>
      <c r="H322">
        <v>65.73</v>
      </c>
      <c r="K322" s="9">
        <f t="shared" si="27"/>
        <v>0.60999999999999943</v>
      </c>
      <c r="L322">
        <f t="shared" si="27"/>
        <v>-0.93999999999999773</v>
      </c>
      <c r="M322">
        <f t="shared" si="27"/>
        <v>0.45000000000000284</v>
      </c>
      <c r="N322">
        <f t="shared" si="26"/>
        <v>4.9999999999997158E-2</v>
      </c>
      <c r="O322">
        <f t="shared" si="26"/>
        <v>-1.7199999999999989</v>
      </c>
      <c r="P322" s="10">
        <f t="shared" si="26"/>
        <v>-6.0000000000002274E-2</v>
      </c>
    </row>
    <row r="323" spans="1:16">
      <c r="A323">
        <v>75.5</v>
      </c>
      <c r="B323">
        <v>88.62</v>
      </c>
      <c r="C323">
        <v>78.95</v>
      </c>
      <c r="D323">
        <v>91.06</v>
      </c>
      <c r="E323">
        <v>76.400000000000006</v>
      </c>
      <c r="F323">
        <v>77.010000000000005</v>
      </c>
      <c r="G323">
        <v>81.400000000000006</v>
      </c>
      <c r="H323">
        <v>65.78</v>
      </c>
      <c r="K323" s="9">
        <f t="shared" si="27"/>
        <v>0.56000000000000227</v>
      </c>
      <c r="L323">
        <f t="shared" si="27"/>
        <v>2.5600000000000023</v>
      </c>
      <c r="M323">
        <f t="shared" si="27"/>
        <v>0.5</v>
      </c>
      <c r="N323">
        <f t="shared" si="26"/>
        <v>0.26999999999999602</v>
      </c>
      <c r="O323">
        <f t="shared" si="26"/>
        <v>-0.62000000000000455</v>
      </c>
      <c r="P323" s="10">
        <f t="shared" si="26"/>
        <v>-0.10999999999999943</v>
      </c>
    </row>
    <row r="324" spans="1:16">
      <c r="A324">
        <v>75.75</v>
      </c>
      <c r="B324">
        <v>88.45</v>
      </c>
      <c r="C324">
        <v>79.06</v>
      </c>
      <c r="D324">
        <v>90.4</v>
      </c>
      <c r="E324">
        <v>76.56</v>
      </c>
      <c r="F324">
        <v>77.010000000000005</v>
      </c>
      <c r="G324">
        <v>80.84</v>
      </c>
      <c r="H324">
        <v>65.78</v>
      </c>
      <c r="K324" s="9">
        <f t="shared" si="27"/>
        <v>0.71999999999999886</v>
      </c>
      <c r="L324">
        <f t="shared" si="27"/>
        <v>5.769999999999996</v>
      </c>
      <c r="M324">
        <f t="shared" si="27"/>
        <v>0.56000000000000227</v>
      </c>
      <c r="N324">
        <f t="shared" si="26"/>
        <v>0.39000000000000057</v>
      </c>
      <c r="O324">
        <f t="shared" si="26"/>
        <v>0.60999999999999943</v>
      </c>
      <c r="P324" s="10">
        <f t="shared" si="26"/>
        <v>-0.10999999999999943</v>
      </c>
    </row>
    <row r="325" spans="1:16">
      <c r="A325">
        <v>76</v>
      </c>
      <c r="B325">
        <v>88.45</v>
      </c>
      <c r="C325">
        <v>79.34</v>
      </c>
      <c r="D325">
        <v>90.73</v>
      </c>
      <c r="E325">
        <v>76.73</v>
      </c>
      <c r="F325">
        <v>77.06</v>
      </c>
      <c r="G325">
        <v>80.45</v>
      </c>
      <c r="H325">
        <v>65.67</v>
      </c>
      <c r="K325" s="9">
        <f t="shared" si="27"/>
        <v>0.60999999999999943</v>
      </c>
      <c r="L325">
        <f t="shared" si="27"/>
        <v>7.4399999999999977</v>
      </c>
      <c r="M325">
        <f t="shared" si="27"/>
        <v>0.43999999999999773</v>
      </c>
      <c r="N325">
        <f t="shared" si="26"/>
        <v>0.45000000000000284</v>
      </c>
      <c r="O325">
        <f t="shared" si="26"/>
        <v>2.1099999999999994</v>
      </c>
      <c r="P325" s="10">
        <f t="shared" si="26"/>
        <v>0.34000000000000341</v>
      </c>
    </row>
    <row r="326" spans="1:16">
      <c r="A326">
        <v>76.25</v>
      </c>
      <c r="B326">
        <v>88.56</v>
      </c>
      <c r="C326">
        <v>79.510000000000005</v>
      </c>
      <c r="D326">
        <v>93.62</v>
      </c>
      <c r="E326">
        <v>76.900000000000006</v>
      </c>
      <c r="F326">
        <v>77.28</v>
      </c>
      <c r="G326">
        <v>80.78</v>
      </c>
      <c r="H326">
        <v>65.67</v>
      </c>
      <c r="K326" s="9">
        <f t="shared" si="27"/>
        <v>0.71999999999999886</v>
      </c>
      <c r="L326">
        <f t="shared" si="27"/>
        <v>7.7199999999999989</v>
      </c>
      <c r="M326">
        <f t="shared" si="27"/>
        <v>0.43999999999999773</v>
      </c>
      <c r="N326">
        <f t="shared" si="26"/>
        <v>0.5</v>
      </c>
      <c r="O326">
        <f t="shared" si="26"/>
        <v>3.5600000000000023</v>
      </c>
      <c r="P326" s="10">
        <f t="shared" si="26"/>
        <v>0.28000000000000114</v>
      </c>
    </row>
    <row r="327" spans="1:16">
      <c r="A327">
        <v>76.5</v>
      </c>
      <c r="B327">
        <v>88.67</v>
      </c>
      <c r="C327">
        <v>79.78</v>
      </c>
      <c r="D327">
        <v>96.17</v>
      </c>
      <c r="E327">
        <v>77.12</v>
      </c>
      <c r="F327">
        <v>77.400000000000006</v>
      </c>
      <c r="G327">
        <v>81.45</v>
      </c>
      <c r="H327">
        <v>65.67</v>
      </c>
      <c r="K327" s="9">
        <f t="shared" si="27"/>
        <v>0.62000000000000455</v>
      </c>
      <c r="L327">
        <f t="shared" si="27"/>
        <v>7.4500000000000028</v>
      </c>
      <c r="M327">
        <f t="shared" si="27"/>
        <v>0.39000000000000057</v>
      </c>
      <c r="N327">
        <f t="shared" si="26"/>
        <v>0.43999999999999773</v>
      </c>
      <c r="O327">
        <f t="shared" si="26"/>
        <v>4.8299999999999983</v>
      </c>
      <c r="P327" s="10">
        <f t="shared" si="26"/>
        <v>0.28000000000000114</v>
      </c>
    </row>
    <row r="328" spans="1:16">
      <c r="A328">
        <v>76.75</v>
      </c>
      <c r="B328">
        <v>88.78</v>
      </c>
      <c r="C328">
        <v>79.95</v>
      </c>
      <c r="D328">
        <v>98.17</v>
      </c>
      <c r="E328">
        <v>77.17</v>
      </c>
      <c r="F328">
        <v>77.510000000000005</v>
      </c>
      <c r="G328">
        <v>82.56</v>
      </c>
      <c r="H328">
        <v>66.010000000000005</v>
      </c>
      <c r="K328" s="9">
        <f t="shared" si="27"/>
        <v>0.67000000000000171</v>
      </c>
      <c r="L328">
        <f t="shared" si="27"/>
        <v>5.1700000000000017</v>
      </c>
      <c r="M328">
        <f t="shared" si="27"/>
        <v>0.45000000000000284</v>
      </c>
      <c r="N328">
        <f t="shared" si="26"/>
        <v>0.43999999999999773</v>
      </c>
      <c r="O328">
        <f t="shared" si="26"/>
        <v>5.7800000000000011</v>
      </c>
      <c r="P328" s="10">
        <f t="shared" si="26"/>
        <v>0.21999999999999886</v>
      </c>
    </row>
    <row r="329" spans="1:16">
      <c r="A329">
        <v>77</v>
      </c>
      <c r="B329">
        <v>89.12</v>
      </c>
      <c r="C329">
        <v>80.23</v>
      </c>
      <c r="D329">
        <v>101.34</v>
      </c>
      <c r="E329">
        <v>77.34</v>
      </c>
      <c r="F329">
        <v>77.78</v>
      </c>
      <c r="G329">
        <v>84.34</v>
      </c>
      <c r="H329">
        <v>65.95</v>
      </c>
      <c r="K329" s="9">
        <f t="shared" si="27"/>
        <v>0.78000000000000114</v>
      </c>
      <c r="L329">
        <f t="shared" si="27"/>
        <v>0.17000000000000171</v>
      </c>
      <c r="M329">
        <f t="shared" si="27"/>
        <v>0.43999999999999773</v>
      </c>
      <c r="N329">
        <f t="shared" si="26"/>
        <v>0.34000000000000341</v>
      </c>
      <c r="O329">
        <f t="shared" si="26"/>
        <v>4.3299999999999983</v>
      </c>
      <c r="P329" s="10">
        <f t="shared" si="26"/>
        <v>0.56000000000000227</v>
      </c>
    </row>
    <row r="330" spans="1:16">
      <c r="A330">
        <v>77.25</v>
      </c>
      <c r="B330">
        <v>89.12</v>
      </c>
      <c r="C330">
        <v>80.400000000000006</v>
      </c>
      <c r="D330">
        <v>103.62</v>
      </c>
      <c r="E330">
        <v>77.510000000000005</v>
      </c>
      <c r="F330">
        <v>77.84</v>
      </c>
      <c r="G330">
        <v>86.28</v>
      </c>
      <c r="H330">
        <v>65.95</v>
      </c>
      <c r="K330" s="9">
        <f t="shared" si="27"/>
        <v>0.71999999999999886</v>
      </c>
      <c r="L330">
        <f t="shared" si="27"/>
        <v>-3.3400000000000034</v>
      </c>
      <c r="M330">
        <f t="shared" si="27"/>
        <v>0.5</v>
      </c>
      <c r="N330">
        <f t="shared" si="26"/>
        <v>0.32999999999999829</v>
      </c>
      <c r="O330">
        <f t="shared" si="26"/>
        <v>0.56000000000000227</v>
      </c>
      <c r="P330" s="10">
        <f t="shared" si="26"/>
        <v>0.5</v>
      </c>
    </row>
    <row r="331" spans="1:16">
      <c r="A331">
        <v>77.5</v>
      </c>
      <c r="B331">
        <v>89.28</v>
      </c>
      <c r="C331">
        <v>80.62</v>
      </c>
      <c r="D331">
        <v>103.34</v>
      </c>
      <c r="E331">
        <v>77.62</v>
      </c>
      <c r="F331">
        <v>77.95</v>
      </c>
      <c r="G331">
        <v>88.34</v>
      </c>
      <c r="H331">
        <v>66.23</v>
      </c>
      <c r="K331" s="9">
        <f t="shared" si="27"/>
        <v>0.71999999999999886</v>
      </c>
      <c r="L331">
        <f t="shared" si="27"/>
        <v>-5</v>
      </c>
      <c r="M331">
        <f t="shared" si="27"/>
        <v>0.60999999999999943</v>
      </c>
      <c r="N331">
        <f t="shared" si="26"/>
        <v>0.32999999999999829</v>
      </c>
      <c r="O331">
        <f t="shared" si="26"/>
        <v>-2.9399999999999977</v>
      </c>
      <c r="P331" s="10">
        <f t="shared" si="26"/>
        <v>4.9999999999997158E-2</v>
      </c>
    </row>
    <row r="332" spans="1:16">
      <c r="A332">
        <v>77.75</v>
      </c>
      <c r="B332">
        <v>89.28</v>
      </c>
      <c r="C332">
        <v>81.010000000000005</v>
      </c>
      <c r="D332">
        <v>101.51</v>
      </c>
      <c r="E332">
        <v>77.78</v>
      </c>
      <c r="F332">
        <v>78.12</v>
      </c>
      <c r="G332">
        <v>88.67</v>
      </c>
      <c r="H332">
        <v>66.510000000000005</v>
      </c>
      <c r="K332" s="9">
        <f t="shared" si="27"/>
        <v>0.54999999999999716</v>
      </c>
      <c r="L332">
        <f t="shared" si="27"/>
        <v>-5.0600000000000023</v>
      </c>
      <c r="M332">
        <f t="shared" si="27"/>
        <v>0.62000000000000455</v>
      </c>
      <c r="N332">
        <f t="shared" si="26"/>
        <v>0.21999999999999886</v>
      </c>
      <c r="O332">
        <f t="shared" si="26"/>
        <v>-4.6099999999999994</v>
      </c>
      <c r="P332" s="10">
        <f t="shared" si="26"/>
        <v>-0.10999999999999943</v>
      </c>
    </row>
    <row r="333" spans="1:16">
      <c r="A333">
        <v>78</v>
      </c>
      <c r="B333">
        <v>89.28</v>
      </c>
      <c r="C333">
        <v>81.12</v>
      </c>
      <c r="D333">
        <v>100.28</v>
      </c>
      <c r="E333">
        <v>78.010000000000005</v>
      </c>
      <c r="F333">
        <v>78.17</v>
      </c>
      <c r="G333">
        <v>86.84</v>
      </c>
      <c r="H333">
        <v>66.45</v>
      </c>
      <c r="K333" s="9">
        <f t="shared" si="27"/>
        <v>0.65999999999999659</v>
      </c>
      <c r="L333">
        <f t="shared" si="27"/>
        <v>-4.8799999999999955</v>
      </c>
      <c r="M333">
        <f t="shared" si="27"/>
        <v>0.60999999999999943</v>
      </c>
      <c r="N333">
        <f t="shared" si="26"/>
        <v>0.45000000000000284</v>
      </c>
      <c r="O333">
        <f t="shared" si="26"/>
        <v>-3.7800000000000011</v>
      </c>
      <c r="P333" s="10">
        <f t="shared" si="26"/>
        <v>0</v>
      </c>
    </row>
    <row r="334" spans="1:16">
      <c r="A334">
        <v>78.25</v>
      </c>
      <c r="B334">
        <v>89.28</v>
      </c>
      <c r="C334">
        <v>81.34</v>
      </c>
      <c r="D334">
        <v>98.34</v>
      </c>
      <c r="E334">
        <v>78.23</v>
      </c>
      <c r="F334">
        <v>78.28</v>
      </c>
      <c r="G334">
        <v>85.4</v>
      </c>
      <c r="H334">
        <v>66.28</v>
      </c>
      <c r="K334" s="9">
        <f t="shared" si="27"/>
        <v>0.67000000000000171</v>
      </c>
      <c r="L334">
        <f t="shared" si="27"/>
        <v>-2.3900000000000006</v>
      </c>
      <c r="M334">
        <f t="shared" si="27"/>
        <v>0.54999999999999716</v>
      </c>
      <c r="N334">
        <f t="shared" si="26"/>
        <v>0.62000000000000455</v>
      </c>
      <c r="O334">
        <f t="shared" si="26"/>
        <v>-3.1200000000000045</v>
      </c>
      <c r="P334" s="10">
        <f t="shared" si="26"/>
        <v>0.12000000000000455</v>
      </c>
    </row>
    <row r="335" spans="1:16">
      <c r="A335">
        <v>78.5</v>
      </c>
      <c r="B335">
        <v>89.51</v>
      </c>
      <c r="C335">
        <v>81.56</v>
      </c>
      <c r="D335">
        <v>96.45</v>
      </c>
      <c r="E335">
        <v>78.400000000000006</v>
      </c>
      <c r="F335">
        <v>78.34</v>
      </c>
      <c r="G335">
        <v>84.06</v>
      </c>
      <c r="H335">
        <v>66.400000000000006</v>
      </c>
      <c r="K335" s="9">
        <f t="shared" si="27"/>
        <v>0.67000000000000171</v>
      </c>
      <c r="L335">
        <f t="shared" si="27"/>
        <v>0.28000000000000114</v>
      </c>
      <c r="M335">
        <f t="shared" si="27"/>
        <v>0.54999999999999716</v>
      </c>
      <c r="N335">
        <f t="shared" si="26"/>
        <v>0.82999999999999829</v>
      </c>
      <c r="O335">
        <f t="shared" si="26"/>
        <v>-2.1599999999999966</v>
      </c>
      <c r="P335" s="10">
        <f t="shared" si="26"/>
        <v>-6.0000000000002274E-2</v>
      </c>
    </row>
    <row r="336" spans="1:16">
      <c r="A336">
        <v>78.75</v>
      </c>
      <c r="B336">
        <v>89.84</v>
      </c>
      <c r="C336">
        <v>81.78</v>
      </c>
      <c r="D336">
        <v>95.4</v>
      </c>
      <c r="E336">
        <v>78.62</v>
      </c>
      <c r="F336">
        <v>78.62</v>
      </c>
      <c r="G336">
        <v>83.06</v>
      </c>
      <c r="H336">
        <v>66.45</v>
      </c>
      <c r="K336" s="9">
        <f t="shared" si="27"/>
        <v>0.73000000000000398</v>
      </c>
      <c r="L336">
        <f t="shared" si="27"/>
        <v>1.5499999999999972</v>
      </c>
      <c r="M336">
        <f t="shared" si="27"/>
        <v>0.5</v>
      </c>
      <c r="N336">
        <f t="shared" si="26"/>
        <v>0.78000000000000114</v>
      </c>
      <c r="O336">
        <f t="shared" si="26"/>
        <v>-1.4399999999999977</v>
      </c>
      <c r="P336" s="10">
        <f t="shared" si="26"/>
        <v>-4.9999999999997158E-2</v>
      </c>
    </row>
    <row r="337" spans="1:16">
      <c r="A337">
        <v>79</v>
      </c>
      <c r="B337">
        <v>90.28</v>
      </c>
      <c r="C337">
        <v>82.01</v>
      </c>
      <c r="D337">
        <v>95.95</v>
      </c>
      <c r="E337">
        <v>78.78</v>
      </c>
      <c r="F337">
        <v>78.900000000000006</v>
      </c>
      <c r="G337">
        <v>82.28</v>
      </c>
      <c r="H337">
        <v>66.400000000000006</v>
      </c>
      <c r="K337" s="9">
        <f t="shared" si="27"/>
        <v>0.65999999999999659</v>
      </c>
      <c r="L337">
        <f t="shared" si="27"/>
        <v>0.71999999999999886</v>
      </c>
      <c r="M337">
        <f t="shared" si="27"/>
        <v>0.5</v>
      </c>
      <c r="N337">
        <f t="shared" si="26"/>
        <v>0.71999999999999886</v>
      </c>
      <c r="O337">
        <f t="shared" si="26"/>
        <v>-0.43999999999999773</v>
      </c>
      <c r="P337" s="10">
        <f t="shared" si="26"/>
        <v>0.21999999999999886</v>
      </c>
    </row>
    <row r="338" spans="1:16">
      <c r="A338">
        <v>79.25</v>
      </c>
      <c r="B338">
        <v>90.62</v>
      </c>
      <c r="C338">
        <v>82.23</v>
      </c>
      <c r="D338">
        <v>96.73</v>
      </c>
      <c r="E338">
        <v>78.95</v>
      </c>
      <c r="F338">
        <v>79.17</v>
      </c>
      <c r="G338">
        <v>81.900000000000006</v>
      </c>
      <c r="H338">
        <v>66.34</v>
      </c>
      <c r="K338" s="9">
        <f t="shared" si="27"/>
        <v>0.54999999999999716</v>
      </c>
      <c r="L338">
        <f t="shared" si="27"/>
        <v>-0.17000000000000171</v>
      </c>
      <c r="M338">
        <f t="shared" si="27"/>
        <v>0.5</v>
      </c>
      <c r="N338">
        <f t="shared" si="26"/>
        <v>0.5</v>
      </c>
      <c r="O338">
        <f t="shared" si="26"/>
        <v>4.9999999999997158E-2</v>
      </c>
      <c r="P338" s="10">
        <f t="shared" si="26"/>
        <v>0.21999999999999886</v>
      </c>
    </row>
    <row r="339" spans="1:16">
      <c r="A339">
        <v>79.5</v>
      </c>
      <c r="B339">
        <v>90.84</v>
      </c>
      <c r="C339">
        <v>82.51</v>
      </c>
      <c r="D339">
        <v>96.95</v>
      </c>
      <c r="E339">
        <v>79.12</v>
      </c>
      <c r="F339">
        <v>79.400000000000006</v>
      </c>
      <c r="G339">
        <v>81.62</v>
      </c>
      <c r="H339">
        <v>66.400000000000006</v>
      </c>
      <c r="K339" s="9">
        <f t="shared" si="27"/>
        <v>0.54999999999999716</v>
      </c>
      <c r="L339">
        <f t="shared" si="27"/>
        <v>-0.60999999999999943</v>
      </c>
      <c r="M339">
        <f t="shared" si="27"/>
        <v>0.43999999999999773</v>
      </c>
      <c r="N339">
        <f t="shared" si="26"/>
        <v>0.43999999999999773</v>
      </c>
      <c r="O339">
        <f t="shared" si="26"/>
        <v>0.5</v>
      </c>
      <c r="P339" s="10">
        <f t="shared" si="26"/>
        <v>0.26999999999999602</v>
      </c>
    </row>
    <row r="340" spans="1:16">
      <c r="A340">
        <v>79.75</v>
      </c>
      <c r="B340">
        <v>91.23</v>
      </c>
      <c r="C340">
        <v>82.67</v>
      </c>
      <c r="D340">
        <v>96.67</v>
      </c>
      <c r="E340">
        <v>79.28</v>
      </c>
      <c r="F340">
        <v>79.62</v>
      </c>
      <c r="G340">
        <v>81.84</v>
      </c>
      <c r="H340">
        <v>66.62</v>
      </c>
      <c r="K340" s="9">
        <f t="shared" si="27"/>
        <v>0.60999999999999943</v>
      </c>
      <c r="L340">
        <f t="shared" si="27"/>
        <v>-0.26999999999999602</v>
      </c>
      <c r="M340">
        <f t="shared" si="27"/>
        <v>0.45000000000000284</v>
      </c>
      <c r="N340">
        <f t="shared" si="26"/>
        <v>0.21999999999999886</v>
      </c>
      <c r="O340">
        <f t="shared" si="26"/>
        <v>0.5</v>
      </c>
      <c r="P340" s="10">
        <f t="shared" si="26"/>
        <v>0</v>
      </c>
    </row>
    <row r="341" spans="1:16">
      <c r="A341">
        <v>80</v>
      </c>
      <c r="B341">
        <v>91.34</v>
      </c>
      <c r="C341">
        <v>82.78</v>
      </c>
      <c r="D341">
        <v>96.56</v>
      </c>
      <c r="E341">
        <v>79.45</v>
      </c>
      <c r="F341">
        <v>79.67</v>
      </c>
      <c r="G341">
        <v>81.95</v>
      </c>
      <c r="H341">
        <v>66.56</v>
      </c>
      <c r="K341" s="9">
        <f t="shared" si="27"/>
        <v>0.67000000000000171</v>
      </c>
      <c r="L341">
        <f t="shared" si="27"/>
        <v>-0.65999999999999659</v>
      </c>
      <c r="M341">
        <f t="shared" si="27"/>
        <v>0.39000000000000057</v>
      </c>
      <c r="N341">
        <f t="shared" si="27"/>
        <v>0.17000000000000171</v>
      </c>
      <c r="O341">
        <f t="shared" si="27"/>
        <v>0.89000000000000057</v>
      </c>
      <c r="P341" s="10">
        <f t="shared" si="27"/>
        <v>0</v>
      </c>
    </row>
    <row r="342" spans="1:16">
      <c r="A342">
        <v>80.25</v>
      </c>
      <c r="B342">
        <v>91.34</v>
      </c>
      <c r="C342">
        <v>83.06</v>
      </c>
      <c r="D342">
        <v>96.34</v>
      </c>
      <c r="E342">
        <v>79.56</v>
      </c>
      <c r="F342">
        <v>79.84</v>
      </c>
      <c r="G342">
        <v>82.12</v>
      </c>
      <c r="H342">
        <v>66.67</v>
      </c>
      <c r="K342" s="9">
        <f t="shared" ref="K342:N405" si="28">C345-C342</f>
        <v>0.39000000000000057</v>
      </c>
      <c r="L342">
        <f t="shared" si="28"/>
        <v>-1.2800000000000011</v>
      </c>
      <c r="M342">
        <f t="shared" si="28"/>
        <v>0.56000000000000227</v>
      </c>
      <c r="N342">
        <f t="shared" si="28"/>
        <v>6.0000000000002274E-2</v>
      </c>
      <c r="O342">
        <f t="shared" ref="O342:P405" si="29">G345-G342</f>
        <v>1.5499999999999972</v>
      </c>
      <c r="P342" s="10">
        <f t="shared" si="29"/>
        <v>-4.9999999999997158E-2</v>
      </c>
    </row>
    <row r="343" spans="1:16">
      <c r="A343">
        <v>80.5</v>
      </c>
      <c r="B343">
        <v>91.4</v>
      </c>
      <c r="C343">
        <v>83.28</v>
      </c>
      <c r="D343">
        <v>96.4</v>
      </c>
      <c r="E343">
        <v>79.73</v>
      </c>
      <c r="F343">
        <v>79.84</v>
      </c>
      <c r="G343">
        <v>82.34</v>
      </c>
      <c r="H343">
        <v>66.62</v>
      </c>
      <c r="K343" s="9">
        <f t="shared" si="28"/>
        <v>0.39000000000000057</v>
      </c>
      <c r="L343">
        <f t="shared" si="28"/>
        <v>-2.230000000000004</v>
      </c>
      <c r="M343">
        <f t="shared" si="28"/>
        <v>0.39000000000000057</v>
      </c>
      <c r="N343">
        <f t="shared" si="28"/>
        <v>-6.0000000000002274E-2</v>
      </c>
      <c r="O343">
        <f t="shared" si="29"/>
        <v>2.5600000000000023</v>
      </c>
      <c r="P343" s="10">
        <f t="shared" si="29"/>
        <v>-6.0000000000002274E-2</v>
      </c>
    </row>
    <row r="344" spans="1:16">
      <c r="A344">
        <v>80.75</v>
      </c>
      <c r="B344">
        <v>91.34</v>
      </c>
      <c r="C344">
        <v>83.45</v>
      </c>
      <c r="D344">
        <v>95.9</v>
      </c>
      <c r="E344">
        <v>79.84</v>
      </c>
      <c r="F344">
        <v>79.84</v>
      </c>
      <c r="G344">
        <v>82.84</v>
      </c>
      <c r="H344">
        <v>66.56</v>
      </c>
      <c r="K344" s="9">
        <f t="shared" si="28"/>
        <v>0.28000000000000114</v>
      </c>
      <c r="L344">
        <f t="shared" si="28"/>
        <v>-0.39000000000000057</v>
      </c>
      <c r="M344">
        <f t="shared" si="28"/>
        <v>0.5</v>
      </c>
      <c r="N344">
        <f t="shared" si="28"/>
        <v>0</v>
      </c>
      <c r="O344">
        <f t="shared" si="29"/>
        <v>4.6700000000000017</v>
      </c>
      <c r="P344" s="10">
        <f t="shared" si="29"/>
        <v>0.10999999999999943</v>
      </c>
    </row>
    <row r="345" spans="1:16">
      <c r="A345">
        <v>81</v>
      </c>
      <c r="B345">
        <v>91.23</v>
      </c>
      <c r="C345">
        <v>83.45</v>
      </c>
      <c r="D345">
        <v>95.06</v>
      </c>
      <c r="E345">
        <v>80.12</v>
      </c>
      <c r="F345">
        <v>79.900000000000006</v>
      </c>
      <c r="G345">
        <v>83.67</v>
      </c>
      <c r="H345">
        <v>66.62</v>
      </c>
      <c r="K345" s="9">
        <f t="shared" si="28"/>
        <v>0.45000000000000284</v>
      </c>
      <c r="L345">
        <f t="shared" si="28"/>
        <v>4.1700000000000017</v>
      </c>
      <c r="M345">
        <f t="shared" si="28"/>
        <v>0.32999999999999829</v>
      </c>
      <c r="N345">
        <f t="shared" si="28"/>
        <v>-0.12000000000000455</v>
      </c>
      <c r="O345">
        <f t="shared" si="29"/>
        <v>5.9500000000000028</v>
      </c>
      <c r="P345" s="10">
        <f t="shared" si="29"/>
        <v>4.9999999999997158E-2</v>
      </c>
    </row>
    <row r="346" spans="1:16">
      <c r="A346">
        <v>81.25</v>
      </c>
      <c r="B346">
        <v>91.12</v>
      </c>
      <c r="C346">
        <v>83.67</v>
      </c>
      <c r="D346">
        <v>94.17</v>
      </c>
      <c r="E346">
        <v>80.12</v>
      </c>
      <c r="F346">
        <v>79.78</v>
      </c>
      <c r="G346">
        <v>84.9</v>
      </c>
      <c r="H346">
        <v>66.56</v>
      </c>
      <c r="K346" s="9">
        <f t="shared" si="28"/>
        <v>0.23000000000000398</v>
      </c>
      <c r="L346">
        <f t="shared" si="28"/>
        <v>7.3400000000000034</v>
      </c>
      <c r="M346">
        <f t="shared" si="28"/>
        <v>0.39000000000000057</v>
      </c>
      <c r="N346">
        <f t="shared" si="28"/>
        <v>-0.10999999999999943</v>
      </c>
      <c r="O346">
        <f t="shared" si="29"/>
        <v>6.3299999999999983</v>
      </c>
      <c r="P346" s="10">
        <f t="shared" si="29"/>
        <v>-0.10999999999999943</v>
      </c>
    </row>
    <row r="347" spans="1:16">
      <c r="A347">
        <v>81.5</v>
      </c>
      <c r="B347">
        <v>91.17</v>
      </c>
      <c r="C347">
        <v>83.73</v>
      </c>
      <c r="D347">
        <v>95.51</v>
      </c>
      <c r="E347">
        <v>80.34</v>
      </c>
      <c r="F347">
        <v>79.84</v>
      </c>
      <c r="G347">
        <v>87.51</v>
      </c>
      <c r="H347">
        <v>66.67</v>
      </c>
      <c r="K347" s="9">
        <f t="shared" si="28"/>
        <v>0.28000000000000114</v>
      </c>
      <c r="L347">
        <f t="shared" si="28"/>
        <v>9.5499999999999972</v>
      </c>
      <c r="M347">
        <f t="shared" si="28"/>
        <v>0.28000000000000114</v>
      </c>
      <c r="N347">
        <f t="shared" si="28"/>
        <v>-0.10999999999999943</v>
      </c>
      <c r="O347">
        <f t="shared" si="29"/>
        <v>3.7199999999999989</v>
      </c>
      <c r="P347" s="10">
        <f t="shared" si="29"/>
        <v>-0.26999999999999602</v>
      </c>
    </row>
    <row r="348" spans="1:16">
      <c r="A348">
        <v>81.75</v>
      </c>
      <c r="B348">
        <v>91.34</v>
      </c>
      <c r="C348">
        <v>83.9</v>
      </c>
      <c r="D348">
        <v>99.23</v>
      </c>
      <c r="E348">
        <v>80.45</v>
      </c>
      <c r="F348">
        <v>79.78</v>
      </c>
      <c r="G348">
        <v>89.62</v>
      </c>
      <c r="H348">
        <v>66.67</v>
      </c>
      <c r="K348" s="9">
        <f t="shared" si="28"/>
        <v>0.21999999999999886</v>
      </c>
      <c r="L348">
        <f t="shared" si="28"/>
        <v>8.4399999999999977</v>
      </c>
      <c r="M348">
        <f t="shared" si="28"/>
        <v>0.28000000000000114</v>
      </c>
      <c r="N348">
        <f t="shared" si="28"/>
        <v>-4.9999999999997158E-2</v>
      </c>
      <c r="O348">
        <f t="shared" si="29"/>
        <v>-0.78000000000000114</v>
      </c>
      <c r="P348" s="10">
        <f t="shared" si="29"/>
        <v>-0.21999999999999886</v>
      </c>
    </row>
    <row r="349" spans="1:16">
      <c r="A349">
        <v>82</v>
      </c>
      <c r="B349">
        <v>91.45</v>
      </c>
      <c r="C349">
        <v>83.9</v>
      </c>
      <c r="D349">
        <v>101.51</v>
      </c>
      <c r="E349">
        <v>80.510000000000005</v>
      </c>
      <c r="F349">
        <v>79.67</v>
      </c>
      <c r="G349">
        <v>91.23</v>
      </c>
      <c r="H349">
        <v>66.45</v>
      </c>
      <c r="K349" s="9">
        <f t="shared" si="28"/>
        <v>0.26999999999999602</v>
      </c>
      <c r="L349">
        <f t="shared" si="28"/>
        <v>8.0499999999999972</v>
      </c>
      <c r="M349">
        <f t="shared" si="28"/>
        <v>0.39000000000000057</v>
      </c>
      <c r="N349">
        <f t="shared" si="28"/>
        <v>6.0000000000002274E-2</v>
      </c>
      <c r="O349">
        <f t="shared" si="29"/>
        <v>-4.6700000000000017</v>
      </c>
      <c r="P349" s="10">
        <f t="shared" si="29"/>
        <v>-4.9999999999997158E-2</v>
      </c>
    </row>
    <row r="350" spans="1:16">
      <c r="A350">
        <v>82.25</v>
      </c>
      <c r="B350">
        <v>91.56</v>
      </c>
      <c r="C350">
        <v>84.01</v>
      </c>
      <c r="D350">
        <v>105.06</v>
      </c>
      <c r="E350">
        <v>80.62</v>
      </c>
      <c r="F350">
        <v>79.73</v>
      </c>
      <c r="G350">
        <v>91.23</v>
      </c>
      <c r="H350">
        <v>66.400000000000006</v>
      </c>
      <c r="K350" s="9">
        <f t="shared" si="28"/>
        <v>0.21999999999999886</v>
      </c>
      <c r="L350">
        <f t="shared" si="28"/>
        <v>3.5</v>
      </c>
      <c r="M350">
        <f t="shared" si="28"/>
        <v>0.43999999999999773</v>
      </c>
      <c r="N350">
        <f t="shared" si="28"/>
        <v>0.10999999999999943</v>
      </c>
      <c r="O350">
        <f t="shared" si="29"/>
        <v>-5.8900000000000006</v>
      </c>
      <c r="P350" s="10">
        <f t="shared" si="29"/>
        <v>0</v>
      </c>
    </row>
    <row r="351" spans="1:16">
      <c r="A351">
        <v>82.5</v>
      </c>
      <c r="B351">
        <v>91.67</v>
      </c>
      <c r="C351">
        <v>84.12</v>
      </c>
      <c r="D351">
        <v>107.67</v>
      </c>
      <c r="E351">
        <v>80.73</v>
      </c>
      <c r="F351">
        <v>79.73</v>
      </c>
      <c r="G351">
        <v>88.84</v>
      </c>
      <c r="H351">
        <v>66.45</v>
      </c>
      <c r="K351" s="9">
        <f t="shared" si="28"/>
        <v>0.28000000000000114</v>
      </c>
      <c r="L351">
        <f t="shared" si="28"/>
        <v>-1.6099999999999994</v>
      </c>
      <c r="M351">
        <f t="shared" si="28"/>
        <v>0.5</v>
      </c>
      <c r="N351">
        <f t="shared" si="28"/>
        <v>0.39000000000000057</v>
      </c>
      <c r="O351">
        <f t="shared" si="29"/>
        <v>-4.0600000000000023</v>
      </c>
      <c r="P351" s="10">
        <f t="shared" si="29"/>
        <v>-0.10999999999999943</v>
      </c>
    </row>
    <row r="352" spans="1:16">
      <c r="A352">
        <v>82.75</v>
      </c>
      <c r="B352">
        <v>91.67</v>
      </c>
      <c r="C352">
        <v>84.17</v>
      </c>
      <c r="D352">
        <v>109.56</v>
      </c>
      <c r="E352">
        <v>80.900000000000006</v>
      </c>
      <c r="F352">
        <v>79.73</v>
      </c>
      <c r="G352">
        <v>86.56</v>
      </c>
      <c r="H352">
        <v>66.400000000000006</v>
      </c>
      <c r="K352" s="9">
        <f t="shared" si="28"/>
        <v>0.39000000000000057</v>
      </c>
      <c r="L352">
        <f t="shared" si="28"/>
        <v>-5.8299999999999983</v>
      </c>
      <c r="M352">
        <f t="shared" si="28"/>
        <v>0.5</v>
      </c>
      <c r="N352">
        <f t="shared" si="28"/>
        <v>0.67000000000000171</v>
      </c>
      <c r="O352">
        <f t="shared" si="29"/>
        <v>-1.8900000000000006</v>
      </c>
      <c r="P352" s="10">
        <f t="shared" si="29"/>
        <v>0</v>
      </c>
    </row>
    <row r="353" spans="1:16">
      <c r="A353">
        <v>83</v>
      </c>
      <c r="B353">
        <v>91.73</v>
      </c>
      <c r="C353">
        <v>84.23</v>
      </c>
      <c r="D353">
        <v>108.56</v>
      </c>
      <c r="E353">
        <v>81.06</v>
      </c>
      <c r="F353">
        <v>79.84</v>
      </c>
      <c r="G353">
        <v>85.34</v>
      </c>
      <c r="H353">
        <v>66.400000000000006</v>
      </c>
      <c r="K353" s="9">
        <f t="shared" si="28"/>
        <v>0.54999999999999716</v>
      </c>
      <c r="L353">
        <f t="shared" si="28"/>
        <v>-6.6599999999999966</v>
      </c>
      <c r="M353">
        <f t="shared" si="28"/>
        <v>0.60999999999999943</v>
      </c>
      <c r="N353">
        <f t="shared" si="28"/>
        <v>0.78000000000000114</v>
      </c>
      <c r="O353">
        <f t="shared" si="29"/>
        <v>-0.28000000000000114</v>
      </c>
      <c r="P353" s="10">
        <f t="shared" si="29"/>
        <v>-0.12000000000000455</v>
      </c>
    </row>
    <row r="354" spans="1:16">
      <c r="A354">
        <v>83.25</v>
      </c>
      <c r="B354">
        <v>91.67</v>
      </c>
      <c r="C354">
        <v>84.4</v>
      </c>
      <c r="D354">
        <v>106.06</v>
      </c>
      <c r="E354">
        <v>81.23</v>
      </c>
      <c r="F354">
        <v>80.12</v>
      </c>
      <c r="G354">
        <v>84.78</v>
      </c>
      <c r="H354">
        <v>66.34</v>
      </c>
      <c r="K354" s="9">
        <f t="shared" si="28"/>
        <v>0.65999999999999659</v>
      </c>
      <c r="L354">
        <f t="shared" si="28"/>
        <v>-6.1599999999999966</v>
      </c>
      <c r="M354">
        <f t="shared" si="28"/>
        <v>0.54999999999999716</v>
      </c>
      <c r="N354">
        <f t="shared" si="28"/>
        <v>0.65999999999999659</v>
      </c>
      <c r="O354">
        <f t="shared" si="29"/>
        <v>1.5600000000000023</v>
      </c>
      <c r="P354" s="10">
        <f t="shared" si="29"/>
        <v>0</v>
      </c>
    </row>
    <row r="355" spans="1:16">
      <c r="A355">
        <v>83.5</v>
      </c>
      <c r="B355">
        <v>91.73</v>
      </c>
      <c r="C355">
        <v>84.56</v>
      </c>
      <c r="D355">
        <v>103.73</v>
      </c>
      <c r="E355">
        <v>81.400000000000006</v>
      </c>
      <c r="F355">
        <v>80.400000000000006</v>
      </c>
      <c r="G355">
        <v>84.67</v>
      </c>
      <c r="H355">
        <v>66.400000000000006</v>
      </c>
      <c r="K355" s="9">
        <f t="shared" si="28"/>
        <v>0.67000000000000171</v>
      </c>
      <c r="L355">
        <f t="shared" si="28"/>
        <v>-5.6700000000000017</v>
      </c>
      <c r="M355">
        <f t="shared" si="28"/>
        <v>0.65999999999999659</v>
      </c>
      <c r="N355">
        <f t="shared" si="28"/>
        <v>0.65999999999999659</v>
      </c>
      <c r="O355">
        <f t="shared" si="29"/>
        <v>2.3900000000000006</v>
      </c>
      <c r="P355" s="10">
        <f t="shared" si="29"/>
        <v>-0.17000000000000171</v>
      </c>
    </row>
    <row r="356" spans="1:16">
      <c r="A356">
        <v>83.75</v>
      </c>
      <c r="B356">
        <v>91.73</v>
      </c>
      <c r="C356">
        <v>84.78</v>
      </c>
      <c r="D356">
        <v>101.9</v>
      </c>
      <c r="E356">
        <v>81.67</v>
      </c>
      <c r="F356">
        <v>80.62</v>
      </c>
      <c r="G356">
        <v>85.06</v>
      </c>
      <c r="H356">
        <v>66.28</v>
      </c>
      <c r="K356" s="9">
        <f t="shared" si="28"/>
        <v>0.67000000000000171</v>
      </c>
      <c r="L356">
        <f t="shared" si="28"/>
        <v>-5.1200000000000045</v>
      </c>
      <c r="M356">
        <f t="shared" si="28"/>
        <v>0.45000000000000284</v>
      </c>
      <c r="N356">
        <f t="shared" si="28"/>
        <v>0.54999999999999716</v>
      </c>
      <c r="O356">
        <f t="shared" si="29"/>
        <v>2.1700000000000017</v>
      </c>
      <c r="P356" s="10">
        <f t="shared" si="29"/>
        <v>0</v>
      </c>
    </row>
    <row r="357" spans="1:16">
      <c r="A357">
        <v>84</v>
      </c>
      <c r="B357">
        <v>91.78</v>
      </c>
      <c r="C357">
        <v>85.06</v>
      </c>
      <c r="D357">
        <v>99.9</v>
      </c>
      <c r="E357">
        <v>81.78</v>
      </c>
      <c r="F357">
        <v>80.78</v>
      </c>
      <c r="G357">
        <v>86.34</v>
      </c>
      <c r="H357">
        <v>66.34</v>
      </c>
      <c r="K357" s="9">
        <f t="shared" si="28"/>
        <v>0.56000000000000227</v>
      </c>
      <c r="L357">
        <f t="shared" si="28"/>
        <v>-4.1700000000000017</v>
      </c>
      <c r="M357">
        <f t="shared" si="28"/>
        <v>0.5</v>
      </c>
      <c r="N357">
        <f t="shared" si="28"/>
        <v>0.5</v>
      </c>
      <c r="O357">
        <f t="shared" si="29"/>
        <v>0.43999999999999773</v>
      </c>
      <c r="P357" s="10">
        <f t="shared" si="29"/>
        <v>-6.0000000000002274E-2</v>
      </c>
    </row>
    <row r="358" spans="1:16">
      <c r="A358">
        <v>84.25</v>
      </c>
      <c r="B358">
        <v>91.78</v>
      </c>
      <c r="C358">
        <v>85.23</v>
      </c>
      <c r="D358">
        <v>98.06</v>
      </c>
      <c r="E358">
        <v>82.06</v>
      </c>
      <c r="F358">
        <v>81.06</v>
      </c>
      <c r="G358">
        <v>87.06</v>
      </c>
      <c r="H358">
        <v>66.23</v>
      </c>
      <c r="K358" s="9">
        <f t="shared" si="28"/>
        <v>0.60999999999999943</v>
      </c>
      <c r="L358">
        <f t="shared" si="28"/>
        <v>-3.5499999999999972</v>
      </c>
      <c r="M358">
        <f t="shared" si="28"/>
        <v>0.34000000000000341</v>
      </c>
      <c r="N358">
        <f t="shared" si="28"/>
        <v>0.28000000000000114</v>
      </c>
      <c r="O358">
        <f t="shared" si="29"/>
        <v>-0.28000000000000114</v>
      </c>
      <c r="P358" s="10">
        <f t="shared" si="29"/>
        <v>0.10999999999999943</v>
      </c>
    </row>
    <row r="359" spans="1:16">
      <c r="A359">
        <v>84.5</v>
      </c>
      <c r="B359">
        <v>91.84</v>
      </c>
      <c r="C359">
        <v>85.45</v>
      </c>
      <c r="D359">
        <v>96.78</v>
      </c>
      <c r="E359">
        <v>82.12</v>
      </c>
      <c r="F359">
        <v>81.17</v>
      </c>
      <c r="G359">
        <v>87.23</v>
      </c>
      <c r="H359">
        <v>66.28</v>
      </c>
      <c r="K359" s="9">
        <f t="shared" si="28"/>
        <v>0.5</v>
      </c>
      <c r="L359">
        <f t="shared" si="28"/>
        <v>-2.0499999999999972</v>
      </c>
      <c r="M359">
        <f t="shared" si="28"/>
        <v>0.39000000000000057</v>
      </c>
      <c r="N359">
        <f t="shared" si="28"/>
        <v>0.10999999999999943</v>
      </c>
      <c r="O359">
        <f t="shared" si="29"/>
        <v>-1.4500000000000028</v>
      </c>
      <c r="P359" s="10">
        <f t="shared" si="29"/>
        <v>0</v>
      </c>
    </row>
    <row r="360" spans="1:16">
      <c r="A360">
        <v>84.75</v>
      </c>
      <c r="B360">
        <v>91.78</v>
      </c>
      <c r="C360">
        <v>85.62</v>
      </c>
      <c r="D360">
        <v>95.73</v>
      </c>
      <c r="E360">
        <v>82.28</v>
      </c>
      <c r="F360">
        <v>81.28</v>
      </c>
      <c r="G360">
        <v>86.78</v>
      </c>
      <c r="H360">
        <v>66.28</v>
      </c>
      <c r="K360" s="9">
        <f t="shared" si="28"/>
        <v>0.5</v>
      </c>
      <c r="L360">
        <f t="shared" si="28"/>
        <v>-0.21999999999999886</v>
      </c>
      <c r="M360">
        <f t="shared" si="28"/>
        <v>0.28000000000000114</v>
      </c>
      <c r="N360">
        <f t="shared" si="28"/>
        <v>6.0000000000002274E-2</v>
      </c>
      <c r="O360">
        <f t="shared" si="29"/>
        <v>-1.4399999999999977</v>
      </c>
      <c r="P360" s="10">
        <f t="shared" si="29"/>
        <v>0.12000000000000455</v>
      </c>
    </row>
    <row r="361" spans="1:16">
      <c r="A361">
        <v>85</v>
      </c>
      <c r="B361">
        <v>91.84</v>
      </c>
      <c r="C361">
        <v>85.84</v>
      </c>
      <c r="D361">
        <v>94.51</v>
      </c>
      <c r="E361">
        <v>82.4</v>
      </c>
      <c r="F361">
        <v>81.34</v>
      </c>
      <c r="G361">
        <v>86.78</v>
      </c>
      <c r="H361">
        <v>66.34</v>
      </c>
      <c r="K361" s="9">
        <f t="shared" si="28"/>
        <v>0.39000000000000057</v>
      </c>
      <c r="L361">
        <f t="shared" si="28"/>
        <v>2.3299999999999983</v>
      </c>
      <c r="M361">
        <f t="shared" si="28"/>
        <v>0.26999999999999602</v>
      </c>
      <c r="N361">
        <f t="shared" si="28"/>
        <v>0.10999999999999943</v>
      </c>
      <c r="O361">
        <f t="shared" si="29"/>
        <v>-1.7199999999999989</v>
      </c>
      <c r="P361" s="10">
        <f t="shared" si="29"/>
        <v>6.0000000000002274E-2</v>
      </c>
    </row>
    <row r="362" spans="1:16">
      <c r="A362">
        <v>85.25</v>
      </c>
      <c r="B362">
        <v>91.9</v>
      </c>
      <c r="C362">
        <v>85.95</v>
      </c>
      <c r="D362">
        <v>94.73</v>
      </c>
      <c r="E362">
        <v>82.51</v>
      </c>
      <c r="F362">
        <v>81.28</v>
      </c>
      <c r="G362">
        <v>85.78</v>
      </c>
      <c r="H362">
        <v>66.28</v>
      </c>
      <c r="K362" s="9">
        <f t="shared" si="28"/>
        <v>0.45000000000000284</v>
      </c>
      <c r="L362">
        <f t="shared" si="28"/>
        <v>3.8299999999999983</v>
      </c>
      <c r="M362">
        <f t="shared" si="28"/>
        <v>0.32999999999999829</v>
      </c>
      <c r="N362">
        <f t="shared" si="28"/>
        <v>0.17000000000000171</v>
      </c>
      <c r="O362">
        <f t="shared" si="29"/>
        <v>-0.26999999999999602</v>
      </c>
      <c r="P362" s="10">
        <f t="shared" si="29"/>
        <v>0.17000000000000171</v>
      </c>
    </row>
    <row r="363" spans="1:16">
      <c r="A363">
        <v>85.5</v>
      </c>
      <c r="B363">
        <v>92.12</v>
      </c>
      <c r="C363">
        <v>86.12</v>
      </c>
      <c r="D363">
        <v>95.51</v>
      </c>
      <c r="E363">
        <v>82.56</v>
      </c>
      <c r="F363">
        <v>81.34</v>
      </c>
      <c r="G363">
        <v>85.34</v>
      </c>
      <c r="H363">
        <v>66.400000000000006</v>
      </c>
      <c r="K363" s="9">
        <f t="shared" si="28"/>
        <v>0.39000000000000057</v>
      </c>
      <c r="L363">
        <f t="shared" si="28"/>
        <v>5.6599999999999966</v>
      </c>
      <c r="M363">
        <f t="shared" si="28"/>
        <v>0.39000000000000057</v>
      </c>
      <c r="N363">
        <f t="shared" si="28"/>
        <v>0.28000000000000114</v>
      </c>
      <c r="O363">
        <f t="shared" si="29"/>
        <v>0.71999999999999886</v>
      </c>
      <c r="P363" s="10">
        <f t="shared" si="29"/>
        <v>0.10999999999999943</v>
      </c>
    </row>
    <row r="364" spans="1:16">
      <c r="A364">
        <v>85.75</v>
      </c>
      <c r="B364">
        <v>92.51</v>
      </c>
      <c r="C364">
        <v>86.23</v>
      </c>
      <c r="D364">
        <v>96.84</v>
      </c>
      <c r="E364">
        <v>82.67</v>
      </c>
      <c r="F364">
        <v>81.45</v>
      </c>
      <c r="G364">
        <v>85.06</v>
      </c>
      <c r="H364">
        <v>66.400000000000006</v>
      </c>
      <c r="K364" s="9">
        <f t="shared" si="28"/>
        <v>0.32999999999999829</v>
      </c>
      <c r="L364">
        <f t="shared" si="28"/>
        <v>6.2199999999999989</v>
      </c>
      <c r="M364">
        <f t="shared" si="28"/>
        <v>0.34000000000000341</v>
      </c>
      <c r="N364">
        <f t="shared" si="28"/>
        <v>0.21999999999999886</v>
      </c>
      <c r="O364">
        <f t="shared" si="29"/>
        <v>2.0600000000000023</v>
      </c>
      <c r="P364" s="10">
        <f t="shared" si="29"/>
        <v>0.21999999999999886</v>
      </c>
    </row>
    <row r="365" spans="1:16">
      <c r="A365">
        <v>86</v>
      </c>
      <c r="B365">
        <v>92.9</v>
      </c>
      <c r="C365">
        <v>86.4</v>
      </c>
      <c r="D365">
        <v>98.56</v>
      </c>
      <c r="E365">
        <v>82.84</v>
      </c>
      <c r="F365">
        <v>81.45</v>
      </c>
      <c r="G365">
        <v>85.51</v>
      </c>
      <c r="H365">
        <v>66.45</v>
      </c>
      <c r="K365" s="9">
        <f t="shared" si="28"/>
        <v>0.21999999999999886</v>
      </c>
      <c r="L365">
        <f t="shared" si="28"/>
        <v>7.1099999999999994</v>
      </c>
      <c r="M365">
        <f t="shared" si="28"/>
        <v>0.28000000000000114</v>
      </c>
      <c r="N365">
        <f t="shared" si="28"/>
        <v>0.21999999999999886</v>
      </c>
      <c r="O365">
        <f t="shared" si="29"/>
        <v>3.1599999999999966</v>
      </c>
      <c r="P365" s="10">
        <f t="shared" si="29"/>
        <v>0.17000000000000171</v>
      </c>
    </row>
    <row r="366" spans="1:16">
      <c r="A366">
        <v>86.25</v>
      </c>
      <c r="B366">
        <v>93.17</v>
      </c>
      <c r="C366">
        <v>86.51</v>
      </c>
      <c r="D366">
        <v>101.17</v>
      </c>
      <c r="E366">
        <v>82.95</v>
      </c>
      <c r="F366">
        <v>81.62</v>
      </c>
      <c r="G366">
        <v>86.06</v>
      </c>
      <c r="H366">
        <v>66.510000000000005</v>
      </c>
      <c r="K366" s="9">
        <f t="shared" si="28"/>
        <v>0.21999999999999886</v>
      </c>
      <c r="L366">
        <f t="shared" si="28"/>
        <v>6.3900000000000006</v>
      </c>
      <c r="M366">
        <f t="shared" si="28"/>
        <v>0.21999999999999886</v>
      </c>
      <c r="N366">
        <f t="shared" si="28"/>
        <v>0.10999999999999943</v>
      </c>
      <c r="O366">
        <f t="shared" si="29"/>
        <v>4.3400000000000034</v>
      </c>
      <c r="P366" s="10">
        <f t="shared" si="29"/>
        <v>0.21999999999999886</v>
      </c>
    </row>
    <row r="367" spans="1:16">
      <c r="A367">
        <v>86.5</v>
      </c>
      <c r="B367">
        <v>93.51</v>
      </c>
      <c r="C367">
        <v>86.56</v>
      </c>
      <c r="D367">
        <v>103.06</v>
      </c>
      <c r="E367">
        <v>83.01</v>
      </c>
      <c r="F367">
        <v>81.67</v>
      </c>
      <c r="G367">
        <v>87.12</v>
      </c>
      <c r="H367">
        <v>66.62</v>
      </c>
      <c r="K367" s="9">
        <f t="shared" si="28"/>
        <v>0.28000000000000114</v>
      </c>
      <c r="L367">
        <f t="shared" si="28"/>
        <v>4.2800000000000011</v>
      </c>
      <c r="M367">
        <f t="shared" si="28"/>
        <v>0.26999999999999602</v>
      </c>
      <c r="N367">
        <f t="shared" si="28"/>
        <v>6.0000000000002274E-2</v>
      </c>
      <c r="O367">
        <f t="shared" si="29"/>
        <v>4.8299999999999983</v>
      </c>
      <c r="P367" s="10">
        <f t="shared" si="29"/>
        <v>0.15999999999999659</v>
      </c>
    </row>
    <row r="368" spans="1:16">
      <c r="A368">
        <v>86.75</v>
      </c>
      <c r="B368">
        <v>93.62</v>
      </c>
      <c r="C368">
        <v>86.62</v>
      </c>
      <c r="D368">
        <v>105.67</v>
      </c>
      <c r="E368">
        <v>83.12</v>
      </c>
      <c r="F368">
        <v>81.67</v>
      </c>
      <c r="G368">
        <v>88.67</v>
      </c>
      <c r="H368">
        <v>66.62</v>
      </c>
      <c r="K368" s="9">
        <f t="shared" si="28"/>
        <v>0.28000000000000114</v>
      </c>
      <c r="L368">
        <f t="shared" si="28"/>
        <v>-0.10999999999999943</v>
      </c>
      <c r="M368">
        <f t="shared" si="28"/>
        <v>0.28000000000000114</v>
      </c>
      <c r="N368">
        <f t="shared" si="28"/>
        <v>0.23000000000000398</v>
      </c>
      <c r="O368">
        <f t="shared" si="29"/>
        <v>3.5</v>
      </c>
      <c r="P368" s="10">
        <f t="shared" si="29"/>
        <v>0.15999999999999659</v>
      </c>
    </row>
    <row r="369" spans="1:16">
      <c r="A369">
        <v>87</v>
      </c>
      <c r="B369">
        <v>93.78</v>
      </c>
      <c r="C369">
        <v>86.73</v>
      </c>
      <c r="D369">
        <v>107.56</v>
      </c>
      <c r="E369">
        <v>83.17</v>
      </c>
      <c r="F369">
        <v>81.73</v>
      </c>
      <c r="G369">
        <v>90.4</v>
      </c>
      <c r="H369">
        <v>66.73</v>
      </c>
      <c r="K369" s="9">
        <f t="shared" si="28"/>
        <v>0.32999999999999829</v>
      </c>
      <c r="L369">
        <f t="shared" si="28"/>
        <v>-3.3900000000000006</v>
      </c>
      <c r="M369">
        <f t="shared" si="28"/>
        <v>0.5</v>
      </c>
      <c r="N369">
        <f t="shared" si="28"/>
        <v>0.21999999999999886</v>
      </c>
      <c r="O369">
        <f t="shared" si="29"/>
        <v>-0.62000000000000455</v>
      </c>
      <c r="P369" s="10">
        <f t="shared" si="29"/>
        <v>0.17000000000000171</v>
      </c>
    </row>
    <row r="370" spans="1:16">
      <c r="A370">
        <v>87.25</v>
      </c>
      <c r="B370">
        <v>93.95</v>
      </c>
      <c r="C370">
        <v>86.84</v>
      </c>
      <c r="D370">
        <v>107.34</v>
      </c>
      <c r="E370">
        <v>83.28</v>
      </c>
      <c r="F370">
        <v>81.73</v>
      </c>
      <c r="G370">
        <v>91.95</v>
      </c>
      <c r="H370">
        <v>66.78</v>
      </c>
      <c r="K370" s="9">
        <f t="shared" si="28"/>
        <v>0.32999999999999829</v>
      </c>
      <c r="L370">
        <f t="shared" si="28"/>
        <v>-5.1099999999999994</v>
      </c>
      <c r="M370">
        <f t="shared" si="28"/>
        <v>0.56000000000000227</v>
      </c>
      <c r="N370">
        <f t="shared" si="28"/>
        <v>0.21999999999999886</v>
      </c>
      <c r="O370">
        <f t="shared" si="29"/>
        <v>-3.6700000000000017</v>
      </c>
      <c r="P370" s="10">
        <f t="shared" si="29"/>
        <v>0.12000000000000455</v>
      </c>
    </row>
    <row r="371" spans="1:16">
      <c r="A371">
        <v>87.5</v>
      </c>
      <c r="B371">
        <v>93.84</v>
      </c>
      <c r="C371">
        <v>86.9</v>
      </c>
      <c r="D371">
        <v>105.56</v>
      </c>
      <c r="E371">
        <v>83.4</v>
      </c>
      <c r="F371">
        <v>81.900000000000006</v>
      </c>
      <c r="G371">
        <v>92.17</v>
      </c>
      <c r="H371">
        <v>66.78</v>
      </c>
      <c r="K371" s="9">
        <f t="shared" si="28"/>
        <v>0.26999999999999602</v>
      </c>
      <c r="L371">
        <f t="shared" si="28"/>
        <v>-5.1099999999999994</v>
      </c>
      <c r="M371">
        <f t="shared" si="28"/>
        <v>0.54999999999999716</v>
      </c>
      <c r="N371">
        <f t="shared" si="28"/>
        <v>0.15999999999999659</v>
      </c>
      <c r="O371">
        <f t="shared" si="29"/>
        <v>-4.8299999999999983</v>
      </c>
      <c r="P371" s="10">
        <f t="shared" si="29"/>
        <v>0.17000000000000171</v>
      </c>
    </row>
    <row r="372" spans="1:16">
      <c r="A372">
        <v>87.75</v>
      </c>
      <c r="B372">
        <v>93.84</v>
      </c>
      <c r="C372">
        <v>87.06</v>
      </c>
      <c r="D372">
        <v>104.17</v>
      </c>
      <c r="E372">
        <v>83.67</v>
      </c>
      <c r="F372">
        <v>81.95</v>
      </c>
      <c r="G372">
        <v>89.78</v>
      </c>
      <c r="H372">
        <v>66.900000000000006</v>
      </c>
      <c r="K372" s="9">
        <f t="shared" si="28"/>
        <v>0.10999999999999943</v>
      </c>
      <c r="L372">
        <f t="shared" si="28"/>
        <v>-4.5</v>
      </c>
      <c r="M372">
        <f t="shared" si="28"/>
        <v>0.45000000000000284</v>
      </c>
      <c r="N372">
        <f t="shared" si="28"/>
        <v>0.17000000000000171</v>
      </c>
      <c r="O372">
        <f t="shared" si="29"/>
        <v>-2.8799999999999955</v>
      </c>
      <c r="P372" s="10">
        <f t="shared" si="29"/>
        <v>0.10999999999999943</v>
      </c>
    </row>
    <row r="373" spans="1:16">
      <c r="A373">
        <v>88</v>
      </c>
      <c r="B373">
        <v>93.73</v>
      </c>
      <c r="C373">
        <v>87.17</v>
      </c>
      <c r="D373">
        <v>102.23</v>
      </c>
      <c r="E373">
        <v>83.84</v>
      </c>
      <c r="F373">
        <v>81.95</v>
      </c>
      <c r="G373">
        <v>88.28</v>
      </c>
      <c r="H373">
        <v>66.900000000000006</v>
      </c>
      <c r="K373" s="9">
        <f t="shared" si="28"/>
        <v>0.10999999999999943</v>
      </c>
      <c r="L373">
        <f t="shared" si="28"/>
        <v>-1.8299999999999983</v>
      </c>
      <c r="M373">
        <f t="shared" si="28"/>
        <v>0.32999999999999829</v>
      </c>
      <c r="N373">
        <f t="shared" si="28"/>
        <v>0.45000000000000284</v>
      </c>
      <c r="O373">
        <f t="shared" si="29"/>
        <v>-1.6099999999999994</v>
      </c>
      <c r="P373" s="10">
        <f t="shared" si="29"/>
        <v>0.21999999999999886</v>
      </c>
    </row>
    <row r="374" spans="1:16">
      <c r="A374">
        <v>88.25</v>
      </c>
      <c r="B374">
        <v>93.56</v>
      </c>
      <c r="C374">
        <v>87.17</v>
      </c>
      <c r="D374">
        <v>100.45</v>
      </c>
      <c r="E374">
        <v>83.95</v>
      </c>
      <c r="F374">
        <v>82.06</v>
      </c>
      <c r="G374">
        <v>87.34</v>
      </c>
      <c r="H374">
        <v>66.95</v>
      </c>
      <c r="K374" s="9">
        <f t="shared" si="28"/>
        <v>0</v>
      </c>
      <c r="L374">
        <f t="shared" si="28"/>
        <v>0.28000000000000114</v>
      </c>
      <c r="M374">
        <f t="shared" si="28"/>
        <v>0.32999999999999829</v>
      </c>
      <c r="N374">
        <f t="shared" si="28"/>
        <v>0.5</v>
      </c>
      <c r="O374">
        <f t="shared" si="29"/>
        <v>-0.56000000000000227</v>
      </c>
      <c r="P374" s="10">
        <f t="shared" si="29"/>
        <v>0.45000000000000284</v>
      </c>
    </row>
    <row r="375" spans="1:16">
      <c r="A375">
        <v>88.5</v>
      </c>
      <c r="B375">
        <v>93.56</v>
      </c>
      <c r="C375">
        <v>87.17</v>
      </c>
      <c r="D375">
        <v>99.67</v>
      </c>
      <c r="E375">
        <v>84.12</v>
      </c>
      <c r="F375">
        <v>82.12</v>
      </c>
      <c r="G375">
        <v>86.9</v>
      </c>
      <c r="H375">
        <v>67.010000000000005</v>
      </c>
      <c r="K375" s="9">
        <f t="shared" si="28"/>
        <v>0.10999999999999943</v>
      </c>
      <c r="L375">
        <f t="shared" si="28"/>
        <v>1.1700000000000017</v>
      </c>
      <c r="M375">
        <f t="shared" si="28"/>
        <v>0.32999999999999829</v>
      </c>
      <c r="N375">
        <f t="shared" si="28"/>
        <v>0.60999999999999943</v>
      </c>
      <c r="O375">
        <f t="shared" si="29"/>
        <v>0.26999999999999602</v>
      </c>
      <c r="P375" s="10">
        <f t="shared" si="29"/>
        <v>0.43999999999999773</v>
      </c>
    </row>
    <row r="376" spans="1:16">
      <c r="A376">
        <v>88.75</v>
      </c>
      <c r="B376">
        <v>93.67</v>
      </c>
      <c r="C376">
        <v>87.28</v>
      </c>
      <c r="D376">
        <v>100.4</v>
      </c>
      <c r="E376">
        <v>84.17</v>
      </c>
      <c r="F376">
        <v>82.4</v>
      </c>
      <c r="G376">
        <v>86.67</v>
      </c>
      <c r="H376">
        <v>67.12</v>
      </c>
      <c r="K376" s="9">
        <f t="shared" si="28"/>
        <v>-4.9999999999997158E-2</v>
      </c>
      <c r="L376">
        <f t="shared" si="28"/>
        <v>0.37999999999999545</v>
      </c>
      <c r="M376">
        <f t="shared" si="28"/>
        <v>0.39000000000000057</v>
      </c>
      <c r="N376">
        <f t="shared" si="28"/>
        <v>0.60999999999999943</v>
      </c>
      <c r="O376">
        <f t="shared" si="29"/>
        <v>0.84000000000000341</v>
      </c>
      <c r="P376" s="10">
        <f t="shared" si="29"/>
        <v>0.32999999999999829</v>
      </c>
    </row>
    <row r="377" spans="1:16">
      <c r="A377">
        <v>89</v>
      </c>
      <c r="B377">
        <v>93.78</v>
      </c>
      <c r="C377">
        <v>87.17</v>
      </c>
      <c r="D377">
        <v>100.73</v>
      </c>
      <c r="E377">
        <v>84.28</v>
      </c>
      <c r="F377">
        <v>82.56</v>
      </c>
      <c r="G377">
        <v>86.78</v>
      </c>
      <c r="H377">
        <v>67.400000000000006</v>
      </c>
      <c r="K377" s="9">
        <f t="shared" si="28"/>
        <v>6.0000000000002274E-2</v>
      </c>
      <c r="L377">
        <f t="shared" si="28"/>
        <v>-0.10999999999999943</v>
      </c>
      <c r="M377">
        <f t="shared" si="28"/>
        <v>0.34000000000000341</v>
      </c>
      <c r="N377">
        <f t="shared" si="28"/>
        <v>0.5</v>
      </c>
      <c r="O377">
        <f t="shared" si="29"/>
        <v>1</v>
      </c>
      <c r="P377" s="10">
        <f t="shared" si="29"/>
        <v>4.9999999999997158E-2</v>
      </c>
    </row>
    <row r="378" spans="1:16">
      <c r="A378">
        <v>89.25</v>
      </c>
      <c r="B378">
        <v>93.84</v>
      </c>
      <c r="C378">
        <v>87.28</v>
      </c>
      <c r="D378">
        <v>100.84</v>
      </c>
      <c r="E378">
        <v>84.45</v>
      </c>
      <c r="F378">
        <v>82.73</v>
      </c>
      <c r="G378">
        <v>87.17</v>
      </c>
      <c r="H378">
        <v>67.45</v>
      </c>
      <c r="K378" s="9">
        <f t="shared" si="28"/>
        <v>-0.10999999999999943</v>
      </c>
      <c r="L378">
        <f t="shared" si="28"/>
        <v>-0.17000000000000171</v>
      </c>
      <c r="M378">
        <f t="shared" si="28"/>
        <v>0.28000000000000114</v>
      </c>
      <c r="N378">
        <f t="shared" si="28"/>
        <v>0.39000000000000057</v>
      </c>
      <c r="O378">
        <f t="shared" si="29"/>
        <v>1</v>
      </c>
      <c r="P378" s="10">
        <f t="shared" si="29"/>
        <v>0.10999999999999943</v>
      </c>
    </row>
    <row r="379" spans="1:16">
      <c r="A379">
        <v>89.5</v>
      </c>
      <c r="B379">
        <v>93.9</v>
      </c>
      <c r="C379">
        <v>87.23</v>
      </c>
      <c r="D379">
        <v>100.78</v>
      </c>
      <c r="E379">
        <v>84.56</v>
      </c>
      <c r="F379">
        <v>83.01</v>
      </c>
      <c r="G379">
        <v>87.51</v>
      </c>
      <c r="H379">
        <v>67.45</v>
      </c>
      <c r="K379" s="9">
        <f t="shared" si="28"/>
        <v>0</v>
      </c>
      <c r="L379">
        <f t="shared" si="28"/>
        <v>-0.37999999999999545</v>
      </c>
      <c r="M379">
        <f t="shared" si="28"/>
        <v>0.34000000000000341</v>
      </c>
      <c r="N379">
        <f t="shared" si="28"/>
        <v>4.9999999999997158E-2</v>
      </c>
      <c r="O379">
        <f t="shared" si="29"/>
        <v>1.0499999999999972</v>
      </c>
      <c r="P379" s="10">
        <f t="shared" si="29"/>
        <v>0.39000000000000057</v>
      </c>
    </row>
    <row r="380" spans="1:16">
      <c r="A380">
        <v>89.75</v>
      </c>
      <c r="B380">
        <v>93.73</v>
      </c>
      <c r="C380">
        <v>87.23</v>
      </c>
      <c r="D380">
        <v>100.62</v>
      </c>
      <c r="E380">
        <v>84.62</v>
      </c>
      <c r="F380">
        <v>83.06</v>
      </c>
      <c r="G380">
        <v>87.78</v>
      </c>
      <c r="H380">
        <v>67.45</v>
      </c>
      <c r="K380" s="9">
        <f t="shared" si="28"/>
        <v>-6.0000000000002274E-2</v>
      </c>
      <c r="L380">
        <f t="shared" si="28"/>
        <v>-0.34000000000000341</v>
      </c>
      <c r="M380">
        <f t="shared" si="28"/>
        <v>0.39000000000000057</v>
      </c>
      <c r="N380">
        <f t="shared" si="28"/>
        <v>0</v>
      </c>
      <c r="O380">
        <f t="shared" si="29"/>
        <v>0.78000000000000114</v>
      </c>
      <c r="P380" s="10">
        <f t="shared" si="29"/>
        <v>0.45000000000000284</v>
      </c>
    </row>
    <row r="381" spans="1:16">
      <c r="A381">
        <v>90</v>
      </c>
      <c r="B381">
        <v>93.9</v>
      </c>
      <c r="C381">
        <v>87.17</v>
      </c>
      <c r="D381">
        <v>100.67</v>
      </c>
      <c r="E381">
        <v>84.73</v>
      </c>
      <c r="F381">
        <v>83.12</v>
      </c>
      <c r="G381">
        <v>88.17</v>
      </c>
      <c r="H381">
        <v>67.56</v>
      </c>
      <c r="K381" s="9">
        <f t="shared" si="28"/>
        <v>0.10999999999999943</v>
      </c>
      <c r="L381">
        <f t="shared" si="28"/>
        <v>-1.3299999999999983</v>
      </c>
      <c r="M381">
        <f t="shared" si="28"/>
        <v>0.32999999999999829</v>
      </c>
      <c r="N381">
        <f t="shared" si="28"/>
        <v>0.10999999999999943</v>
      </c>
      <c r="O381">
        <f t="shared" si="29"/>
        <v>0.23000000000000398</v>
      </c>
      <c r="P381" s="10">
        <f t="shared" si="29"/>
        <v>0.28000000000000114</v>
      </c>
    </row>
    <row r="382" spans="1:16">
      <c r="A382">
        <v>90.25</v>
      </c>
      <c r="B382">
        <v>94.12</v>
      </c>
      <c r="C382">
        <v>87.23</v>
      </c>
      <c r="D382">
        <v>100.4</v>
      </c>
      <c r="E382">
        <v>84.9</v>
      </c>
      <c r="F382">
        <v>83.06</v>
      </c>
      <c r="G382">
        <v>88.56</v>
      </c>
      <c r="H382">
        <v>67.84</v>
      </c>
      <c r="K382" s="9">
        <f t="shared" si="28"/>
        <v>-6.0000000000002274E-2</v>
      </c>
      <c r="L382">
        <f t="shared" si="28"/>
        <v>-1.3900000000000006</v>
      </c>
      <c r="M382">
        <f t="shared" si="28"/>
        <v>0.26999999999999602</v>
      </c>
      <c r="N382">
        <f t="shared" si="28"/>
        <v>0.10999999999999943</v>
      </c>
      <c r="O382">
        <f t="shared" si="29"/>
        <v>-0.89000000000000057</v>
      </c>
      <c r="P382" s="10">
        <f t="shared" si="29"/>
        <v>6.0000000000002274E-2</v>
      </c>
    </row>
    <row r="383" spans="1:16">
      <c r="A383">
        <v>90.5</v>
      </c>
      <c r="B383">
        <v>94.34</v>
      </c>
      <c r="C383">
        <v>87.17</v>
      </c>
      <c r="D383">
        <v>100.28</v>
      </c>
      <c r="E383">
        <v>85.01</v>
      </c>
      <c r="F383">
        <v>83.06</v>
      </c>
      <c r="G383">
        <v>88.56</v>
      </c>
      <c r="H383">
        <v>67.900000000000006</v>
      </c>
      <c r="K383" s="9">
        <f t="shared" si="28"/>
        <v>0.17000000000000171</v>
      </c>
      <c r="L383">
        <f t="shared" si="28"/>
        <v>-0.5</v>
      </c>
      <c r="M383">
        <f t="shared" si="28"/>
        <v>0.32999999999999829</v>
      </c>
      <c r="N383">
        <f t="shared" si="28"/>
        <v>0.28000000000000114</v>
      </c>
      <c r="O383">
        <f t="shared" si="29"/>
        <v>-1.6099999999999994</v>
      </c>
      <c r="P383" s="10">
        <f t="shared" si="29"/>
        <v>0.21999999999999886</v>
      </c>
    </row>
    <row r="384" spans="1:16">
      <c r="A384">
        <v>90.75</v>
      </c>
      <c r="B384">
        <v>94.73</v>
      </c>
      <c r="C384">
        <v>87.28</v>
      </c>
      <c r="D384">
        <v>99.34</v>
      </c>
      <c r="E384">
        <v>85.06</v>
      </c>
      <c r="F384">
        <v>83.23</v>
      </c>
      <c r="G384">
        <v>88.4</v>
      </c>
      <c r="H384">
        <v>67.84</v>
      </c>
      <c r="K384" s="9">
        <f t="shared" si="28"/>
        <v>-4.9999999999997158E-2</v>
      </c>
      <c r="L384">
        <f t="shared" si="28"/>
        <v>2.6099999999999994</v>
      </c>
      <c r="M384">
        <f t="shared" si="28"/>
        <v>0.39000000000000057</v>
      </c>
      <c r="N384">
        <f t="shared" si="28"/>
        <v>0.17000000000000171</v>
      </c>
      <c r="O384">
        <f t="shared" si="29"/>
        <v>-1.8400000000000034</v>
      </c>
      <c r="P384" s="10">
        <f t="shared" si="29"/>
        <v>0.32999999999999829</v>
      </c>
    </row>
    <row r="385" spans="1:16">
      <c r="A385">
        <v>91</v>
      </c>
      <c r="B385">
        <v>94.78</v>
      </c>
      <c r="C385">
        <v>87.17</v>
      </c>
      <c r="D385">
        <v>99.01</v>
      </c>
      <c r="E385">
        <v>85.17</v>
      </c>
      <c r="F385">
        <v>83.17</v>
      </c>
      <c r="G385">
        <v>87.67</v>
      </c>
      <c r="H385">
        <v>67.900000000000006</v>
      </c>
      <c r="K385" s="9">
        <f t="shared" si="28"/>
        <v>0.17000000000000171</v>
      </c>
      <c r="L385">
        <f t="shared" si="28"/>
        <v>4.1599999999999966</v>
      </c>
      <c r="M385">
        <f t="shared" si="28"/>
        <v>0.39000000000000057</v>
      </c>
      <c r="N385">
        <f t="shared" si="28"/>
        <v>0.23000000000000398</v>
      </c>
      <c r="O385">
        <f t="shared" si="29"/>
        <v>-1.269999999999996</v>
      </c>
      <c r="P385" s="10">
        <f t="shared" si="29"/>
        <v>0.21999999999999886</v>
      </c>
    </row>
    <row r="386" spans="1:16">
      <c r="A386">
        <v>91.25</v>
      </c>
      <c r="B386">
        <v>94.95</v>
      </c>
      <c r="C386">
        <v>87.34</v>
      </c>
      <c r="D386">
        <v>99.78</v>
      </c>
      <c r="E386">
        <v>85.34</v>
      </c>
      <c r="F386">
        <v>83.34</v>
      </c>
      <c r="G386">
        <v>86.95</v>
      </c>
      <c r="H386">
        <v>68.12</v>
      </c>
      <c r="K386" s="9">
        <f t="shared" si="28"/>
        <v>-6.0000000000002274E-2</v>
      </c>
      <c r="L386">
        <f t="shared" si="28"/>
        <v>5.230000000000004</v>
      </c>
      <c r="M386">
        <f t="shared" si="28"/>
        <v>0.21999999999999886</v>
      </c>
      <c r="N386">
        <f t="shared" si="28"/>
        <v>0.17000000000000171</v>
      </c>
      <c r="O386">
        <f t="shared" si="29"/>
        <v>-0.71999999999999886</v>
      </c>
      <c r="P386" s="10">
        <f t="shared" si="29"/>
        <v>4.9999999999997158E-2</v>
      </c>
    </row>
    <row r="387" spans="1:16">
      <c r="A387">
        <v>91.5</v>
      </c>
      <c r="B387">
        <v>95.01</v>
      </c>
      <c r="C387">
        <v>87.23</v>
      </c>
      <c r="D387">
        <v>101.95</v>
      </c>
      <c r="E387">
        <v>85.45</v>
      </c>
      <c r="F387">
        <v>83.4</v>
      </c>
      <c r="G387">
        <v>86.56</v>
      </c>
      <c r="H387">
        <v>68.17</v>
      </c>
      <c r="K387" s="9">
        <f t="shared" si="28"/>
        <v>4.9999999999997158E-2</v>
      </c>
      <c r="L387">
        <f t="shared" si="28"/>
        <v>4.6099999999999994</v>
      </c>
      <c r="M387">
        <f t="shared" si="28"/>
        <v>0.21999999999999886</v>
      </c>
      <c r="N387">
        <f t="shared" si="28"/>
        <v>0.15999999999999659</v>
      </c>
      <c r="O387">
        <f t="shared" si="29"/>
        <v>-0.10999999999999943</v>
      </c>
      <c r="P387" s="10">
        <f t="shared" si="29"/>
        <v>0</v>
      </c>
    </row>
    <row r="388" spans="1:16">
      <c r="A388">
        <v>91.75</v>
      </c>
      <c r="B388">
        <v>95.06</v>
      </c>
      <c r="C388">
        <v>87.34</v>
      </c>
      <c r="D388">
        <v>103.17</v>
      </c>
      <c r="E388">
        <v>85.56</v>
      </c>
      <c r="F388">
        <v>83.4</v>
      </c>
      <c r="G388">
        <v>86.4</v>
      </c>
      <c r="H388">
        <v>68.12</v>
      </c>
      <c r="K388" s="9">
        <f t="shared" si="28"/>
        <v>0</v>
      </c>
      <c r="L388">
        <f t="shared" si="28"/>
        <v>4.6099999999999994</v>
      </c>
      <c r="M388">
        <f t="shared" si="28"/>
        <v>0.21999999999999886</v>
      </c>
      <c r="N388">
        <f t="shared" si="28"/>
        <v>0.32999999999999829</v>
      </c>
      <c r="O388">
        <f t="shared" si="29"/>
        <v>0.32999999999999829</v>
      </c>
      <c r="P388" s="10">
        <f t="shared" si="29"/>
        <v>0.21999999999999886</v>
      </c>
    </row>
    <row r="389" spans="1:16">
      <c r="A389">
        <v>92</v>
      </c>
      <c r="B389">
        <v>95.06</v>
      </c>
      <c r="C389">
        <v>87.28</v>
      </c>
      <c r="D389">
        <v>105.01</v>
      </c>
      <c r="E389">
        <v>85.56</v>
      </c>
      <c r="F389">
        <v>83.51</v>
      </c>
      <c r="G389">
        <v>86.23</v>
      </c>
      <c r="H389">
        <v>68.17</v>
      </c>
      <c r="K389" s="9">
        <f t="shared" si="28"/>
        <v>6.0000000000002274E-2</v>
      </c>
      <c r="L389">
        <f t="shared" si="28"/>
        <v>3.0499999999999972</v>
      </c>
      <c r="M389">
        <f t="shared" si="28"/>
        <v>0.21999999999999886</v>
      </c>
      <c r="N389">
        <f t="shared" si="28"/>
        <v>0.21999999999999886</v>
      </c>
      <c r="O389">
        <f t="shared" si="29"/>
        <v>0.67000000000000171</v>
      </c>
      <c r="P389" s="10">
        <f t="shared" si="29"/>
        <v>0.17000000000000171</v>
      </c>
    </row>
    <row r="390" spans="1:16">
      <c r="A390">
        <v>92.25</v>
      </c>
      <c r="B390">
        <v>95.01</v>
      </c>
      <c r="C390">
        <v>87.28</v>
      </c>
      <c r="D390">
        <v>106.56</v>
      </c>
      <c r="E390">
        <v>85.67</v>
      </c>
      <c r="F390">
        <v>83.56</v>
      </c>
      <c r="G390">
        <v>86.45</v>
      </c>
      <c r="H390">
        <v>68.17</v>
      </c>
      <c r="K390" s="9">
        <f t="shared" si="28"/>
        <v>0.23000000000000398</v>
      </c>
      <c r="L390">
        <f t="shared" si="28"/>
        <v>0.60999999999999943</v>
      </c>
      <c r="M390">
        <f t="shared" si="28"/>
        <v>0.34000000000000341</v>
      </c>
      <c r="N390">
        <f t="shared" si="28"/>
        <v>0.34000000000000341</v>
      </c>
      <c r="O390">
        <f t="shared" si="29"/>
        <v>0.71999999999999886</v>
      </c>
      <c r="P390" s="10">
        <f t="shared" si="29"/>
        <v>0.10999999999999943</v>
      </c>
    </row>
    <row r="391" spans="1:16">
      <c r="A391">
        <v>92.5</v>
      </c>
      <c r="B391">
        <v>94.9</v>
      </c>
      <c r="C391">
        <v>87.34</v>
      </c>
      <c r="D391">
        <v>107.78</v>
      </c>
      <c r="E391">
        <v>85.78</v>
      </c>
      <c r="F391">
        <v>83.73</v>
      </c>
      <c r="G391">
        <v>86.73</v>
      </c>
      <c r="H391">
        <v>68.34</v>
      </c>
      <c r="K391" s="9">
        <f t="shared" si="28"/>
        <v>0.17000000000000171</v>
      </c>
      <c r="L391">
        <f t="shared" si="28"/>
        <v>-1.9399999999999977</v>
      </c>
      <c r="M391">
        <f t="shared" si="28"/>
        <v>0.34000000000000341</v>
      </c>
      <c r="N391">
        <f t="shared" si="28"/>
        <v>0.21999999999999886</v>
      </c>
      <c r="O391">
        <f t="shared" si="29"/>
        <v>0.89000000000000057</v>
      </c>
      <c r="P391" s="10">
        <f t="shared" si="29"/>
        <v>6.0000000000002274E-2</v>
      </c>
    </row>
    <row r="392" spans="1:16">
      <c r="A392">
        <v>92.75</v>
      </c>
      <c r="B392">
        <v>94.78</v>
      </c>
      <c r="C392">
        <v>87.34</v>
      </c>
      <c r="D392">
        <v>108.06</v>
      </c>
      <c r="E392">
        <v>85.78</v>
      </c>
      <c r="F392">
        <v>83.73</v>
      </c>
      <c r="G392">
        <v>86.9</v>
      </c>
      <c r="H392">
        <v>68.34</v>
      </c>
      <c r="K392" s="9">
        <f t="shared" si="28"/>
        <v>0.32999999999999829</v>
      </c>
      <c r="L392">
        <f t="shared" si="28"/>
        <v>-3.5499999999999972</v>
      </c>
      <c r="M392">
        <f t="shared" si="28"/>
        <v>0.62000000000000455</v>
      </c>
      <c r="N392">
        <f t="shared" si="28"/>
        <v>0.17000000000000171</v>
      </c>
      <c r="O392">
        <f t="shared" si="29"/>
        <v>1.2199999999999989</v>
      </c>
      <c r="P392" s="10">
        <f t="shared" si="29"/>
        <v>0.10999999999999943</v>
      </c>
    </row>
    <row r="393" spans="1:16">
      <c r="A393">
        <v>93</v>
      </c>
      <c r="B393">
        <v>94.78</v>
      </c>
      <c r="C393">
        <v>87.51</v>
      </c>
      <c r="D393">
        <v>107.17</v>
      </c>
      <c r="E393">
        <v>86.01</v>
      </c>
      <c r="F393">
        <v>83.9</v>
      </c>
      <c r="G393">
        <v>87.17</v>
      </c>
      <c r="H393">
        <v>68.28</v>
      </c>
      <c r="K393" s="9">
        <f t="shared" si="28"/>
        <v>0.26999999999999602</v>
      </c>
      <c r="L393">
        <f t="shared" si="28"/>
        <v>-4.1599999999999966</v>
      </c>
      <c r="M393">
        <f t="shared" si="28"/>
        <v>0.43999999999999773</v>
      </c>
      <c r="N393">
        <f t="shared" si="28"/>
        <v>0</v>
      </c>
      <c r="O393">
        <f t="shared" si="29"/>
        <v>1.6099999999999994</v>
      </c>
      <c r="P393" s="10">
        <f t="shared" si="29"/>
        <v>0.28000000000000114</v>
      </c>
    </row>
    <row r="394" spans="1:16">
      <c r="A394">
        <v>93.25</v>
      </c>
      <c r="B394">
        <v>94.56</v>
      </c>
      <c r="C394">
        <v>87.51</v>
      </c>
      <c r="D394">
        <v>105.84</v>
      </c>
      <c r="E394">
        <v>86.12</v>
      </c>
      <c r="F394">
        <v>83.95</v>
      </c>
      <c r="G394">
        <v>87.62</v>
      </c>
      <c r="H394">
        <v>68.400000000000006</v>
      </c>
      <c r="K394" s="9">
        <f t="shared" si="28"/>
        <v>0.39000000000000057</v>
      </c>
      <c r="L394">
        <f t="shared" si="28"/>
        <v>-4.0600000000000023</v>
      </c>
      <c r="M394">
        <f t="shared" si="28"/>
        <v>0.5</v>
      </c>
      <c r="N394">
        <f t="shared" si="28"/>
        <v>-4.9999999999997158E-2</v>
      </c>
      <c r="O394">
        <f t="shared" si="29"/>
        <v>2.2800000000000011</v>
      </c>
      <c r="P394" s="10">
        <f t="shared" si="29"/>
        <v>4.9999999999997158E-2</v>
      </c>
    </row>
    <row r="395" spans="1:16">
      <c r="A395">
        <v>93.5</v>
      </c>
      <c r="B395">
        <v>94.56</v>
      </c>
      <c r="C395">
        <v>87.67</v>
      </c>
      <c r="D395">
        <v>104.51</v>
      </c>
      <c r="E395">
        <v>86.4</v>
      </c>
      <c r="F395">
        <v>83.9</v>
      </c>
      <c r="G395">
        <v>88.12</v>
      </c>
      <c r="H395">
        <v>68.45</v>
      </c>
      <c r="K395" s="9">
        <f t="shared" si="28"/>
        <v>0.39000000000000057</v>
      </c>
      <c r="L395">
        <f t="shared" si="28"/>
        <v>-2.7800000000000011</v>
      </c>
      <c r="M395">
        <f t="shared" si="28"/>
        <v>0.32999999999999829</v>
      </c>
      <c r="N395">
        <f t="shared" si="28"/>
        <v>0</v>
      </c>
      <c r="O395">
        <f t="shared" si="29"/>
        <v>3.6599999999999966</v>
      </c>
      <c r="P395" s="10">
        <f t="shared" si="29"/>
        <v>0.17000000000000171</v>
      </c>
    </row>
    <row r="396" spans="1:16">
      <c r="A396">
        <v>93.75</v>
      </c>
      <c r="B396">
        <v>94.56</v>
      </c>
      <c r="C396">
        <v>87.78</v>
      </c>
      <c r="D396">
        <v>103.01</v>
      </c>
      <c r="E396">
        <v>86.45</v>
      </c>
      <c r="F396">
        <v>83.9</v>
      </c>
      <c r="G396">
        <v>88.78</v>
      </c>
      <c r="H396">
        <v>68.56</v>
      </c>
      <c r="K396" s="9">
        <f t="shared" si="28"/>
        <v>0.39000000000000057</v>
      </c>
      <c r="L396">
        <f t="shared" si="28"/>
        <v>-0.95000000000000284</v>
      </c>
      <c r="M396">
        <f t="shared" si="28"/>
        <v>0.39000000000000057</v>
      </c>
      <c r="N396">
        <f t="shared" si="28"/>
        <v>0</v>
      </c>
      <c r="O396">
        <f t="shared" si="29"/>
        <v>4.2800000000000011</v>
      </c>
      <c r="P396" s="10">
        <f t="shared" si="29"/>
        <v>0</v>
      </c>
    </row>
    <row r="397" spans="1:16">
      <c r="A397">
        <v>94</v>
      </c>
      <c r="B397">
        <v>94.45</v>
      </c>
      <c r="C397">
        <v>87.9</v>
      </c>
      <c r="D397">
        <v>101.78</v>
      </c>
      <c r="E397">
        <v>86.62</v>
      </c>
      <c r="F397">
        <v>83.9</v>
      </c>
      <c r="G397">
        <v>89.9</v>
      </c>
      <c r="H397">
        <v>68.45</v>
      </c>
      <c r="K397" s="9">
        <f t="shared" si="28"/>
        <v>0.54999999999999716</v>
      </c>
      <c r="L397">
        <f t="shared" si="28"/>
        <v>0.17000000000000171</v>
      </c>
      <c r="M397">
        <f t="shared" si="28"/>
        <v>0.32999999999999829</v>
      </c>
      <c r="N397">
        <f t="shared" si="28"/>
        <v>-6.0000000000002274E-2</v>
      </c>
      <c r="O397">
        <f t="shared" si="29"/>
        <v>3.3799999999999955</v>
      </c>
      <c r="P397" s="10">
        <f t="shared" si="29"/>
        <v>0.10999999999999943</v>
      </c>
    </row>
    <row r="398" spans="1:16">
      <c r="A398">
        <v>94.25</v>
      </c>
      <c r="B398">
        <v>94.51</v>
      </c>
      <c r="C398">
        <v>88.06</v>
      </c>
      <c r="D398">
        <v>101.73</v>
      </c>
      <c r="E398">
        <v>86.73</v>
      </c>
      <c r="F398">
        <v>83.9</v>
      </c>
      <c r="G398">
        <v>91.78</v>
      </c>
      <c r="H398">
        <v>68.62</v>
      </c>
      <c r="K398" s="9">
        <f t="shared" si="28"/>
        <v>0.5</v>
      </c>
      <c r="L398">
        <f t="shared" si="28"/>
        <v>0.17000000000000171</v>
      </c>
      <c r="M398">
        <f t="shared" si="28"/>
        <v>0.32999999999999829</v>
      </c>
      <c r="N398">
        <f t="shared" si="28"/>
        <v>-6.0000000000002274E-2</v>
      </c>
      <c r="O398">
        <f t="shared" si="29"/>
        <v>-0.26999999999999602</v>
      </c>
      <c r="P398" s="10">
        <f t="shared" si="29"/>
        <v>0</v>
      </c>
    </row>
    <row r="399" spans="1:16">
      <c r="A399">
        <v>94.5</v>
      </c>
      <c r="B399">
        <v>94.4</v>
      </c>
      <c r="C399">
        <v>88.17</v>
      </c>
      <c r="D399">
        <v>102.06</v>
      </c>
      <c r="E399">
        <v>86.84</v>
      </c>
      <c r="F399">
        <v>83.9</v>
      </c>
      <c r="G399">
        <v>93.06</v>
      </c>
      <c r="H399">
        <v>68.56</v>
      </c>
      <c r="K399" s="9">
        <f t="shared" si="28"/>
        <v>0.56000000000000227</v>
      </c>
      <c r="L399">
        <f t="shared" si="28"/>
        <v>0.39000000000000057</v>
      </c>
      <c r="M399">
        <f t="shared" si="28"/>
        <v>0.28000000000000114</v>
      </c>
      <c r="N399">
        <f t="shared" si="28"/>
        <v>0</v>
      </c>
      <c r="O399">
        <f t="shared" si="29"/>
        <v>-2.8299999999999983</v>
      </c>
      <c r="P399" s="10">
        <f t="shared" si="29"/>
        <v>6.0000000000002274E-2</v>
      </c>
    </row>
    <row r="400" spans="1:16">
      <c r="A400">
        <v>94.75</v>
      </c>
      <c r="B400">
        <v>94.28</v>
      </c>
      <c r="C400">
        <v>88.45</v>
      </c>
      <c r="D400">
        <v>101.95</v>
      </c>
      <c r="E400">
        <v>86.95</v>
      </c>
      <c r="F400">
        <v>83.84</v>
      </c>
      <c r="G400">
        <v>93.28</v>
      </c>
      <c r="H400">
        <v>68.56</v>
      </c>
      <c r="K400" s="9">
        <f t="shared" si="28"/>
        <v>0.45000000000000284</v>
      </c>
      <c r="L400">
        <f t="shared" si="28"/>
        <v>0.82999999999999829</v>
      </c>
      <c r="M400">
        <f t="shared" si="28"/>
        <v>0.45000000000000284</v>
      </c>
      <c r="N400">
        <f t="shared" si="28"/>
        <v>0.21999999999999886</v>
      </c>
      <c r="O400">
        <f t="shared" si="29"/>
        <v>-3.5499999999999972</v>
      </c>
      <c r="P400" s="10">
        <f t="shared" si="29"/>
        <v>0.10999999999999943</v>
      </c>
    </row>
    <row r="401" spans="1:16">
      <c r="A401">
        <v>95</v>
      </c>
      <c r="B401">
        <v>94.34</v>
      </c>
      <c r="C401">
        <v>88.56</v>
      </c>
      <c r="D401">
        <v>101.9</v>
      </c>
      <c r="E401">
        <v>87.06</v>
      </c>
      <c r="F401">
        <v>83.84</v>
      </c>
      <c r="G401">
        <v>91.51</v>
      </c>
      <c r="H401">
        <v>68.62</v>
      </c>
      <c r="K401" s="9">
        <f t="shared" si="28"/>
        <v>0.5</v>
      </c>
      <c r="L401">
        <f t="shared" si="28"/>
        <v>0.60999999999999943</v>
      </c>
      <c r="M401">
        <f t="shared" si="28"/>
        <v>0.28000000000000114</v>
      </c>
      <c r="N401">
        <f t="shared" si="28"/>
        <v>0.32999999999999829</v>
      </c>
      <c r="O401">
        <f t="shared" si="29"/>
        <v>-2.5</v>
      </c>
      <c r="P401" s="10">
        <f t="shared" si="29"/>
        <v>0.15999999999999659</v>
      </c>
    </row>
    <row r="402" spans="1:16">
      <c r="A402">
        <v>95.25</v>
      </c>
      <c r="B402">
        <v>94.28</v>
      </c>
      <c r="C402">
        <v>88.73</v>
      </c>
      <c r="D402">
        <v>102.45</v>
      </c>
      <c r="E402">
        <v>87.12</v>
      </c>
      <c r="F402">
        <v>83.9</v>
      </c>
      <c r="G402">
        <v>90.23</v>
      </c>
      <c r="H402">
        <v>68.62</v>
      </c>
      <c r="K402" s="9">
        <f t="shared" si="28"/>
        <v>0.54999999999999716</v>
      </c>
      <c r="L402">
        <f t="shared" si="28"/>
        <v>-0.71999999999999886</v>
      </c>
      <c r="M402">
        <f t="shared" si="28"/>
        <v>0.32999999999999829</v>
      </c>
      <c r="N402">
        <f t="shared" si="28"/>
        <v>0.5</v>
      </c>
      <c r="O402">
        <f t="shared" si="29"/>
        <v>-1.4500000000000028</v>
      </c>
      <c r="P402" s="10">
        <f t="shared" si="29"/>
        <v>0.21999999999999886</v>
      </c>
    </row>
    <row r="403" spans="1:16">
      <c r="A403">
        <v>95.5</v>
      </c>
      <c r="B403">
        <v>94.28</v>
      </c>
      <c r="C403">
        <v>88.9</v>
      </c>
      <c r="D403">
        <v>102.78</v>
      </c>
      <c r="E403">
        <v>87.4</v>
      </c>
      <c r="F403">
        <v>84.06</v>
      </c>
      <c r="G403">
        <v>89.73</v>
      </c>
      <c r="H403">
        <v>68.67</v>
      </c>
      <c r="K403" s="9">
        <f t="shared" si="28"/>
        <v>0.5</v>
      </c>
      <c r="L403">
        <f t="shared" si="28"/>
        <v>-1.769999999999996</v>
      </c>
      <c r="M403">
        <f t="shared" si="28"/>
        <v>0.15999999999999659</v>
      </c>
      <c r="N403">
        <f t="shared" si="28"/>
        <v>0.45000000000000284</v>
      </c>
      <c r="O403">
        <f t="shared" si="29"/>
        <v>-0.28000000000000114</v>
      </c>
      <c r="P403" s="10">
        <f t="shared" si="29"/>
        <v>0.17000000000000171</v>
      </c>
    </row>
    <row r="404" spans="1:16">
      <c r="A404">
        <v>95.75</v>
      </c>
      <c r="B404">
        <v>94.28</v>
      </c>
      <c r="C404">
        <v>89.06</v>
      </c>
      <c r="D404">
        <v>102.51</v>
      </c>
      <c r="E404">
        <v>87.34</v>
      </c>
      <c r="F404">
        <v>84.17</v>
      </c>
      <c r="G404">
        <v>89.01</v>
      </c>
      <c r="H404">
        <v>68.78</v>
      </c>
      <c r="K404" s="9">
        <f t="shared" si="28"/>
        <v>0.56000000000000227</v>
      </c>
      <c r="L404">
        <f t="shared" si="28"/>
        <v>-2.1700000000000017</v>
      </c>
      <c r="M404">
        <f t="shared" si="28"/>
        <v>0.39000000000000057</v>
      </c>
      <c r="N404">
        <f t="shared" si="28"/>
        <v>0.5</v>
      </c>
      <c r="O404">
        <f t="shared" si="29"/>
        <v>0.65999999999999659</v>
      </c>
      <c r="P404" s="10">
        <f t="shared" si="29"/>
        <v>0.12000000000000455</v>
      </c>
    </row>
    <row r="405" spans="1:16">
      <c r="A405">
        <v>96</v>
      </c>
      <c r="B405">
        <v>94.28</v>
      </c>
      <c r="C405">
        <v>89.28</v>
      </c>
      <c r="D405">
        <v>101.73</v>
      </c>
      <c r="E405">
        <v>87.45</v>
      </c>
      <c r="F405">
        <v>84.4</v>
      </c>
      <c r="G405">
        <v>88.78</v>
      </c>
      <c r="H405">
        <v>68.84</v>
      </c>
      <c r="K405" s="9">
        <f t="shared" si="28"/>
        <v>0.5</v>
      </c>
      <c r="L405">
        <f t="shared" si="28"/>
        <v>-2.1099999999999994</v>
      </c>
      <c r="M405">
        <f t="shared" si="28"/>
        <v>0.32999999999999829</v>
      </c>
      <c r="N405">
        <f t="shared" ref="N405:P468" si="30">F408-F405</f>
        <v>0.43999999999999773</v>
      </c>
      <c r="O405">
        <f t="shared" si="29"/>
        <v>1.230000000000004</v>
      </c>
      <c r="P405" s="10">
        <f t="shared" si="29"/>
        <v>0.5</v>
      </c>
    </row>
    <row r="406" spans="1:16">
      <c r="A406">
        <v>96.25</v>
      </c>
      <c r="B406">
        <v>94.17</v>
      </c>
      <c r="C406">
        <v>89.4</v>
      </c>
      <c r="D406">
        <v>101.01</v>
      </c>
      <c r="E406">
        <v>87.56</v>
      </c>
      <c r="F406">
        <v>84.51</v>
      </c>
      <c r="G406">
        <v>89.45</v>
      </c>
      <c r="H406">
        <v>68.84</v>
      </c>
      <c r="K406" s="9">
        <f t="shared" ref="K406:P469" si="31">C409-C406</f>
        <v>0.54999999999999716</v>
      </c>
      <c r="L406">
        <f t="shared" si="31"/>
        <v>-2</v>
      </c>
      <c r="M406">
        <f t="shared" si="31"/>
        <v>0.34000000000000341</v>
      </c>
      <c r="N406">
        <f t="shared" si="30"/>
        <v>0.39000000000000057</v>
      </c>
      <c r="O406">
        <f t="shared" si="30"/>
        <v>0.60999999999999943</v>
      </c>
      <c r="P406" s="10">
        <f t="shared" si="30"/>
        <v>1.0600000000000023</v>
      </c>
    </row>
    <row r="407" spans="1:16">
      <c r="A407">
        <v>96.5</v>
      </c>
      <c r="B407">
        <v>94.23</v>
      </c>
      <c r="C407">
        <v>89.62</v>
      </c>
      <c r="D407">
        <v>100.34</v>
      </c>
      <c r="E407">
        <v>87.73</v>
      </c>
      <c r="F407">
        <v>84.67</v>
      </c>
      <c r="G407">
        <v>89.67</v>
      </c>
      <c r="H407">
        <v>68.900000000000006</v>
      </c>
      <c r="K407" s="9">
        <f t="shared" si="31"/>
        <v>0.54999999999999716</v>
      </c>
      <c r="L407">
        <f t="shared" si="31"/>
        <v>-2</v>
      </c>
      <c r="M407">
        <f t="shared" si="31"/>
        <v>0.43999999999999773</v>
      </c>
      <c r="N407">
        <f t="shared" si="30"/>
        <v>0.45000000000000284</v>
      </c>
      <c r="O407">
        <f t="shared" si="30"/>
        <v>0.56000000000000227</v>
      </c>
      <c r="P407" s="10">
        <f t="shared" si="30"/>
        <v>1.5</v>
      </c>
    </row>
    <row r="408" spans="1:16">
      <c r="A408">
        <v>96.75</v>
      </c>
      <c r="B408">
        <v>94.23</v>
      </c>
      <c r="C408">
        <v>89.78</v>
      </c>
      <c r="D408">
        <v>99.62</v>
      </c>
      <c r="E408">
        <v>87.78</v>
      </c>
      <c r="F408">
        <v>84.84</v>
      </c>
      <c r="G408">
        <v>90.01</v>
      </c>
      <c r="H408">
        <v>69.34</v>
      </c>
      <c r="K408" s="9">
        <f t="shared" si="31"/>
        <v>0.45000000000000284</v>
      </c>
      <c r="L408">
        <f t="shared" si="31"/>
        <v>-1.8900000000000006</v>
      </c>
      <c r="M408">
        <f t="shared" si="31"/>
        <v>0.28000000000000114</v>
      </c>
      <c r="N408">
        <f t="shared" si="30"/>
        <v>0.21999999999999886</v>
      </c>
      <c r="O408">
        <f t="shared" si="30"/>
        <v>0.15999999999999659</v>
      </c>
      <c r="P408" s="10">
        <f t="shared" si="30"/>
        <v>1.0600000000000023</v>
      </c>
    </row>
    <row r="409" spans="1:16">
      <c r="A409">
        <v>97</v>
      </c>
      <c r="B409">
        <v>94.23</v>
      </c>
      <c r="C409">
        <v>89.95</v>
      </c>
      <c r="D409">
        <v>99.01</v>
      </c>
      <c r="E409">
        <v>87.9</v>
      </c>
      <c r="F409">
        <v>84.9</v>
      </c>
      <c r="G409">
        <v>90.06</v>
      </c>
      <c r="H409">
        <v>69.900000000000006</v>
      </c>
      <c r="K409" s="9">
        <f t="shared" si="31"/>
        <v>0.60999999999999943</v>
      </c>
      <c r="L409">
        <f t="shared" si="31"/>
        <v>-1.9500000000000028</v>
      </c>
      <c r="M409">
        <f t="shared" si="31"/>
        <v>0.26999999999999602</v>
      </c>
      <c r="N409">
        <f t="shared" si="30"/>
        <v>0.15999999999999659</v>
      </c>
      <c r="O409">
        <f t="shared" si="30"/>
        <v>-0.21999999999999886</v>
      </c>
      <c r="P409" s="10">
        <f t="shared" si="30"/>
        <v>0.71999999999999886</v>
      </c>
    </row>
    <row r="410" spans="1:16">
      <c r="A410">
        <v>97.25</v>
      </c>
      <c r="B410">
        <v>94.23</v>
      </c>
      <c r="C410">
        <v>90.17</v>
      </c>
      <c r="D410">
        <v>98.34</v>
      </c>
      <c r="E410">
        <v>88.17</v>
      </c>
      <c r="F410">
        <v>85.12</v>
      </c>
      <c r="G410">
        <v>90.23</v>
      </c>
      <c r="H410">
        <v>70.400000000000006</v>
      </c>
      <c r="K410" s="9">
        <f t="shared" si="31"/>
        <v>0.60999999999999943</v>
      </c>
      <c r="L410">
        <f t="shared" si="31"/>
        <v>-1.3900000000000006</v>
      </c>
      <c r="M410">
        <f t="shared" si="31"/>
        <v>0.17000000000000171</v>
      </c>
      <c r="N410">
        <f t="shared" si="30"/>
        <v>0.10999999999999943</v>
      </c>
      <c r="O410">
        <f t="shared" si="30"/>
        <v>-0.28000000000000114</v>
      </c>
      <c r="P410" s="10">
        <f t="shared" si="30"/>
        <v>0.10999999999999943</v>
      </c>
    </row>
    <row r="411" spans="1:16">
      <c r="A411">
        <v>97.5</v>
      </c>
      <c r="B411">
        <v>94.17</v>
      </c>
      <c r="C411">
        <v>90.23</v>
      </c>
      <c r="D411">
        <v>97.73</v>
      </c>
      <c r="E411">
        <v>88.06</v>
      </c>
      <c r="F411">
        <v>85.06</v>
      </c>
      <c r="G411">
        <v>90.17</v>
      </c>
      <c r="H411">
        <v>70.400000000000006</v>
      </c>
      <c r="K411" s="9">
        <f t="shared" si="31"/>
        <v>0.78000000000000114</v>
      </c>
      <c r="L411">
        <f t="shared" si="31"/>
        <v>-6.0000000000002274E-2</v>
      </c>
      <c r="M411">
        <f t="shared" si="31"/>
        <v>0.34000000000000341</v>
      </c>
      <c r="N411">
        <f t="shared" si="30"/>
        <v>0.28000000000000114</v>
      </c>
      <c r="O411">
        <f t="shared" si="30"/>
        <v>0.34000000000000341</v>
      </c>
      <c r="P411" s="10">
        <f t="shared" si="30"/>
        <v>0.21999999999999886</v>
      </c>
    </row>
    <row r="412" spans="1:16">
      <c r="A412">
        <v>97.75</v>
      </c>
      <c r="B412">
        <v>94.17</v>
      </c>
      <c r="C412">
        <v>90.56</v>
      </c>
      <c r="D412">
        <v>97.06</v>
      </c>
      <c r="E412">
        <v>88.17</v>
      </c>
      <c r="F412">
        <v>85.06</v>
      </c>
      <c r="G412">
        <v>89.84</v>
      </c>
      <c r="H412">
        <v>70.62</v>
      </c>
      <c r="K412" s="9">
        <f t="shared" si="31"/>
        <v>0.67000000000000171</v>
      </c>
      <c r="L412">
        <f t="shared" si="31"/>
        <v>2.4500000000000028</v>
      </c>
      <c r="M412">
        <f t="shared" si="31"/>
        <v>0.28000000000000114</v>
      </c>
      <c r="N412">
        <f t="shared" si="30"/>
        <v>0.34000000000000341</v>
      </c>
      <c r="O412">
        <f t="shared" si="30"/>
        <v>1.3299999999999983</v>
      </c>
      <c r="P412" s="10">
        <f t="shared" si="30"/>
        <v>-0.34000000000000341</v>
      </c>
    </row>
    <row r="413" spans="1:16">
      <c r="A413">
        <v>98</v>
      </c>
      <c r="B413">
        <v>94.12</v>
      </c>
      <c r="C413">
        <v>90.78</v>
      </c>
      <c r="D413">
        <v>96.95</v>
      </c>
      <c r="E413">
        <v>88.34</v>
      </c>
      <c r="F413">
        <v>85.23</v>
      </c>
      <c r="G413">
        <v>89.95</v>
      </c>
      <c r="H413">
        <v>70.510000000000005</v>
      </c>
      <c r="K413" s="9">
        <f t="shared" si="31"/>
        <v>0.67000000000000171</v>
      </c>
      <c r="L413">
        <f t="shared" si="31"/>
        <v>4.3299999999999983</v>
      </c>
      <c r="M413">
        <f t="shared" si="31"/>
        <v>0.17000000000000171</v>
      </c>
      <c r="N413">
        <f t="shared" si="30"/>
        <v>0.21999999999999886</v>
      </c>
      <c r="O413">
        <f t="shared" si="30"/>
        <v>2.0600000000000023</v>
      </c>
      <c r="P413" s="10">
        <f t="shared" si="30"/>
        <v>-0.34000000000000341</v>
      </c>
    </row>
    <row r="414" spans="1:16">
      <c r="A414">
        <v>98.25</v>
      </c>
      <c r="B414">
        <v>94.06</v>
      </c>
      <c r="C414">
        <v>91.01</v>
      </c>
      <c r="D414">
        <v>97.67</v>
      </c>
      <c r="E414">
        <v>88.4</v>
      </c>
      <c r="F414">
        <v>85.34</v>
      </c>
      <c r="G414">
        <v>90.51</v>
      </c>
      <c r="H414">
        <v>70.62</v>
      </c>
      <c r="K414" s="9">
        <f t="shared" si="31"/>
        <v>0.43999999999999773</v>
      </c>
      <c r="L414">
        <f t="shared" si="31"/>
        <v>5.3400000000000034</v>
      </c>
      <c r="M414">
        <f t="shared" si="31"/>
        <v>0.15999999999999659</v>
      </c>
      <c r="N414">
        <f t="shared" si="30"/>
        <v>0.10999999999999943</v>
      </c>
      <c r="O414">
        <f t="shared" si="30"/>
        <v>2.5</v>
      </c>
      <c r="P414" s="10">
        <f t="shared" si="30"/>
        <v>-0.5</v>
      </c>
    </row>
    <row r="415" spans="1:16">
      <c r="A415">
        <v>98.5</v>
      </c>
      <c r="B415">
        <v>94.17</v>
      </c>
      <c r="C415">
        <v>91.23</v>
      </c>
      <c r="D415">
        <v>99.51</v>
      </c>
      <c r="E415">
        <v>88.45</v>
      </c>
      <c r="F415">
        <v>85.4</v>
      </c>
      <c r="G415">
        <v>91.17</v>
      </c>
      <c r="H415">
        <v>70.28</v>
      </c>
      <c r="K415" s="9">
        <f t="shared" si="31"/>
        <v>0.28000000000000114</v>
      </c>
      <c r="L415">
        <f t="shared" si="31"/>
        <v>4.7199999999999989</v>
      </c>
      <c r="M415">
        <f t="shared" si="31"/>
        <v>0.17000000000000171</v>
      </c>
      <c r="N415">
        <f t="shared" si="30"/>
        <v>0.10999999999999943</v>
      </c>
      <c r="O415">
        <f t="shared" si="30"/>
        <v>1.9500000000000028</v>
      </c>
      <c r="P415" s="10">
        <f t="shared" si="30"/>
        <v>-0.21999999999999886</v>
      </c>
    </row>
    <row r="416" spans="1:16">
      <c r="A416">
        <v>98.75</v>
      </c>
      <c r="B416">
        <v>94.12</v>
      </c>
      <c r="C416">
        <v>91.45</v>
      </c>
      <c r="D416">
        <v>101.28</v>
      </c>
      <c r="E416">
        <v>88.51</v>
      </c>
      <c r="F416">
        <v>85.45</v>
      </c>
      <c r="G416">
        <v>92.01</v>
      </c>
      <c r="H416">
        <v>70.17</v>
      </c>
      <c r="K416" s="9">
        <f t="shared" si="31"/>
        <v>0.21999999999999886</v>
      </c>
      <c r="L416">
        <f t="shared" si="31"/>
        <v>4.5</v>
      </c>
      <c r="M416">
        <f t="shared" si="31"/>
        <v>0.21999999999999886</v>
      </c>
      <c r="N416">
        <f t="shared" si="30"/>
        <v>0.17000000000000171</v>
      </c>
      <c r="O416">
        <f t="shared" si="30"/>
        <v>0.43999999999999773</v>
      </c>
      <c r="P416" s="10">
        <f t="shared" si="30"/>
        <v>-0.15999999999999659</v>
      </c>
    </row>
    <row r="417" spans="1:16">
      <c r="A417">
        <v>99</v>
      </c>
      <c r="B417">
        <v>94.01</v>
      </c>
      <c r="C417">
        <v>91.45</v>
      </c>
      <c r="D417">
        <v>103.01</v>
      </c>
      <c r="E417">
        <v>88.56</v>
      </c>
      <c r="F417">
        <v>85.45</v>
      </c>
      <c r="G417">
        <v>93.01</v>
      </c>
      <c r="H417">
        <v>70.12</v>
      </c>
      <c r="K417" s="9">
        <f t="shared" si="31"/>
        <v>0.45000000000000284</v>
      </c>
      <c r="L417">
        <f t="shared" si="31"/>
        <v>3.0499999999999972</v>
      </c>
      <c r="M417">
        <f t="shared" si="31"/>
        <v>0.21999999999999886</v>
      </c>
      <c r="N417">
        <f t="shared" si="30"/>
        <v>0.17000000000000171</v>
      </c>
      <c r="O417">
        <f t="shared" si="30"/>
        <v>-1.6099999999999994</v>
      </c>
      <c r="P417" s="10">
        <f t="shared" si="30"/>
        <v>-0.10999999999999943</v>
      </c>
    </row>
    <row r="418" spans="1:16">
      <c r="A418">
        <v>99.25</v>
      </c>
      <c r="B418">
        <v>94.01</v>
      </c>
      <c r="C418">
        <v>91.51</v>
      </c>
      <c r="D418">
        <v>104.23</v>
      </c>
      <c r="E418">
        <v>88.62</v>
      </c>
      <c r="F418">
        <v>85.51</v>
      </c>
      <c r="G418">
        <v>93.12</v>
      </c>
      <c r="H418">
        <v>70.06</v>
      </c>
      <c r="K418" s="9">
        <f t="shared" si="31"/>
        <v>0.39000000000000057</v>
      </c>
      <c r="L418">
        <f t="shared" si="31"/>
        <v>0.78000000000000114</v>
      </c>
      <c r="M418">
        <f t="shared" si="31"/>
        <v>0.32999999999999829</v>
      </c>
      <c r="N418">
        <f t="shared" si="30"/>
        <v>0.10999999999999943</v>
      </c>
      <c r="O418">
        <f t="shared" si="30"/>
        <v>-2.4500000000000028</v>
      </c>
      <c r="P418" s="10">
        <f t="shared" si="30"/>
        <v>0</v>
      </c>
    </row>
    <row r="419" spans="1:16">
      <c r="A419">
        <v>99.5</v>
      </c>
      <c r="B419">
        <v>93.95</v>
      </c>
      <c r="C419">
        <v>91.67</v>
      </c>
      <c r="D419">
        <v>105.78</v>
      </c>
      <c r="E419">
        <v>88.73</v>
      </c>
      <c r="F419">
        <v>85.62</v>
      </c>
      <c r="G419">
        <v>92.45</v>
      </c>
      <c r="H419">
        <v>70.010000000000005</v>
      </c>
      <c r="K419" s="9">
        <f t="shared" si="31"/>
        <v>0.28000000000000114</v>
      </c>
      <c r="L419">
        <f t="shared" si="31"/>
        <v>-1.4399999999999977</v>
      </c>
      <c r="M419">
        <f t="shared" si="31"/>
        <v>0.32999999999999829</v>
      </c>
      <c r="N419">
        <f t="shared" si="30"/>
        <v>4.9999999999997158E-2</v>
      </c>
      <c r="O419">
        <f t="shared" si="30"/>
        <v>-2.4399999999999977</v>
      </c>
      <c r="P419" s="10">
        <f t="shared" si="30"/>
        <v>4.9999999999997158E-2</v>
      </c>
    </row>
    <row r="420" spans="1:16">
      <c r="A420">
        <v>99.75</v>
      </c>
      <c r="B420">
        <v>93.95</v>
      </c>
      <c r="C420">
        <v>91.9</v>
      </c>
      <c r="D420">
        <v>106.06</v>
      </c>
      <c r="E420">
        <v>88.78</v>
      </c>
      <c r="F420">
        <v>85.62</v>
      </c>
      <c r="G420">
        <v>91.4</v>
      </c>
      <c r="H420">
        <v>70.010000000000005</v>
      </c>
      <c r="K420" s="9">
        <f t="shared" si="31"/>
        <v>0.15999999999999659</v>
      </c>
      <c r="L420">
        <f t="shared" si="31"/>
        <v>-2.3299999999999983</v>
      </c>
      <c r="M420">
        <f t="shared" si="31"/>
        <v>0.34000000000000341</v>
      </c>
      <c r="N420">
        <f t="shared" si="30"/>
        <v>0.10999999999999943</v>
      </c>
      <c r="O420">
        <f t="shared" si="30"/>
        <v>-1.730000000000004</v>
      </c>
      <c r="P420" s="10">
        <f t="shared" si="30"/>
        <v>4.9999999999997158E-2</v>
      </c>
    </row>
    <row r="421" spans="1:16">
      <c r="A421">
        <v>100</v>
      </c>
      <c r="B421">
        <v>93.9</v>
      </c>
      <c r="C421">
        <v>91.9</v>
      </c>
      <c r="D421">
        <v>105.01</v>
      </c>
      <c r="E421">
        <v>88.95</v>
      </c>
      <c r="F421">
        <v>85.62</v>
      </c>
      <c r="G421">
        <v>90.67</v>
      </c>
      <c r="H421">
        <v>70.06</v>
      </c>
      <c r="K421" s="9">
        <f t="shared" si="31"/>
        <v>0.21999999999999886</v>
      </c>
      <c r="L421">
        <f t="shared" si="31"/>
        <v>-2.2800000000000011</v>
      </c>
      <c r="M421">
        <f t="shared" si="31"/>
        <v>0.32999999999999829</v>
      </c>
      <c r="N421">
        <f t="shared" si="30"/>
        <v>0.21999999999999886</v>
      </c>
      <c r="O421">
        <f t="shared" si="30"/>
        <v>-1.3900000000000006</v>
      </c>
      <c r="P421" s="10">
        <f t="shared" si="30"/>
        <v>6.0000000000002274E-2</v>
      </c>
    </row>
    <row r="422" spans="1:16">
      <c r="A422">
        <v>100.25</v>
      </c>
      <c r="B422">
        <v>93.84</v>
      </c>
      <c r="C422">
        <v>91.95</v>
      </c>
      <c r="D422">
        <v>104.34</v>
      </c>
      <c r="E422">
        <v>89.06</v>
      </c>
      <c r="F422">
        <v>85.67</v>
      </c>
      <c r="G422">
        <v>90.01</v>
      </c>
      <c r="H422">
        <v>70.06</v>
      </c>
      <c r="K422" s="9">
        <f t="shared" si="31"/>
        <v>0.17000000000000171</v>
      </c>
      <c r="L422">
        <f t="shared" si="31"/>
        <v>-2.6700000000000017</v>
      </c>
      <c r="M422">
        <f t="shared" si="31"/>
        <v>0.21999999999999886</v>
      </c>
      <c r="N422">
        <f t="shared" si="30"/>
        <v>0.28000000000000114</v>
      </c>
      <c r="O422">
        <f t="shared" si="30"/>
        <v>-0.89000000000000057</v>
      </c>
      <c r="P422" s="10">
        <f t="shared" si="30"/>
        <v>0</v>
      </c>
    </row>
    <row r="423" spans="1:16">
      <c r="A423">
        <v>100.5</v>
      </c>
      <c r="B423">
        <v>93.84</v>
      </c>
      <c r="C423">
        <v>92.06</v>
      </c>
      <c r="D423">
        <v>103.73</v>
      </c>
      <c r="E423">
        <v>89.12</v>
      </c>
      <c r="F423">
        <v>85.73</v>
      </c>
      <c r="G423">
        <v>89.67</v>
      </c>
      <c r="H423">
        <v>70.06</v>
      </c>
      <c r="K423" s="9">
        <f t="shared" si="31"/>
        <v>0.17000000000000171</v>
      </c>
      <c r="L423">
        <f t="shared" si="31"/>
        <v>-2.2199999999999989</v>
      </c>
      <c r="M423">
        <f t="shared" si="31"/>
        <v>0.39000000000000057</v>
      </c>
      <c r="N423">
        <f t="shared" si="30"/>
        <v>0.32999999999999829</v>
      </c>
      <c r="O423">
        <f t="shared" si="30"/>
        <v>-0.71999999999999886</v>
      </c>
      <c r="P423" s="10">
        <f t="shared" si="30"/>
        <v>6.0000000000002274E-2</v>
      </c>
    </row>
    <row r="424" spans="1:16">
      <c r="A424">
        <v>100.75</v>
      </c>
      <c r="B424">
        <v>93.78</v>
      </c>
      <c r="C424">
        <v>92.12</v>
      </c>
      <c r="D424">
        <v>102.73</v>
      </c>
      <c r="E424">
        <v>89.28</v>
      </c>
      <c r="F424">
        <v>85.84</v>
      </c>
      <c r="G424">
        <v>89.28</v>
      </c>
      <c r="H424">
        <v>70.12</v>
      </c>
      <c r="K424" s="9">
        <f t="shared" si="31"/>
        <v>0.28000000000000114</v>
      </c>
      <c r="L424">
        <f t="shared" si="31"/>
        <v>-1.1700000000000017</v>
      </c>
      <c r="M424">
        <f t="shared" si="31"/>
        <v>0.23000000000000398</v>
      </c>
      <c r="N424">
        <f t="shared" si="30"/>
        <v>0.21999999999999886</v>
      </c>
      <c r="O424">
        <f t="shared" si="30"/>
        <v>-0.54999999999999716</v>
      </c>
      <c r="P424" s="10">
        <f t="shared" si="30"/>
        <v>0</v>
      </c>
    </row>
    <row r="425" spans="1:16">
      <c r="A425">
        <v>101</v>
      </c>
      <c r="B425">
        <v>93.78</v>
      </c>
      <c r="C425">
        <v>92.12</v>
      </c>
      <c r="D425">
        <v>101.67</v>
      </c>
      <c r="E425">
        <v>89.28</v>
      </c>
      <c r="F425">
        <v>85.95</v>
      </c>
      <c r="G425">
        <v>89.12</v>
      </c>
      <c r="H425">
        <v>70.06</v>
      </c>
      <c r="K425" s="9">
        <f t="shared" si="31"/>
        <v>0.39000000000000057</v>
      </c>
      <c r="L425">
        <f t="shared" si="31"/>
        <v>6.0000000000002274E-2</v>
      </c>
      <c r="M425">
        <f t="shared" si="31"/>
        <v>0.39000000000000057</v>
      </c>
      <c r="N425">
        <f t="shared" si="30"/>
        <v>0.21999999999999886</v>
      </c>
      <c r="O425">
        <f t="shared" si="30"/>
        <v>-0.39000000000000057</v>
      </c>
      <c r="P425" s="10">
        <f t="shared" si="30"/>
        <v>0.10999999999999943</v>
      </c>
    </row>
    <row r="426" spans="1:16">
      <c r="A426">
        <v>101.25</v>
      </c>
      <c r="B426">
        <v>93.73</v>
      </c>
      <c r="C426">
        <v>92.23</v>
      </c>
      <c r="D426">
        <v>101.51</v>
      </c>
      <c r="E426">
        <v>89.51</v>
      </c>
      <c r="F426">
        <v>86.06</v>
      </c>
      <c r="G426">
        <v>88.95</v>
      </c>
      <c r="H426">
        <v>70.12</v>
      </c>
      <c r="K426" s="9">
        <f t="shared" si="31"/>
        <v>0.60999999999999943</v>
      </c>
      <c r="L426">
        <f t="shared" si="31"/>
        <v>0.43999999999999773</v>
      </c>
      <c r="M426">
        <f t="shared" si="31"/>
        <v>0.21999999999999886</v>
      </c>
      <c r="N426">
        <f t="shared" si="30"/>
        <v>0.10999999999999943</v>
      </c>
      <c r="O426">
        <f t="shared" si="30"/>
        <v>-0.43999999999999773</v>
      </c>
      <c r="P426" s="10">
        <f t="shared" si="30"/>
        <v>4.9999999999997158E-2</v>
      </c>
    </row>
    <row r="427" spans="1:16">
      <c r="A427">
        <v>101.5</v>
      </c>
      <c r="B427">
        <v>93.67</v>
      </c>
      <c r="C427">
        <v>92.4</v>
      </c>
      <c r="D427">
        <v>101.56</v>
      </c>
      <c r="E427">
        <v>89.51</v>
      </c>
      <c r="F427">
        <v>86.06</v>
      </c>
      <c r="G427">
        <v>88.73</v>
      </c>
      <c r="H427">
        <v>70.12</v>
      </c>
      <c r="K427" s="9">
        <f t="shared" si="31"/>
        <v>0.60999999999999943</v>
      </c>
      <c r="L427">
        <f t="shared" si="31"/>
        <v>0.21999999999999886</v>
      </c>
      <c r="M427">
        <f t="shared" si="31"/>
        <v>0.32999999999999829</v>
      </c>
      <c r="N427">
        <f t="shared" si="30"/>
        <v>6.0000000000002274E-2</v>
      </c>
      <c r="O427">
        <f t="shared" si="30"/>
        <v>-0.28000000000000114</v>
      </c>
      <c r="P427" s="10">
        <f t="shared" si="30"/>
        <v>0.10999999999999943</v>
      </c>
    </row>
    <row r="428" spans="1:16">
      <c r="A428">
        <v>101.75</v>
      </c>
      <c r="B428">
        <v>93.62</v>
      </c>
      <c r="C428">
        <v>92.51</v>
      </c>
      <c r="D428">
        <v>101.73</v>
      </c>
      <c r="E428">
        <v>89.67</v>
      </c>
      <c r="F428">
        <v>86.17</v>
      </c>
      <c r="G428">
        <v>88.73</v>
      </c>
      <c r="H428">
        <v>70.17</v>
      </c>
      <c r="K428" s="9">
        <f t="shared" si="31"/>
        <v>0.82999999999999829</v>
      </c>
      <c r="L428">
        <f t="shared" si="31"/>
        <v>0.39000000000000057</v>
      </c>
      <c r="M428">
        <f t="shared" si="31"/>
        <v>0.23000000000000398</v>
      </c>
      <c r="N428">
        <f t="shared" si="30"/>
        <v>6.0000000000002274E-2</v>
      </c>
      <c r="O428">
        <f t="shared" si="30"/>
        <v>-0.39000000000000057</v>
      </c>
      <c r="P428" s="10">
        <f t="shared" si="30"/>
        <v>0.10999999999999943</v>
      </c>
    </row>
    <row r="429" spans="1:16">
      <c r="A429">
        <v>102</v>
      </c>
      <c r="B429">
        <v>93.67</v>
      </c>
      <c r="C429">
        <v>92.84</v>
      </c>
      <c r="D429">
        <v>101.95</v>
      </c>
      <c r="E429">
        <v>89.73</v>
      </c>
      <c r="F429">
        <v>86.17</v>
      </c>
      <c r="G429">
        <v>88.51</v>
      </c>
      <c r="H429">
        <v>70.17</v>
      </c>
      <c r="K429" s="9">
        <f t="shared" si="31"/>
        <v>0.67000000000000171</v>
      </c>
      <c r="L429">
        <f t="shared" si="31"/>
        <v>0.89000000000000057</v>
      </c>
      <c r="M429">
        <f t="shared" si="31"/>
        <v>0.32999999999999829</v>
      </c>
      <c r="N429">
        <f t="shared" si="30"/>
        <v>-4.9999999999997158E-2</v>
      </c>
      <c r="O429">
        <f t="shared" si="30"/>
        <v>-0.23000000000000398</v>
      </c>
      <c r="P429" s="10">
        <f t="shared" si="30"/>
        <v>0.17000000000000171</v>
      </c>
    </row>
    <row r="430" spans="1:16">
      <c r="A430">
        <v>102.25</v>
      </c>
      <c r="B430">
        <v>93.62</v>
      </c>
      <c r="C430">
        <v>93.01</v>
      </c>
      <c r="D430">
        <v>101.78</v>
      </c>
      <c r="E430">
        <v>89.84</v>
      </c>
      <c r="F430">
        <v>86.12</v>
      </c>
      <c r="G430">
        <v>88.45</v>
      </c>
      <c r="H430">
        <v>70.23</v>
      </c>
      <c r="K430" s="9">
        <f t="shared" si="31"/>
        <v>0.65999999999999659</v>
      </c>
      <c r="L430">
        <f t="shared" si="31"/>
        <v>0.73000000000000398</v>
      </c>
      <c r="M430">
        <f t="shared" si="31"/>
        <v>0.21999999999999886</v>
      </c>
      <c r="N430">
        <f t="shared" si="30"/>
        <v>0</v>
      </c>
      <c r="O430">
        <f t="shared" si="30"/>
        <v>-0.17000000000000171</v>
      </c>
      <c r="P430" s="10">
        <f t="shared" si="30"/>
        <v>0.17000000000000171</v>
      </c>
    </row>
    <row r="431" spans="1:16">
      <c r="A431">
        <v>102.5</v>
      </c>
      <c r="B431">
        <v>93.62</v>
      </c>
      <c r="C431">
        <v>93.34</v>
      </c>
      <c r="D431">
        <v>102.12</v>
      </c>
      <c r="E431">
        <v>89.9</v>
      </c>
      <c r="F431">
        <v>86.23</v>
      </c>
      <c r="G431">
        <v>88.34</v>
      </c>
      <c r="H431">
        <v>70.28</v>
      </c>
      <c r="K431" s="9">
        <f t="shared" si="31"/>
        <v>0.43999999999999773</v>
      </c>
      <c r="L431">
        <f t="shared" si="31"/>
        <v>0.28000000000000114</v>
      </c>
      <c r="M431">
        <f t="shared" si="31"/>
        <v>0.32999999999999829</v>
      </c>
      <c r="N431">
        <f t="shared" si="30"/>
        <v>-0.10999999999999943</v>
      </c>
      <c r="O431">
        <f t="shared" si="30"/>
        <v>-6.0000000000002274E-2</v>
      </c>
      <c r="P431" s="10">
        <f t="shared" si="30"/>
        <v>0.34000000000000341</v>
      </c>
    </row>
    <row r="432" spans="1:16">
      <c r="A432">
        <v>102.75</v>
      </c>
      <c r="B432">
        <v>93.62</v>
      </c>
      <c r="C432">
        <v>93.51</v>
      </c>
      <c r="D432">
        <v>102.84</v>
      </c>
      <c r="E432">
        <v>90.06</v>
      </c>
      <c r="F432">
        <v>86.12</v>
      </c>
      <c r="G432">
        <v>88.28</v>
      </c>
      <c r="H432">
        <v>70.34</v>
      </c>
      <c r="K432" s="9">
        <f t="shared" si="31"/>
        <v>0.54999999999999716</v>
      </c>
      <c r="L432">
        <f t="shared" si="31"/>
        <v>1.2199999999999989</v>
      </c>
      <c r="M432">
        <f t="shared" si="31"/>
        <v>0.17000000000000171</v>
      </c>
      <c r="N432">
        <f t="shared" si="30"/>
        <v>-6.0000000000002274E-2</v>
      </c>
      <c r="O432">
        <f t="shared" si="30"/>
        <v>-0.10999999999999943</v>
      </c>
      <c r="P432" s="10">
        <f t="shared" si="30"/>
        <v>0.21999999999999886</v>
      </c>
    </row>
    <row r="433" spans="1:16">
      <c r="A433">
        <v>103</v>
      </c>
      <c r="B433">
        <v>93.51</v>
      </c>
      <c r="C433">
        <v>93.67</v>
      </c>
      <c r="D433">
        <v>102.51</v>
      </c>
      <c r="E433">
        <v>90.06</v>
      </c>
      <c r="F433">
        <v>86.12</v>
      </c>
      <c r="G433">
        <v>88.28</v>
      </c>
      <c r="H433">
        <v>70.400000000000006</v>
      </c>
      <c r="K433" s="9">
        <f t="shared" si="31"/>
        <v>0.45000000000000284</v>
      </c>
      <c r="L433">
        <f t="shared" si="31"/>
        <v>3.769999999999996</v>
      </c>
      <c r="M433">
        <f t="shared" si="31"/>
        <v>0.17000000000000171</v>
      </c>
      <c r="N433">
        <f t="shared" si="30"/>
        <v>-0.10999999999999943</v>
      </c>
      <c r="O433">
        <f t="shared" si="30"/>
        <v>-4.9999999999997158E-2</v>
      </c>
      <c r="P433" s="10">
        <f t="shared" si="30"/>
        <v>0.21999999999999886</v>
      </c>
    </row>
    <row r="434" spans="1:16">
      <c r="A434">
        <v>103.25</v>
      </c>
      <c r="B434">
        <v>93.45</v>
      </c>
      <c r="C434">
        <v>93.78</v>
      </c>
      <c r="D434">
        <v>102.4</v>
      </c>
      <c r="E434">
        <v>90.23</v>
      </c>
      <c r="F434">
        <v>86.12</v>
      </c>
      <c r="G434">
        <v>88.28</v>
      </c>
      <c r="H434">
        <v>70.62</v>
      </c>
      <c r="K434" s="9">
        <f t="shared" si="31"/>
        <v>0.45000000000000284</v>
      </c>
      <c r="L434">
        <f t="shared" si="31"/>
        <v>5.1599999999999966</v>
      </c>
      <c r="M434">
        <f t="shared" si="31"/>
        <v>0.17000000000000171</v>
      </c>
      <c r="N434">
        <f t="shared" si="30"/>
        <v>-0.17000000000000171</v>
      </c>
      <c r="O434">
        <f t="shared" si="30"/>
        <v>-0.10999999999999943</v>
      </c>
      <c r="P434" s="10">
        <f t="shared" si="30"/>
        <v>0.10999999999999943</v>
      </c>
    </row>
    <row r="435" spans="1:16">
      <c r="A435">
        <v>103.5</v>
      </c>
      <c r="B435">
        <v>93.56</v>
      </c>
      <c r="C435">
        <v>94.06</v>
      </c>
      <c r="D435">
        <v>104.06</v>
      </c>
      <c r="E435">
        <v>90.23</v>
      </c>
      <c r="F435">
        <v>86.06</v>
      </c>
      <c r="G435">
        <v>88.17</v>
      </c>
      <c r="H435">
        <v>70.56</v>
      </c>
      <c r="K435" s="9">
        <f t="shared" si="31"/>
        <v>0.21999999999999886</v>
      </c>
      <c r="L435">
        <f t="shared" si="31"/>
        <v>4.1099999999999994</v>
      </c>
      <c r="M435">
        <f t="shared" si="31"/>
        <v>0.28000000000000114</v>
      </c>
      <c r="N435">
        <f t="shared" si="30"/>
        <v>-0.10999999999999943</v>
      </c>
      <c r="O435">
        <f t="shared" si="30"/>
        <v>6.0000000000002274E-2</v>
      </c>
      <c r="P435" s="10">
        <f t="shared" si="30"/>
        <v>0.21999999999999886</v>
      </c>
    </row>
    <row r="436" spans="1:16">
      <c r="A436">
        <v>103.75</v>
      </c>
      <c r="B436">
        <v>93.51</v>
      </c>
      <c r="C436">
        <v>94.12</v>
      </c>
      <c r="D436">
        <v>106.28</v>
      </c>
      <c r="E436">
        <v>90.23</v>
      </c>
      <c r="F436">
        <v>86.01</v>
      </c>
      <c r="G436">
        <v>88.23</v>
      </c>
      <c r="H436">
        <v>70.62</v>
      </c>
      <c r="K436" s="9">
        <f t="shared" si="31"/>
        <v>0.28000000000000114</v>
      </c>
      <c r="L436">
        <f t="shared" si="31"/>
        <v>1.3900000000000006</v>
      </c>
      <c r="M436">
        <f t="shared" si="31"/>
        <v>0.32999999999999829</v>
      </c>
      <c r="N436">
        <f t="shared" si="30"/>
        <v>-6.0000000000002274E-2</v>
      </c>
      <c r="O436">
        <f t="shared" si="30"/>
        <v>-6.0000000000002274E-2</v>
      </c>
      <c r="P436" s="10">
        <f t="shared" si="30"/>
        <v>0.21999999999999886</v>
      </c>
    </row>
    <row r="437" spans="1:16">
      <c r="A437">
        <v>104</v>
      </c>
      <c r="B437">
        <v>93.51</v>
      </c>
      <c r="C437">
        <v>94.23</v>
      </c>
      <c r="D437">
        <v>107.56</v>
      </c>
      <c r="E437">
        <v>90.4</v>
      </c>
      <c r="F437">
        <v>85.95</v>
      </c>
      <c r="G437">
        <v>88.17</v>
      </c>
      <c r="H437">
        <v>70.73</v>
      </c>
      <c r="K437" s="9">
        <f t="shared" si="31"/>
        <v>0.21999999999999886</v>
      </c>
      <c r="L437">
        <f t="shared" si="31"/>
        <v>-4.9999999999997158E-2</v>
      </c>
      <c r="M437">
        <f t="shared" si="31"/>
        <v>0.21999999999999886</v>
      </c>
      <c r="N437">
        <f t="shared" si="30"/>
        <v>-0.10999999999999943</v>
      </c>
      <c r="O437">
        <f t="shared" si="30"/>
        <v>-4.9999999999997158E-2</v>
      </c>
      <c r="P437" s="10">
        <f t="shared" si="30"/>
        <v>4.9999999999997158E-2</v>
      </c>
    </row>
    <row r="438" spans="1:16">
      <c r="A438">
        <v>104.25</v>
      </c>
      <c r="B438">
        <v>93.51</v>
      </c>
      <c r="C438">
        <v>94.28</v>
      </c>
      <c r="D438">
        <v>108.17</v>
      </c>
      <c r="E438">
        <v>90.51</v>
      </c>
      <c r="F438">
        <v>85.95</v>
      </c>
      <c r="G438">
        <v>88.23</v>
      </c>
      <c r="H438">
        <v>70.78</v>
      </c>
      <c r="K438" s="9">
        <f t="shared" si="31"/>
        <v>0.34000000000000341</v>
      </c>
      <c r="L438">
        <f t="shared" si="31"/>
        <v>-1.5499999999999972</v>
      </c>
      <c r="M438">
        <f t="shared" si="31"/>
        <v>0.26999999999999602</v>
      </c>
      <c r="N438">
        <f t="shared" si="30"/>
        <v>-4.9999999999997158E-2</v>
      </c>
      <c r="O438">
        <f t="shared" si="30"/>
        <v>-0.21999999999999886</v>
      </c>
      <c r="P438" s="10">
        <f t="shared" si="30"/>
        <v>0.12000000000000455</v>
      </c>
    </row>
    <row r="439" spans="1:16">
      <c r="A439">
        <v>104.5</v>
      </c>
      <c r="B439">
        <v>93.51</v>
      </c>
      <c r="C439">
        <v>94.4</v>
      </c>
      <c r="D439">
        <v>107.67</v>
      </c>
      <c r="E439">
        <v>90.56</v>
      </c>
      <c r="F439">
        <v>85.95</v>
      </c>
      <c r="G439">
        <v>88.17</v>
      </c>
      <c r="H439">
        <v>70.84</v>
      </c>
      <c r="K439" s="9">
        <f t="shared" si="31"/>
        <v>0.26999999999999602</v>
      </c>
      <c r="L439">
        <f t="shared" si="31"/>
        <v>-1.9399999999999977</v>
      </c>
      <c r="M439">
        <f t="shared" si="31"/>
        <v>0.34000000000000341</v>
      </c>
      <c r="N439">
        <f t="shared" si="30"/>
        <v>-0.10999999999999943</v>
      </c>
      <c r="O439">
        <f t="shared" si="30"/>
        <v>-0.15999999999999659</v>
      </c>
      <c r="P439" s="10">
        <f t="shared" si="30"/>
        <v>6.0000000000002274E-2</v>
      </c>
    </row>
    <row r="440" spans="1:16">
      <c r="A440">
        <v>104.75</v>
      </c>
      <c r="B440">
        <v>93.45</v>
      </c>
      <c r="C440">
        <v>94.45</v>
      </c>
      <c r="D440">
        <v>107.51</v>
      </c>
      <c r="E440">
        <v>90.62</v>
      </c>
      <c r="F440">
        <v>85.84</v>
      </c>
      <c r="G440">
        <v>88.12</v>
      </c>
      <c r="H440">
        <v>70.78</v>
      </c>
      <c r="K440" s="9">
        <f t="shared" si="31"/>
        <v>0.39000000000000057</v>
      </c>
      <c r="L440">
        <f t="shared" si="31"/>
        <v>-2.730000000000004</v>
      </c>
      <c r="M440">
        <f t="shared" si="31"/>
        <v>0.32999999999999829</v>
      </c>
      <c r="N440">
        <f t="shared" si="30"/>
        <v>0</v>
      </c>
      <c r="O440">
        <f t="shared" si="30"/>
        <v>-6.0000000000002274E-2</v>
      </c>
      <c r="P440" s="10">
        <f t="shared" si="30"/>
        <v>0.23000000000000398</v>
      </c>
    </row>
    <row r="441" spans="1:16">
      <c r="A441">
        <v>105</v>
      </c>
      <c r="B441">
        <v>93.4</v>
      </c>
      <c r="C441">
        <v>94.62</v>
      </c>
      <c r="D441">
        <v>106.62</v>
      </c>
      <c r="E441">
        <v>90.78</v>
      </c>
      <c r="F441">
        <v>85.9</v>
      </c>
      <c r="G441">
        <v>88.01</v>
      </c>
      <c r="H441">
        <v>70.900000000000006</v>
      </c>
      <c r="K441" s="9">
        <f t="shared" si="31"/>
        <v>0.21999999999999886</v>
      </c>
      <c r="L441">
        <f t="shared" si="31"/>
        <v>-2.4500000000000028</v>
      </c>
      <c r="M441">
        <f t="shared" si="31"/>
        <v>0.23000000000000398</v>
      </c>
      <c r="N441">
        <f t="shared" si="30"/>
        <v>-0.12000000000000455</v>
      </c>
      <c r="O441">
        <f t="shared" si="30"/>
        <v>-6.0000000000002274E-2</v>
      </c>
      <c r="P441" s="10">
        <f t="shared" si="30"/>
        <v>0.10999999999999943</v>
      </c>
    </row>
    <row r="442" spans="1:16">
      <c r="A442">
        <v>105.25</v>
      </c>
      <c r="B442">
        <v>93.4</v>
      </c>
      <c r="C442">
        <v>94.67</v>
      </c>
      <c r="D442">
        <v>105.73</v>
      </c>
      <c r="E442">
        <v>90.9</v>
      </c>
      <c r="F442">
        <v>85.84</v>
      </c>
      <c r="G442">
        <v>88.01</v>
      </c>
      <c r="H442">
        <v>70.900000000000006</v>
      </c>
      <c r="K442" s="9">
        <f t="shared" si="31"/>
        <v>0.23000000000000398</v>
      </c>
      <c r="L442">
        <f t="shared" si="31"/>
        <v>-2.3900000000000006</v>
      </c>
      <c r="M442">
        <f t="shared" si="31"/>
        <v>0.21999999999999886</v>
      </c>
      <c r="N442">
        <f t="shared" si="30"/>
        <v>-6.0000000000002274E-2</v>
      </c>
      <c r="O442">
        <f t="shared" si="30"/>
        <v>0</v>
      </c>
      <c r="P442" s="10">
        <f t="shared" si="30"/>
        <v>0.21999999999999886</v>
      </c>
    </row>
    <row r="443" spans="1:16">
      <c r="A443">
        <v>105.5</v>
      </c>
      <c r="B443">
        <v>93.4</v>
      </c>
      <c r="C443">
        <v>94.84</v>
      </c>
      <c r="D443">
        <v>104.78</v>
      </c>
      <c r="E443">
        <v>90.95</v>
      </c>
      <c r="F443">
        <v>85.84</v>
      </c>
      <c r="G443">
        <v>88.06</v>
      </c>
      <c r="H443">
        <v>71.010000000000005</v>
      </c>
      <c r="K443" s="9">
        <f t="shared" si="31"/>
        <v>0.10999999999999943</v>
      </c>
      <c r="L443">
        <f t="shared" si="31"/>
        <v>-2.269999999999996</v>
      </c>
      <c r="M443">
        <f t="shared" si="31"/>
        <v>0.21999999999999886</v>
      </c>
      <c r="N443">
        <f t="shared" si="30"/>
        <v>-0.10999999999999943</v>
      </c>
      <c r="O443">
        <f t="shared" si="30"/>
        <v>6.0000000000002274E-2</v>
      </c>
      <c r="P443" s="10">
        <f t="shared" si="30"/>
        <v>0.15999999999999659</v>
      </c>
    </row>
    <row r="444" spans="1:16">
      <c r="A444">
        <v>105.75</v>
      </c>
      <c r="B444">
        <v>93.4</v>
      </c>
      <c r="C444">
        <v>94.84</v>
      </c>
      <c r="D444">
        <v>104.17</v>
      </c>
      <c r="E444">
        <v>91.01</v>
      </c>
      <c r="F444">
        <v>85.78</v>
      </c>
      <c r="G444">
        <v>87.95</v>
      </c>
      <c r="H444">
        <v>71.010000000000005</v>
      </c>
      <c r="K444" s="9">
        <f t="shared" si="31"/>
        <v>0.10999999999999943</v>
      </c>
      <c r="L444">
        <f t="shared" si="31"/>
        <v>-2.2199999999999989</v>
      </c>
      <c r="M444">
        <f t="shared" si="31"/>
        <v>0.32999999999999829</v>
      </c>
      <c r="N444">
        <f t="shared" si="30"/>
        <v>6.0000000000002274E-2</v>
      </c>
      <c r="O444">
        <f t="shared" si="30"/>
        <v>0.17000000000000171</v>
      </c>
      <c r="P444" s="10">
        <f t="shared" si="30"/>
        <v>0.21999999999999886</v>
      </c>
    </row>
    <row r="445" spans="1:16">
      <c r="A445">
        <v>106</v>
      </c>
      <c r="B445">
        <v>93.4</v>
      </c>
      <c r="C445">
        <v>94.9</v>
      </c>
      <c r="D445">
        <v>103.34</v>
      </c>
      <c r="E445">
        <v>91.12</v>
      </c>
      <c r="F445">
        <v>85.78</v>
      </c>
      <c r="G445">
        <v>88.01</v>
      </c>
      <c r="H445">
        <v>71.12</v>
      </c>
      <c r="K445" s="9">
        <f t="shared" si="31"/>
        <v>0.10999999999999943</v>
      </c>
      <c r="L445">
        <f t="shared" si="31"/>
        <v>-1.8900000000000006</v>
      </c>
      <c r="M445">
        <f t="shared" si="31"/>
        <v>0.21999999999999886</v>
      </c>
      <c r="N445">
        <f t="shared" si="30"/>
        <v>0</v>
      </c>
      <c r="O445">
        <f t="shared" si="30"/>
        <v>4.9999999999997158E-2</v>
      </c>
      <c r="P445" s="10">
        <f t="shared" si="30"/>
        <v>4.9999999999997158E-2</v>
      </c>
    </row>
    <row r="446" spans="1:16">
      <c r="A446">
        <v>106.25</v>
      </c>
      <c r="B446">
        <v>93.34</v>
      </c>
      <c r="C446">
        <v>94.95</v>
      </c>
      <c r="D446">
        <v>102.51</v>
      </c>
      <c r="E446">
        <v>91.17</v>
      </c>
      <c r="F446">
        <v>85.73</v>
      </c>
      <c r="G446">
        <v>88.12</v>
      </c>
      <c r="H446">
        <v>71.17</v>
      </c>
      <c r="K446" s="9">
        <f t="shared" si="31"/>
        <v>0</v>
      </c>
      <c r="L446">
        <f t="shared" si="31"/>
        <v>-1.8900000000000006</v>
      </c>
      <c r="M446">
        <f t="shared" si="31"/>
        <v>0.28000000000000114</v>
      </c>
      <c r="N446">
        <f t="shared" si="30"/>
        <v>0</v>
      </c>
      <c r="O446">
        <f t="shared" si="30"/>
        <v>0</v>
      </c>
      <c r="P446" s="10">
        <f t="shared" si="30"/>
        <v>0.23000000000000398</v>
      </c>
    </row>
    <row r="447" spans="1:16">
      <c r="A447">
        <v>106.5</v>
      </c>
      <c r="B447">
        <v>93.4</v>
      </c>
      <c r="C447">
        <v>94.95</v>
      </c>
      <c r="D447">
        <v>101.95</v>
      </c>
      <c r="E447">
        <v>91.34</v>
      </c>
      <c r="F447">
        <v>85.84</v>
      </c>
      <c r="G447">
        <v>88.12</v>
      </c>
      <c r="H447">
        <v>71.23</v>
      </c>
      <c r="K447" s="9">
        <f t="shared" si="31"/>
        <v>0</v>
      </c>
      <c r="L447">
        <f t="shared" si="31"/>
        <v>-1.7199999999999989</v>
      </c>
      <c r="M447">
        <f t="shared" si="31"/>
        <v>0.10999999999999943</v>
      </c>
      <c r="N447">
        <f t="shared" si="30"/>
        <v>-6.0000000000002274E-2</v>
      </c>
      <c r="O447">
        <f t="shared" si="30"/>
        <v>-0.10999999999999943</v>
      </c>
      <c r="P447" s="10">
        <f t="shared" si="30"/>
        <v>0.21999999999999886</v>
      </c>
    </row>
    <row r="448" spans="1:16">
      <c r="A448">
        <v>106.75</v>
      </c>
      <c r="B448">
        <v>93.4</v>
      </c>
      <c r="C448">
        <v>95.01</v>
      </c>
      <c r="D448">
        <v>101.45</v>
      </c>
      <c r="E448">
        <v>91.34</v>
      </c>
      <c r="F448">
        <v>85.78</v>
      </c>
      <c r="G448">
        <v>88.06</v>
      </c>
      <c r="H448">
        <v>71.17</v>
      </c>
      <c r="K448" s="9">
        <f t="shared" si="31"/>
        <v>-6.0000000000002274E-2</v>
      </c>
      <c r="L448">
        <f t="shared" si="31"/>
        <v>-1.5499999999999972</v>
      </c>
      <c r="M448">
        <f t="shared" si="31"/>
        <v>0.28000000000000114</v>
      </c>
      <c r="N448">
        <f t="shared" si="30"/>
        <v>0</v>
      </c>
      <c r="O448">
        <f t="shared" si="30"/>
        <v>6.0000000000002274E-2</v>
      </c>
      <c r="P448" s="10">
        <f t="shared" si="30"/>
        <v>0.39000000000000057</v>
      </c>
    </row>
    <row r="449" spans="1:16">
      <c r="A449">
        <v>107</v>
      </c>
      <c r="B449">
        <v>93.34</v>
      </c>
      <c r="C449">
        <v>94.95</v>
      </c>
      <c r="D449">
        <v>100.62</v>
      </c>
      <c r="E449">
        <v>91.45</v>
      </c>
      <c r="F449">
        <v>85.73</v>
      </c>
      <c r="G449">
        <v>88.12</v>
      </c>
      <c r="H449">
        <v>71.400000000000006</v>
      </c>
      <c r="K449" s="9">
        <f t="shared" si="31"/>
        <v>0</v>
      </c>
      <c r="L449">
        <f t="shared" si="31"/>
        <v>-1.1700000000000017</v>
      </c>
      <c r="M449">
        <f t="shared" si="31"/>
        <v>6.0000000000002274E-2</v>
      </c>
      <c r="N449">
        <f t="shared" si="30"/>
        <v>0</v>
      </c>
      <c r="O449">
        <f t="shared" si="30"/>
        <v>-0.17000000000000171</v>
      </c>
      <c r="P449" s="10">
        <f t="shared" si="30"/>
        <v>0.21999999999999886</v>
      </c>
    </row>
    <row r="450" spans="1:16">
      <c r="A450">
        <v>107.25</v>
      </c>
      <c r="B450">
        <v>93.4</v>
      </c>
      <c r="C450">
        <v>94.95</v>
      </c>
      <c r="D450">
        <v>100.23</v>
      </c>
      <c r="E450">
        <v>91.45</v>
      </c>
      <c r="F450">
        <v>85.78</v>
      </c>
      <c r="G450">
        <v>88.01</v>
      </c>
      <c r="H450">
        <v>71.45</v>
      </c>
      <c r="K450" s="9">
        <f t="shared" si="31"/>
        <v>0</v>
      </c>
      <c r="L450">
        <f t="shared" si="31"/>
        <v>-1.2199999999999989</v>
      </c>
      <c r="M450">
        <f t="shared" si="31"/>
        <v>0.17000000000000171</v>
      </c>
      <c r="N450">
        <f t="shared" si="30"/>
        <v>0</v>
      </c>
      <c r="O450">
        <f t="shared" si="30"/>
        <v>4.9999999999997158E-2</v>
      </c>
      <c r="P450" s="10">
        <f t="shared" si="30"/>
        <v>0.32999999999999829</v>
      </c>
    </row>
    <row r="451" spans="1:16">
      <c r="A451">
        <v>107.5</v>
      </c>
      <c r="B451">
        <v>93.34</v>
      </c>
      <c r="C451">
        <v>94.95</v>
      </c>
      <c r="D451">
        <v>99.9</v>
      </c>
      <c r="E451">
        <v>91.62</v>
      </c>
      <c r="F451">
        <v>85.78</v>
      </c>
      <c r="G451">
        <v>88.12</v>
      </c>
      <c r="H451">
        <v>71.56</v>
      </c>
      <c r="K451" s="9">
        <f t="shared" si="31"/>
        <v>-4.9999999999997158E-2</v>
      </c>
      <c r="L451">
        <f t="shared" si="31"/>
        <v>-1.230000000000004</v>
      </c>
      <c r="M451">
        <f t="shared" si="31"/>
        <v>-6.0000000000002274E-2</v>
      </c>
      <c r="N451">
        <f t="shared" si="30"/>
        <v>0</v>
      </c>
      <c r="O451">
        <f t="shared" si="30"/>
        <v>0</v>
      </c>
      <c r="P451" s="10">
        <f t="shared" si="30"/>
        <v>0.34000000000000341</v>
      </c>
    </row>
    <row r="452" spans="1:16">
      <c r="A452">
        <v>107.75</v>
      </c>
      <c r="B452">
        <v>93.4</v>
      </c>
      <c r="C452">
        <v>94.95</v>
      </c>
      <c r="D452">
        <v>99.45</v>
      </c>
      <c r="E452">
        <v>91.51</v>
      </c>
      <c r="F452">
        <v>85.73</v>
      </c>
      <c r="G452">
        <v>87.95</v>
      </c>
      <c r="H452">
        <v>71.62</v>
      </c>
      <c r="K452" s="9">
        <f t="shared" si="31"/>
        <v>0</v>
      </c>
      <c r="L452">
        <f t="shared" si="31"/>
        <v>-1.2800000000000011</v>
      </c>
      <c r="M452">
        <f t="shared" si="31"/>
        <v>0.10999999999999943</v>
      </c>
      <c r="N452">
        <f t="shared" si="30"/>
        <v>0.10999999999999943</v>
      </c>
      <c r="O452">
        <f t="shared" si="30"/>
        <v>0.17000000000000171</v>
      </c>
      <c r="P452" s="10">
        <f t="shared" si="30"/>
        <v>0.32999999999999829</v>
      </c>
    </row>
    <row r="453" spans="1:16">
      <c r="A453">
        <v>108</v>
      </c>
      <c r="B453">
        <v>93.4</v>
      </c>
      <c r="C453">
        <v>94.95</v>
      </c>
      <c r="D453">
        <v>99.01</v>
      </c>
      <c r="E453">
        <v>91.62</v>
      </c>
      <c r="F453">
        <v>85.78</v>
      </c>
      <c r="G453">
        <v>88.06</v>
      </c>
      <c r="H453">
        <v>71.78</v>
      </c>
      <c r="K453" s="9">
        <f t="shared" si="31"/>
        <v>-0.10999999999999943</v>
      </c>
      <c r="L453">
        <f t="shared" si="31"/>
        <v>-1</v>
      </c>
      <c r="M453">
        <f t="shared" si="31"/>
        <v>4.9999999999997158E-2</v>
      </c>
      <c r="N453">
        <f t="shared" si="30"/>
        <v>0.12000000000000455</v>
      </c>
      <c r="O453">
        <f t="shared" si="30"/>
        <v>6.0000000000002274E-2</v>
      </c>
      <c r="P453" s="10">
        <f t="shared" si="30"/>
        <v>0.23000000000000398</v>
      </c>
    </row>
    <row r="454" spans="1:16">
      <c r="A454">
        <v>108.25</v>
      </c>
      <c r="B454">
        <v>93.4</v>
      </c>
      <c r="C454">
        <v>94.9</v>
      </c>
      <c r="D454">
        <v>98.67</v>
      </c>
      <c r="E454">
        <v>91.56</v>
      </c>
      <c r="F454">
        <v>85.78</v>
      </c>
      <c r="G454">
        <v>88.12</v>
      </c>
      <c r="H454">
        <v>71.900000000000006</v>
      </c>
      <c r="K454" s="9">
        <f t="shared" si="31"/>
        <v>0</v>
      </c>
      <c r="L454">
        <f t="shared" si="31"/>
        <v>-1</v>
      </c>
      <c r="M454">
        <f t="shared" si="31"/>
        <v>0.10999999999999943</v>
      </c>
      <c r="N454">
        <f t="shared" si="30"/>
        <v>0.12000000000000455</v>
      </c>
      <c r="O454">
        <f t="shared" si="30"/>
        <v>-6.0000000000002274E-2</v>
      </c>
      <c r="P454" s="10">
        <f t="shared" si="30"/>
        <v>0.21999999999999886</v>
      </c>
    </row>
    <row r="455" spans="1:16">
      <c r="A455">
        <v>108.5</v>
      </c>
      <c r="B455">
        <v>93.4</v>
      </c>
      <c r="C455">
        <v>94.95</v>
      </c>
      <c r="D455">
        <v>98.17</v>
      </c>
      <c r="E455">
        <v>91.62</v>
      </c>
      <c r="F455">
        <v>85.84</v>
      </c>
      <c r="G455">
        <v>88.12</v>
      </c>
      <c r="H455">
        <v>71.95</v>
      </c>
      <c r="K455" s="9">
        <f t="shared" si="31"/>
        <v>-4.9999999999997158E-2</v>
      </c>
      <c r="L455">
        <f t="shared" si="31"/>
        <v>-0.93999999999999773</v>
      </c>
      <c r="M455">
        <f t="shared" si="31"/>
        <v>4.9999999999997158E-2</v>
      </c>
      <c r="N455">
        <f t="shared" si="30"/>
        <v>0.10999999999999943</v>
      </c>
      <c r="O455">
        <f t="shared" si="30"/>
        <v>0</v>
      </c>
      <c r="P455" s="10">
        <f t="shared" si="30"/>
        <v>0.17000000000000171</v>
      </c>
    </row>
    <row r="456" spans="1:16">
      <c r="A456">
        <v>108.75</v>
      </c>
      <c r="B456">
        <v>93.34</v>
      </c>
      <c r="C456">
        <v>94.84</v>
      </c>
      <c r="D456">
        <v>98.01</v>
      </c>
      <c r="E456">
        <v>91.67</v>
      </c>
      <c r="F456">
        <v>85.9</v>
      </c>
      <c r="G456">
        <v>88.12</v>
      </c>
      <c r="H456">
        <v>72.010000000000005</v>
      </c>
      <c r="K456" s="9">
        <f t="shared" si="31"/>
        <v>0</v>
      </c>
      <c r="L456">
        <f t="shared" si="31"/>
        <v>-0.89000000000000057</v>
      </c>
      <c r="M456">
        <f t="shared" si="31"/>
        <v>0</v>
      </c>
      <c r="N456">
        <f t="shared" si="30"/>
        <v>4.9999999999997158E-2</v>
      </c>
      <c r="O456">
        <f t="shared" si="30"/>
        <v>0</v>
      </c>
      <c r="P456" s="10">
        <f t="shared" si="30"/>
        <v>0.15999999999999659</v>
      </c>
    </row>
    <row r="457" spans="1:16">
      <c r="A457">
        <v>109</v>
      </c>
      <c r="B457">
        <v>93.34</v>
      </c>
      <c r="C457">
        <v>94.9</v>
      </c>
      <c r="D457">
        <v>97.67</v>
      </c>
      <c r="E457">
        <v>91.67</v>
      </c>
      <c r="F457">
        <v>85.9</v>
      </c>
      <c r="G457">
        <v>88.06</v>
      </c>
      <c r="H457">
        <v>72.12</v>
      </c>
      <c r="K457" s="9">
        <f t="shared" si="31"/>
        <v>0</v>
      </c>
      <c r="L457">
        <f t="shared" si="31"/>
        <v>-0.89000000000000057</v>
      </c>
      <c r="M457">
        <f t="shared" si="31"/>
        <v>0</v>
      </c>
      <c r="N457">
        <f t="shared" si="30"/>
        <v>4.9999999999997158E-2</v>
      </c>
      <c r="O457">
        <f t="shared" si="30"/>
        <v>6.0000000000002274E-2</v>
      </c>
      <c r="P457" s="10">
        <f t="shared" si="30"/>
        <v>0.10999999999999943</v>
      </c>
    </row>
    <row r="458" spans="1:16">
      <c r="A458">
        <v>109.25</v>
      </c>
      <c r="B458">
        <v>93.4</v>
      </c>
      <c r="C458">
        <v>94.9</v>
      </c>
      <c r="D458">
        <v>97.23</v>
      </c>
      <c r="E458">
        <v>91.67</v>
      </c>
      <c r="F458">
        <v>85.95</v>
      </c>
      <c r="G458">
        <v>88.12</v>
      </c>
      <c r="H458">
        <v>72.12</v>
      </c>
      <c r="K458" s="9">
        <f t="shared" si="31"/>
        <v>0</v>
      </c>
      <c r="L458">
        <f t="shared" si="31"/>
        <v>-0.67000000000000171</v>
      </c>
      <c r="M458">
        <f t="shared" si="31"/>
        <v>-4.9999999999997158E-2</v>
      </c>
      <c r="N458">
        <f t="shared" si="30"/>
        <v>0</v>
      </c>
      <c r="O458">
        <f t="shared" si="30"/>
        <v>0</v>
      </c>
      <c r="P458" s="10">
        <f t="shared" si="30"/>
        <v>0.15999999999999659</v>
      </c>
    </row>
    <row r="459" spans="1:16">
      <c r="A459">
        <v>109.5</v>
      </c>
      <c r="B459">
        <v>93.4</v>
      </c>
      <c r="C459">
        <v>94.84</v>
      </c>
      <c r="D459">
        <v>97.12</v>
      </c>
      <c r="E459">
        <v>91.67</v>
      </c>
      <c r="F459">
        <v>85.95</v>
      </c>
      <c r="G459">
        <v>88.12</v>
      </c>
      <c r="H459">
        <v>72.17</v>
      </c>
      <c r="K459" s="9">
        <f t="shared" si="31"/>
        <v>0</v>
      </c>
      <c r="L459">
        <f t="shared" si="31"/>
        <v>-0.89000000000000057</v>
      </c>
      <c r="M459">
        <f t="shared" si="31"/>
        <v>-4.9999999999997158E-2</v>
      </c>
      <c r="N459">
        <f t="shared" si="30"/>
        <v>0</v>
      </c>
      <c r="O459">
        <f t="shared" si="30"/>
        <v>4.9999999999997158E-2</v>
      </c>
      <c r="P459" s="10">
        <f t="shared" si="30"/>
        <v>6.0000000000002274E-2</v>
      </c>
    </row>
    <row r="460" spans="1:16">
      <c r="A460">
        <v>109.75</v>
      </c>
      <c r="B460">
        <v>93.4</v>
      </c>
      <c r="C460">
        <v>94.9</v>
      </c>
      <c r="D460">
        <v>96.78</v>
      </c>
      <c r="E460">
        <v>91.67</v>
      </c>
      <c r="F460">
        <v>85.95</v>
      </c>
      <c r="G460">
        <v>88.12</v>
      </c>
      <c r="H460">
        <v>72.23</v>
      </c>
      <c r="K460" s="9">
        <f t="shared" si="31"/>
        <v>-0.12000000000000455</v>
      </c>
      <c r="L460">
        <f t="shared" si="31"/>
        <v>-0.60999999999999943</v>
      </c>
      <c r="M460">
        <f t="shared" si="31"/>
        <v>-4.9999999999997158E-2</v>
      </c>
      <c r="N460">
        <f t="shared" si="30"/>
        <v>0</v>
      </c>
      <c r="O460">
        <f t="shared" si="30"/>
        <v>0</v>
      </c>
      <c r="P460" s="10">
        <f t="shared" si="30"/>
        <v>4.9999999999997158E-2</v>
      </c>
    </row>
    <row r="461" spans="1:16">
      <c r="A461">
        <v>110</v>
      </c>
      <c r="B461">
        <v>93.4</v>
      </c>
      <c r="C461">
        <v>94.9</v>
      </c>
      <c r="D461">
        <v>96.56</v>
      </c>
      <c r="E461">
        <v>91.62</v>
      </c>
      <c r="F461">
        <v>85.95</v>
      </c>
      <c r="G461">
        <v>88.12</v>
      </c>
      <c r="H461">
        <v>72.28</v>
      </c>
      <c r="K461" s="9">
        <f t="shared" si="31"/>
        <v>0</v>
      </c>
      <c r="L461">
        <f t="shared" si="31"/>
        <v>-0.39000000000000057</v>
      </c>
      <c r="M461">
        <f t="shared" si="31"/>
        <v>0</v>
      </c>
      <c r="N461">
        <f t="shared" si="30"/>
        <v>0</v>
      </c>
      <c r="O461">
        <f t="shared" si="30"/>
        <v>4.9999999999997158E-2</v>
      </c>
      <c r="P461" s="10">
        <f t="shared" si="30"/>
        <v>6.0000000000002274E-2</v>
      </c>
    </row>
    <row r="462" spans="1:16">
      <c r="A462">
        <v>110.25</v>
      </c>
      <c r="B462">
        <v>93.4</v>
      </c>
      <c r="C462">
        <v>94.84</v>
      </c>
      <c r="D462">
        <v>96.23</v>
      </c>
      <c r="E462">
        <v>91.62</v>
      </c>
      <c r="F462">
        <v>85.95</v>
      </c>
      <c r="G462">
        <v>88.17</v>
      </c>
      <c r="H462">
        <v>72.23</v>
      </c>
      <c r="K462" s="9">
        <f t="shared" si="31"/>
        <v>0</v>
      </c>
      <c r="L462">
        <f t="shared" si="31"/>
        <v>-0.28000000000000114</v>
      </c>
      <c r="M462">
        <f t="shared" si="31"/>
        <v>0</v>
      </c>
      <c r="N462">
        <f t="shared" si="30"/>
        <v>6.0000000000002274E-2</v>
      </c>
      <c r="O462">
        <f t="shared" si="30"/>
        <v>0</v>
      </c>
      <c r="P462" s="10">
        <f t="shared" si="30"/>
        <v>0.10999999999999943</v>
      </c>
    </row>
    <row r="463" spans="1:16">
      <c r="A463">
        <v>110.5</v>
      </c>
      <c r="B463">
        <v>93.34</v>
      </c>
      <c r="C463">
        <v>94.78</v>
      </c>
      <c r="D463">
        <v>96.17</v>
      </c>
      <c r="E463">
        <v>91.62</v>
      </c>
      <c r="F463">
        <v>85.95</v>
      </c>
      <c r="G463">
        <v>88.12</v>
      </c>
      <c r="H463">
        <v>72.28</v>
      </c>
      <c r="K463" s="9">
        <f t="shared" si="31"/>
        <v>6.0000000000002274E-2</v>
      </c>
      <c r="L463">
        <f t="shared" si="31"/>
        <v>-0.39000000000000057</v>
      </c>
      <c r="M463">
        <f t="shared" si="31"/>
        <v>-6.0000000000002274E-2</v>
      </c>
      <c r="N463">
        <f t="shared" si="30"/>
        <v>6.0000000000002274E-2</v>
      </c>
      <c r="O463">
        <f t="shared" si="30"/>
        <v>0.15999999999999659</v>
      </c>
      <c r="P463" s="10">
        <f t="shared" si="30"/>
        <v>6.0000000000002274E-2</v>
      </c>
    </row>
    <row r="464" spans="1:16">
      <c r="A464">
        <v>110.75</v>
      </c>
      <c r="B464">
        <v>93.45</v>
      </c>
      <c r="C464">
        <v>94.9</v>
      </c>
      <c r="D464">
        <v>96.17</v>
      </c>
      <c r="E464">
        <v>91.62</v>
      </c>
      <c r="F464">
        <v>85.95</v>
      </c>
      <c r="G464">
        <v>88.17</v>
      </c>
      <c r="H464">
        <v>72.34</v>
      </c>
      <c r="K464" s="9">
        <f t="shared" si="31"/>
        <v>-6.0000000000002274E-2</v>
      </c>
      <c r="L464">
        <f t="shared" si="31"/>
        <v>-0.5</v>
      </c>
      <c r="M464">
        <f t="shared" si="31"/>
        <v>0</v>
      </c>
      <c r="N464">
        <f t="shared" si="30"/>
        <v>6.0000000000002274E-2</v>
      </c>
      <c r="O464">
        <f t="shared" si="30"/>
        <v>6.0000000000002274E-2</v>
      </c>
      <c r="P464" s="10">
        <f t="shared" si="30"/>
        <v>0</v>
      </c>
    </row>
    <row r="465" spans="1:16">
      <c r="A465">
        <v>111</v>
      </c>
      <c r="B465">
        <v>93.4</v>
      </c>
      <c r="C465">
        <v>94.84</v>
      </c>
      <c r="D465">
        <v>95.95</v>
      </c>
      <c r="E465">
        <v>91.62</v>
      </c>
      <c r="F465">
        <v>86.01</v>
      </c>
      <c r="G465">
        <v>88.17</v>
      </c>
      <c r="H465">
        <v>72.34</v>
      </c>
      <c r="K465" s="9">
        <f t="shared" si="31"/>
        <v>0</v>
      </c>
      <c r="L465">
        <f t="shared" si="31"/>
        <v>-0.60999999999999943</v>
      </c>
      <c r="M465">
        <f t="shared" si="31"/>
        <v>-6.0000000000002274E-2</v>
      </c>
      <c r="N465">
        <f t="shared" si="30"/>
        <v>0</v>
      </c>
      <c r="O465">
        <f t="shared" si="30"/>
        <v>6.0000000000002274E-2</v>
      </c>
      <c r="P465" s="10">
        <f t="shared" si="30"/>
        <v>0.10999999999999943</v>
      </c>
    </row>
    <row r="466" spans="1:16">
      <c r="A466">
        <v>111.25</v>
      </c>
      <c r="B466">
        <v>93.4</v>
      </c>
      <c r="C466">
        <v>94.84</v>
      </c>
      <c r="D466">
        <v>95.78</v>
      </c>
      <c r="E466">
        <v>91.56</v>
      </c>
      <c r="F466">
        <v>86.01</v>
      </c>
      <c r="G466">
        <v>88.28</v>
      </c>
      <c r="H466">
        <v>72.34</v>
      </c>
      <c r="K466" s="9">
        <f t="shared" si="31"/>
        <v>6.0000000000002274E-2</v>
      </c>
      <c r="L466">
        <f t="shared" si="31"/>
        <v>-0.76999999999999602</v>
      </c>
      <c r="M466">
        <f t="shared" si="31"/>
        <v>0</v>
      </c>
      <c r="N466">
        <f t="shared" si="30"/>
        <v>0.10999999999999943</v>
      </c>
      <c r="O466">
        <f t="shared" si="30"/>
        <v>0</v>
      </c>
      <c r="P466" s="10">
        <f t="shared" si="30"/>
        <v>0.10999999999999943</v>
      </c>
    </row>
    <row r="467" spans="1:16">
      <c r="A467">
        <v>111.5</v>
      </c>
      <c r="B467">
        <v>93.56</v>
      </c>
      <c r="C467">
        <v>94.84</v>
      </c>
      <c r="D467">
        <v>95.67</v>
      </c>
      <c r="E467">
        <v>91.62</v>
      </c>
      <c r="F467">
        <v>86.01</v>
      </c>
      <c r="G467">
        <v>88.23</v>
      </c>
      <c r="H467">
        <v>72.34</v>
      </c>
      <c r="K467" s="9">
        <f t="shared" si="31"/>
        <v>6.0000000000002274E-2</v>
      </c>
      <c r="L467">
        <f t="shared" si="31"/>
        <v>-0.93999999999999773</v>
      </c>
      <c r="M467">
        <f t="shared" si="31"/>
        <v>-0.10999999999999943</v>
      </c>
      <c r="N467">
        <f t="shared" si="30"/>
        <v>0</v>
      </c>
      <c r="O467">
        <f t="shared" si="30"/>
        <v>4.9999999999997158E-2</v>
      </c>
      <c r="P467" s="10">
        <f t="shared" si="30"/>
        <v>6.0000000000002274E-2</v>
      </c>
    </row>
    <row r="468" spans="1:16">
      <c r="A468">
        <v>111.75</v>
      </c>
      <c r="B468">
        <v>93.56</v>
      </c>
      <c r="C468">
        <v>94.84</v>
      </c>
      <c r="D468">
        <v>95.34</v>
      </c>
      <c r="E468">
        <v>91.56</v>
      </c>
      <c r="F468">
        <v>86.01</v>
      </c>
      <c r="G468">
        <v>88.23</v>
      </c>
      <c r="H468">
        <v>72.45</v>
      </c>
      <c r="K468" s="9">
        <f t="shared" si="31"/>
        <v>0</v>
      </c>
      <c r="L468">
        <f t="shared" si="31"/>
        <v>-0.82999999999999829</v>
      </c>
      <c r="M468">
        <f t="shared" si="31"/>
        <v>-0.10999999999999943</v>
      </c>
      <c r="N468">
        <f t="shared" si="30"/>
        <v>4.9999999999997158E-2</v>
      </c>
      <c r="O468">
        <f t="shared" si="30"/>
        <v>4.9999999999997158E-2</v>
      </c>
      <c r="P468" s="10">
        <f t="shared" si="30"/>
        <v>6.0000000000002274E-2</v>
      </c>
    </row>
    <row r="469" spans="1:16">
      <c r="A469">
        <v>112</v>
      </c>
      <c r="B469">
        <v>93.56</v>
      </c>
      <c r="C469">
        <v>94.9</v>
      </c>
      <c r="D469">
        <v>95.01</v>
      </c>
      <c r="E469">
        <v>91.56</v>
      </c>
      <c r="F469">
        <v>86.12</v>
      </c>
      <c r="G469">
        <v>88.28</v>
      </c>
      <c r="H469">
        <v>72.45</v>
      </c>
      <c r="K469" s="9">
        <f t="shared" si="31"/>
        <v>-6.0000000000002274E-2</v>
      </c>
      <c r="L469">
        <f t="shared" si="31"/>
        <v>-0.73000000000000398</v>
      </c>
      <c r="M469">
        <f t="shared" si="31"/>
        <v>-4.9999999999997158E-2</v>
      </c>
      <c r="N469">
        <f t="shared" si="31"/>
        <v>-6.0000000000002274E-2</v>
      </c>
      <c r="O469">
        <f t="shared" si="31"/>
        <v>6.0000000000002274E-2</v>
      </c>
      <c r="P469" s="10">
        <f t="shared" si="31"/>
        <v>0.17000000000000171</v>
      </c>
    </row>
    <row r="470" spans="1:16">
      <c r="A470">
        <v>112.25</v>
      </c>
      <c r="B470">
        <v>93.56</v>
      </c>
      <c r="C470">
        <v>94.9</v>
      </c>
      <c r="D470">
        <v>94.73</v>
      </c>
      <c r="E470">
        <v>91.51</v>
      </c>
      <c r="F470">
        <v>86.01</v>
      </c>
      <c r="G470">
        <v>88.28</v>
      </c>
      <c r="H470">
        <v>72.400000000000006</v>
      </c>
      <c r="K470" s="9">
        <f t="shared" ref="K470:N533" si="32">C473-C470</f>
        <v>0</v>
      </c>
      <c r="L470">
        <f t="shared" si="32"/>
        <v>-0.45000000000000284</v>
      </c>
      <c r="M470">
        <f t="shared" si="32"/>
        <v>0</v>
      </c>
      <c r="N470">
        <f t="shared" si="32"/>
        <v>0.10999999999999943</v>
      </c>
      <c r="O470">
        <f t="shared" ref="O470:P533" si="33">G473-G470</f>
        <v>6.0000000000002274E-2</v>
      </c>
      <c r="P470" s="10">
        <f t="shared" si="33"/>
        <v>0.26999999999999602</v>
      </c>
    </row>
    <row r="471" spans="1:16">
      <c r="A471">
        <v>112.5</v>
      </c>
      <c r="B471">
        <v>93.62</v>
      </c>
      <c r="C471">
        <v>94.84</v>
      </c>
      <c r="D471">
        <v>94.51</v>
      </c>
      <c r="E471">
        <v>91.45</v>
      </c>
      <c r="F471">
        <v>86.06</v>
      </c>
      <c r="G471">
        <v>88.28</v>
      </c>
      <c r="H471">
        <v>72.510000000000005</v>
      </c>
      <c r="K471" s="9">
        <f t="shared" si="32"/>
        <v>6.0000000000002274E-2</v>
      </c>
      <c r="L471">
        <f t="shared" si="32"/>
        <v>-0.39000000000000057</v>
      </c>
      <c r="M471">
        <f t="shared" si="32"/>
        <v>-4.9999999999997158E-2</v>
      </c>
      <c r="N471">
        <f t="shared" si="32"/>
        <v>6.0000000000002274E-2</v>
      </c>
      <c r="O471">
        <f t="shared" si="33"/>
        <v>0.12000000000000455</v>
      </c>
      <c r="P471" s="10">
        <f t="shared" si="33"/>
        <v>0.21999999999999886</v>
      </c>
    </row>
    <row r="472" spans="1:16">
      <c r="A472">
        <v>112.75</v>
      </c>
      <c r="B472">
        <v>93.62</v>
      </c>
      <c r="C472">
        <v>94.84</v>
      </c>
      <c r="D472">
        <v>94.28</v>
      </c>
      <c r="E472">
        <v>91.51</v>
      </c>
      <c r="F472">
        <v>86.06</v>
      </c>
      <c r="G472">
        <v>88.34</v>
      </c>
      <c r="H472">
        <v>72.62</v>
      </c>
      <c r="K472" s="9">
        <f t="shared" si="32"/>
        <v>0</v>
      </c>
      <c r="L472">
        <f t="shared" si="32"/>
        <v>-0.43999999999999773</v>
      </c>
      <c r="M472">
        <f t="shared" si="32"/>
        <v>-0.10999999999999943</v>
      </c>
      <c r="N472">
        <f t="shared" si="32"/>
        <v>0.10999999999999943</v>
      </c>
      <c r="O472">
        <f t="shared" si="33"/>
        <v>0</v>
      </c>
      <c r="P472" s="10">
        <f t="shared" si="33"/>
        <v>0.15999999999999659</v>
      </c>
    </row>
    <row r="473" spans="1:16">
      <c r="A473">
        <v>113</v>
      </c>
      <c r="B473">
        <v>93.73</v>
      </c>
      <c r="C473">
        <v>94.9</v>
      </c>
      <c r="D473">
        <v>94.28</v>
      </c>
      <c r="E473">
        <v>91.51</v>
      </c>
      <c r="F473">
        <v>86.12</v>
      </c>
      <c r="G473">
        <v>88.34</v>
      </c>
      <c r="H473">
        <v>72.67</v>
      </c>
      <c r="K473" s="9">
        <f t="shared" si="32"/>
        <v>-0.12000000000000455</v>
      </c>
      <c r="L473">
        <f t="shared" si="32"/>
        <v>-0.43999999999999773</v>
      </c>
      <c r="M473">
        <f t="shared" si="32"/>
        <v>0</v>
      </c>
      <c r="N473">
        <f t="shared" si="32"/>
        <v>4.9999999999997158E-2</v>
      </c>
      <c r="O473">
        <f t="shared" si="33"/>
        <v>0.17000000000000171</v>
      </c>
      <c r="P473" s="10">
        <f t="shared" si="33"/>
        <v>0.10999999999999943</v>
      </c>
    </row>
    <row r="474" spans="1:16">
      <c r="A474">
        <v>113.25</v>
      </c>
      <c r="B474">
        <v>93.73</v>
      </c>
      <c r="C474">
        <v>94.9</v>
      </c>
      <c r="D474">
        <v>94.12</v>
      </c>
      <c r="E474">
        <v>91.4</v>
      </c>
      <c r="F474">
        <v>86.12</v>
      </c>
      <c r="G474">
        <v>88.4</v>
      </c>
      <c r="H474">
        <v>72.73</v>
      </c>
      <c r="K474" s="9">
        <f t="shared" si="32"/>
        <v>-6.0000000000002274E-2</v>
      </c>
      <c r="L474">
        <f t="shared" si="32"/>
        <v>-0.39000000000000057</v>
      </c>
      <c r="M474">
        <f t="shared" si="32"/>
        <v>0</v>
      </c>
      <c r="N474">
        <f t="shared" si="32"/>
        <v>-6.0000000000002274E-2</v>
      </c>
      <c r="O474">
        <f t="shared" si="33"/>
        <v>4.9999999999997158E-2</v>
      </c>
      <c r="P474" s="10">
        <f t="shared" si="33"/>
        <v>0.10999999999999943</v>
      </c>
    </row>
    <row r="475" spans="1:16">
      <c r="A475">
        <v>113.5</v>
      </c>
      <c r="B475">
        <v>93.78</v>
      </c>
      <c r="C475">
        <v>94.84</v>
      </c>
      <c r="D475">
        <v>93.84</v>
      </c>
      <c r="E475">
        <v>91.4</v>
      </c>
      <c r="F475">
        <v>86.17</v>
      </c>
      <c r="G475">
        <v>88.34</v>
      </c>
      <c r="H475">
        <v>72.78</v>
      </c>
      <c r="K475" s="9">
        <f t="shared" si="32"/>
        <v>0</v>
      </c>
      <c r="L475">
        <f t="shared" si="32"/>
        <v>-0.10999999999999943</v>
      </c>
      <c r="M475">
        <f t="shared" si="32"/>
        <v>4.9999999999997158E-2</v>
      </c>
      <c r="N475">
        <f t="shared" si="32"/>
        <v>0.10999999999999943</v>
      </c>
      <c r="O475">
        <f t="shared" si="33"/>
        <v>0.21999999999999886</v>
      </c>
      <c r="P475" s="10">
        <f t="shared" si="33"/>
        <v>0.12000000000000455</v>
      </c>
    </row>
    <row r="476" spans="1:16">
      <c r="A476">
        <v>113.75</v>
      </c>
      <c r="B476">
        <v>93.9</v>
      </c>
      <c r="C476">
        <v>94.78</v>
      </c>
      <c r="D476">
        <v>93.84</v>
      </c>
      <c r="E476">
        <v>91.51</v>
      </c>
      <c r="F476">
        <v>86.17</v>
      </c>
      <c r="G476">
        <v>88.51</v>
      </c>
      <c r="H476">
        <v>72.78</v>
      </c>
      <c r="K476" s="9">
        <f t="shared" si="32"/>
        <v>6.0000000000002274E-2</v>
      </c>
      <c r="L476">
        <f t="shared" si="32"/>
        <v>-0.17000000000000171</v>
      </c>
      <c r="M476">
        <f t="shared" si="32"/>
        <v>-0.17000000000000171</v>
      </c>
      <c r="N476">
        <f t="shared" si="32"/>
        <v>0.10999999999999943</v>
      </c>
      <c r="O476">
        <f t="shared" si="33"/>
        <v>4.9999999999997158E-2</v>
      </c>
      <c r="P476" s="10">
        <f t="shared" si="33"/>
        <v>0.12000000000000455</v>
      </c>
    </row>
    <row r="477" spans="1:16">
      <c r="A477">
        <v>114</v>
      </c>
      <c r="B477">
        <v>93.84</v>
      </c>
      <c r="C477">
        <v>94.84</v>
      </c>
      <c r="D477">
        <v>93.73</v>
      </c>
      <c r="E477">
        <v>91.4</v>
      </c>
      <c r="F477">
        <v>86.06</v>
      </c>
      <c r="G477">
        <v>88.45</v>
      </c>
      <c r="H477">
        <v>72.84</v>
      </c>
      <c r="K477" s="9">
        <f t="shared" si="32"/>
        <v>0</v>
      </c>
      <c r="L477">
        <f t="shared" si="32"/>
        <v>-0.10999999999999943</v>
      </c>
      <c r="M477">
        <f t="shared" si="32"/>
        <v>4.9999999999997158E-2</v>
      </c>
      <c r="N477">
        <f t="shared" si="32"/>
        <v>0.21999999999999886</v>
      </c>
      <c r="O477">
        <f t="shared" si="33"/>
        <v>0.21999999999999886</v>
      </c>
      <c r="P477" s="10">
        <f t="shared" si="33"/>
        <v>0.17000000000000171</v>
      </c>
    </row>
    <row r="478" spans="1:16">
      <c r="A478">
        <v>114.25</v>
      </c>
      <c r="B478">
        <v>93.95</v>
      </c>
      <c r="C478">
        <v>94.84</v>
      </c>
      <c r="D478">
        <v>93.73</v>
      </c>
      <c r="E478">
        <v>91.45</v>
      </c>
      <c r="F478">
        <v>86.28</v>
      </c>
      <c r="G478">
        <v>88.56</v>
      </c>
      <c r="H478">
        <v>72.900000000000006</v>
      </c>
      <c r="K478" s="9">
        <f t="shared" si="32"/>
        <v>6.0000000000002274E-2</v>
      </c>
      <c r="L478">
        <f t="shared" si="32"/>
        <v>0</v>
      </c>
      <c r="M478">
        <f t="shared" si="32"/>
        <v>-0.10999999999999943</v>
      </c>
      <c r="N478">
        <f t="shared" si="32"/>
        <v>0</v>
      </c>
      <c r="O478">
        <f t="shared" si="33"/>
        <v>6.0000000000002274E-2</v>
      </c>
      <c r="P478" s="10">
        <f t="shared" si="33"/>
        <v>0.32999999999999829</v>
      </c>
    </row>
    <row r="479" spans="1:16">
      <c r="A479">
        <v>114.5</v>
      </c>
      <c r="B479">
        <v>93.95</v>
      </c>
      <c r="C479">
        <v>94.84</v>
      </c>
      <c r="D479">
        <v>93.67</v>
      </c>
      <c r="E479">
        <v>91.34</v>
      </c>
      <c r="F479">
        <v>86.28</v>
      </c>
      <c r="G479">
        <v>88.56</v>
      </c>
      <c r="H479">
        <v>72.900000000000006</v>
      </c>
      <c r="K479" s="9">
        <f t="shared" si="32"/>
        <v>0</v>
      </c>
      <c r="L479">
        <f t="shared" si="32"/>
        <v>6.0000000000002274E-2</v>
      </c>
      <c r="M479">
        <f t="shared" si="32"/>
        <v>0</v>
      </c>
      <c r="N479">
        <f t="shared" si="32"/>
        <v>0</v>
      </c>
      <c r="O479">
        <f t="shared" si="33"/>
        <v>6.0000000000002274E-2</v>
      </c>
      <c r="P479" s="10">
        <f t="shared" si="33"/>
        <v>0.26999999999999602</v>
      </c>
    </row>
    <row r="480" spans="1:16">
      <c r="A480">
        <v>114.75</v>
      </c>
      <c r="B480">
        <v>94.01</v>
      </c>
      <c r="C480">
        <v>94.84</v>
      </c>
      <c r="D480">
        <v>93.62</v>
      </c>
      <c r="E480">
        <v>91.45</v>
      </c>
      <c r="F480">
        <v>86.28</v>
      </c>
      <c r="G480">
        <v>88.67</v>
      </c>
      <c r="H480">
        <v>73.010000000000005</v>
      </c>
      <c r="K480" s="9">
        <f t="shared" si="32"/>
        <v>0</v>
      </c>
      <c r="L480">
        <f t="shared" si="32"/>
        <v>0</v>
      </c>
      <c r="M480">
        <f t="shared" si="32"/>
        <v>-0.10999999999999943</v>
      </c>
      <c r="N480">
        <f t="shared" si="32"/>
        <v>0.12000000000000455</v>
      </c>
      <c r="O480">
        <f t="shared" si="33"/>
        <v>0.10999999999999943</v>
      </c>
      <c r="P480" s="10">
        <f t="shared" si="33"/>
        <v>0.10999999999999943</v>
      </c>
    </row>
    <row r="481" spans="1:16">
      <c r="A481">
        <v>115</v>
      </c>
      <c r="B481">
        <v>94.06</v>
      </c>
      <c r="C481">
        <v>94.9</v>
      </c>
      <c r="D481">
        <v>93.73</v>
      </c>
      <c r="E481">
        <v>91.34</v>
      </c>
      <c r="F481">
        <v>86.28</v>
      </c>
      <c r="G481">
        <v>88.62</v>
      </c>
      <c r="H481">
        <v>73.23</v>
      </c>
      <c r="K481" s="9">
        <f t="shared" si="32"/>
        <v>0</v>
      </c>
      <c r="L481">
        <f t="shared" si="32"/>
        <v>0.10999999999999943</v>
      </c>
      <c r="M481">
        <f t="shared" si="32"/>
        <v>0</v>
      </c>
      <c r="N481">
        <f t="shared" si="32"/>
        <v>0.17000000000000171</v>
      </c>
      <c r="O481">
        <f t="shared" si="33"/>
        <v>0.28000000000000114</v>
      </c>
      <c r="P481" s="10">
        <f t="shared" si="33"/>
        <v>0</v>
      </c>
    </row>
    <row r="482" spans="1:16">
      <c r="A482">
        <v>115.25</v>
      </c>
      <c r="B482">
        <v>94.06</v>
      </c>
      <c r="C482">
        <v>94.84</v>
      </c>
      <c r="D482">
        <v>93.73</v>
      </c>
      <c r="E482">
        <v>91.34</v>
      </c>
      <c r="F482">
        <v>86.28</v>
      </c>
      <c r="G482">
        <v>88.62</v>
      </c>
      <c r="H482">
        <v>73.17</v>
      </c>
      <c r="K482" s="9">
        <f t="shared" si="32"/>
        <v>6.0000000000002274E-2</v>
      </c>
      <c r="L482">
        <f t="shared" si="32"/>
        <v>0.17000000000000171</v>
      </c>
      <c r="M482">
        <f t="shared" si="32"/>
        <v>-6.0000000000002274E-2</v>
      </c>
      <c r="N482">
        <f t="shared" si="32"/>
        <v>0.12000000000000455</v>
      </c>
      <c r="O482">
        <f t="shared" si="33"/>
        <v>0.32999999999999829</v>
      </c>
      <c r="P482" s="10">
        <f t="shared" si="33"/>
        <v>6.0000000000002274E-2</v>
      </c>
    </row>
    <row r="483" spans="1:16">
      <c r="A483">
        <v>115.5</v>
      </c>
      <c r="B483">
        <v>94.12</v>
      </c>
      <c r="C483">
        <v>94.84</v>
      </c>
      <c r="D483">
        <v>93.62</v>
      </c>
      <c r="E483">
        <v>91.34</v>
      </c>
      <c r="F483">
        <v>86.4</v>
      </c>
      <c r="G483">
        <v>88.78</v>
      </c>
      <c r="H483">
        <v>73.12</v>
      </c>
      <c r="K483" s="9">
        <f t="shared" si="32"/>
        <v>6.0000000000002274E-2</v>
      </c>
      <c r="L483">
        <f t="shared" si="32"/>
        <v>4.9999999999997158E-2</v>
      </c>
      <c r="M483">
        <f t="shared" si="32"/>
        <v>0</v>
      </c>
      <c r="N483">
        <f t="shared" si="32"/>
        <v>4.9999999999997158E-2</v>
      </c>
      <c r="O483">
        <f t="shared" si="33"/>
        <v>0.23000000000000398</v>
      </c>
      <c r="P483" s="10">
        <f t="shared" si="33"/>
        <v>0.21999999999999886</v>
      </c>
    </row>
    <row r="484" spans="1:16">
      <c r="A484">
        <v>115.75</v>
      </c>
      <c r="B484">
        <v>94.23</v>
      </c>
      <c r="C484">
        <v>94.9</v>
      </c>
      <c r="D484">
        <v>93.84</v>
      </c>
      <c r="E484">
        <v>91.34</v>
      </c>
      <c r="F484">
        <v>86.45</v>
      </c>
      <c r="G484">
        <v>88.9</v>
      </c>
      <c r="H484">
        <v>73.23</v>
      </c>
      <c r="K484" s="9">
        <f t="shared" si="32"/>
        <v>0</v>
      </c>
      <c r="L484">
        <f t="shared" si="32"/>
        <v>-0.17000000000000171</v>
      </c>
      <c r="M484">
        <f t="shared" si="32"/>
        <v>-6.0000000000002274E-2</v>
      </c>
      <c r="N484">
        <f t="shared" si="32"/>
        <v>6.0000000000002274E-2</v>
      </c>
      <c r="O484">
        <f t="shared" si="33"/>
        <v>0.15999999999999659</v>
      </c>
      <c r="P484" s="10">
        <f t="shared" si="33"/>
        <v>0.17000000000000171</v>
      </c>
    </row>
    <row r="485" spans="1:16">
      <c r="A485">
        <v>116</v>
      </c>
      <c r="B485">
        <v>94.17</v>
      </c>
      <c r="C485">
        <v>94.9</v>
      </c>
      <c r="D485">
        <v>93.9</v>
      </c>
      <c r="E485">
        <v>91.28</v>
      </c>
      <c r="F485">
        <v>86.4</v>
      </c>
      <c r="G485">
        <v>88.95</v>
      </c>
      <c r="H485">
        <v>73.23</v>
      </c>
      <c r="K485" s="9">
        <f t="shared" si="32"/>
        <v>0</v>
      </c>
      <c r="L485">
        <f t="shared" si="32"/>
        <v>-0.17000000000000171</v>
      </c>
      <c r="M485">
        <f t="shared" si="32"/>
        <v>0</v>
      </c>
      <c r="N485">
        <f t="shared" si="32"/>
        <v>4.9999999999997158E-2</v>
      </c>
      <c r="O485">
        <f t="shared" si="33"/>
        <v>0.17000000000000171</v>
      </c>
      <c r="P485" s="10">
        <f t="shared" si="33"/>
        <v>0.21999999999999886</v>
      </c>
    </row>
    <row r="486" spans="1:16">
      <c r="A486">
        <v>116.25</v>
      </c>
      <c r="B486">
        <v>94.28</v>
      </c>
      <c r="C486">
        <v>94.9</v>
      </c>
      <c r="D486">
        <v>93.67</v>
      </c>
      <c r="E486">
        <v>91.34</v>
      </c>
      <c r="F486">
        <v>86.45</v>
      </c>
      <c r="G486">
        <v>89.01</v>
      </c>
      <c r="H486">
        <v>73.34</v>
      </c>
      <c r="K486" s="9">
        <f t="shared" si="32"/>
        <v>0</v>
      </c>
      <c r="L486">
        <f t="shared" si="32"/>
        <v>0</v>
      </c>
      <c r="M486">
        <f t="shared" si="32"/>
        <v>-6.0000000000002274E-2</v>
      </c>
      <c r="N486">
        <f t="shared" si="32"/>
        <v>6.0000000000002274E-2</v>
      </c>
      <c r="O486">
        <f t="shared" si="33"/>
        <v>0.21999999999999886</v>
      </c>
      <c r="P486" s="10">
        <f t="shared" si="33"/>
        <v>6.0000000000002274E-2</v>
      </c>
    </row>
    <row r="487" spans="1:16">
      <c r="A487">
        <v>116.5</v>
      </c>
      <c r="B487">
        <v>94.34</v>
      </c>
      <c r="C487">
        <v>94.9</v>
      </c>
      <c r="D487">
        <v>93.67</v>
      </c>
      <c r="E487">
        <v>91.28</v>
      </c>
      <c r="F487">
        <v>86.51</v>
      </c>
      <c r="G487">
        <v>89.06</v>
      </c>
      <c r="H487">
        <v>73.400000000000006</v>
      </c>
      <c r="K487" s="9">
        <f t="shared" si="32"/>
        <v>0</v>
      </c>
      <c r="L487">
        <f t="shared" si="32"/>
        <v>0</v>
      </c>
      <c r="M487">
        <f t="shared" si="32"/>
        <v>6.0000000000002274E-2</v>
      </c>
      <c r="N487">
        <f t="shared" si="32"/>
        <v>0.10999999999999943</v>
      </c>
      <c r="O487">
        <f t="shared" si="33"/>
        <v>0.21999999999999886</v>
      </c>
      <c r="P487" s="10">
        <f t="shared" si="33"/>
        <v>0.10999999999999943</v>
      </c>
    </row>
    <row r="488" spans="1:16">
      <c r="A488">
        <v>116.75</v>
      </c>
      <c r="B488">
        <v>94.28</v>
      </c>
      <c r="C488">
        <v>94.9</v>
      </c>
      <c r="D488">
        <v>93.73</v>
      </c>
      <c r="E488">
        <v>91.28</v>
      </c>
      <c r="F488">
        <v>86.45</v>
      </c>
      <c r="G488">
        <v>89.12</v>
      </c>
      <c r="H488">
        <v>73.45</v>
      </c>
      <c r="K488" s="9">
        <f t="shared" si="32"/>
        <v>4.9999999999997158E-2</v>
      </c>
      <c r="L488">
        <f t="shared" si="32"/>
        <v>4.9999999999997158E-2</v>
      </c>
      <c r="M488">
        <f t="shared" si="32"/>
        <v>0</v>
      </c>
      <c r="N488">
        <f t="shared" si="32"/>
        <v>0.21999999999999886</v>
      </c>
      <c r="O488">
        <f t="shared" si="33"/>
        <v>0.32999999999999829</v>
      </c>
      <c r="P488" s="10">
        <f t="shared" si="33"/>
        <v>6.0000000000002274E-2</v>
      </c>
    </row>
    <row r="489" spans="1:16">
      <c r="A489">
        <v>117</v>
      </c>
      <c r="B489">
        <v>94.34</v>
      </c>
      <c r="C489">
        <v>94.9</v>
      </c>
      <c r="D489">
        <v>93.67</v>
      </c>
      <c r="E489">
        <v>91.28</v>
      </c>
      <c r="F489">
        <v>86.51</v>
      </c>
      <c r="G489">
        <v>89.23</v>
      </c>
      <c r="H489">
        <v>73.400000000000006</v>
      </c>
      <c r="K489" s="9">
        <f t="shared" si="32"/>
        <v>0.10999999999999943</v>
      </c>
      <c r="L489">
        <f t="shared" si="32"/>
        <v>0.28000000000000114</v>
      </c>
      <c r="M489">
        <f t="shared" si="32"/>
        <v>0</v>
      </c>
      <c r="N489">
        <f t="shared" si="32"/>
        <v>0.10999999999999943</v>
      </c>
      <c r="O489">
        <f t="shared" si="33"/>
        <v>0.28000000000000114</v>
      </c>
      <c r="P489" s="10">
        <f t="shared" si="33"/>
        <v>0.15999999999999659</v>
      </c>
    </row>
    <row r="490" spans="1:16">
      <c r="A490">
        <v>117.25</v>
      </c>
      <c r="B490">
        <v>94.4</v>
      </c>
      <c r="C490">
        <v>94.9</v>
      </c>
      <c r="D490">
        <v>93.67</v>
      </c>
      <c r="E490">
        <v>91.34</v>
      </c>
      <c r="F490">
        <v>86.62</v>
      </c>
      <c r="G490">
        <v>89.28</v>
      </c>
      <c r="H490">
        <v>73.510000000000005</v>
      </c>
      <c r="K490" s="9">
        <f t="shared" si="32"/>
        <v>0.15999999999999659</v>
      </c>
      <c r="L490">
        <f t="shared" si="32"/>
        <v>0.39000000000000057</v>
      </c>
      <c r="M490">
        <f t="shared" si="32"/>
        <v>0</v>
      </c>
      <c r="N490">
        <f t="shared" si="32"/>
        <v>4.9999999999997158E-2</v>
      </c>
      <c r="O490">
        <f t="shared" si="33"/>
        <v>0.39000000000000057</v>
      </c>
      <c r="P490" s="10">
        <f t="shared" si="33"/>
        <v>4.9999999999997158E-2</v>
      </c>
    </row>
    <row r="491" spans="1:16">
      <c r="A491">
        <v>117.5</v>
      </c>
      <c r="B491">
        <v>94.56</v>
      </c>
      <c r="C491">
        <v>94.95</v>
      </c>
      <c r="D491">
        <v>93.78</v>
      </c>
      <c r="E491">
        <v>91.28</v>
      </c>
      <c r="F491">
        <v>86.67</v>
      </c>
      <c r="G491">
        <v>89.45</v>
      </c>
      <c r="H491">
        <v>73.510000000000005</v>
      </c>
      <c r="K491" s="9">
        <f t="shared" si="32"/>
        <v>0</v>
      </c>
      <c r="L491">
        <f t="shared" si="32"/>
        <v>0.17000000000000171</v>
      </c>
      <c r="M491">
        <f t="shared" si="32"/>
        <v>6.0000000000002274E-2</v>
      </c>
      <c r="N491">
        <f t="shared" si="32"/>
        <v>-4.9999999999997158E-2</v>
      </c>
      <c r="O491">
        <f t="shared" si="33"/>
        <v>0.28000000000000114</v>
      </c>
      <c r="P491" s="10">
        <f t="shared" si="33"/>
        <v>0.15999999999999659</v>
      </c>
    </row>
    <row r="492" spans="1:16">
      <c r="A492">
        <v>117.75</v>
      </c>
      <c r="B492">
        <v>94.56</v>
      </c>
      <c r="C492">
        <v>95.01</v>
      </c>
      <c r="D492">
        <v>93.95</v>
      </c>
      <c r="E492">
        <v>91.28</v>
      </c>
      <c r="F492">
        <v>86.62</v>
      </c>
      <c r="G492">
        <v>89.51</v>
      </c>
      <c r="H492">
        <v>73.56</v>
      </c>
      <c r="K492" s="9">
        <f t="shared" si="32"/>
        <v>0</v>
      </c>
      <c r="L492">
        <f t="shared" si="32"/>
        <v>-4.9999999999997158E-2</v>
      </c>
      <c r="M492">
        <f t="shared" si="32"/>
        <v>0.12000000000000455</v>
      </c>
      <c r="N492">
        <f t="shared" si="32"/>
        <v>0.10999999999999943</v>
      </c>
      <c r="O492">
        <f t="shared" si="33"/>
        <v>0.32999999999999829</v>
      </c>
      <c r="P492" s="10">
        <f t="shared" si="33"/>
        <v>6.0000000000002274E-2</v>
      </c>
    </row>
    <row r="493" spans="1:16">
      <c r="A493">
        <v>118</v>
      </c>
      <c r="B493">
        <v>94.62</v>
      </c>
      <c r="C493">
        <v>95.06</v>
      </c>
      <c r="D493">
        <v>94.06</v>
      </c>
      <c r="E493">
        <v>91.34</v>
      </c>
      <c r="F493">
        <v>86.67</v>
      </c>
      <c r="G493">
        <v>89.67</v>
      </c>
      <c r="H493">
        <v>73.56</v>
      </c>
      <c r="K493" s="9">
        <f t="shared" si="32"/>
        <v>-4.9999999999997158E-2</v>
      </c>
      <c r="L493">
        <f t="shared" si="32"/>
        <v>-4.9999999999997158E-2</v>
      </c>
      <c r="M493">
        <f t="shared" si="32"/>
        <v>0</v>
      </c>
      <c r="N493">
        <f t="shared" si="32"/>
        <v>0.10999999999999943</v>
      </c>
      <c r="O493">
        <f t="shared" si="33"/>
        <v>0.39000000000000057</v>
      </c>
      <c r="P493" s="10">
        <f t="shared" si="33"/>
        <v>0.17000000000000171</v>
      </c>
    </row>
    <row r="494" spans="1:16">
      <c r="A494">
        <v>118.25</v>
      </c>
      <c r="B494">
        <v>94.62</v>
      </c>
      <c r="C494">
        <v>94.95</v>
      </c>
      <c r="D494">
        <v>93.95</v>
      </c>
      <c r="E494">
        <v>91.34</v>
      </c>
      <c r="F494">
        <v>86.62</v>
      </c>
      <c r="G494">
        <v>89.73</v>
      </c>
      <c r="H494">
        <v>73.67</v>
      </c>
      <c r="K494" s="9">
        <f t="shared" si="32"/>
        <v>0</v>
      </c>
      <c r="L494">
        <f t="shared" si="32"/>
        <v>0.10999999999999943</v>
      </c>
      <c r="M494">
        <f t="shared" si="32"/>
        <v>6.0000000000002274E-2</v>
      </c>
      <c r="N494">
        <f t="shared" si="32"/>
        <v>0.15999999999999659</v>
      </c>
      <c r="O494">
        <f t="shared" si="33"/>
        <v>0.43999999999999773</v>
      </c>
      <c r="P494" s="10">
        <f t="shared" si="33"/>
        <v>6.0000000000002274E-2</v>
      </c>
    </row>
    <row r="495" spans="1:16">
      <c r="A495">
        <v>118.5</v>
      </c>
      <c r="B495">
        <v>94.73</v>
      </c>
      <c r="C495">
        <v>95.01</v>
      </c>
      <c r="D495">
        <v>93.9</v>
      </c>
      <c r="E495">
        <v>91.4</v>
      </c>
      <c r="F495">
        <v>86.73</v>
      </c>
      <c r="G495">
        <v>89.84</v>
      </c>
      <c r="H495">
        <v>73.62</v>
      </c>
      <c r="K495" s="9">
        <f t="shared" si="32"/>
        <v>0</v>
      </c>
      <c r="L495">
        <f t="shared" si="32"/>
        <v>0.60999999999999943</v>
      </c>
      <c r="M495">
        <f t="shared" si="32"/>
        <v>-6.0000000000002274E-2</v>
      </c>
      <c r="N495">
        <f t="shared" si="32"/>
        <v>0.10999999999999943</v>
      </c>
      <c r="O495">
        <f t="shared" si="33"/>
        <v>0.39000000000000057</v>
      </c>
      <c r="P495" s="10">
        <f t="shared" si="33"/>
        <v>0.15999999999999659</v>
      </c>
    </row>
    <row r="496" spans="1:16">
      <c r="A496">
        <v>118.75</v>
      </c>
      <c r="B496">
        <v>94.84</v>
      </c>
      <c r="C496">
        <v>95.01</v>
      </c>
      <c r="D496">
        <v>94.01</v>
      </c>
      <c r="E496">
        <v>91.34</v>
      </c>
      <c r="F496">
        <v>86.78</v>
      </c>
      <c r="G496">
        <v>90.06</v>
      </c>
      <c r="H496">
        <v>73.73</v>
      </c>
      <c r="K496" s="9">
        <f t="shared" si="32"/>
        <v>0</v>
      </c>
      <c r="L496">
        <f t="shared" si="32"/>
        <v>0.60999999999999943</v>
      </c>
      <c r="M496">
        <f t="shared" si="32"/>
        <v>6.0000000000002274E-2</v>
      </c>
      <c r="N496">
        <f t="shared" si="32"/>
        <v>0.17000000000000171</v>
      </c>
      <c r="O496">
        <f t="shared" si="33"/>
        <v>0.34000000000000341</v>
      </c>
      <c r="P496" s="10">
        <f t="shared" si="33"/>
        <v>4.9999999999997158E-2</v>
      </c>
    </row>
    <row r="497" spans="1:16">
      <c r="A497">
        <v>119</v>
      </c>
      <c r="B497">
        <v>94.78</v>
      </c>
      <c r="C497">
        <v>94.95</v>
      </c>
      <c r="D497">
        <v>94.06</v>
      </c>
      <c r="E497">
        <v>91.4</v>
      </c>
      <c r="F497">
        <v>86.78</v>
      </c>
      <c r="G497">
        <v>90.17</v>
      </c>
      <c r="H497">
        <v>73.73</v>
      </c>
      <c r="K497" s="9">
        <f t="shared" si="32"/>
        <v>0.10999999999999943</v>
      </c>
      <c r="L497">
        <f t="shared" si="32"/>
        <v>0.39000000000000057</v>
      </c>
      <c r="M497">
        <f t="shared" si="32"/>
        <v>0</v>
      </c>
      <c r="N497">
        <f t="shared" si="32"/>
        <v>0.17000000000000171</v>
      </c>
      <c r="O497">
        <f t="shared" si="33"/>
        <v>0.23000000000000398</v>
      </c>
      <c r="P497" s="10">
        <f t="shared" si="33"/>
        <v>4.9999999999997158E-2</v>
      </c>
    </row>
    <row r="498" spans="1:16">
      <c r="A498">
        <v>119.25</v>
      </c>
      <c r="B498">
        <v>94.95</v>
      </c>
      <c r="C498">
        <v>95.01</v>
      </c>
      <c r="D498">
        <v>94.51</v>
      </c>
      <c r="E498">
        <v>91.34</v>
      </c>
      <c r="F498">
        <v>86.84</v>
      </c>
      <c r="G498">
        <v>90.23</v>
      </c>
      <c r="H498">
        <v>73.78</v>
      </c>
      <c r="K498" s="9">
        <f t="shared" si="32"/>
        <v>-6.0000000000002274E-2</v>
      </c>
      <c r="L498">
        <f t="shared" si="32"/>
        <v>4.9999999999997158E-2</v>
      </c>
      <c r="M498">
        <f t="shared" si="32"/>
        <v>0.10999999999999943</v>
      </c>
      <c r="N498">
        <f t="shared" si="32"/>
        <v>0.10999999999999943</v>
      </c>
      <c r="O498">
        <f t="shared" si="33"/>
        <v>0.28000000000000114</v>
      </c>
      <c r="P498" s="10">
        <f t="shared" si="33"/>
        <v>0.12000000000000455</v>
      </c>
    </row>
    <row r="499" spans="1:16">
      <c r="A499">
        <v>119.5</v>
      </c>
      <c r="B499">
        <v>94.9</v>
      </c>
      <c r="C499">
        <v>95.01</v>
      </c>
      <c r="D499">
        <v>94.62</v>
      </c>
      <c r="E499">
        <v>91.4</v>
      </c>
      <c r="F499">
        <v>86.95</v>
      </c>
      <c r="G499">
        <v>90.4</v>
      </c>
      <c r="H499">
        <v>73.78</v>
      </c>
      <c r="K499" s="9">
        <f t="shared" si="32"/>
        <v>0</v>
      </c>
      <c r="L499">
        <f t="shared" si="32"/>
        <v>-6.0000000000002274E-2</v>
      </c>
      <c r="M499">
        <f t="shared" si="32"/>
        <v>4.9999999999997158E-2</v>
      </c>
      <c r="N499">
        <f t="shared" si="32"/>
        <v>6.0000000000002274E-2</v>
      </c>
      <c r="O499">
        <f t="shared" si="33"/>
        <v>0.10999999999999943</v>
      </c>
      <c r="P499" s="10">
        <f t="shared" si="33"/>
        <v>0.17000000000000171</v>
      </c>
    </row>
    <row r="500" spans="1:16">
      <c r="A500">
        <v>119.75</v>
      </c>
      <c r="B500">
        <v>94.95</v>
      </c>
      <c r="C500">
        <v>95.06</v>
      </c>
      <c r="D500">
        <v>94.45</v>
      </c>
      <c r="E500">
        <v>91.4</v>
      </c>
      <c r="F500">
        <v>86.95</v>
      </c>
      <c r="G500">
        <v>90.4</v>
      </c>
      <c r="H500">
        <v>73.78</v>
      </c>
      <c r="K500" s="9">
        <f t="shared" si="32"/>
        <v>-0.10999999999999943</v>
      </c>
      <c r="L500">
        <f t="shared" si="32"/>
        <v>0.82999999999999829</v>
      </c>
      <c r="M500">
        <f t="shared" si="32"/>
        <v>0.10999999999999943</v>
      </c>
      <c r="N500">
        <f t="shared" si="32"/>
        <v>0.17000000000000171</v>
      </c>
      <c r="O500">
        <f t="shared" si="33"/>
        <v>0.37999999999999545</v>
      </c>
      <c r="P500" s="10">
        <f t="shared" si="33"/>
        <v>0.45000000000000284</v>
      </c>
    </row>
    <row r="501" spans="1:16">
      <c r="A501">
        <v>120</v>
      </c>
      <c r="B501">
        <v>95.01</v>
      </c>
      <c r="C501">
        <v>94.95</v>
      </c>
      <c r="D501">
        <v>94.56</v>
      </c>
      <c r="E501">
        <v>91.45</v>
      </c>
      <c r="F501">
        <v>86.95</v>
      </c>
      <c r="G501">
        <v>90.51</v>
      </c>
      <c r="H501">
        <v>73.900000000000006</v>
      </c>
      <c r="K501" s="9">
        <f t="shared" si="32"/>
        <v>6.0000000000002274E-2</v>
      </c>
      <c r="L501">
        <f t="shared" si="32"/>
        <v>1</v>
      </c>
      <c r="M501">
        <f t="shared" si="32"/>
        <v>-0.10999999999999943</v>
      </c>
      <c r="N501">
        <f t="shared" si="32"/>
        <v>0.17000000000000171</v>
      </c>
      <c r="O501">
        <f t="shared" si="33"/>
        <v>0.43999999999999773</v>
      </c>
      <c r="P501" s="10">
        <f t="shared" si="33"/>
        <v>0.37999999999999545</v>
      </c>
    </row>
    <row r="502" spans="1:16">
      <c r="A502">
        <v>120.25</v>
      </c>
      <c r="B502">
        <v>95.06</v>
      </c>
      <c r="C502">
        <v>95.01</v>
      </c>
      <c r="D502">
        <v>94.56</v>
      </c>
      <c r="E502">
        <v>91.45</v>
      </c>
      <c r="F502">
        <v>87.01</v>
      </c>
      <c r="G502">
        <v>90.51</v>
      </c>
      <c r="H502">
        <v>73.95</v>
      </c>
      <c r="K502" s="9">
        <f t="shared" si="32"/>
        <v>-6.0000000000002274E-2</v>
      </c>
      <c r="L502">
        <f t="shared" si="32"/>
        <v>0.78000000000000114</v>
      </c>
      <c r="M502">
        <f t="shared" si="32"/>
        <v>6.0000000000002274E-2</v>
      </c>
      <c r="N502">
        <f t="shared" si="32"/>
        <v>0.21999999999999886</v>
      </c>
      <c r="O502">
        <f t="shared" si="33"/>
        <v>0.54999999999999716</v>
      </c>
      <c r="P502" s="10">
        <f t="shared" si="33"/>
        <v>0.39000000000000057</v>
      </c>
    </row>
    <row r="503" spans="1:16">
      <c r="A503">
        <v>120.5</v>
      </c>
      <c r="B503">
        <v>95.17</v>
      </c>
      <c r="C503">
        <v>94.95</v>
      </c>
      <c r="D503">
        <v>95.28</v>
      </c>
      <c r="E503">
        <v>91.51</v>
      </c>
      <c r="F503">
        <v>87.12</v>
      </c>
      <c r="G503">
        <v>90.78</v>
      </c>
      <c r="H503">
        <v>74.23</v>
      </c>
      <c r="K503" s="9">
        <f t="shared" si="32"/>
        <v>-4.9999999999997158E-2</v>
      </c>
      <c r="L503">
        <f t="shared" si="32"/>
        <v>-0.15999999999999659</v>
      </c>
      <c r="M503">
        <f t="shared" si="32"/>
        <v>0</v>
      </c>
      <c r="N503">
        <f t="shared" si="32"/>
        <v>0.15999999999999659</v>
      </c>
      <c r="O503">
        <f t="shared" si="33"/>
        <v>0.34000000000000341</v>
      </c>
      <c r="P503" s="10">
        <f t="shared" si="33"/>
        <v>0.17000000000000171</v>
      </c>
    </row>
    <row r="504" spans="1:16">
      <c r="A504">
        <v>120.75</v>
      </c>
      <c r="B504">
        <v>95.23</v>
      </c>
      <c r="C504">
        <v>95.01</v>
      </c>
      <c r="D504">
        <v>95.56</v>
      </c>
      <c r="E504">
        <v>91.34</v>
      </c>
      <c r="F504">
        <v>87.12</v>
      </c>
      <c r="G504">
        <v>90.95</v>
      </c>
      <c r="H504">
        <v>74.28</v>
      </c>
      <c r="K504" s="9">
        <f t="shared" si="32"/>
        <v>-6.0000000000002274E-2</v>
      </c>
      <c r="L504">
        <f t="shared" si="32"/>
        <v>6.0000000000002274E-2</v>
      </c>
      <c r="M504">
        <f t="shared" si="32"/>
        <v>0.21999999999999886</v>
      </c>
      <c r="N504">
        <f t="shared" si="32"/>
        <v>0.32999999999999829</v>
      </c>
      <c r="O504">
        <f t="shared" si="33"/>
        <v>0.67000000000000171</v>
      </c>
      <c r="P504" s="10">
        <f t="shared" si="33"/>
        <v>0.12000000000000455</v>
      </c>
    </row>
    <row r="505" spans="1:16">
      <c r="A505">
        <v>121</v>
      </c>
      <c r="B505">
        <v>95.28</v>
      </c>
      <c r="C505">
        <v>94.95</v>
      </c>
      <c r="D505">
        <v>95.34</v>
      </c>
      <c r="E505">
        <v>91.51</v>
      </c>
      <c r="F505">
        <v>87.23</v>
      </c>
      <c r="G505">
        <v>91.06</v>
      </c>
      <c r="H505">
        <v>74.34</v>
      </c>
      <c r="K505" s="9">
        <f t="shared" si="32"/>
        <v>-4.9999999999997158E-2</v>
      </c>
      <c r="L505">
        <f t="shared" si="32"/>
        <v>0.43999999999999773</v>
      </c>
      <c r="M505">
        <f t="shared" si="32"/>
        <v>-6.0000000000002274E-2</v>
      </c>
      <c r="N505">
        <f t="shared" si="32"/>
        <v>0.21999999999999886</v>
      </c>
      <c r="O505">
        <f t="shared" si="33"/>
        <v>0.56000000000000227</v>
      </c>
      <c r="P505" s="10">
        <f t="shared" si="33"/>
        <v>0.10999999999999943</v>
      </c>
    </row>
    <row r="506" spans="1:16">
      <c r="A506">
        <v>121.25</v>
      </c>
      <c r="B506">
        <v>95.28</v>
      </c>
      <c r="C506">
        <v>94.9</v>
      </c>
      <c r="D506">
        <v>95.12</v>
      </c>
      <c r="E506">
        <v>91.51</v>
      </c>
      <c r="F506">
        <v>87.28</v>
      </c>
      <c r="G506">
        <v>91.12</v>
      </c>
      <c r="H506">
        <v>74.400000000000006</v>
      </c>
      <c r="K506" s="9">
        <f t="shared" si="32"/>
        <v>-6.0000000000002274E-2</v>
      </c>
      <c r="L506">
        <f t="shared" si="32"/>
        <v>0.71999999999999886</v>
      </c>
      <c r="M506">
        <f t="shared" si="32"/>
        <v>4.9999999999997158E-2</v>
      </c>
      <c r="N506">
        <f t="shared" si="32"/>
        <v>0.23000000000000398</v>
      </c>
      <c r="O506">
        <f t="shared" si="33"/>
        <v>0.78000000000000114</v>
      </c>
      <c r="P506" s="10">
        <f t="shared" si="33"/>
        <v>0.10999999999999943</v>
      </c>
    </row>
    <row r="507" spans="1:16">
      <c r="A507">
        <v>121.5</v>
      </c>
      <c r="B507">
        <v>95.28</v>
      </c>
      <c r="C507">
        <v>94.95</v>
      </c>
      <c r="D507">
        <v>95.62</v>
      </c>
      <c r="E507">
        <v>91.56</v>
      </c>
      <c r="F507">
        <v>87.45</v>
      </c>
      <c r="G507">
        <v>91.62</v>
      </c>
      <c r="H507">
        <v>74.400000000000006</v>
      </c>
      <c r="K507" s="9">
        <f t="shared" si="32"/>
        <v>-0.10999999999999943</v>
      </c>
      <c r="L507">
        <f t="shared" si="32"/>
        <v>0.54999999999999716</v>
      </c>
      <c r="M507">
        <f t="shared" si="32"/>
        <v>0.10999999999999943</v>
      </c>
      <c r="N507">
        <f t="shared" si="32"/>
        <v>0.17000000000000171</v>
      </c>
      <c r="O507">
        <f t="shared" si="33"/>
        <v>0.32999999999999829</v>
      </c>
      <c r="P507" s="10">
        <f t="shared" si="33"/>
        <v>0.15999999999999659</v>
      </c>
    </row>
    <row r="508" spans="1:16">
      <c r="A508">
        <v>121.75</v>
      </c>
      <c r="B508">
        <v>95.4</v>
      </c>
      <c r="C508">
        <v>94.9</v>
      </c>
      <c r="D508">
        <v>95.78</v>
      </c>
      <c r="E508">
        <v>91.45</v>
      </c>
      <c r="F508">
        <v>87.45</v>
      </c>
      <c r="G508">
        <v>91.62</v>
      </c>
      <c r="H508">
        <v>74.45</v>
      </c>
      <c r="K508" s="9">
        <f t="shared" si="32"/>
        <v>0</v>
      </c>
      <c r="L508">
        <f t="shared" si="32"/>
        <v>0.28000000000000114</v>
      </c>
      <c r="M508">
        <f t="shared" si="32"/>
        <v>0.21999999999999886</v>
      </c>
      <c r="N508">
        <f t="shared" si="32"/>
        <v>0.21999999999999886</v>
      </c>
      <c r="O508">
        <f t="shared" si="33"/>
        <v>0.5</v>
      </c>
      <c r="P508" s="10">
        <f t="shared" si="33"/>
        <v>0.10999999999999943</v>
      </c>
    </row>
    <row r="509" spans="1:16">
      <c r="A509">
        <v>122</v>
      </c>
      <c r="B509">
        <v>95.4</v>
      </c>
      <c r="C509">
        <v>94.84</v>
      </c>
      <c r="D509">
        <v>95.84</v>
      </c>
      <c r="E509">
        <v>91.56</v>
      </c>
      <c r="F509">
        <v>87.51</v>
      </c>
      <c r="G509">
        <v>91.9</v>
      </c>
      <c r="H509">
        <v>74.510000000000005</v>
      </c>
      <c r="K509" s="9">
        <f t="shared" si="32"/>
        <v>0</v>
      </c>
      <c r="L509">
        <f t="shared" si="32"/>
        <v>0.43999999999999773</v>
      </c>
      <c r="M509">
        <f t="shared" si="32"/>
        <v>0.10999999999999943</v>
      </c>
      <c r="N509">
        <f t="shared" si="32"/>
        <v>0.32999999999999829</v>
      </c>
      <c r="O509">
        <f t="shared" si="33"/>
        <v>0.32999999999999829</v>
      </c>
      <c r="P509" s="10">
        <f t="shared" si="33"/>
        <v>0.15999999999999659</v>
      </c>
    </row>
    <row r="510" spans="1:16">
      <c r="A510">
        <v>122.25</v>
      </c>
      <c r="B510">
        <v>95.56</v>
      </c>
      <c r="C510">
        <v>94.84</v>
      </c>
      <c r="D510">
        <v>96.17</v>
      </c>
      <c r="E510">
        <v>91.67</v>
      </c>
      <c r="F510">
        <v>87.62</v>
      </c>
      <c r="G510">
        <v>91.95</v>
      </c>
      <c r="H510">
        <v>74.56</v>
      </c>
      <c r="K510" s="9">
        <f t="shared" si="32"/>
        <v>0</v>
      </c>
      <c r="L510">
        <f t="shared" si="32"/>
        <v>0</v>
      </c>
      <c r="M510">
        <f t="shared" si="32"/>
        <v>6.0000000000002274E-2</v>
      </c>
      <c r="N510">
        <f t="shared" si="32"/>
        <v>0.15999999999999659</v>
      </c>
      <c r="O510">
        <f t="shared" si="33"/>
        <v>0.28000000000000114</v>
      </c>
      <c r="P510" s="10">
        <f t="shared" si="33"/>
        <v>0.17000000000000171</v>
      </c>
    </row>
    <row r="511" spans="1:16">
      <c r="A511">
        <v>122.5</v>
      </c>
      <c r="B511">
        <v>95.56</v>
      </c>
      <c r="C511">
        <v>94.9</v>
      </c>
      <c r="D511">
        <v>96.06</v>
      </c>
      <c r="E511">
        <v>91.67</v>
      </c>
      <c r="F511">
        <v>87.67</v>
      </c>
      <c r="G511">
        <v>92.12</v>
      </c>
      <c r="H511">
        <v>74.56</v>
      </c>
      <c r="K511" s="9">
        <f t="shared" si="32"/>
        <v>-6.0000000000002274E-2</v>
      </c>
      <c r="L511">
        <f t="shared" si="32"/>
        <v>0.34000000000000341</v>
      </c>
      <c r="M511">
        <f t="shared" si="32"/>
        <v>0.10999999999999943</v>
      </c>
      <c r="N511">
        <f t="shared" si="32"/>
        <v>0.34000000000000341</v>
      </c>
      <c r="O511">
        <f t="shared" si="33"/>
        <v>0.21999999999999886</v>
      </c>
      <c r="P511" s="10">
        <f t="shared" si="33"/>
        <v>0.21999999999999886</v>
      </c>
    </row>
    <row r="512" spans="1:16">
      <c r="A512">
        <v>122.75</v>
      </c>
      <c r="B512">
        <v>95.62</v>
      </c>
      <c r="C512">
        <v>94.84</v>
      </c>
      <c r="D512">
        <v>96.28</v>
      </c>
      <c r="E512">
        <v>91.67</v>
      </c>
      <c r="F512">
        <v>87.84</v>
      </c>
      <c r="G512">
        <v>92.23</v>
      </c>
      <c r="H512">
        <v>74.67</v>
      </c>
      <c r="K512" s="9">
        <f t="shared" si="32"/>
        <v>-6.0000000000002274E-2</v>
      </c>
      <c r="L512">
        <f t="shared" si="32"/>
        <v>0.5</v>
      </c>
      <c r="M512">
        <f t="shared" si="32"/>
        <v>0.17000000000000171</v>
      </c>
      <c r="N512">
        <f t="shared" si="32"/>
        <v>0.17000000000000171</v>
      </c>
      <c r="O512">
        <f t="shared" si="33"/>
        <v>0.21999999999999886</v>
      </c>
      <c r="P512" s="10">
        <f t="shared" si="33"/>
        <v>6.0000000000002274E-2</v>
      </c>
    </row>
    <row r="513" spans="1:16">
      <c r="A513">
        <v>123</v>
      </c>
      <c r="B513">
        <v>95.67</v>
      </c>
      <c r="C513">
        <v>94.84</v>
      </c>
      <c r="D513">
        <v>96.17</v>
      </c>
      <c r="E513">
        <v>91.73</v>
      </c>
      <c r="F513">
        <v>87.78</v>
      </c>
      <c r="G513">
        <v>92.23</v>
      </c>
      <c r="H513">
        <v>74.73</v>
      </c>
      <c r="K513" s="9">
        <f t="shared" si="32"/>
        <v>-0.10999999999999943</v>
      </c>
      <c r="L513">
        <f t="shared" si="32"/>
        <v>0.84000000000000341</v>
      </c>
      <c r="M513">
        <f t="shared" si="32"/>
        <v>0.10999999999999943</v>
      </c>
      <c r="N513">
        <f t="shared" si="32"/>
        <v>0.28000000000000114</v>
      </c>
      <c r="O513">
        <f t="shared" si="33"/>
        <v>0.32999999999999829</v>
      </c>
      <c r="P513" s="10">
        <f t="shared" si="33"/>
        <v>0.10999999999999943</v>
      </c>
    </row>
    <row r="514" spans="1:16">
      <c r="A514">
        <v>123.25</v>
      </c>
      <c r="B514">
        <v>95.62</v>
      </c>
      <c r="C514">
        <v>94.84</v>
      </c>
      <c r="D514">
        <v>96.4</v>
      </c>
      <c r="E514">
        <v>91.78</v>
      </c>
      <c r="F514">
        <v>88.01</v>
      </c>
      <c r="G514">
        <v>92.34</v>
      </c>
      <c r="H514">
        <v>74.78</v>
      </c>
      <c r="K514" s="9">
        <f t="shared" si="32"/>
        <v>-0.10999999999999943</v>
      </c>
      <c r="L514">
        <f t="shared" si="32"/>
        <v>0.76999999999999602</v>
      </c>
      <c r="M514">
        <f t="shared" si="32"/>
        <v>6.0000000000002274E-2</v>
      </c>
      <c r="N514">
        <f t="shared" si="32"/>
        <v>0.21999999999999886</v>
      </c>
      <c r="O514">
        <f t="shared" si="33"/>
        <v>0.28000000000000114</v>
      </c>
      <c r="P514" s="10">
        <f t="shared" si="33"/>
        <v>0.17000000000000171</v>
      </c>
    </row>
    <row r="515" spans="1:16">
      <c r="A515">
        <v>123.5</v>
      </c>
      <c r="B515">
        <v>95.73</v>
      </c>
      <c r="C515">
        <v>94.78</v>
      </c>
      <c r="D515">
        <v>96.78</v>
      </c>
      <c r="E515">
        <v>91.84</v>
      </c>
      <c r="F515">
        <v>88.01</v>
      </c>
      <c r="G515">
        <v>92.45</v>
      </c>
      <c r="H515">
        <v>74.73</v>
      </c>
      <c r="K515" s="9">
        <f t="shared" si="32"/>
        <v>-0.10999999999999943</v>
      </c>
      <c r="L515">
        <f t="shared" si="32"/>
        <v>0.73000000000000398</v>
      </c>
      <c r="M515">
        <f t="shared" si="32"/>
        <v>0.10999999999999943</v>
      </c>
      <c r="N515">
        <f t="shared" si="32"/>
        <v>0.32999999999999829</v>
      </c>
      <c r="O515">
        <f t="shared" si="33"/>
        <v>0.17000000000000171</v>
      </c>
      <c r="P515" s="10">
        <f t="shared" si="33"/>
        <v>0.39000000000000057</v>
      </c>
    </row>
    <row r="516" spans="1:16">
      <c r="A516">
        <v>123.75</v>
      </c>
      <c r="B516">
        <v>95.84</v>
      </c>
      <c r="C516">
        <v>94.73</v>
      </c>
      <c r="D516">
        <v>97.01</v>
      </c>
      <c r="E516">
        <v>91.84</v>
      </c>
      <c r="F516">
        <v>88.06</v>
      </c>
      <c r="G516">
        <v>92.56</v>
      </c>
      <c r="H516">
        <v>74.84</v>
      </c>
      <c r="K516" s="9">
        <f t="shared" si="32"/>
        <v>4.9999999999997158E-2</v>
      </c>
      <c r="L516">
        <f t="shared" si="32"/>
        <v>0.65999999999999659</v>
      </c>
      <c r="M516">
        <f t="shared" si="32"/>
        <v>0.10999999999999943</v>
      </c>
      <c r="N516">
        <f t="shared" si="32"/>
        <v>0.28000000000000114</v>
      </c>
      <c r="O516">
        <f t="shared" si="33"/>
        <v>6.0000000000002274E-2</v>
      </c>
      <c r="P516" s="10">
        <f t="shared" si="33"/>
        <v>0.28000000000000114</v>
      </c>
    </row>
    <row r="517" spans="1:16">
      <c r="A517">
        <v>124</v>
      </c>
      <c r="B517">
        <v>95.9</v>
      </c>
      <c r="C517">
        <v>94.73</v>
      </c>
      <c r="D517">
        <v>97.17</v>
      </c>
      <c r="E517">
        <v>91.84</v>
      </c>
      <c r="F517">
        <v>88.23</v>
      </c>
      <c r="G517">
        <v>92.62</v>
      </c>
      <c r="H517">
        <v>74.95</v>
      </c>
      <c r="K517" s="9">
        <f t="shared" si="32"/>
        <v>4.9999999999997158E-2</v>
      </c>
      <c r="L517">
        <f t="shared" si="32"/>
        <v>0.95000000000000284</v>
      </c>
      <c r="M517">
        <f t="shared" si="32"/>
        <v>0.21999999999999886</v>
      </c>
      <c r="N517">
        <f t="shared" si="32"/>
        <v>0.17000000000000171</v>
      </c>
      <c r="O517">
        <f t="shared" si="33"/>
        <v>0</v>
      </c>
      <c r="P517" s="10">
        <f t="shared" si="33"/>
        <v>0.17000000000000171</v>
      </c>
    </row>
    <row r="518" spans="1:16">
      <c r="A518">
        <v>124.25</v>
      </c>
      <c r="B518">
        <v>95.84</v>
      </c>
      <c r="C518">
        <v>94.67</v>
      </c>
      <c r="D518">
        <v>97.51</v>
      </c>
      <c r="E518">
        <v>91.95</v>
      </c>
      <c r="F518">
        <v>88.34</v>
      </c>
      <c r="G518">
        <v>92.62</v>
      </c>
      <c r="H518">
        <v>75.12</v>
      </c>
      <c r="K518" s="9">
        <f t="shared" si="32"/>
        <v>0</v>
      </c>
      <c r="L518">
        <f t="shared" si="32"/>
        <v>1.0499999999999972</v>
      </c>
      <c r="M518">
        <f t="shared" si="32"/>
        <v>0.17000000000000171</v>
      </c>
      <c r="N518">
        <f t="shared" si="32"/>
        <v>0.21999999999999886</v>
      </c>
      <c r="O518">
        <f t="shared" si="33"/>
        <v>0.15999999999999659</v>
      </c>
      <c r="P518" s="10">
        <f t="shared" si="33"/>
        <v>0</v>
      </c>
    </row>
    <row r="519" spans="1:16">
      <c r="A519">
        <v>124.5</v>
      </c>
      <c r="B519">
        <v>95.95</v>
      </c>
      <c r="C519">
        <v>94.78</v>
      </c>
      <c r="D519">
        <v>97.67</v>
      </c>
      <c r="E519">
        <v>91.95</v>
      </c>
      <c r="F519">
        <v>88.34</v>
      </c>
      <c r="G519">
        <v>92.62</v>
      </c>
      <c r="H519">
        <v>75.12</v>
      </c>
      <c r="K519" s="9">
        <f t="shared" si="32"/>
        <v>-0.10999999999999943</v>
      </c>
      <c r="L519">
        <f t="shared" si="32"/>
        <v>1.2800000000000011</v>
      </c>
      <c r="M519">
        <f t="shared" si="32"/>
        <v>0.21999999999999886</v>
      </c>
      <c r="N519">
        <f t="shared" si="32"/>
        <v>0.28000000000000114</v>
      </c>
      <c r="O519">
        <f t="shared" si="33"/>
        <v>0.21999999999999886</v>
      </c>
      <c r="P519" s="10">
        <f t="shared" si="33"/>
        <v>4.9999999999997158E-2</v>
      </c>
    </row>
    <row r="520" spans="1:16">
      <c r="A520">
        <v>124.75</v>
      </c>
      <c r="B520">
        <v>96.06</v>
      </c>
      <c r="C520">
        <v>94.78</v>
      </c>
      <c r="D520">
        <v>98.12</v>
      </c>
      <c r="E520">
        <v>92.06</v>
      </c>
      <c r="F520">
        <v>88.4</v>
      </c>
      <c r="G520">
        <v>92.62</v>
      </c>
      <c r="H520">
        <v>75.12</v>
      </c>
      <c r="K520" s="9">
        <f t="shared" si="32"/>
        <v>-0.15999999999999659</v>
      </c>
      <c r="L520">
        <f t="shared" si="32"/>
        <v>0.65999999999999659</v>
      </c>
      <c r="M520">
        <f t="shared" si="32"/>
        <v>0.10999999999999943</v>
      </c>
      <c r="N520">
        <f t="shared" si="32"/>
        <v>0.21999999999999886</v>
      </c>
      <c r="O520">
        <f t="shared" si="33"/>
        <v>0.28000000000000114</v>
      </c>
      <c r="P520" s="10">
        <f t="shared" si="33"/>
        <v>0.10999999999999943</v>
      </c>
    </row>
    <row r="521" spans="1:16">
      <c r="A521">
        <v>125</v>
      </c>
      <c r="B521">
        <v>96.06</v>
      </c>
      <c r="C521">
        <v>94.67</v>
      </c>
      <c r="D521">
        <v>98.56</v>
      </c>
      <c r="E521">
        <v>92.12</v>
      </c>
      <c r="F521">
        <v>88.56</v>
      </c>
      <c r="G521">
        <v>92.78</v>
      </c>
      <c r="H521">
        <v>75.12</v>
      </c>
      <c r="K521" s="9">
        <f t="shared" si="32"/>
        <v>0</v>
      </c>
      <c r="L521">
        <f t="shared" si="32"/>
        <v>0.17000000000000171</v>
      </c>
      <c r="M521">
        <f t="shared" si="32"/>
        <v>0.10999999999999943</v>
      </c>
      <c r="N521">
        <f t="shared" si="32"/>
        <v>0.21999999999999886</v>
      </c>
      <c r="O521">
        <f t="shared" si="33"/>
        <v>0.17000000000000171</v>
      </c>
      <c r="P521" s="10">
        <f t="shared" si="33"/>
        <v>0.15999999999999659</v>
      </c>
    </row>
    <row r="522" spans="1:16">
      <c r="A522">
        <v>125.25</v>
      </c>
      <c r="B522">
        <v>96.12</v>
      </c>
      <c r="C522">
        <v>94.67</v>
      </c>
      <c r="D522">
        <v>98.95</v>
      </c>
      <c r="E522">
        <v>92.17</v>
      </c>
      <c r="F522">
        <v>88.62</v>
      </c>
      <c r="G522">
        <v>92.84</v>
      </c>
      <c r="H522">
        <v>75.17</v>
      </c>
      <c r="K522" s="9">
        <f t="shared" si="32"/>
        <v>6.0000000000002274E-2</v>
      </c>
      <c r="L522">
        <f t="shared" si="32"/>
        <v>0.60999999999999943</v>
      </c>
      <c r="M522">
        <f t="shared" si="32"/>
        <v>0.10999999999999943</v>
      </c>
      <c r="N522">
        <f t="shared" si="32"/>
        <v>0.21999999999999886</v>
      </c>
      <c r="O522">
        <f t="shared" si="33"/>
        <v>0.17000000000000171</v>
      </c>
      <c r="P522" s="10">
        <f t="shared" si="33"/>
        <v>0.28000000000000114</v>
      </c>
    </row>
    <row r="523" spans="1:16">
      <c r="A523">
        <v>125.5</v>
      </c>
      <c r="B523">
        <v>96.17</v>
      </c>
      <c r="C523">
        <v>94.62</v>
      </c>
      <c r="D523">
        <v>98.78</v>
      </c>
      <c r="E523">
        <v>92.17</v>
      </c>
      <c r="F523">
        <v>88.62</v>
      </c>
      <c r="G523">
        <v>92.9</v>
      </c>
      <c r="H523">
        <v>75.23</v>
      </c>
      <c r="K523" s="9">
        <f t="shared" si="32"/>
        <v>0.10999999999999943</v>
      </c>
      <c r="L523">
        <f t="shared" si="32"/>
        <v>1.230000000000004</v>
      </c>
      <c r="M523">
        <f t="shared" si="32"/>
        <v>0.23000000000000398</v>
      </c>
      <c r="N523">
        <f t="shared" si="32"/>
        <v>0.28000000000000114</v>
      </c>
      <c r="O523">
        <f t="shared" si="33"/>
        <v>0.15999999999999659</v>
      </c>
      <c r="P523" s="10">
        <f t="shared" si="33"/>
        <v>0.28000000000000114</v>
      </c>
    </row>
    <row r="524" spans="1:16">
      <c r="A524">
        <v>125.75</v>
      </c>
      <c r="B524">
        <v>96.28</v>
      </c>
      <c r="C524">
        <v>94.67</v>
      </c>
      <c r="D524">
        <v>98.73</v>
      </c>
      <c r="E524">
        <v>92.23</v>
      </c>
      <c r="F524">
        <v>88.78</v>
      </c>
      <c r="G524">
        <v>92.95</v>
      </c>
      <c r="H524">
        <v>75.28</v>
      </c>
      <c r="K524" s="9">
        <f t="shared" si="32"/>
        <v>0</v>
      </c>
      <c r="L524">
        <f t="shared" si="32"/>
        <v>1.6099999999999994</v>
      </c>
      <c r="M524">
        <f t="shared" si="32"/>
        <v>0.17000000000000171</v>
      </c>
      <c r="N524">
        <f t="shared" si="32"/>
        <v>0.23000000000000398</v>
      </c>
      <c r="O524">
        <f t="shared" si="33"/>
        <v>0.21999999999999886</v>
      </c>
      <c r="P524" s="10">
        <f t="shared" si="33"/>
        <v>0.28000000000000114</v>
      </c>
    </row>
    <row r="525" spans="1:16">
      <c r="A525">
        <v>126</v>
      </c>
      <c r="B525">
        <v>96.28</v>
      </c>
      <c r="C525">
        <v>94.73</v>
      </c>
      <c r="D525">
        <v>99.56</v>
      </c>
      <c r="E525">
        <v>92.28</v>
      </c>
      <c r="F525">
        <v>88.84</v>
      </c>
      <c r="G525">
        <v>93.01</v>
      </c>
      <c r="H525">
        <v>75.45</v>
      </c>
      <c r="K525" s="9">
        <f t="shared" si="32"/>
        <v>-6.0000000000002274E-2</v>
      </c>
      <c r="L525">
        <f t="shared" si="32"/>
        <v>0.71999999999999886</v>
      </c>
      <c r="M525">
        <f t="shared" si="32"/>
        <v>0.23000000000000398</v>
      </c>
      <c r="N525">
        <f t="shared" si="32"/>
        <v>0.17000000000000171</v>
      </c>
      <c r="O525">
        <f t="shared" si="33"/>
        <v>0.15999999999999659</v>
      </c>
      <c r="P525" s="10">
        <f t="shared" si="33"/>
        <v>0.17000000000000171</v>
      </c>
    </row>
    <row r="526" spans="1:16">
      <c r="A526">
        <v>126.25</v>
      </c>
      <c r="B526">
        <v>96.4</v>
      </c>
      <c r="C526">
        <v>94.73</v>
      </c>
      <c r="D526">
        <v>100.01</v>
      </c>
      <c r="E526">
        <v>92.4</v>
      </c>
      <c r="F526">
        <v>88.9</v>
      </c>
      <c r="G526">
        <v>93.06</v>
      </c>
      <c r="H526">
        <v>75.510000000000005</v>
      </c>
      <c r="K526" s="9">
        <f t="shared" si="32"/>
        <v>0</v>
      </c>
      <c r="L526">
        <f t="shared" si="32"/>
        <v>0.15999999999999659</v>
      </c>
      <c r="M526">
        <f t="shared" si="32"/>
        <v>0.21999999999999886</v>
      </c>
      <c r="N526">
        <f t="shared" si="32"/>
        <v>0.21999999999999886</v>
      </c>
      <c r="O526">
        <f t="shared" si="33"/>
        <v>0.21999999999999886</v>
      </c>
      <c r="P526" s="10">
        <f t="shared" si="33"/>
        <v>0.21999999999999886</v>
      </c>
    </row>
    <row r="527" spans="1:16">
      <c r="A527">
        <v>126.5</v>
      </c>
      <c r="B527">
        <v>96.45</v>
      </c>
      <c r="C527">
        <v>94.67</v>
      </c>
      <c r="D527">
        <v>100.34</v>
      </c>
      <c r="E527">
        <v>92.4</v>
      </c>
      <c r="F527">
        <v>89.01</v>
      </c>
      <c r="G527">
        <v>93.17</v>
      </c>
      <c r="H527">
        <v>75.56</v>
      </c>
      <c r="K527" s="9">
        <f t="shared" si="32"/>
        <v>-4.9999999999997158E-2</v>
      </c>
      <c r="L527">
        <f t="shared" si="32"/>
        <v>-0.10999999999999943</v>
      </c>
      <c r="M527">
        <f t="shared" si="32"/>
        <v>0.26999999999999602</v>
      </c>
      <c r="N527">
        <f t="shared" si="32"/>
        <v>0.10999999999999943</v>
      </c>
      <c r="O527">
        <f t="shared" si="33"/>
        <v>0.23000000000000398</v>
      </c>
      <c r="P527" s="10">
        <f t="shared" si="33"/>
        <v>6.0000000000002274E-2</v>
      </c>
    </row>
    <row r="528" spans="1:16">
      <c r="A528">
        <v>126.75</v>
      </c>
      <c r="B528">
        <v>96.51</v>
      </c>
      <c r="C528">
        <v>94.67</v>
      </c>
      <c r="D528">
        <v>100.28</v>
      </c>
      <c r="E528">
        <v>92.51</v>
      </c>
      <c r="F528">
        <v>89.01</v>
      </c>
      <c r="G528">
        <v>93.17</v>
      </c>
      <c r="H528">
        <v>75.62</v>
      </c>
      <c r="K528" s="9">
        <f t="shared" si="32"/>
        <v>0</v>
      </c>
      <c r="L528">
        <f t="shared" si="32"/>
        <v>0.34000000000000341</v>
      </c>
      <c r="M528">
        <f t="shared" si="32"/>
        <v>0.32999999999999829</v>
      </c>
      <c r="N528">
        <f t="shared" si="32"/>
        <v>0.26999999999999602</v>
      </c>
      <c r="O528">
        <f t="shared" si="33"/>
        <v>0.28000000000000114</v>
      </c>
      <c r="P528" s="10">
        <f t="shared" si="33"/>
        <v>4.9999999999997158E-2</v>
      </c>
    </row>
    <row r="529" spans="1:16">
      <c r="A529">
        <v>127</v>
      </c>
      <c r="B529">
        <v>96.56</v>
      </c>
      <c r="C529">
        <v>94.73</v>
      </c>
      <c r="D529">
        <v>100.17</v>
      </c>
      <c r="E529">
        <v>92.62</v>
      </c>
      <c r="F529">
        <v>89.12</v>
      </c>
      <c r="G529">
        <v>93.28</v>
      </c>
      <c r="H529">
        <v>75.73</v>
      </c>
      <c r="K529" s="9">
        <f t="shared" si="32"/>
        <v>-6.0000000000002274E-2</v>
      </c>
      <c r="L529">
        <f t="shared" si="32"/>
        <v>0.60999999999999943</v>
      </c>
      <c r="M529">
        <f t="shared" si="32"/>
        <v>0.21999999999999886</v>
      </c>
      <c r="N529">
        <f t="shared" si="32"/>
        <v>0.15999999999999659</v>
      </c>
      <c r="O529">
        <f t="shared" si="33"/>
        <v>0.17000000000000171</v>
      </c>
      <c r="P529" s="10">
        <f t="shared" si="33"/>
        <v>4.9999999999997158E-2</v>
      </c>
    </row>
    <row r="530" spans="1:16">
      <c r="A530">
        <v>127.25</v>
      </c>
      <c r="B530">
        <v>96.62</v>
      </c>
      <c r="C530">
        <v>94.62</v>
      </c>
      <c r="D530">
        <v>100.23</v>
      </c>
      <c r="E530">
        <v>92.67</v>
      </c>
      <c r="F530">
        <v>89.12</v>
      </c>
      <c r="G530">
        <v>93.4</v>
      </c>
      <c r="H530">
        <v>75.62</v>
      </c>
      <c r="K530" s="9">
        <f t="shared" si="32"/>
        <v>0</v>
      </c>
      <c r="L530">
        <f t="shared" si="32"/>
        <v>0.54999999999999716</v>
      </c>
      <c r="M530">
        <f t="shared" si="32"/>
        <v>0.28000000000000114</v>
      </c>
      <c r="N530">
        <f t="shared" si="32"/>
        <v>0.15999999999999659</v>
      </c>
      <c r="O530">
        <f t="shared" si="33"/>
        <v>0.10999999999999943</v>
      </c>
      <c r="P530" s="10">
        <f t="shared" si="33"/>
        <v>0.15999999999999659</v>
      </c>
    </row>
    <row r="531" spans="1:16">
      <c r="A531">
        <v>127.5</v>
      </c>
      <c r="B531">
        <v>96.67</v>
      </c>
      <c r="C531">
        <v>94.67</v>
      </c>
      <c r="D531">
        <v>100.62</v>
      </c>
      <c r="E531">
        <v>92.84</v>
      </c>
      <c r="F531">
        <v>89.28</v>
      </c>
      <c r="G531">
        <v>93.45</v>
      </c>
      <c r="H531">
        <v>75.67</v>
      </c>
      <c r="K531" s="9">
        <f t="shared" si="32"/>
        <v>-0.10999999999999943</v>
      </c>
      <c r="L531">
        <f t="shared" si="32"/>
        <v>0.10999999999999943</v>
      </c>
      <c r="M531">
        <f t="shared" si="32"/>
        <v>0.17000000000000171</v>
      </c>
      <c r="N531">
        <f t="shared" si="32"/>
        <v>0.12000000000000455</v>
      </c>
      <c r="O531">
        <f t="shared" si="33"/>
        <v>0.17000000000000171</v>
      </c>
      <c r="P531" s="10">
        <f t="shared" si="33"/>
        <v>0</v>
      </c>
    </row>
    <row r="532" spans="1:16">
      <c r="A532">
        <v>127.75</v>
      </c>
      <c r="B532">
        <v>96.73</v>
      </c>
      <c r="C532">
        <v>94.67</v>
      </c>
      <c r="D532">
        <v>100.78</v>
      </c>
      <c r="E532">
        <v>92.84</v>
      </c>
      <c r="F532">
        <v>89.28</v>
      </c>
      <c r="G532">
        <v>93.45</v>
      </c>
      <c r="H532">
        <v>75.78</v>
      </c>
      <c r="K532" s="9">
        <f t="shared" si="32"/>
        <v>-0.15999999999999659</v>
      </c>
      <c r="L532">
        <f t="shared" si="32"/>
        <v>0.28000000000000114</v>
      </c>
      <c r="M532">
        <f t="shared" si="32"/>
        <v>0.21999999999999886</v>
      </c>
      <c r="N532">
        <f t="shared" si="32"/>
        <v>0.17000000000000171</v>
      </c>
      <c r="O532">
        <f t="shared" si="33"/>
        <v>0.10999999999999943</v>
      </c>
      <c r="P532" s="10">
        <f t="shared" si="33"/>
        <v>0</v>
      </c>
    </row>
    <row r="533" spans="1:16">
      <c r="A533">
        <v>128</v>
      </c>
      <c r="B533">
        <v>96.73</v>
      </c>
      <c r="C533">
        <v>94.62</v>
      </c>
      <c r="D533">
        <v>100.78</v>
      </c>
      <c r="E533">
        <v>92.95</v>
      </c>
      <c r="F533">
        <v>89.28</v>
      </c>
      <c r="G533">
        <v>93.51</v>
      </c>
      <c r="H533">
        <v>75.78</v>
      </c>
      <c r="K533" s="9">
        <f t="shared" si="32"/>
        <v>0</v>
      </c>
      <c r="L533">
        <f t="shared" si="32"/>
        <v>0.23000000000000398</v>
      </c>
      <c r="M533">
        <f t="shared" si="32"/>
        <v>0.28000000000000114</v>
      </c>
      <c r="N533">
        <f t="shared" ref="N533:P596" si="34">F536-F533</f>
        <v>0.34000000000000341</v>
      </c>
      <c r="O533">
        <f t="shared" si="33"/>
        <v>0.26999999999999602</v>
      </c>
      <c r="P533" s="10">
        <f t="shared" si="33"/>
        <v>0.12000000000000455</v>
      </c>
    </row>
    <row r="534" spans="1:16">
      <c r="A534">
        <v>128.25</v>
      </c>
      <c r="B534">
        <v>96.84</v>
      </c>
      <c r="C534">
        <v>94.56</v>
      </c>
      <c r="D534">
        <v>100.73</v>
      </c>
      <c r="E534">
        <v>93.01</v>
      </c>
      <c r="F534">
        <v>89.4</v>
      </c>
      <c r="G534">
        <v>93.62</v>
      </c>
      <c r="H534">
        <v>75.67</v>
      </c>
      <c r="K534" s="9">
        <f t="shared" ref="K534:P597" si="35">C537-C534</f>
        <v>0</v>
      </c>
      <c r="L534">
        <f t="shared" si="35"/>
        <v>0.32999999999999829</v>
      </c>
      <c r="M534">
        <f t="shared" si="35"/>
        <v>0.32999999999999829</v>
      </c>
      <c r="N534">
        <f t="shared" si="34"/>
        <v>0.26999999999999602</v>
      </c>
      <c r="O534">
        <f t="shared" si="34"/>
        <v>0.32999999999999829</v>
      </c>
      <c r="P534" s="10">
        <f t="shared" si="34"/>
        <v>0.28000000000000114</v>
      </c>
    </row>
    <row r="535" spans="1:16">
      <c r="A535">
        <v>128.5</v>
      </c>
      <c r="B535">
        <v>96.84</v>
      </c>
      <c r="C535">
        <v>94.51</v>
      </c>
      <c r="D535">
        <v>101.06</v>
      </c>
      <c r="E535">
        <v>93.06</v>
      </c>
      <c r="F535">
        <v>89.45</v>
      </c>
      <c r="G535">
        <v>93.56</v>
      </c>
      <c r="H535">
        <v>75.78</v>
      </c>
      <c r="K535" s="9">
        <f t="shared" si="35"/>
        <v>0.10999999999999943</v>
      </c>
      <c r="L535">
        <f t="shared" si="35"/>
        <v>0.28000000000000114</v>
      </c>
      <c r="M535">
        <f t="shared" si="35"/>
        <v>0.39000000000000057</v>
      </c>
      <c r="N535">
        <f t="shared" si="34"/>
        <v>0.21999999999999886</v>
      </c>
      <c r="O535">
        <f t="shared" si="34"/>
        <v>0.45000000000000284</v>
      </c>
      <c r="P535" s="10">
        <f t="shared" si="34"/>
        <v>0.23000000000000398</v>
      </c>
    </row>
    <row r="536" spans="1:16">
      <c r="A536">
        <v>128.75</v>
      </c>
      <c r="B536">
        <v>96.95</v>
      </c>
      <c r="C536">
        <v>94.62</v>
      </c>
      <c r="D536">
        <v>101.01</v>
      </c>
      <c r="E536">
        <v>93.23</v>
      </c>
      <c r="F536">
        <v>89.62</v>
      </c>
      <c r="G536">
        <v>93.78</v>
      </c>
      <c r="H536">
        <v>75.900000000000006</v>
      </c>
      <c r="K536" s="9">
        <f t="shared" si="35"/>
        <v>-0.10999999999999943</v>
      </c>
      <c r="L536">
        <f t="shared" si="35"/>
        <v>0.39000000000000057</v>
      </c>
      <c r="M536">
        <f t="shared" si="35"/>
        <v>0.21999999999999886</v>
      </c>
      <c r="N536">
        <f t="shared" si="34"/>
        <v>0</v>
      </c>
      <c r="O536">
        <f t="shared" si="34"/>
        <v>0.34000000000000341</v>
      </c>
      <c r="P536" s="10">
        <f t="shared" si="34"/>
        <v>0.10999999999999943</v>
      </c>
    </row>
    <row r="537" spans="1:16">
      <c r="A537">
        <v>129</v>
      </c>
      <c r="B537">
        <v>96.95</v>
      </c>
      <c r="C537">
        <v>94.56</v>
      </c>
      <c r="D537">
        <v>101.06</v>
      </c>
      <c r="E537">
        <v>93.34</v>
      </c>
      <c r="F537">
        <v>89.67</v>
      </c>
      <c r="G537">
        <v>93.95</v>
      </c>
      <c r="H537">
        <v>75.95</v>
      </c>
      <c r="K537" s="9">
        <f t="shared" si="35"/>
        <v>-4.9999999999997158E-2</v>
      </c>
      <c r="L537">
        <f t="shared" si="35"/>
        <v>0.39000000000000057</v>
      </c>
      <c r="M537">
        <f t="shared" si="35"/>
        <v>0.21999999999999886</v>
      </c>
      <c r="N537">
        <f t="shared" si="34"/>
        <v>0.10999999999999943</v>
      </c>
      <c r="O537">
        <f t="shared" si="34"/>
        <v>0.17000000000000171</v>
      </c>
      <c r="P537" s="10">
        <f t="shared" si="34"/>
        <v>0.21999999999999886</v>
      </c>
    </row>
    <row r="538" spans="1:16">
      <c r="A538">
        <v>129.25</v>
      </c>
      <c r="B538">
        <v>97.01</v>
      </c>
      <c r="C538">
        <v>94.62</v>
      </c>
      <c r="D538">
        <v>101.34</v>
      </c>
      <c r="E538">
        <v>93.45</v>
      </c>
      <c r="F538">
        <v>89.67</v>
      </c>
      <c r="G538">
        <v>94.01</v>
      </c>
      <c r="H538">
        <v>76.010000000000005</v>
      </c>
      <c r="K538" s="9">
        <f t="shared" si="35"/>
        <v>-6.0000000000002274E-2</v>
      </c>
      <c r="L538">
        <f t="shared" si="35"/>
        <v>0.21999999999999886</v>
      </c>
      <c r="M538">
        <f t="shared" si="35"/>
        <v>0.21999999999999886</v>
      </c>
      <c r="N538">
        <f t="shared" si="34"/>
        <v>0.17000000000000171</v>
      </c>
      <c r="O538">
        <f t="shared" si="34"/>
        <v>0.10999999999999943</v>
      </c>
      <c r="P538" s="10">
        <f t="shared" si="34"/>
        <v>0.10999999999999943</v>
      </c>
    </row>
    <row r="539" spans="1:16">
      <c r="A539">
        <v>129.5</v>
      </c>
      <c r="B539">
        <v>97.06</v>
      </c>
      <c r="C539">
        <v>94.51</v>
      </c>
      <c r="D539">
        <v>101.4</v>
      </c>
      <c r="E539">
        <v>93.45</v>
      </c>
      <c r="F539">
        <v>89.62</v>
      </c>
      <c r="G539">
        <v>94.12</v>
      </c>
      <c r="H539">
        <v>76.010000000000005</v>
      </c>
      <c r="K539" s="9">
        <f t="shared" si="35"/>
        <v>0</v>
      </c>
      <c r="L539">
        <f t="shared" si="35"/>
        <v>0.15999999999999659</v>
      </c>
      <c r="M539">
        <f t="shared" si="35"/>
        <v>0.28000000000000114</v>
      </c>
      <c r="N539">
        <f t="shared" si="34"/>
        <v>0.21999999999999886</v>
      </c>
      <c r="O539">
        <f t="shared" si="34"/>
        <v>0.15999999999999659</v>
      </c>
      <c r="P539" s="10">
        <f t="shared" si="34"/>
        <v>0.21999999999999886</v>
      </c>
    </row>
    <row r="540" spans="1:16">
      <c r="A540">
        <v>129.75</v>
      </c>
      <c r="B540">
        <v>97.06</v>
      </c>
      <c r="C540">
        <v>94.51</v>
      </c>
      <c r="D540">
        <v>101.45</v>
      </c>
      <c r="E540">
        <v>93.56</v>
      </c>
      <c r="F540">
        <v>89.78</v>
      </c>
      <c r="G540">
        <v>94.12</v>
      </c>
      <c r="H540">
        <v>76.17</v>
      </c>
      <c r="K540" s="9">
        <f t="shared" si="35"/>
        <v>4.9999999999997158E-2</v>
      </c>
      <c r="L540">
        <f t="shared" si="35"/>
        <v>0.28000000000000114</v>
      </c>
      <c r="M540">
        <f t="shared" si="35"/>
        <v>0.21999999999999886</v>
      </c>
      <c r="N540">
        <f t="shared" si="34"/>
        <v>0.17000000000000171</v>
      </c>
      <c r="O540">
        <f t="shared" si="34"/>
        <v>0.15999999999999659</v>
      </c>
      <c r="P540" s="10">
        <f t="shared" si="34"/>
        <v>0</v>
      </c>
    </row>
    <row r="541" spans="1:16">
      <c r="A541">
        <v>130</v>
      </c>
      <c r="B541">
        <v>97.12</v>
      </c>
      <c r="C541">
        <v>94.56</v>
      </c>
      <c r="D541">
        <v>101.56</v>
      </c>
      <c r="E541">
        <v>93.67</v>
      </c>
      <c r="F541">
        <v>89.84</v>
      </c>
      <c r="G541">
        <v>94.12</v>
      </c>
      <c r="H541">
        <v>76.12</v>
      </c>
      <c r="K541" s="9">
        <f t="shared" si="35"/>
        <v>-4.9999999999997158E-2</v>
      </c>
      <c r="L541">
        <f t="shared" si="35"/>
        <v>0.39000000000000057</v>
      </c>
      <c r="M541">
        <f t="shared" si="35"/>
        <v>0.23000000000000398</v>
      </c>
      <c r="N541">
        <f t="shared" si="34"/>
        <v>0.17000000000000171</v>
      </c>
      <c r="O541">
        <f t="shared" si="34"/>
        <v>0.28000000000000114</v>
      </c>
      <c r="P541" s="10">
        <f t="shared" si="34"/>
        <v>4.9999999999997158E-2</v>
      </c>
    </row>
    <row r="542" spans="1:16">
      <c r="A542">
        <v>130.25</v>
      </c>
      <c r="B542">
        <v>97.23</v>
      </c>
      <c r="C542">
        <v>94.51</v>
      </c>
      <c r="D542">
        <v>101.56</v>
      </c>
      <c r="E542">
        <v>93.73</v>
      </c>
      <c r="F542">
        <v>89.84</v>
      </c>
      <c r="G542">
        <v>94.28</v>
      </c>
      <c r="H542">
        <v>76.23</v>
      </c>
      <c r="K542" s="9">
        <f t="shared" si="35"/>
        <v>4.9999999999997158E-2</v>
      </c>
      <c r="L542">
        <f t="shared" si="35"/>
        <v>0.67000000000000171</v>
      </c>
      <c r="M542">
        <f t="shared" si="35"/>
        <v>0.21999999999999886</v>
      </c>
      <c r="N542">
        <f t="shared" si="34"/>
        <v>0.21999999999999886</v>
      </c>
      <c r="O542">
        <f t="shared" si="34"/>
        <v>0.23000000000000398</v>
      </c>
      <c r="P542" s="10">
        <f t="shared" si="34"/>
        <v>0.10999999999999943</v>
      </c>
    </row>
    <row r="543" spans="1:16">
      <c r="A543">
        <v>130.5</v>
      </c>
      <c r="B543">
        <v>97.34</v>
      </c>
      <c r="C543">
        <v>94.56</v>
      </c>
      <c r="D543">
        <v>101.73</v>
      </c>
      <c r="E543">
        <v>93.78</v>
      </c>
      <c r="F543">
        <v>89.95</v>
      </c>
      <c r="G543">
        <v>94.28</v>
      </c>
      <c r="H543">
        <v>76.17</v>
      </c>
      <c r="K543" s="9">
        <f t="shared" si="35"/>
        <v>-4.9999999999997158E-2</v>
      </c>
      <c r="L543">
        <f t="shared" si="35"/>
        <v>0.43999999999999773</v>
      </c>
      <c r="M543">
        <f t="shared" si="35"/>
        <v>0.23000000000000398</v>
      </c>
      <c r="N543">
        <f t="shared" si="34"/>
        <v>0.17000000000000171</v>
      </c>
      <c r="O543">
        <f t="shared" si="34"/>
        <v>0.34000000000000341</v>
      </c>
      <c r="P543" s="10">
        <f t="shared" si="34"/>
        <v>0.17000000000000171</v>
      </c>
    </row>
    <row r="544" spans="1:16">
      <c r="A544">
        <v>130.75</v>
      </c>
      <c r="B544">
        <v>97.4</v>
      </c>
      <c r="C544">
        <v>94.51</v>
      </c>
      <c r="D544">
        <v>101.95</v>
      </c>
      <c r="E544">
        <v>93.9</v>
      </c>
      <c r="F544">
        <v>90.01</v>
      </c>
      <c r="G544">
        <v>94.4</v>
      </c>
      <c r="H544">
        <v>76.17</v>
      </c>
      <c r="K544" s="9">
        <f t="shared" si="35"/>
        <v>0</v>
      </c>
      <c r="L544">
        <f t="shared" si="35"/>
        <v>0.10999999999999943</v>
      </c>
      <c r="M544">
        <f t="shared" si="35"/>
        <v>0.15999999999999659</v>
      </c>
      <c r="N544">
        <f t="shared" si="34"/>
        <v>0.10999999999999943</v>
      </c>
      <c r="O544">
        <f t="shared" si="34"/>
        <v>0.21999999999999886</v>
      </c>
      <c r="P544" s="10">
        <f t="shared" si="34"/>
        <v>0.23000000000000398</v>
      </c>
    </row>
    <row r="545" spans="1:16">
      <c r="A545">
        <v>131</v>
      </c>
      <c r="B545">
        <v>97.45</v>
      </c>
      <c r="C545">
        <v>94.56</v>
      </c>
      <c r="D545">
        <v>102.23</v>
      </c>
      <c r="E545">
        <v>93.95</v>
      </c>
      <c r="F545">
        <v>90.06</v>
      </c>
      <c r="G545">
        <v>94.51</v>
      </c>
      <c r="H545">
        <v>76.34</v>
      </c>
      <c r="K545" s="9">
        <f t="shared" si="35"/>
        <v>-4.9999999999997158E-2</v>
      </c>
      <c r="L545">
        <f t="shared" si="35"/>
        <v>-6.0000000000002274E-2</v>
      </c>
      <c r="M545">
        <f t="shared" si="35"/>
        <v>0.21999999999999886</v>
      </c>
      <c r="N545">
        <f t="shared" si="34"/>
        <v>0.10999999999999943</v>
      </c>
      <c r="O545">
        <f t="shared" si="34"/>
        <v>0.15999999999999659</v>
      </c>
      <c r="P545" s="10">
        <f t="shared" si="34"/>
        <v>6.0000000000002274E-2</v>
      </c>
    </row>
    <row r="546" spans="1:16">
      <c r="A546">
        <v>131.25</v>
      </c>
      <c r="B546">
        <v>97.51</v>
      </c>
      <c r="C546">
        <v>94.51</v>
      </c>
      <c r="D546">
        <v>102.17</v>
      </c>
      <c r="E546">
        <v>94.01</v>
      </c>
      <c r="F546">
        <v>90.12</v>
      </c>
      <c r="G546">
        <v>94.62</v>
      </c>
      <c r="H546">
        <v>76.34</v>
      </c>
      <c r="K546" s="9">
        <f t="shared" si="35"/>
        <v>0</v>
      </c>
      <c r="L546">
        <f t="shared" si="35"/>
        <v>0.28000000000000114</v>
      </c>
      <c r="M546">
        <f t="shared" si="35"/>
        <v>0.26999999999999602</v>
      </c>
      <c r="N546">
        <f t="shared" si="34"/>
        <v>0.15999999999999659</v>
      </c>
      <c r="O546">
        <f t="shared" si="34"/>
        <v>0.10999999999999943</v>
      </c>
      <c r="P546" s="10">
        <f t="shared" si="34"/>
        <v>0.10999999999999943</v>
      </c>
    </row>
    <row r="547" spans="1:16">
      <c r="A547">
        <v>131.5</v>
      </c>
      <c r="B547">
        <v>97.51</v>
      </c>
      <c r="C547">
        <v>94.51</v>
      </c>
      <c r="D547">
        <v>102.06</v>
      </c>
      <c r="E547">
        <v>94.06</v>
      </c>
      <c r="F547">
        <v>90.12</v>
      </c>
      <c r="G547">
        <v>94.62</v>
      </c>
      <c r="H547">
        <v>76.400000000000006</v>
      </c>
      <c r="K547" s="9">
        <f t="shared" si="35"/>
        <v>0</v>
      </c>
      <c r="L547">
        <f t="shared" si="35"/>
        <v>0.17000000000000171</v>
      </c>
      <c r="M547">
        <f t="shared" si="35"/>
        <v>0.28000000000000114</v>
      </c>
      <c r="N547">
        <f t="shared" si="34"/>
        <v>0.15999999999999659</v>
      </c>
      <c r="O547">
        <f t="shared" si="34"/>
        <v>4.9999999999997158E-2</v>
      </c>
      <c r="P547" s="10">
        <f t="shared" si="34"/>
        <v>0.10999999999999943</v>
      </c>
    </row>
    <row r="548" spans="1:16">
      <c r="A548">
        <v>131.75</v>
      </c>
      <c r="B548">
        <v>97.56</v>
      </c>
      <c r="C548">
        <v>94.51</v>
      </c>
      <c r="D548">
        <v>102.17</v>
      </c>
      <c r="E548">
        <v>94.17</v>
      </c>
      <c r="F548">
        <v>90.17</v>
      </c>
      <c r="G548">
        <v>94.67</v>
      </c>
      <c r="H548">
        <v>76.400000000000006</v>
      </c>
      <c r="K548" s="9">
        <f t="shared" si="35"/>
        <v>0</v>
      </c>
      <c r="L548">
        <f t="shared" si="35"/>
        <v>0.23000000000000398</v>
      </c>
      <c r="M548">
        <f t="shared" si="35"/>
        <v>0.28000000000000114</v>
      </c>
      <c r="N548">
        <f t="shared" si="34"/>
        <v>0.17000000000000171</v>
      </c>
      <c r="O548">
        <f t="shared" si="34"/>
        <v>0</v>
      </c>
      <c r="P548" s="10">
        <f t="shared" si="34"/>
        <v>0.15999999999999659</v>
      </c>
    </row>
    <row r="549" spans="1:16">
      <c r="A549">
        <v>132</v>
      </c>
      <c r="B549">
        <v>97.62</v>
      </c>
      <c r="C549">
        <v>94.51</v>
      </c>
      <c r="D549">
        <v>102.45</v>
      </c>
      <c r="E549">
        <v>94.28</v>
      </c>
      <c r="F549">
        <v>90.28</v>
      </c>
      <c r="G549">
        <v>94.73</v>
      </c>
      <c r="H549">
        <v>76.45</v>
      </c>
      <c r="K549" s="9">
        <f t="shared" si="35"/>
        <v>4.9999999999997158E-2</v>
      </c>
      <c r="L549">
        <f t="shared" si="35"/>
        <v>0.21999999999999886</v>
      </c>
      <c r="M549">
        <f t="shared" si="35"/>
        <v>0.34000000000000341</v>
      </c>
      <c r="N549">
        <f t="shared" si="34"/>
        <v>0.23000000000000398</v>
      </c>
      <c r="O549">
        <f t="shared" si="34"/>
        <v>0.10999999999999943</v>
      </c>
      <c r="P549" s="10">
        <f t="shared" si="34"/>
        <v>0.17000000000000171</v>
      </c>
    </row>
    <row r="550" spans="1:16">
      <c r="A550">
        <v>132.25</v>
      </c>
      <c r="B550">
        <v>97.67</v>
      </c>
      <c r="C550">
        <v>94.51</v>
      </c>
      <c r="D550">
        <v>102.23</v>
      </c>
      <c r="E550">
        <v>94.34</v>
      </c>
      <c r="F550">
        <v>90.28</v>
      </c>
      <c r="G550">
        <v>94.67</v>
      </c>
      <c r="H550">
        <v>76.510000000000005</v>
      </c>
      <c r="K550" s="9">
        <f t="shared" si="35"/>
        <v>0.15999999999999659</v>
      </c>
      <c r="L550">
        <f t="shared" si="35"/>
        <v>0.71999999999999886</v>
      </c>
      <c r="M550">
        <f t="shared" si="35"/>
        <v>0.28000000000000114</v>
      </c>
      <c r="N550">
        <f t="shared" si="34"/>
        <v>0.23000000000000398</v>
      </c>
      <c r="O550">
        <f t="shared" si="34"/>
        <v>0.28000000000000114</v>
      </c>
      <c r="P550" s="10">
        <f t="shared" si="34"/>
        <v>0.15999999999999659</v>
      </c>
    </row>
    <row r="551" spans="1:16">
      <c r="A551">
        <v>132.5</v>
      </c>
      <c r="B551">
        <v>97.67</v>
      </c>
      <c r="C551">
        <v>94.51</v>
      </c>
      <c r="D551">
        <v>102.4</v>
      </c>
      <c r="E551">
        <v>94.45</v>
      </c>
      <c r="F551">
        <v>90.34</v>
      </c>
      <c r="G551">
        <v>94.67</v>
      </c>
      <c r="H551">
        <v>76.56</v>
      </c>
      <c r="K551" s="9">
        <f t="shared" si="35"/>
        <v>4.9999999999997158E-2</v>
      </c>
      <c r="L551">
        <f t="shared" si="35"/>
        <v>0.71999999999999886</v>
      </c>
      <c r="M551">
        <f t="shared" si="35"/>
        <v>0.21999999999999886</v>
      </c>
      <c r="N551">
        <f t="shared" si="34"/>
        <v>0.17000000000000171</v>
      </c>
      <c r="O551">
        <f t="shared" si="34"/>
        <v>0.34000000000000341</v>
      </c>
      <c r="P551" s="10">
        <f t="shared" si="34"/>
        <v>0.17000000000000171</v>
      </c>
    </row>
    <row r="552" spans="1:16">
      <c r="A552">
        <v>132.75</v>
      </c>
      <c r="B552">
        <v>97.67</v>
      </c>
      <c r="C552">
        <v>94.56</v>
      </c>
      <c r="D552">
        <v>102.67</v>
      </c>
      <c r="E552">
        <v>94.62</v>
      </c>
      <c r="F552">
        <v>90.51</v>
      </c>
      <c r="G552">
        <v>94.84</v>
      </c>
      <c r="H552">
        <v>76.62</v>
      </c>
      <c r="K552" s="9">
        <f t="shared" si="35"/>
        <v>0</v>
      </c>
      <c r="L552">
        <f t="shared" si="35"/>
        <v>0.45000000000000284</v>
      </c>
      <c r="M552">
        <f t="shared" si="35"/>
        <v>0.10999999999999943</v>
      </c>
      <c r="N552">
        <f t="shared" si="34"/>
        <v>4.9999999999997158E-2</v>
      </c>
      <c r="O552">
        <f t="shared" si="34"/>
        <v>0.21999999999999886</v>
      </c>
      <c r="P552" s="10">
        <f t="shared" si="34"/>
        <v>0.15999999999999659</v>
      </c>
    </row>
    <row r="553" spans="1:16">
      <c r="A553">
        <v>133</v>
      </c>
      <c r="B553">
        <v>97.84</v>
      </c>
      <c r="C553">
        <v>94.67</v>
      </c>
      <c r="D553">
        <v>102.95</v>
      </c>
      <c r="E553">
        <v>94.62</v>
      </c>
      <c r="F553">
        <v>90.51</v>
      </c>
      <c r="G553">
        <v>94.95</v>
      </c>
      <c r="H553">
        <v>76.67</v>
      </c>
      <c r="K553" s="9">
        <f t="shared" si="35"/>
        <v>-0.15999999999999659</v>
      </c>
      <c r="L553">
        <f t="shared" si="35"/>
        <v>0.10999999999999943</v>
      </c>
      <c r="M553">
        <f t="shared" si="35"/>
        <v>0.21999999999999886</v>
      </c>
      <c r="N553">
        <f t="shared" si="34"/>
        <v>0.15999999999999659</v>
      </c>
      <c r="O553">
        <f t="shared" si="34"/>
        <v>0.21999999999999886</v>
      </c>
      <c r="P553" s="10">
        <f t="shared" si="34"/>
        <v>0.17000000000000171</v>
      </c>
    </row>
    <row r="554" spans="1:16">
      <c r="A554">
        <v>133.25</v>
      </c>
      <c r="B554">
        <v>97.9</v>
      </c>
      <c r="C554">
        <v>94.56</v>
      </c>
      <c r="D554">
        <v>103.12</v>
      </c>
      <c r="E554">
        <v>94.67</v>
      </c>
      <c r="F554">
        <v>90.51</v>
      </c>
      <c r="G554">
        <v>95.01</v>
      </c>
      <c r="H554">
        <v>76.73</v>
      </c>
      <c r="K554" s="9">
        <f t="shared" si="35"/>
        <v>0</v>
      </c>
      <c r="L554">
        <f t="shared" si="35"/>
        <v>-0.28000000000000114</v>
      </c>
      <c r="M554">
        <f t="shared" si="35"/>
        <v>0.23000000000000398</v>
      </c>
      <c r="N554">
        <f t="shared" si="34"/>
        <v>0.21999999999999886</v>
      </c>
      <c r="O554">
        <f t="shared" si="34"/>
        <v>0.15999999999999659</v>
      </c>
      <c r="P554" s="10">
        <f t="shared" si="34"/>
        <v>0.28000000000000114</v>
      </c>
    </row>
    <row r="555" spans="1:16">
      <c r="A555">
        <v>133.5</v>
      </c>
      <c r="B555">
        <v>97.95</v>
      </c>
      <c r="C555">
        <v>94.56</v>
      </c>
      <c r="D555">
        <v>103.12</v>
      </c>
      <c r="E555">
        <v>94.73</v>
      </c>
      <c r="F555">
        <v>90.56</v>
      </c>
      <c r="G555">
        <v>95.06</v>
      </c>
      <c r="H555">
        <v>76.78</v>
      </c>
      <c r="K555" s="9">
        <f t="shared" si="35"/>
        <v>0</v>
      </c>
      <c r="L555">
        <f t="shared" si="35"/>
        <v>-0.34000000000000341</v>
      </c>
      <c r="M555">
        <f t="shared" si="35"/>
        <v>0.32999999999999829</v>
      </c>
      <c r="N555">
        <f t="shared" si="34"/>
        <v>0.21999999999999886</v>
      </c>
      <c r="O555">
        <f t="shared" si="34"/>
        <v>0.17000000000000171</v>
      </c>
      <c r="P555" s="10">
        <f t="shared" si="34"/>
        <v>0.23000000000000398</v>
      </c>
    </row>
    <row r="556" spans="1:16">
      <c r="A556">
        <v>133.75</v>
      </c>
      <c r="B556">
        <v>98.01</v>
      </c>
      <c r="C556">
        <v>94.51</v>
      </c>
      <c r="D556">
        <v>103.06</v>
      </c>
      <c r="E556">
        <v>94.84</v>
      </c>
      <c r="F556">
        <v>90.67</v>
      </c>
      <c r="G556">
        <v>95.17</v>
      </c>
      <c r="H556">
        <v>76.84</v>
      </c>
      <c r="K556" s="9">
        <f t="shared" si="35"/>
        <v>0</v>
      </c>
      <c r="L556">
        <f t="shared" si="35"/>
        <v>-0.32999999999999829</v>
      </c>
      <c r="M556">
        <f t="shared" si="35"/>
        <v>0.28000000000000114</v>
      </c>
      <c r="N556">
        <f t="shared" si="34"/>
        <v>0.23000000000000398</v>
      </c>
      <c r="O556">
        <f t="shared" si="34"/>
        <v>0.17000000000000171</v>
      </c>
      <c r="P556" s="10">
        <f t="shared" si="34"/>
        <v>0.21999999999999886</v>
      </c>
    </row>
    <row r="557" spans="1:16">
      <c r="A557">
        <v>134</v>
      </c>
      <c r="B557">
        <v>98.06</v>
      </c>
      <c r="C557">
        <v>94.56</v>
      </c>
      <c r="D557">
        <v>102.84</v>
      </c>
      <c r="E557">
        <v>94.9</v>
      </c>
      <c r="F557">
        <v>90.73</v>
      </c>
      <c r="G557">
        <v>95.17</v>
      </c>
      <c r="H557">
        <v>77.010000000000005</v>
      </c>
      <c r="K557" s="9">
        <f t="shared" si="35"/>
        <v>0</v>
      </c>
      <c r="L557">
        <f t="shared" si="35"/>
        <v>0.10999999999999943</v>
      </c>
      <c r="M557">
        <f t="shared" si="35"/>
        <v>0.26999999999999602</v>
      </c>
      <c r="N557">
        <f t="shared" si="34"/>
        <v>0.17000000000000171</v>
      </c>
      <c r="O557">
        <f t="shared" si="34"/>
        <v>0.23000000000000398</v>
      </c>
      <c r="P557" s="10">
        <f t="shared" si="34"/>
        <v>0.10999999999999943</v>
      </c>
    </row>
    <row r="558" spans="1:16">
      <c r="A558">
        <v>134.25</v>
      </c>
      <c r="B558">
        <v>98.12</v>
      </c>
      <c r="C558">
        <v>94.56</v>
      </c>
      <c r="D558">
        <v>102.78</v>
      </c>
      <c r="E558">
        <v>95.06</v>
      </c>
      <c r="F558">
        <v>90.78</v>
      </c>
      <c r="G558">
        <v>95.23</v>
      </c>
      <c r="H558">
        <v>77.010000000000005</v>
      </c>
      <c r="K558" s="9">
        <f t="shared" si="35"/>
        <v>0</v>
      </c>
      <c r="L558">
        <f t="shared" si="35"/>
        <v>0.17000000000000171</v>
      </c>
      <c r="M558">
        <f t="shared" si="35"/>
        <v>0.21999999999999886</v>
      </c>
      <c r="N558">
        <f t="shared" si="34"/>
        <v>0.12000000000000455</v>
      </c>
      <c r="O558">
        <f t="shared" si="34"/>
        <v>0.28000000000000114</v>
      </c>
      <c r="P558" s="10">
        <f t="shared" si="34"/>
        <v>0.15999999999999659</v>
      </c>
    </row>
    <row r="559" spans="1:16">
      <c r="A559">
        <v>134.5</v>
      </c>
      <c r="B559">
        <v>98.12</v>
      </c>
      <c r="C559">
        <v>94.51</v>
      </c>
      <c r="D559">
        <v>102.73</v>
      </c>
      <c r="E559">
        <v>95.12</v>
      </c>
      <c r="F559">
        <v>90.9</v>
      </c>
      <c r="G559">
        <v>95.34</v>
      </c>
      <c r="H559">
        <v>77.06</v>
      </c>
      <c r="K559" s="9">
        <f t="shared" si="35"/>
        <v>4.9999999999997158E-2</v>
      </c>
      <c r="L559">
        <f t="shared" si="35"/>
        <v>0.32999999999999829</v>
      </c>
      <c r="M559">
        <f t="shared" si="35"/>
        <v>0.21999999999999886</v>
      </c>
      <c r="N559">
        <f t="shared" si="34"/>
        <v>0.10999999999999943</v>
      </c>
      <c r="O559">
        <f t="shared" si="34"/>
        <v>0.21999999999999886</v>
      </c>
      <c r="P559" s="10">
        <f t="shared" si="34"/>
        <v>0.17000000000000171</v>
      </c>
    </row>
    <row r="560" spans="1:16">
      <c r="A560">
        <v>134.75</v>
      </c>
      <c r="B560">
        <v>98.23</v>
      </c>
      <c r="C560">
        <v>94.56</v>
      </c>
      <c r="D560">
        <v>102.95</v>
      </c>
      <c r="E560">
        <v>95.17</v>
      </c>
      <c r="F560">
        <v>90.9</v>
      </c>
      <c r="G560">
        <v>95.4</v>
      </c>
      <c r="H560">
        <v>77.12</v>
      </c>
      <c r="K560" s="9">
        <f t="shared" si="35"/>
        <v>0</v>
      </c>
      <c r="L560">
        <f t="shared" si="35"/>
        <v>0.17000000000000171</v>
      </c>
      <c r="M560">
        <f t="shared" si="35"/>
        <v>0.23000000000000398</v>
      </c>
      <c r="N560">
        <f t="shared" si="34"/>
        <v>0.21999999999999886</v>
      </c>
      <c r="O560">
        <f t="shared" si="34"/>
        <v>0.21999999999999886</v>
      </c>
      <c r="P560" s="10">
        <f t="shared" si="34"/>
        <v>0.15999999999999659</v>
      </c>
    </row>
    <row r="561" spans="1:16">
      <c r="A561">
        <v>135</v>
      </c>
      <c r="B561">
        <v>98.23</v>
      </c>
      <c r="C561">
        <v>94.56</v>
      </c>
      <c r="D561">
        <v>102.95</v>
      </c>
      <c r="E561">
        <v>95.28</v>
      </c>
      <c r="F561">
        <v>90.9</v>
      </c>
      <c r="G561">
        <v>95.51</v>
      </c>
      <c r="H561">
        <v>77.17</v>
      </c>
      <c r="K561" s="9">
        <f t="shared" si="35"/>
        <v>0.10999999999999943</v>
      </c>
      <c r="L561">
        <f t="shared" si="35"/>
        <v>0.10999999999999943</v>
      </c>
      <c r="M561">
        <f t="shared" si="35"/>
        <v>0.23000000000000398</v>
      </c>
      <c r="N561">
        <f t="shared" si="34"/>
        <v>0.21999999999999886</v>
      </c>
      <c r="O561">
        <f t="shared" si="34"/>
        <v>0.15999999999999659</v>
      </c>
      <c r="P561" s="10">
        <f t="shared" si="34"/>
        <v>0.28000000000000114</v>
      </c>
    </row>
    <row r="562" spans="1:16">
      <c r="A562">
        <v>135.25</v>
      </c>
      <c r="B562">
        <v>98.23</v>
      </c>
      <c r="C562">
        <v>94.56</v>
      </c>
      <c r="D562">
        <v>103.06</v>
      </c>
      <c r="E562">
        <v>95.34</v>
      </c>
      <c r="F562">
        <v>91.01</v>
      </c>
      <c r="G562">
        <v>95.56</v>
      </c>
      <c r="H562">
        <v>77.23</v>
      </c>
      <c r="K562" s="9">
        <f t="shared" si="35"/>
        <v>0.10999999999999943</v>
      </c>
      <c r="L562">
        <f t="shared" si="35"/>
        <v>0</v>
      </c>
      <c r="M562">
        <f t="shared" si="35"/>
        <v>0.21999999999999886</v>
      </c>
      <c r="N562">
        <f t="shared" si="34"/>
        <v>0.10999999999999943</v>
      </c>
      <c r="O562">
        <f t="shared" si="34"/>
        <v>0.17000000000000171</v>
      </c>
      <c r="P562" s="10">
        <f t="shared" si="34"/>
        <v>0.17000000000000171</v>
      </c>
    </row>
    <row r="563" spans="1:16">
      <c r="A563">
        <v>135.5</v>
      </c>
      <c r="B563">
        <v>98.34</v>
      </c>
      <c r="C563">
        <v>94.56</v>
      </c>
      <c r="D563">
        <v>103.12</v>
      </c>
      <c r="E563">
        <v>95.4</v>
      </c>
      <c r="F563">
        <v>91.12</v>
      </c>
      <c r="G563">
        <v>95.62</v>
      </c>
      <c r="H563">
        <v>77.28</v>
      </c>
      <c r="K563" s="9">
        <f t="shared" si="35"/>
        <v>0.17000000000000171</v>
      </c>
      <c r="L563">
        <f t="shared" si="35"/>
        <v>0.10999999999999943</v>
      </c>
      <c r="M563">
        <f t="shared" si="35"/>
        <v>0.21999999999999886</v>
      </c>
      <c r="N563">
        <f t="shared" si="34"/>
        <v>0.10999999999999943</v>
      </c>
      <c r="O563">
        <f t="shared" si="34"/>
        <v>0.21999999999999886</v>
      </c>
      <c r="P563" s="10">
        <f t="shared" si="34"/>
        <v>0.23000000000000398</v>
      </c>
    </row>
    <row r="564" spans="1:16">
      <c r="A564">
        <v>135.75</v>
      </c>
      <c r="B564">
        <v>98.45</v>
      </c>
      <c r="C564">
        <v>94.67</v>
      </c>
      <c r="D564">
        <v>103.06</v>
      </c>
      <c r="E564">
        <v>95.51</v>
      </c>
      <c r="F564">
        <v>91.12</v>
      </c>
      <c r="G564">
        <v>95.67</v>
      </c>
      <c r="H564">
        <v>77.45</v>
      </c>
      <c r="K564" s="9">
        <f t="shared" si="35"/>
        <v>6.0000000000002274E-2</v>
      </c>
      <c r="L564">
        <f t="shared" si="35"/>
        <v>0.21999999999999886</v>
      </c>
      <c r="M564">
        <f t="shared" si="35"/>
        <v>0.21999999999999886</v>
      </c>
      <c r="N564">
        <f t="shared" si="34"/>
        <v>0.10999999999999943</v>
      </c>
      <c r="O564">
        <f t="shared" si="34"/>
        <v>0.23000000000000398</v>
      </c>
      <c r="P564" s="10">
        <f t="shared" si="34"/>
        <v>6.0000000000002274E-2</v>
      </c>
    </row>
    <row r="565" spans="1:16">
      <c r="A565">
        <v>136</v>
      </c>
      <c r="B565">
        <v>98.56</v>
      </c>
      <c r="C565">
        <v>94.67</v>
      </c>
      <c r="D565">
        <v>103.06</v>
      </c>
      <c r="E565">
        <v>95.56</v>
      </c>
      <c r="F565">
        <v>91.12</v>
      </c>
      <c r="G565">
        <v>95.73</v>
      </c>
      <c r="H565">
        <v>77.400000000000006</v>
      </c>
      <c r="K565" s="9">
        <f t="shared" si="35"/>
        <v>6.0000000000002274E-2</v>
      </c>
      <c r="L565">
        <f t="shared" si="35"/>
        <v>0.21999999999999886</v>
      </c>
      <c r="M565">
        <f t="shared" si="35"/>
        <v>0.28000000000000114</v>
      </c>
      <c r="N565">
        <f t="shared" si="34"/>
        <v>0.21999999999999886</v>
      </c>
      <c r="O565">
        <f t="shared" si="34"/>
        <v>0.17000000000000171</v>
      </c>
      <c r="P565" s="10">
        <f t="shared" si="34"/>
        <v>0.15999999999999659</v>
      </c>
    </row>
    <row r="566" spans="1:16">
      <c r="A566">
        <v>136.25</v>
      </c>
      <c r="B566">
        <v>98.62</v>
      </c>
      <c r="C566">
        <v>94.73</v>
      </c>
      <c r="D566">
        <v>103.23</v>
      </c>
      <c r="E566">
        <v>95.62</v>
      </c>
      <c r="F566">
        <v>91.23</v>
      </c>
      <c r="G566">
        <v>95.84</v>
      </c>
      <c r="H566">
        <v>77.510000000000005</v>
      </c>
      <c r="K566" s="9">
        <f t="shared" si="35"/>
        <v>0</v>
      </c>
      <c r="L566">
        <f t="shared" si="35"/>
        <v>0.17000000000000171</v>
      </c>
      <c r="M566">
        <f t="shared" si="35"/>
        <v>0.21999999999999886</v>
      </c>
      <c r="N566">
        <f t="shared" si="34"/>
        <v>0.10999999999999943</v>
      </c>
      <c r="O566">
        <f t="shared" si="34"/>
        <v>0.17000000000000171</v>
      </c>
      <c r="P566" s="10">
        <f t="shared" si="34"/>
        <v>4.9999999999997158E-2</v>
      </c>
    </row>
    <row r="567" spans="1:16">
      <c r="A567">
        <v>136.5</v>
      </c>
      <c r="B567">
        <v>98.56</v>
      </c>
      <c r="C567">
        <v>94.73</v>
      </c>
      <c r="D567">
        <v>103.28</v>
      </c>
      <c r="E567">
        <v>95.73</v>
      </c>
      <c r="F567">
        <v>91.23</v>
      </c>
      <c r="G567">
        <v>95.9</v>
      </c>
      <c r="H567">
        <v>77.510000000000005</v>
      </c>
      <c r="K567" s="9">
        <f t="shared" si="35"/>
        <v>4.9999999999997158E-2</v>
      </c>
      <c r="L567">
        <f t="shared" si="35"/>
        <v>0.12000000000000455</v>
      </c>
      <c r="M567">
        <f t="shared" si="35"/>
        <v>0.17000000000000171</v>
      </c>
      <c r="N567">
        <f t="shared" si="34"/>
        <v>0.28000000000000114</v>
      </c>
      <c r="O567">
        <f t="shared" si="34"/>
        <v>0.15999999999999659</v>
      </c>
      <c r="P567" s="10">
        <f t="shared" si="34"/>
        <v>0.15999999999999659</v>
      </c>
    </row>
    <row r="568" spans="1:16">
      <c r="A568">
        <v>136.75</v>
      </c>
      <c r="B568">
        <v>98.67</v>
      </c>
      <c r="C568">
        <v>94.73</v>
      </c>
      <c r="D568">
        <v>103.28</v>
      </c>
      <c r="E568">
        <v>95.84</v>
      </c>
      <c r="F568">
        <v>91.34</v>
      </c>
      <c r="G568">
        <v>95.9</v>
      </c>
      <c r="H568">
        <v>77.56</v>
      </c>
      <c r="K568" s="9">
        <f t="shared" si="35"/>
        <v>0.10999999999999943</v>
      </c>
      <c r="L568">
        <f t="shared" si="35"/>
        <v>0.34000000000000341</v>
      </c>
      <c r="M568">
        <f t="shared" si="35"/>
        <v>0.17000000000000171</v>
      </c>
      <c r="N568">
        <f t="shared" si="34"/>
        <v>0.17000000000000171</v>
      </c>
      <c r="O568">
        <f t="shared" si="34"/>
        <v>0.21999999999999886</v>
      </c>
      <c r="P568" s="10">
        <f t="shared" si="34"/>
        <v>0.10999999999999943</v>
      </c>
    </row>
    <row r="569" spans="1:16">
      <c r="A569">
        <v>137</v>
      </c>
      <c r="B569">
        <v>98.73</v>
      </c>
      <c r="C569">
        <v>94.73</v>
      </c>
      <c r="D569">
        <v>103.4</v>
      </c>
      <c r="E569">
        <v>95.84</v>
      </c>
      <c r="F569">
        <v>91.34</v>
      </c>
      <c r="G569">
        <v>96.01</v>
      </c>
      <c r="H569">
        <v>77.56</v>
      </c>
      <c r="K569" s="9">
        <f t="shared" si="35"/>
        <v>0.10999999999999943</v>
      </c>
      <c r="L569">
        <f t="shared" si="35"/>
        <v>0.60999999999999943</v>
      </c>
      <c r="M569">
        <f t="shared" si="35"/>
        <v>0.17000000000000171</v>
      </c>
      <c r="N569">
        <f t="shared" si="34"/>
        <v>0.21999999999999886</v>
      </c>
      <c r="O569">
        <f t="shared" si="34"/>
        <v>0.10999999999999943</v>
      </c>
      <c r="P569" s="10">
        <f t="shared" si="34"/>
        <v>0.10999999999999943</v>
      </c>
    </row>
    <row r="570" spans="1:16">
      <c r="A570">
        <v>137.25</v>
      </c>
      <c r="B570">
        <v>98.73</v>
      </c>
      <c r="C570">
        <v>94.78</v>
      </c>
      <c r="D570">
        <v>103.4</v>
      </c>
      <c r="E570">
        <v>95.9</v>
      </c>
      <c r="F570">
        <v>91.51</v>
      </c>
      <c r="G570">
        <v>96.06</v>
      </c>
      <c r="H570">
        <v>77.67</v>
      </c>
      <c r="K570" s="9">
        <f t="shared" si="35"/>
        <v>6.0000000000002274E-2</v>
      </c>
      <c r="L570">
        <f t="shared" si="35"/>
        <v>1.1099999999999994</v>
      </c>
      <c r="M570">
        <f t="shared" si="35"/>
        <v>0.15999999999999659</v>
      </c>
      <c r="N570">
        <f t="shared" si="34"/>
        <v>4.9999999999997158E-2</v>
      </c>
      <c r="O570">
        <f t="shared" si="34"/>
        <v>0.10999999999999943</v>
      </c>
      <c r="P570" s="10">
        <f t="shared" si="34"/>
        <v>0.10999999999999943</v>
      </c>
    </row>
    <row r="571" spans="1:16">
      <c r="A571">
        <v>137.5</v>
      </c>
      <c r="B571">
        <v>98.9</v>
      </c>
      <c r="C571">
        <v>94.84</v>
      </c>
      <c r="D571">
        <v>103.62</v>
      </c>
      <c r="E571">
        <v>96.01</v>
      </c>
      <c r="F571">
        <v>91.51</v>
      </c>
      <c r="G571">
        <v>96.12</v>
      </c>
      <c r="H571">
        <v>77.67</v>
      </c>
      <c r="K571" s="9">
        <f t="shared" si="35"/>
        <v>0</v>
      </c>
      <c r="L571">
        <f t="shared" si="35"/>
        <v>0.82999999999999829</v>
      </c>
      <c r="M571">
        <f t="shared" si="35"/>
        <v>0.21999999999999886</v>
      </c>
      <c r="N571">
        <f t="shared" si="34"/>
        <v>0.15999999999999659</v>
      </c>
      <c r="O571">
        <f t="shared" si="34"/>
        <v>0.10999999999999943</v>
      </c>
      <c r="P571" s="10">
        <f t="shared" si="34"/>
        <v>0.23000000000000398</v>
      </c>
    </row>
    <row r="572" spans="1:16">
      <c r="A572">
        <v>137.75</v>
      </c>
      <c r="B572">
        <v>98.9</v>
      </c>
      <c r="C572">
        <v>94.84</v>
      </c>
      <c r="D572">
        <v>104.01</v>
      </c>
      <c r="E572">
        <v>96.01</v>
      </c>
      <c r="F572">
        <v>91.56</v>
      </c>
      <c r="G572">
        <v>96.12</v>
      </c>
      <c r="H572">
        <v>77.67</v>
      </c>
      <c r="K572" s="9">
        <f t="shared" si="35"/>
        <v>0.10999999999999943</v>
      </c>
      <c r="L572">
        <f t="shared" si="35"/>
        <v>0.5</v>
      </c>
      <c r="M572">
        <f t="shared" si="35"/>
        <v>0.26999999999999602</v>
      </c>
      <c r="N572">
        <f t="shared" si="34"/>
        <v>0.21999999999999886</v>
      </c>
      <c r="O572">
        <f t="shared" si="34"/>
        <v>0.10999999999999943</v>
      </c>
      <c r="P572" s="10">
        <f t="shared" si="34"/>
        <v>0.34000000000000341</v>
      </c>
    </row>
    <row r="573" spans="1:16">
      <c r="A573">
        <v>138</v>
      </c>
      <c r="B573">
        <v>98.95</v>
      </c>
      <c r="C573">
        <v>94.84</v>
      </c>
      <c r="D573">
        <v>104.51</v>
      </c>
      <c r="E573">
        <v>96.06</v>
      </c>
      <c r="F573">
        <v>91.56</v>
      </c>
      <c r="G573">
        <v>96.17</v>
      </c>
      <c r="H573">
        <v>77.78</v>
      </c>
      <c r="K573" s="9">
        <f t="shared" si="35"/>
        <v>6.0000000000002274E-2</v>
      </c>
      <c r="L573">
        <f t="shared" si="35"/>
        <v>-0.23000000000000398</v>
      </c>
      <c r="M573">
        <f t="shared" si="35"/>
        <v>0.34000000000000341</v>
      </c>
      <c r="N573">
        <f t="shared" si="34"/>
        <v>0.21999999999999886</v>
      </c>
      <c r="O573">
        <f t="shared" si="34"/>
        <v>0.10999999999999943</v>
      </c>
      <c r="P573" s="10">
        <f t="shared" si="34"/>
        <v>0.23000000000000398</v>
      </c>
    </row>
    <row r="574" spans="1:16">
      <c r="A574">
        <v>138.25</v>
      </c>
      <c r="B574">
        <v>99.06</v>
      </c>
      <c r="C574">
        <v>94.84</v>
      </c>
      <c r="D574">
        <v>104.45</v>
      </c>
      <c r="E574">
        <v>96.23</v>
      </c>
      <c r="F574">
        <v>91.67</v>
      </c>
      <c r="G574">
        <v>96.23</v>
      </c>
      <c r="H574">
        <v>77.900000000000006</v>
      </c>
      <c r="K574" s="9">
        <f t="shared" si="35"/>
        <v>0.17000000000000171</v>
      </c>
      <c r="L574">
        <f t="shared" si="35"/>
        <v>0.32999999999999829</v>
      </c>
      <c r="M574">
        <f t="shared" si="35"/>
        <v>0.28000000000000114</v>
      </c>
      <c r="N574">
        <f t="shared" si="34"/>
        <v>0.23000000000000398</v>
      </c>
      <c r="O574">
        <f t="shared" si="34"/>
        <v>0.21999999999999886</v>
      </c>
      <c r="P574" s="10">
        <f t="shared" si="34"/>
        <v>0.21999999999999886</v>
      </c>
    </row>
    <row r="575" spans="1:16">
      <c r="A575">
        <v>138.5</v>
      </c>
      <c r="B575">
        <v>99.01</v>
      </c>
      <c r="C575">
        <v>94.95</v>
      </c>
      <c r="D575">
        <v>104.51</v>
      </c>
      <c r="E575">
        <v>96.28</v>
      </c>
      <c r="F575">
        <v>91.78</v>
      </c>
      <c r="G575">
        <v>96.23</v>
      </c>
      <c r="H575">
        <v>78.010000000000005</v>
      </c>
      <c r="K575" s="9">
        <f t="shared" si="35"/>
        <v>6.0000000000002274E-2</v>
      </c>
      <c r="L575">
        <f t="shared" si="35"/>
        <v>0.10999999999999943</v>
      </c>
      <c r="M575">
        <f t="shared" si="35"/>
        <v>0.34000000000000341</v>
      </c>
      <c r="N575">
        <f t="shared" si="34"/>
        <v>0.28000000000000114</v>
      </c>
      <c r="O575">
        <f t="shared" si="34"/>
        <v>0.39000000000000057</v>
      </c>
      <c r="P575" s="10">
        <f t="shared" si="34"/>
        <v>0.15999999999999659</v>
      </c>
    </row>
    <row r="576" spans="1:16">
      <c r="A576">
        <v>138.75</v>
      </c>
      <c r="B576">
        <v>99.12</v>
      </c>
      <c r="C576">
        <v>94.9</v>
      </c>
      <c r="D576">
        <v>104.28</v>
      </c>
      <c r="E576">
        <v>96.4</v>
      </c>
      <c r="F576">
        <v>91.78</v>
      </c>
      <c r="G576">
        <v>96.28</v>
      </c>
      <c r="H576">
        <v>78.010000000000005</v>
      </c>
      <c r="K576" s="9">
        <f t="shared" si="35"/>
        <v>0.10999999999999943</v>
      </c>
      <c r="L576">
        <f t="shared" si="35"/>
        <v>0.39000000000000057</v>
      </c>
      <c r="M576">
        <f t="shared" si="35"/>
        <v>0.21999999999999886</v>
      </c>
      <c r="N576">
        <f t="shared" si="34"/>
        <v>0.17000000000000171</v>
      </c>
      <c r="O576">
        <f t="shared" si="34"/>
        <v>0.28000000000000114</v>
      </c>
      <c r="P576" s="10">
        <f t="shared" si="34"/>
        <v>0.15999999999999659</v>
      </c>
    </row>
    <row r="577" spans="1:16">
      <c r="A577">
        <v>139</v>
      </c>
      <c r="B577">
        <v>99.12</v>
      </c>
      <c r="C577">
        <v>95.01</v>
      </c>
      <c r="D577">
        <v>104.78</v>
      </c>
      <c r="E577">
        <v>96.51</v>
      </c>
      <c r="F577">
        <v>91.9</v>
      </c>
      <c r="G577">
        <v>96.45</v>
      </c>
      <c r="H577">
        <v>78.12</v>
      </c>
      <c r="K577" s="9">
        <f t="shared" si="35"/>
        <v>0.10999999999999943</v>
      </c>
      <c r="L577">
        <f t="shared" si="35"/>
        <v>-4.9999999999997158E-2</v>
      </c>
      <c r="M577">
        <f t="shared" si="35"/>
        <v>0.15999999999999659</v>
      </c>
      <c r="N577">
        <f t="shared" si="34"/>
        <v>0.15999999999999659</v>
      </c>
      <c r="O577">
        <f t="shared" si="34"/>
        <v>0.17000000000000171</v>
      </c>
      <c r="P577" s="10">
        <f t="shared" si="34"/>
        <v>0.15999999999999659</v>
      </c>
    </row>
    <row r="578" spans="1:16">
      <c r="A578">
        <v>139.25</v>
      </c>
      <c r="B578">
        <v>99.23</v>
      </c>
      <c r="C578">
        <v>95.01</v>
      </c>
      <c r="D578">
        <v>104.62</v>
      </c>
      <c r="E578">
        <v>96.62</v>
      </c>
      <c r="F578">
        <v>92.06</v>
      </c>
      <c r="G578">
        <v>96.62</v>
      </c>
      <c r="H578">
        <v>78.17</v>
      </c>
      <c r="K578" s="9">
        <f t="shared" si="35"/>
        <v>0.10999999999999943</v>
      </c>
      <c r="L578">
        <f t="shared" si="35"/>
        <v>0.21999999999999886</v>
      </c>
      <c r="M578">
        <f t="shared" si="35"/>
        <v>0.15999999999999659</v>
      </c>
      <c r="N578">
        <f t="shared" si="34"/>
        <v>0.10999999999999943</v>
      </c>
      <c r="O578">
        <f t="shared" si="34"/>
        <v>0.10999999999999943</v>
      </c>
      <c r="P578" s="10">
        <f t="shared" si="34"/>
        <v>0.17000000000000171</v>
      </c>
    </row>
    <row r="579" spans="1:16">
      <c r="A579">
        <v>139.5</v>
      </c>
      <c r="B579">
        <v>99.28</v>
      </c>
      <c r="C579">
        <v>95.01</v>
      </c>
      <c r="D579">
        <v>104.67</v>
      </c>
      <c r="E579">
        <v>96.62</v>
      </c>
      <c r="F579">
        <v>91.95</v>
      </c>
      <c r="G579">
        <v>96.56</v>
      </c>
      <c r="H579">
        <v>78.17</v>
      </c>
      <c r="K579" s="9">
        <f t="shared" si="35"/>
        <v>0.15999999999999659</v>
      </c>
      <c r="L579">
        <f t="shared" si="35"/>
        <v>0.23000000000000398</v>
      </c>
      <c r="M579">
        <f t="shared" si="35"/>
        <v>0.10999999999999943</v>
      </c>
      <c r="N579">
        <f t="shared" si="34"/>
        <v>0.21999999999999886</v>
      </c>
      <c r="O579">
        <f t="shared" si="34"/>
        <v>0.17000000000000171</v>
      </c>
      <c r="P579" s="10">
        <f t="shared" si="34"/>
        <v>0.23000000000000398</v>
      </c>
    </row>
    <row r="580" spans="1:16">
      <c r="A580">
        <v>139.75</v>
      </c>
      <c r="B580">
        <v>99.4</v>
      </c>
      <c r="C580">
        <v>95.12</v>
      </c>
      <c r="D580">
        <v>104.73</v>
      </c>
      <c r="E580">
        <v>96.67</v>
      </c>
      <c r="F580">
        <v>92.06</v>
      </c>
      <c r="G580">
        <v>96.62</v>
      </c>
      <c r="H580">
        <v>78.28</v>
      </c>
      <c r="K580" s="9">
        <f t="shared" si="35"/>
        <v>0.10999999999999943</v>
      </c>
      <c r="L580">
        <f t="shared" si="35"/>
        <v>0.28000000000000114</v>
      </c>
      <c r="M580">
        <f t="shared" si="35"/>
        <v>0.23000000000000398</v>
      </c>
      <c r="N580">
        <f t="shared" si="34"/>
        <v>0.10999999999999943</v>
      </c>
      <c r="O580">
        <f t="shared" si="34"/>
        <v>0.10999999999999943</v>
      </c>
      <c r="P580" s="10">
        <f t="shared" si="34"/>
        <v>0.12000000000000455</v>
      </c>
    </row>
    <row r="581" spans="1:16">
      <c r="A581">
        <v>140</v>
      </c>
      <c r="B581">
        <v>99.4</v>
      </c>
      <c r="C581">
        <v>95.12</v>
      </c>
      <c r="D581">
        <v>104.84</v>
      </c>
      <c r="E581">
        <v>96.78</v>
      </c>
      <c r="F581">
        <v>92.17</v>
      </c>
      <c r="G581">
        <v>96.73</v>
      </c>
      <c r="H581">
        <v>78.34</v>
      </c>
      <c r="K581" s="9">
        <f t="shared" si="35"/>
        <v>0.10999999999999943</v>
      </c>
      <c r="L581">
        <f t="shared" si="35"/>
        <v>0.32999999999999829</v>
      </c>
      <c r="M581">
        <f t="shared" si="35"/>
        <v>0.23000000000000398</v>
      </c>
      <c r="N581">
        <f t="shared" si="34"/>
        <v>0.10999999999999943</v>
      </c>
      <c r="O581">
        <f t="shared" si="34"/>
        <v>4.9999999999997158E-2</v>
      </c>
      <c r="P581" s="10">
        <f t="shared" si="34"/>
        <v>0.21999999999999886</v>
      </c>
    </row>
    <row r="582" spans="1:16">
      <c r="A582">
        <v>140.25</v>
      </c>
      <c r="B582">
        <v>99.4</v>
      </c>
      <c r="C582">
        <v>95.17</v>
      </c>
      <c r="D582">
        <v>104.9</v>
      </c>
      <c r="E582">
        <v>96.73</v>
      </c>
      <c r="F582">
        <v>92.17</v>
      </c>
      <c r="G582">
        <v>96.73</v>
      </c>
      <c r="H582">
        <v>78.400000000000006</v>
      </c>
      <c r="K582" s="9">
        <f t="shared" si="35"/>
        <v>0.10999999999999943</v>
      </c>
      <c r="L582">
        <f t="shared" si="35"/>
        <v>0.26999999999999602</v>
      </c>
      <c r="M582">
        <f t="shared" si="35"/>
        <v>0.28000000000000114</v>
      </c>
      <c r="N582">
        <f t="shared" si="34"/>
        <v>0.23000000000000398</v>
      </c>
      <c r="O582">
        <f t="shared" si="34"/>
        <v>0.10999999999999943</v>
      </c>
      <c r="P582" s="10">
        <f t="shared" si="34"/>
        <v>0.21999999999999886</v>
      </c>
    </row>
    <row r="583" spans="1:16">
      <c r="A583">
        <v>140.5</v>
      </c>
      <c r="B583">
        <v>99.45</v>
      </c>
      <c r="C583">
        <v>95.23</v>
      </c>
      <c r="D583">
        <v>105.01</v>
      </c>
      <c r="E583">
        <v>96.9</v>
      </c>
      <c r="F583">
        <v>92.17</v>
      </c>
      <c r="G583">
        <v>96.73</v>
      </c>
      <c r="H583">
        <v>78.400000000000006</v>
      </c>
      <c r="K583" s="9">
        <f t="shared" si="35"/>
        <v>0.17000000000000171</v>
      </c>
      <c r="L583">
        <f t="shared" si="35"/>
        <v>0.26999999999999602</v>
      </c>
      <c r="M583">
        <f t="shared" si="35"/>
        <v>0.26999999999999602</v>
      </c>
      <c r="N583">
        <f t="shared" si="34"/>
        <v>0.17000000000000171</v>
      </c>
      <c r="O583">
        <f t="shared" si="34"/>
        <v>0.10999999999999943</v>
      </c>
      <c r="P583" s="10">
        <f t="shared" si="34"/>
        <v>0.15999999999999659</v>
      </c>
    </row>
    <row r="584" spans="1:16">
      <c r="A584">
        <v>140.75</v>
      </c>
      <c r="B584">
        <v>99.51</v>
      </c>
      <c r="C584">
        <v>95.23</v>
      </c>
      <c r="D584">
        <v>105.17</v>
      </c>
      <c r="E584">
        <v>97.01</v>
      </c>
      <c r="F584">
        <v>92.28</v>
      </c>
      <c r="G584">
        <v>96.78</v>
      </c>
      <c r="H584">
        <v>78.56</v>
      </c>
      <c r="K584" s="9">
        <f t="shared" si="35"/>
        <v>0.17000000000000171</v>
      </c>
      <c r="L584">
        <f t="shared" si="35"/>
        <v>6.0000000000002274E-2</v>
      </c>
      <c r="M584">
        <f t="shared" si="35"/>
        <v>0.21999999999999886</v>
      </c>
      <c r="N584">
        <f t="shared" si="34"/>
        <v>0.17000000000000171</v>
      </c>
      <c r="O584">
        <f t="shared" si="34"/>
        <v>0.23000000000000398</v>
      </c>
      <c r="P584" s="10">
        <f t="shared" si="34"/>
        <v>0.10999999999999943</v>
      </c>
    </row>
    <row r="585" spans="1:16">
      <c r="A585">
        <v>141</v>
      </c>
      <c r="B585">
        <v>99.67</v>
      </c>
      <c r="C585">
        <v>95.28</v>
      </c>
      <c r="D585">
        <v>105.17</v>
      </c>
      <c r="E585">
        <v>97.01</v>
      </c>
      <c r="F585">
        <v>92.4</v>
      </c>
      <c r="G585">
        <v>96.84</v>
      </c>
      <c r="H585">
        <v>78.62</v>
      </c>
      <c r="K585" s="9">
        <f t="shared" si="35"/>
        <v>0.23000000000000398</v>
      </c>
      <c r="L585">
        <f t="shared" si="35"/>
        <v>6.0000000000002274E-2</v>
      </c>
      <c r="M585">
        <f t="shared" si="35"/>
        <v>0.26999999999999602</v>
      </c>
      <c r="N585">
        <f t="shared" si="34"/>
        <v>4.9999999999997158E-2</v>
      </c>
      <c r="O585">
        <f t="shared" si="34"/>
        <v>0.17000000000000171</v>
      </c>
      <c r="P585" s="10">
        <f t="shared" si="34"/>
        <v>4.9999999999997158E-2</v>
      </c>
    </row>
    <row r="586" spans="1:16">
      <c r="A586">
        <v>141.25</v>
      </c>
      <c r="B586">
        <v>99.67</v>
      </c>
      <c r="C586">
        <v>95.4</v>
      </c>
      <c r="D586">
        <v>105.28</v>
      </c>
      <c r="E586">
        <v>97.17</v>
      </c>
      <c r="F586">
        <v>92.34</v>
      </c>
      <c r="G586">
        <v>96.84</v>
      </c>
      <c r="H586">
        <v>78.56</v>
      </c>
      <c r="K586" s="9">
        <f t="shared" si="35"/>
        <v>0.10999999999999943</v>
      </c>
      <c r="L586">
        <f t="shared" si="35"/>
        <v>6.0000000000002274E-2</v>
      </c>
      <c r="M586">
        <f t="shared" si="35"/>
        <v>0.17000000000000171</v>
      </c>
      <c r="N586">
        <f t="shared" si="34"/>
        <v>0.21999999999999886</v>
      </c>
      <c r="O586">
        <f t="shared" si="34"/>
        <v>0.21999999999999886</v>
      </c>
      <c r="P586" s="10">
        <f t="shared" si="34"/>
        <v>0.21999999999999886</v>
      </c>
    </row>
    <row r="587" spans="1:16">
      <c r="A587">
        <v>141.5</v>
      </c>
      <c r="B587">
        <v>99.67</v>
      </c>
      <c r="C587">
        <v>95.4</v>
      </c>
      <c r="D587">
        <v>105.23</v>
      </c>
      <c r="E587">
        <v>97.23</v>
      </c>
      <c r="F587">
        <v>92.45</v>
      </c>
      <c r="G587">
        <v>97.01</v>
      </c>
      <c r="H587">
        <v>78.67</v>
      </c>
      <c r="K587" s="9">
        <f t="shared" si="35"/>
        <v>0.15999999999999659</v>
      </c>
      <c r="L587">
        <f t="shared" si="35"/>
        <v>0.28000000000000114</v>
      </c>
      <c r="M587">
        <f t="shared" si="35"/>
        <v>0.17000000000000171</v>
      </c>
      <c r="N587">
        <f t="shared" si="34"/>
        <v>0.17000000000000171</v>
      </c>
      <c r="O587">
        <f t="shared" si="34"/>
        <v>0.15999999999999659</v>
      </c>
      <c r="P587" s="10">
        <f t="shared" si="34"/>
        <v>0.10999999999999943</v>
      </c>
    </row>
    <row r="588" spans="1:16">
      <c r="A588">
        <v>141.75</v>
      </c>
      <c r="B588">
        <v>99.9</v>
      </c>
      <c r="C588">
        <v>95.51</v>
      </c>
      <c r="D588">
        <v>105.23</v>
      </c>
      <c r="E588">
        <v>97.28</v>
      </c>
      <c r="F588">
        <v>92.45</v>
      </c>
      <c r="G588">
        <v>97.01</v>
      </c>
      <c r="H588">
        <v>78.67</v>
      </c>
      <c r="K588" s="9">
        <f t="shared" si="35"/>
        <v>0.10999999999999943</v>
      </c>
      <c r="L588">
        <f t="shared" si="35"/>
        <v>0.21999999999999886</v>
      </c>
      <c r="M588">
        <f t="shared" si="35"/>
        <v>0.23000000000000398</v>
      </c>
      <c r="N588">
        <f t="shared" si="34"/>
        <v>0.17000000000000171</v>
      </c>
      <c r="O588">
        <f t="shared" si="34"/>
        <v>0.10999999999999943</v>
      </c>
      <c r="P588" s="10">
        <f t="shared" si="34"/>
        <v>0.28000000000000114</v>
      </c>
    </row>
    <row r="589" spans="1:16">
      <c r="A589">
        <v>142</v>
      </c>
      <c r="B589">
        <v>99.9</v>
      </c>
      <c r="C589">
        <v>95.51</v>
      </c>
      <c r="D589">
        <v>105.34</v>
      </c>
      <c r="E589">
        <v>97.34</v>
      </c>
      <c r="F589">
        <v>92.56</v>
      </c>
      <c r="G589">
        <v>97.06</v>
      </c>
      <c r="H589">
        <v>78.78</v>
      </c>
      <c r="K589" s="9">
        <f t="shared" si="35"/>
        <v>0.15999999999999659</v>
      </c>
      <c r="L589">
        <f t="shared" si="35"/>
        <v>0.10999999999999943</v>
      </c>
      <c r="M589">
        <f t="shared" si="35"/>
        <v>0.28000000000000114</v>
      </c>
      <c r="N589">
        <f t="shared" si="34"/>
        <v>0.17000000000000171</v>
      </c>
      <c r="O589">
        <f t="shared" si="34"/>
        <v>0.21999999999999886</v>
      </c>
      <c r="P589" s="10">
        <f t="shared" si="34"/>
        <v>0.17000000000000171</v>
      </c>
    </row>
    <row r="590" spans="1:16">
      <c r="A590">
        <v>142.25</v>
      </c>
      <c r="B590">
        <v>99.84</v>
      </c>
      <c r="C590">
        <v>95.56</v>
      </c>
      <c r="D590">
        <v>105.51</v>
      </c>
      <c r="E590">
        <v>97.4</v>
      </c>
      <c r="F590">
        <v>92.62</v>
      </c>
      <c r="G590">
        <v>97.17</v>
      </c>
      <c r="H590">
        <v>78.78</v>
      </c>
      <c r="K590" s="9">
        <f t="shared" si="35"/>
        <v>0.17000000000000171</v>
      </c>
      <c r="L590">
        <f t="shared" si="35"/>
        <v>0.15999999999999659</v>
      </c>
      <c r="M590">
        <f t="shared" si="35"/>
        <v>0.26999999999999602</v>
      </c>
      <c r="N590">
        <f t="shared" si="34"/>
        <v>0.15999999999999659</v>
      </c>
      <c r="O590">
        <f t="shared" si="34"/>
        <v>0.23000000000000398</v>
      </c>
      <c r="P590" s="10">
        <f t="shared" si="34"/>
        <v>0.23000000000000398</v>
      </c>
    </row>
    <row r="591" spans="1:16">
      <c r="A591">
        <v>142.5</v>
      </c>
      <c r="B591">
        <v>100.06</v>
      </c>
      <c r="C591">
        <v>95.62</v>
      </c>
      <c r="D591">
        <v>105.45</v>
      </c>
      <c r="E591">
        <v>97.51</v>
      </c>
      <c r="F591">
        <v>92.62</v>
      </c>
      <c r="G591">
        <v>97.12</v>
      </c>
      <c r="H591">
        <v>78.95</v>
      </c>
      <c r="K591" s="9">
        <f t="shared" si="35"/>
        <v>0.10999999999999943</v>
      </c>
      <c r="L591">
        <f t="shared" si="35"/>
        <v>0.10999999999999943</v>
      </c>
      <c r="M591">
        <f t="shared" si="35"/>
        <v>0.15999999999999659</v>
      </c>
      <c r="N591">
        <f t="shared" si="34"/>
        <v>0.15999999999999659</v>
      </c>
      <c r="O591">
        <f t="shared" si="34"/>
        <v>0.32999999999999829</v>
      </c>
      <c r="P591" s="10">
        <f t="shared" si="34"/>
        <v>0.10999999999999943</v>
      </c>
    </row>
    <row r="592" spans="1:16">
      <c r="A592">
        <v>142.75</v>
      </c>
      <c r="B592">
        <v>100.01</v>
      </c>
      <c r="C592">
        <v>95.67</v>
      </c>
      <c r="D592">
        <v>105.45</v>
      </c>
      <c r="E592">
        <v>97.62</v>
      </c>
      <c r="F592">
        <v>92.73</v>
      </c>
      <c r="G592">
        <v>97.28</v>
      </c>
      <c r="H592">
        <v>78.95</v>
      </c>
      <c r="K592" s="9">
        <f t="shared" si="35"/>
        <v>0.10999999999999943</v>
      </c>
      <c r="L592">
        <f t="shared" si="35"/>
        <v>6.0000000000002274E-2</v>
      </c>
      <c r="M592">
        <f t="shared" si="35"/>
        <v>0.15999999999999659</v>
      </c>
      <c r="N592">
        <f t="shared" si="34"/>
        <v>0.17000000000000171</v>
      </c>
      <c r="O592">
        <f t="shared" si="34"/>
        <v>0.23000000000000398</v>
      </c>
      <c r="P592" s="10">
        <f t="shared" si="34"/>
        <v>0.17000000000000171</v>
      </c>
    </row>
    <row r="593" spans="1:16">
      <c r="A593">
        <v>143</v>
      </c>
      <c r="B593">
        <v>100.06</v>
      </c>
      <c r="C593">
        <v>95.73</v>
      </c>
      <c r="D593">
        <v>105.67</v>
      </c>
      <c r="E593">
        <v>97.67</v>
      </c>
      <c r="F593">
        <v>92.78</v>
      </c>
      <c r="G593">
        <v>97.4</v>
      </c>
      <c r="H593">
        <v>79.010000000000005</v>
      </c>
      <c r="K593" s="9">
        <f t="shared" si="35"/>
        <v>0.10999999999999943</v>
      </c>
      <c r="L593">
        <f t="shared" si="35"/>
        <v>0.67000000000000171</v>
      </c>
      <c r="M593">
        <f t="shared" si="35"/>
        <v>0.23000000000000398</v>
      </c>
      <c r="N593">
        <f t="shared" si="34"/>
        <v>0.17000000000000171</v>
      </c>
      <c r="O593">
        <f t="shared" si="34"/>
        <v>0.15999999999999659</v>
      </c>
      <c r="P593" s="10">
        <f t="shared" si="34"/>
        <v>0.15999999999999659</v>
      </c>
    </row>
    <row r="594" spans="1:16">
      <c r="A594">
        <v>143.25</v>
      </c>
      <c r="B594">
        <v>100.12</v>
      </c>
      <c r="C594">
        <v>95.73</v>
      </c>
      <c r="D594">
        <v>105.56</v>
      </c>
      <c r="E594">
        <v>97.67</v>
      </c>
      <c r="F594">
        <v>92.78</v>
      </c>
      <c r="G594">
        <v>97.45</v>
      </c>
      <c r="H594">
        <v>79.06</v>
      </c>
      <c r="K594" s="9">
        <f t="shared" si="35"/>
        <v>0.17000000000000171</v>
      </c>
      <c r="L594">
        <f t="shared" si="35"/>
        <v>1</v>
      </c>
      <c r="M594">
        <f t="shared" si="35"/>
        <v>0.23000000000000398</v>
      </c>
      <c r="N594">
        <f t="shared" si="34"/>
        <v>0.23000000000000398</v>
      </c>
      <c r="O594">
        <f t="shared" si="34"/>
        <v>0.17000000000000171</v>
      </c>
      <c r="P594" s="10">
        <f t="shared" si="34"/>
        <v>6.0000000000002274E-2</v>
      </c>
    </row>
    <row r="595" spans="1:16">
      <c r="A595">
        <v>143.5</v>
      </c>
      <c r="B595">
        <v>100.28</v>
      </c>
      <c r="C595">
        <v>95.78</v>
      </c>
      <c r="D595">
        <v>105.51</v>
      </c>
      <c r="E595">
        <v>97.78</v>
      </c>
      <c r="F595">
        <v>92.9</v>
      </c>
      <c r="G595">
        <v>97.51</v>
      </c>
      <c r="H595">
        <v>79.12</v>
      </c>
      <c r="K595" s="9">
        <f t="shared" si="35"/>
        <v>0.23000000000000398</v>
      </c>
      <c r="L595">
        <f t="shared" si="35"/>
        <v>0.93999999999999773</v>
      </c>
      <c r="M595">
        <f t="shared" si="35"/>
        <v>0.23000000000000398</v>
      </c>
      <c r="N595">
        <f t="shared" si="34"/>
        <v>0.10999999999999943</v>
      </c>
      <c r="O595">
        <f t="shared" si="34"/>
        <v>0.15999999999999659</v>
      </c>
      <c r="P595" s="10">
        <f t="shared" si="34"/>
        <v>0</v>
      </c>
    </row>
    <row r="596" spans="1:16">
      <c r="A596">
        <v>143.75</v>
      </c>
      <c r="B596">
        <v>100.23</v>
      </c>
      <c r="C596">
        <v>95.84</v>
      </c>
      <c r="D596">
        <v>106.34</v>
      </c>
      <c r="E596">
        <v>97.9</v>
      </c>
      <c r="F596">
        <v>92.95</v>
      </c>
      <c r="G596">
        <v>97.56</v>
      </c>
      <c r="H596">
        <v>79.17</v>
      </c>
      <c r="K596" s="9">
        <f t="shared" si="35"/>
        <v>0.17000000000000171</v>
      </c>
      <c r="L596">
        <f t="shared" si="35"/>
        <v>-0.21999999999999886</v>
      </c>
      <c r="M596">
        <f t="shared" si="35"/>
        <v>0.15999999999999659</v>
      </c>
      <c r="N596">
        <f t="shared" si="34"/>
        <v>0.17000000000000171</v>
      </c>
      <c r="O596">
        <f t="shared" si="34"/>
        <v>0.10999999999999943</v>
      </c>
      <c r="P596" s="10">
        <f t="shared" si="34"/>
        <v>6.0000000000002274E-2</v>
      </c>
    </row>
    <row r="597" spans="1:16">
      <c r="A597">
        <v>144</v>
      </c>
      <c r="B597">
        <v>100.34</v>
      </c>
      <c r="C597">
        <v>95.9</v>
      </c>
      <c r="D597">
        <v>106.56</v>
      </c>
      <c r="E597">
        <v>97.9</v>
      </c>
      <c r="F597">
        <v>93.01</v>
      </c>
      <c r="G597">
        <v>97.62</v>
      </c>
      <c r="H597">
        <v>79.12</v>
      </c>
      <c r="K597" s="9">
        <f t="shared" si="35"/>
        <v>0.15999999999999659</v>
      </c>
      <c r="L597">
        <f t="shared" si="35"/>
        <v>-0.54999999999999716</v>
      </c>
      <c r="M597">
        <f t="shared" si="35"/>
        <v>0.21999999999999886</v>
      </c>
      <c r="N597">
        <f t="shared" si="35"/>
        <v>0.15999999999999659</v>
      </c>
      <c r="O597">
        <f t="shared" si="35"/>
        <v>0.15999999999999659</v>
      </c>
      <c r="P597" s="10">
        <f t="shared" si="35"/>
        <v>0.15999999999999659</v>
      </c>
    </row>
    <row r="598" spans="1:16">
      <c r="A598">
        <v>144.25</v>
      </c>
      <c r="B598">
        <v>100.45</v>
      </c>
      <c r="C598">
        <v>96.01</v>
      </c>
      <c r="D598">
        <v>106.45</v>
      </c>
      <c r="E598">
        <v>98.01</v>
      </c>
      <c r="F598">
        <v>93.01</v>
      </c>
      <c r="G598">
        <v>97.67</v>
      </c>
      <c r="H598">
        <v>79.12</v>
      </c>
      <c r="K598" s="9">
        <f t="shared" ref="K598:N661" si="36">C601-C598</f>
        <v>0.15999999999999659</v>
      </c>
      <c r="L598">
        <f t="shared" si="36"/>
        <v>-4.9999999999997158E-2</v>
      </c>
      <c r="M598">
        <f t="shared" si="36"/>
        <v>0.21999999999999886</v>
      </c>
      <c r="N598">
        <f t="shared" si="36"/>
        <v>0.15999999999999659</v>
      </c>
      <c r="O598">
        <f t="shared" ref="O598:P661" si="37">G601-G598</f>
        <v>0.17000000000000171</v>
      </c>
      <c r="P598" s="10">
        <f t="shared" si="37"/>
        <v>0.28000000000000114</v>
      </c>
    </row>
    <row r="599" spans="1:16">
      <c r="A599">
        <v>144.5</v>
      </c>
      <c r="B599">
        <v>100.45</v>
      </c>
      <c r="C599">
        <v>96.01</v>
      </c>
      <c r="D599">
        <v>106.12</v>
      </c>
      <c r="E599">
        <v>98.06</v>
      </c>
      <c r="F599">
        <v>93.12</v>
      </c>
      <c r="G599">
        <v>97.67</v>
      </c>
      <c r="H599">
        <v>79.23</v>
      </c>
      <c r="K599" s="9">
        <f t="shared" si="36"/>
        <v>0.10999999999999943</v>
      </c>
      <c r="L599">
        <f t="shared" si="36"/>
        <v>0.39000000000000057</v>
      </c>
      <c r="M599">
        <f t="shared" si="36"/>
        <v>0.28000000000000114</v>
      </c>
      <c r="N599">
        <f t="shared" si="36"/>
        <v>0.10999999999999943</v>
      </c>
      <c r="O599">
        <f t="shared" si="37"/>
        <v>0.23000000000000398</v>
      </c>
      <c r="P599" s="10">
        <f t="shared" si="37"/>
        <v>0.17000000000000171</v>
      </c>
    </row>
    <row r="600" spans="1:16">
      <c r="A600">
        <v>144.75</v>
      </c>
      <c r="B600">
        <v>100.51</v>
      </c>
      <c r="C600">
        <v>96.06</v>
      </c>
      <c r="D600">
        <v>106.01</v>
      </c>
      <c r="E600">
        <v>98.12</v>
      </c>
      <c r="F600">
        <v>93.17</v>
      </c>
      <c r="G600">
        <v>97.78</v>
      </c>
      <c r="H600">
        <v>79.28</v>
      </c>
      <c r="K600" s="9">
        <f t="shared" si="36"/>
        <v>0.10999999999999943</v>
      </c>
      <c r="L600">
        <f t="shared" si="36"/>
        <v>0.65999999999999659</v>
      </c>
      <c r="M600">
        <f t="shared" si="36"/>
        <v>0.28000000000000114</v>
      </c>
      <c r="N600">
        <f t="shared" si="36"/>
        <v>0.17000000000000171</v>
      </c>
      <c r="O600">
        <f t="shared" si="37"/>
        <v>0.17000000000000171</v>
      </c>
      <c r="P600" s="10">
        <f t="shared" si="37"/>
        <v>0.17000000000000171</v>
      </c>
    </row>
    <row r="601" spans="1:16">
      <c r="A601">
        <v>145</v>
      </c>
      <c r="B601">
        <v>100.56</v>
      </c>
      <c r="C601">
        <v>96.17</v>
      </c>
      <c r="D601">
        <v>106.4</v>
      </c>
      <c r="E601">
        <v>98.23</v>
      </c>
      <c r="F601">
        <v>93.17</v>
      </c>
      <c r="G601">
        <v>97.84</v>
      </c>
      <c r="H601">
        <v>79.400000000000006</v>
      </c>
      <c r="K601" s="9">
        <f t="shared" si="36"/>
        <v>6.0000000000002274E-2</v>
      </c>
      <c r="L601">
        <f t="shared" si="36"/>
        <v>0.37999999999999545</v>
      </c>
      <c r="M601">
        <f t="shared" si="36"/>
        <v>0.21999999999999886</v>
      </c>
      <c r="N601">
        <f t="shared" si="36"/>
        <v>0.17000000000000171</v>
      </c>
      <c r="O601">
        <f t="shared" si="37"/>
        <v>0.21999999999999886</v>
      </c>
      <c r="P601" s="10">
        <f t="shared" si="37"/>
        <v>4.9999999999997158E-2</v>
      </c>
    </row>
    <row r="602" spans="1:16">
      <c r="A602">
        <v>145.25</v>
      </c>
      <c r="B602">
        <v>100.51</v>
      </c>
      <c r="C602">
        <v>96.12</v>
      </c>
      <c r="D602">
        <v>106.51</v>
      </c>
      <c r="E602">
        <v>98.34</v>
      </c>
      <c r="F602">
        <v>93.23</v>
      </c>
      <c r="G602">
        <v>97.9</v>
      </c>
      <c r="H602">
        <v>79.400000000000006</v>
      </c>
      <c r="K602" s="9">
        <f t="shared" si="36"/>
        <v>0.15999999999999659</v>
      </c>
      <c r="L602">
        <f t="shared" si="36"/>
        <v>0.15999999999999659</v>
      </c>
      <c r="M602">
        <f t="shared" si="36"/>
        <v>0.10999999999999943</v>
      </c>
      <c r="N602">
        <f t="shared" si="36"/>
        <v>0.21999999999999886</v>
      </c>
      <c r="O602">
        <f t="shared" si="37"/>
        <v>0.26999999999999602</v>
      </c>
      <c r="P602" s="10">
        <f t="shared" si="37"/>
        <v>0.10999999999999943</v>
      </c>
    </row>
    <row r="603" spans="1:16">
      <c r="A603">
        <v>145.5</v>
      </c>
      <c r="B603">
        <v>100.62</v>
      </c>
      <c r="C603">
        <v>96.17</v>
      </c>
      <c r="D603">
        <v>106.67</v>
      </c>
      <c r="E603">
        <v>98.4</v>
      </c>
      <c r="F603">
        <v>93.34</v>
      </c>
      <c r="G603">
        <v>97.95</v>
      </c>
      <c r="H603">
        <v>79.45</v>
      </c>
      <c r="K603" s="9">
        <f t="shared" si="36"/>
        <v>0.17000000000000171</v>
      </c>
      <c r="L603">
        <f t="shared" si="36"/>
        <v>-0.10999999999999943</v>
      </c>
      <c r="M603">
        <f t="shared" si="36"/>
        <v>0.15999999999999659</v>
      </c>
      <c r="N603">
        <f t="shared" si="36"/>
        <v>0.10999999999999943</v>
      </c>
      <c r="O603">
        <f t="shared" si="37"/>
        <v>0.21999999999999886</v>
      </c>
      <c r="P603" s="10">
        <f t="shared" si="37"/>
        <v>6.0000000000002274E-2</v>
      </c>
    </row>
    <row r="604" spans="1:16">
      <c r="A604">
        <v>145.75</v>
      </c>
      <c r="B604">
        <v>100.62</v>
      </c>
      <c r="C604">
        <v>96.23</v>
      </c>
      <c r="D604">
        <v>106.78</v>
      </c>
      <c r="E604">
        <v>98.45</v>
      </c>
      <c r="F604">
        <v>93.34</v>
      </c>
      <c r="G604">
        <v>98.06</v>
      </c>
      <c r="H604">
        <v>79.45</v>
      </c>
      <c r="K604" s="9">
        <f t="shared" si="36"/>
        <v>0.21999999999999886</v>
      </c>
      <c r="L604">
        <f t="shared" si="36"/>
        <v>-0.21999999999999886</v>
      </c>
      <c r="M604">
        <f t="shared" si="36"/>
        <v>0.17000000000000171</v>
      </c>
      <c r="N604">
        <f t="shared" si="36"/>
        <v>0.21999999999999886</v>
      </c>
      <c r="O604">
        <f t="shared" si="37"/>
        <v>0.10999999999999943</v>
      </c>
      <c r="P604" s="10">
        <f t="shared" si="37"/>
        <v>0.17000000000000171</v>
      </c>
    </row>
    <row r="605" spans="1:16">
      <c r="A605">
        <v>146</v>
      </c>
      <c r="B605">
        <v>100.78</v>
      </c>
      <c r="C605">
        <v>96.28</v>
      </c>
      <c r="D605">
        <v>106.67</v>
      </c>
      <c r="E605">
        <v>98.45</v>
      </c>
      <c r="F605">
        <v>93.45</v>
      </c>
      <c r="G605">
        <v>98.17</v>
      </c>
      <c r="H605">
        <v>79.510000000000005</v>
      </c>
      <c r="K605" s="9">
        <f t="shared" si="36"/>
        <v>0.28000000000000114</v>
      </c>
      <c r="L605">
        <f t="shared" si="36"/>
        <v>-0.21999999999999886</v>
      </c>
      <c r="M605">
        <f t="shared" si="36"/>
        <v>0.21999999999999886</v>
      </c>
      <c r="N605">
        <f t="shared" si="36"/>
        <v>0.10999999999999943</v>
      </c>
      <c r="O605">
        <f t="shared" si="37"/>
        <v>6.0000000000002274E-2</v>
      </c>
      <c r="P605" s="10">
        <f t="shared" si="37"/>
        <v>0.15999999999999659</v>
      </c>
    </row>
    <row r="606" spans="1:16">
      <c r="A606">
        <v>146.25</v>
      </c>
      <c r="B606">
        <v>100.78</v>
      </c>
      <c r="C606">
        <v>96.34</v>
      </c>
      <c r="D606">
        <v>106.56</v>
      </c>
      <c r="E606">
        <v>98.56</v>
      </c>
      <c r="F606">
        <v>93.45</v>
      </c>
      <c r="G606">
        <v>98.17</v>
      </c>
      <c r="H606">
        <v>79.510000000000005</v>
      </c>
      <c r="K606" s="9">
        <f t="shared" si="36"/>
        <v>0.21999999999999886</v>
      </c>
      <c r="L606">
        <f t="shared" si="36"/>
        <v>6.0000000000002274E-2</v>
      </c>
      <c r="M606">
        <f t="shared" si="36"/>
        <v>0.21999999999999886</v>
      </c>
      <c r="N606">
        <f t="shared" si="36"/>
        <v>0.21999999999999886</v>
      </c>
      <c r="O606">
        <f t="shared" si="37"/>
        <v>0.10999999999999943</v>
      </c>
      <c r="P606" s="10">
        <f t="shared" si="37"/>
        <v>0.15999999999999659</v>
      </c>
    </row>
    <row r="607" spans="1:16">
      <c r="A607">
        <v>146.5</v>
      </c>
      <c r="B607">
        <v>100.95</v>
      </c>
      <c r="C607">
        <v>96.45</v>
      </c>
      <c r="D607">
        <v>106.56</v>
      </c>
      <c r="E607">
        <v>98.62</v>
      </c>
      <c r="F607">
        <v>93.56</v>
      </c>
      <c r="G607">
        <v>98.17</v>
      </c>
      <c r="H607">
        <v>79.62</v>
      </c>
      <c r="K607" s="9">
        <f t="shared" si="36"/>
        <v>0.21999999999999886</v>
      </c>
      <c r="L607">
        <f t="shared" si="36"/>
        <v>0.45000000000000284</v>
      </c>
      <c r="M607">
        <f t="shared" si="36"/>
        <v>0.15999999999999659</v>
      </c>
      <c r="N607">
        <f t="shared" si="36"/>
        <v>0.10999999999999943</v>
      </c>
      <c r="O607">
        <f t="shared" si="37"/>
        <v>0.23000000000000398</v>
      </c>
      <c r="P607" s="10">
        <f t="shared" si="37"/>
        <v>0.10999999999999943</v>
      </c>
    </row>
    <row r="608" spans="1:16">
      <c r="A608">
        <v>146.75</v>
      </c>
      <c r="B608">
        <v>100.95</v>
      </c>
      <c r="C608">
        <v>96.56</v>
      </c>
      <c r="D608">
        <v>106.45</v>
      </c>
      <c r="E608">
        <v>98.67</v>
      </c>
      <c r="F608">
        <v>93.56</v>
      </c>
      <c r="G608">
        <v>98.23</v>
      </c>
      <c r="H608">
        <v>79.67</v>
      </c>
      <c r="K608" s="9">
        <f t="shared" si="36"/>
        <v>0.17000000000000171</v>
      </c>
      <c r="L608">
        <f t="shared" si="36"/>
        <v>0.45000000000000284</v>
      </c>
      <c r="M608">
        <f t="shared" si="36"/>
        <v>0.17000000000000171</v>
      </c>
      <c r="N608">
        <f t="shared" si="36"/>
        <v>0.21999999999999886</v>
      </c>
      <c r="O608">
        <f t="shared" si="37"/>
        <v>0.21999999999999886</v>
      </c>
      <c r="P608" s="10">
        <f t="shared" si="37"/>
        <v>0.10999999999999943</v>
      </c>
    </row>
    <row r="609" spans="1:16">
      <c r="A609">
        <v>147</v>
      </c>
      <c r="B609">
        <v>101.06</v>
      </c>
      <c r="C609">
        <v>96.56</v>
      </c>
      <c r="D609">
        <v>106.62</v>
      </c>
      <c r="E609">
        <v>98.78</v>
      </c>
      <c r="F609">
        <v>93.67</v>
      </c>
      <c r="G609">
        <v>98.28</v>
      </c>
      <c r="H609">
        <v>79.67</v>
      </c>
      <c r="K609" s="9">
        <f t="shared" si="36"/>
        <v>0.17000000000000171</v>
      </c>
      <c r="L609">
        <f t="shared" si="36"/>
        <v>0.10999999999999943</v>
      </c>
      <c r="M609">
        <f t="shared" si="36"/>
        <v>0.17000000000000171</v>
      </c>
      <c r="N609">
        <f t="shared" si="36"/>
        <v>0.17000000000000171</v>
      </c>
      <c r="O609">
        <f t="shared" si="37"/>
        <v>0.23000000000000398</v>
      </c>
      <c r="P609" s="10">
        <f t="shared" si="37"/>
        <v>0.23000000000000398</v>
      </c>
    </row>
    <row r="610" spans="1:16">
      <c r="A610">
        <v>147.25</v>
      </c>
      <c r="B610">
        <v>101.01</v>
      </c>
      <c r="C610">
        <v>96.67</v>
      </c>
      <c r="D610">
        <v>107.01</v>
      </c>
      <c r="E610">
        <v>98.78</v>
      </c>
      <c r="F610">
        <v>93.67</v>
      </c>
      <c r="G610">
        <v>98.4</v>
      </c>
      <c r="H610">
        <v>79.73</v>
      </c>
      <c r="K610" s="9">
        <f t="shared" si="36"/>
        <v>0.17000000000000171</v>
      </c>
      <c r="L610">
        <f t="shared" si="36"/>
        <v>-0.17000000000000171</v>
      </c>
      <c r="M610">
        <f t="shared" si="36"/>
        <v>0.28000000000000114</v>
      </c>
      <c r="N610">
        <f t="shared" si="36"/>
        <v>0.23000000000000398</v>
      </c>
      <c r="O610">
        <f t="shared" si="37"/>
        <v>0.21999999999999886</v>
      </c>
      <c r="P610" s="10">
        <f t="shared" si="37"/>
        <v>0.17000000000000171</v>
      </c>
    </row>
    <row r="611" spans="1:16">
      <c r="A611">
        <v>147.5</v>
      </c>
      <c r="B611">
        <v>101.12</v>
      </c>
      <c r="C611">
        <v>96.73</v>
      </c>
      <c r="D611">
        <v>106.9</v>
      </c>
      <c r="E611">
        <v>98.84</v>
      </c>
      <c r="F611">
        <v>93.78</v>
      </c>
      <c r="G611">
        <v>98.45</v>
      </c>
      <c r="H611">
        <v>79.78</v>
      </c>
      <c r="K611" s="9">
        <f t="shared" si="36"/>
        <v>0.17000000000000171</v>
      </c>
      <c r="L611">
        <f t="shared" si="36"/>
        <v>-0.34000000000000341</v>
      </c>
      <c r="M611">
        <f t="shared" si="36"/>
        <v>0.28000000000000114</v>
      </c>
      <c r="N611">
        <f t="shared" si="36"/>
        <v>0.17000000000000171</v>
      </c>
      <c r="O611">
        <f t="shared" si="37"/>
        <v>0.28000000000000114</v>
      </c>
      <c r="P611" s="10">
        <f t="shared" si="37"/>
        <v>0.17000000000000171</v>
      </c>
    </row>
    <row r="612" spans="1:16">
      <c r="A612">
        <v>147.75</v>
      </c>
      <c r="B612">
        <v>101.17</v>
      </c>
      <c r="C612">
        <v>96.73</v>
      </c>
      <c r="D612">
        <v>106.73</v>
      </c>
      <c r="E612">
        <v>98.95</v>
      </c>
      <c r="F612">
        <v>93.84</v>
      </c>
      <c r="G612">
        <v>98.51</v>
      </c>
      <c r="H612">
        <v>79.900000000000006</v>
      </c>
      <c r="K612" s="9">
        <f t="shared" si="36"/>
        <v>0.28000000000000114</v>
      </c>
      <c r="L612">
        <f t="shared" si="36"/>
        <v>-0.28000000000000114</v>
      </c>
      <c r="M612">
        <f t="shared" si="36"/>
        <v>0.10999999999999943</v>
      </c>
      <c r="N612">
        <f t="shared" si="36"/>
        <v>0.10999999999999943</v>
      </c>
      <c r="O612">
        <f t="shared" si="37"/>
        <v>0.15999999999999659</v>
      </c>
      <c r="P612" s="10">
        <f t="shared" si="37"/>
        <v>0.10999999999999943</v>
      </c>
    </row>
    <row r="613" spans="1:16">
      <c r="A613">
        <v>148</v>
      </c>
      <c r="B613">
        <v>101.17</v>
      </c>
      <c r="C613">
        <v>96.84</v>
      </c>
      <c r="D613">
        <v>106.84</v>
      </c>
      <c r="E613">
        <v>99.06</v>
      </c>
      <c r="F613">
        <v>93.9</v>
      </c>
      <c r="G613">
        <v>98.62</v>
      </c>
      <c r="H613">
        <v>79.900000000000006</v>
      </c>
      <c r="K613" s="9">
        <f t="shared" si="36"/>
        <v>0.17000000000000171</v>
      </c>
      <c r="L613">
        <f t="shared" si="36"/>
        <v>-0.32999999999999829</v>
      </c>
      <c r="M613">
        <f t="shared" si="36"/>
        <v>0.10999999999999943</v>
      </c>
      <c r="N613">
        <f t="shared" si="36"/>
        <v>0.15999999999999659</v>
      </c>
      <c r="O613">
        <f t="shared" si="37"/>
        <v>0.10999999999999943</v>
      </c>
      <c r="P613" s="10">
        <f t="shared" si="37"/>
        <v>0.21999999999999886</v>
      </c>
    </row>
    <row r="614" spans="1:16">
      <c r="A614">
        <v>148.25</v>
      </c>
      <c r="B614">
        <v>101.23</v>
      </c>
      <c r="C614">
        <v>96.9</v>
      </c>
      <c r="D614">
        <v>106.56</v>
      </c>
      <c r="E614">
        <v>99.12</v>
      </c>
      <c r="F614">
        <v>93.95</v>
      </c>
      <c r="G614">
        <v>98.73</v>
      </c>
      <c r="H614">
        <v>79.95</v>
      </c>
      <c r="K614" s="9">
        <f t="shared" si="36"/>
        <v>0.15999999999999659</v>
      </c>
      <c r="L614">
        <f t="shared" si="36"/>
        <v>0.39000000000000057</v>
      </c>
      <c r="M614">
        <f t="shared" si="36"/>
        <v>0.15999999999999659</v>
      </c>
      <c r="N614">
        <f t="shared" si="36"/>
        <v>0.17000000000000171</v>
      </c>
      <c r="O614">
        <f t="shared" si="37"/>
        <v>0.17000000000000171</v>
      </c>
      <c r="P614" s="10">
        <f t="shared" si="37"/>
        <v>0.21999999999999886</v>
      </c>
    </row>
    <row r="615" spans="1:16">
      <c r="A615">
        <v>148.5</v>
      </c>
      <c r="B615">
        <v>101.28</v>
      </c>
      <c r="C615">
        <v>97.01</v>
      </c>
      <c r="D615">
        <v>106.45</v>
      </c>
      <c r="E615">
        <v>99.06</v>
      </c>
      <c r="F615">
        <v>93.95</v>
      </c>
      <c r="G615">
        <v>98.67</v>
      </c>
      <c r="H615">
        <v>80.010000000000005</v>
      </c>
      <c r="K615" s="9">
        <f t="shared" si="36"/>
        <v>0.10999999999999943</v>
      </c>
      <c r="L615">
        <f t="shared" si="36"/>
        <v>0.71999999999999886</v>
      </c>
      <c r="M615">
        <f t="shared" si="36"/>
        <v>0.34000000000000341</v>
      </c>
      <c r="N615">
        <f t="shared" si="36"/>
        <v>0.28000000000000114</v>
      </c>
      <c r="O615">
        <f t="shared" si="37"/>
        <v>0.34000000000000341</v>
      </c>
      <c r="P615" s="10">
        <f t="shared" si="37"/>
        <v>0.10999999999999943</v>
      </c>
    </row>
    <row r="616" spans="1:16">
      <c r="A616">
        <v>148.75</v>
      </c>
      <c r="B616">
        <v>101.34</v>
      </c>
      <c r="C616">
        <v>97.01</v>
      </c>
      <c r="D616">
        <v>106.51</v>
      </c>
      <c r="E616">
        <v>99.17</v>
      </c>
      <c r="F616">
        <v>94.06</v>
      </c>
      <c r="G616">
        <v>98.73</v>
      </c>
      <c r="H616">
        <v>80.12</v>
      </c>
      <c r="K616" s="9">
        <f t="shared" si="36"/>
        <v>0.15999999999999659</v>
      </c>
      <c r="L616">
        <f t="shared" si="36"/>
        <v>0.89000000000000057</v>
      </c>
      <c r="M616">
        <f t="shared" si="36"/>
        <v>0.28000000000000114</v>
      </c>
      <c r="N616">
        <f t="shared" si="36"/>
        <v>0.28000000000000114</v>
      </c>
      <c r="O616">
        <f t="shared" si="37"/>
        <v>0.32999999999999829</v>
      </c>
      <c r="P616" s="10">
        <f t="shared" si="37"/>
        <v>0.10999999999999943</v>
      </c>
    </row>
    <row r="617" spans="1:16">
      <c r="A617">
        <v>149</v>
      </c>
      <c r="B617">
        <v>101.34</v>
      </c>
      <c r="C617">
        <v>97.06</v>
      </c>
      <c r="D617">
        <v>106.95</v>
      </c>
      <c r="E617">
        <v>99.28</v>
      </c>
      <c r="F617">
        <v>94.12</v>
      </c>
      <c r="G617">
        <v>98.9</v>
      </c>
      <c r="H617">
        <v>80.17</v>
      </c>
      <c r="K617" s="9">
        <f t="shared" si="36"/>
        <v>0.21999999999999886</v>
      </c>
      <c r="L617">
        <f t="shared" si="36"/>
        <v>0.39000000000000057</v>
      </c>
      <c r="M617">
        <f t="shared" si="36"/>
        <v>0.23000000000000398</v>
      </c>
      <c r="N617">
        <f t="shared" si="36"/>
        <v>0.21999999999999886</v>
      </c>
      <c r="O617">
        <f t="shared" si="37"/>
        <v>0.21999999999999886</v>
      </c>
      <c r="P617" s="10">
        <f t="shared" si="37"/>
        <v>0.10999999999999943</v>
      </c>
    </row>
    <row r="618" spans="1:16">
      <c r="A618">
        <v>149.25</v>
      </c>
      <c r="B618">
        <v>101.51</v>
      </c>
      <c r="C618">
        <v>97.12</v>
      </c>
      <c r="D618">
        <v>107.17</v>
      </c>
      <c r="E618">
        <v>99.4</v>
      </c>
      <c r="F618">
        <v>94.23</v>
      </c>
      <c r="G618">
        <v>99.01</v>
      </c>
      <c r="H618">
        <v>80.12</v>
      </c>
      <c r="K618" s="9">
        <f t="shared" si="36"/>
        <v>0.15999999999999659</v>
      </c>
      <c r="L618">
        <f t="shared" si="36"/>
        <v>0</v>
      </c>
      <c r="M618">
        <f t="shared" si="36"/>
        <v>0.21999999999999886</v>
      </c>
      <c r="N618">
        <f t="shared" si="36"/>
        <v>0.10999999999999943</v>
      </c>
      <c r="O618">
        <f t="shared" si="37"/>
        <v>0.21999999999999886</v>
      </c>
      <c r="P618" s="10">
        <f t="shared" si="37"/>
        <v>0.28000000000000114</v>
      </c>
    </row>
    <row r="619" spans="1:16">
      <c r="A619">
        <v>149.5</v>
      </c>
      <c r="B619">
        <v>101.56</v>
      </c>
      <c r="C619">
        <v>97.17</v>
      </c>
      <c r="D619">
        <v>107.4</v>
      </c>
      <c r="E619">
        <v>99.45</v>
      </c>
      <c r="F619">
        <v>94.34</v>
      </c>
      <c r="G619">
        <v>99.06</v>
      </c>
      <c r="H619">
        <v>80.23</v>
      </c>
      <c r="K619" s="9">
        <f t="shared" si="36"/>
        <v>0.28000000000000114</v>
      </c>
      <c r="L619">
        <f t="shared" si="36"/>
        <v>-0.28000000000000114</v>
      </c>
      <c r="M619">
        <f t="shared" si="36"/>
        <v>0.21999999999999886</v>
      </c>
      <c r="N619">
        <f t="shared" si="36"/>
        <v>6.0000000000002274E-2</v>
      </c>
      <c r="O619">
        <f t="shared" si="37"/>
        <v>0.17000000000000171</v>
      </c>
      <c r="P619" s="10">
        <f t="shared" si="37"/>
        <v>0.17000000000000171</v>
      </c>
    </row>
    <row r="620" spans="1:16">
      <c r="A620">
        <v>149.75</v>
      </c>
      <c r="B620">
        <v>101.62</v>
      </c>
      <c r="C620">
        <v>97.28</v>
      </c>
      <c r="D620">
        <v>107.34</v>
      </c>
      <c r="E620">
        <v>99.51</v>
      </c>
      <c r="F620">
        <v>94.34</v>
      </c>
      <c r="G620">
        <v>99.12</v>
      </c>
      <c r="H620">
        <v>80.28</v>
      </c>
      <c r="K620" s="9">
        <f t="shared" si="36"/>
        <v>0.17000000000000171</v>
      </c>
      <c r="L620">
        <f t="shared" si="36"/>
        <v>-0.56000000000000227</v>
      </c>
      <c r="M620">
        <f t="shared" si="36"/>
        <v>0.21999999999999886</v>
      </c>
      <c r="N620">
        <f t="shared" si="36"/>
        <v>0.17000000000000171</v>
      </c>
      <c r="O620">
        <f t="shared" si="37"/>
        <v>0.32999999999999829</v>
      </c>
      <c r="P620" s="10">
        <f t="shared" si="37"/>
        <v>0.17000000000000171</v>
      </c>
    </row>
    <row r="621" spans="1:16">
      <c r="A621">
        <v>150</v>
      </c>
      <c r="B621">
        <v>101.62</v>
      </c>
      <c r="C621">
        <v>97.28</v>
      </c>
      <c r="D621">
        <v>107.17</v>
      </c>
      <c r="E621">
        <v>99.62</v>
      </c>
      <c r="F621">
        <v>94.34</v>
      </c>
      <c r="G621">
        <v>99.23</v>
      </c>
      <c r="H621">
        <v>80.400000000000006</v>
      </c>
      <c r="K621" s="9">
        <f t="shared" si="36"/>
        <v>0.28000000000000114</v>
      </c>
      <c r="L621">
        <f t="shared" si="36"/>
        <v>-0.39000000000000057</v>
      </c>
      <c r="M621">
        <f t="shared" si="36"/>
        <v>0.10999999999999943</v>
      </c>
      <c r="N621">
        <f t="shared" si="36"/>
        <v>0.17000000000000171</v>
      </c>
      <c r="O621">
        <f t="shared" si="37"/>
        <v>0.21999999999999886</v>
      </c>
      <c r="P621" s="10">
        <f t="shared" si="37"/>
        <v>0.21999999999999886</v>
      </c>
    </row>
    <row r="622" spans="1:16">
      <c r="A622">
        <v>150.25</v>
      </c>
      <c r="B622">
        <v>101.67</v>
      </c>
      <c r="C622">
        <v>97.45</v>
      </c>
      <c r="D622">
        <v>107.12</v>
      </c>
      <c r="E622">
        <v>99.67</v>
      </c>
      <c r="F622">
        <v>94.4</v>
      </c>
      <c r="G622">
        <v>99.23</v>
      </c>
      <c r="H622">
        <v>80.400000000000006</v>
      </c>
      <c r="K622" s="9">
        <f t="shared" si="36"/>
        <v>0.10999999999999943</v>
      </c>
      <c r="L622">
        <f t="shared" si="36"/>
        <v>-0.34000000000000341</v>
      </c>
      <c r="M622">
        <f t="shared" si="36"/>
        <v>6.0000000000002274E-2</v>
      </c>
      <c r="N622">
        <f t="shared" si="36"/>
        <v>0.26999999999999602</v>
      </c>
      <c r="O622">
        <f t="shared" si="37"/>
        <v>0.32999999999999829</v>
      </c>
      <c r="P622" s="10">
        <f t="shared" si="37"/>
        <v>0.21999999999999886</v>
      </c>
    </row>
    <row r="623" spans="1:16">
      <c r="A623">
        <v>150.5</v>
      </c>
      <c r="B623">
        <v>101.67</v>
      </c>
      <c r="C623">
        <v>97.45</v>
      </c>
      <c r="D623">
        <v>106.78</v>
      </c>
      <c r="E623">
        <v>99.73</v>
      </c>
      <c r="F623">
        <v>94.51</v>
      </c>
      <c r="G623">
        <v>99.45</v>
      </c>
      <c r="H623">
        <v>80.45</v>
      </c>
      <c r="K623" s="9">
        <f t="shared" si="36"/>
        <v>0.21999999999999886</v>
      </c>
      <c r="L623">
        <f t="shared" si="36"/>
        <v>-0.10999999999999943</v>
      </c>
      <c r="M623">
        <f t="shared" si="36"/>
        <v>0.17000000000000171</v>
      </c>
      <c r="N623">
        <f t="shared" si="36"/>
        <v>0.21999999999999886</v>
      </c>
      <c r="O623">
        <f t="shared" si="37"/>
        <v>0.10999999999999943</v>
      </c>
      <c r="P623" s="10">
        <f t="shared" si="37"/>
        <v>0.21999999999999886</v>
      </c>
    </row>
    <row r="624" spans="1:16">
      <c r="A624">
        <v>150.75</v>
      </c>
      <c r="B624">
        <v>101.78</v>
      </c>
      <c r="C624">
        <v>97.56</v>
      </c>
      <c r="D624">
        <v>106.78</v>
      </c>
      <c r="E624">
        <v>99.73</v>
      </c>
      <c r="F624">
        <v>94.51</v>
      </c>
      <c r="G624">
        <v>99.45</v>
      </c>
      <c r="H624">
        <v>80.62</v>
      </c>
      <c r="K624" s="9">
        <f t="shared" si="36"/>
        <v>6.0000000000002274E-2</v>
      </c>
      <c r="L624">
        <f t="shared" si="36"/>
        <v>-4.9999999999997158E-2</v>
      </c>
      <c r="M624">
        <f t="shared" si="36"/>
        <v>0.17000000000000171</v>
      </c>
      <c r="N624">
        <f t="shared" si="36"/>
        <v>0.26999999999999602</v>
      </c>
      <c r="O624">
        <f t="shared" si="37"/>
        <v>0.10999999999999943</v>
      </c>
      <c r="P624" s="10">
        <f t="shared" si="37"/>
        <v>0.10999999999999943</v>
      </c>
    </row>
    <row r="625" spans="1:16">
      <c r="A625">
        <v>151</v>
      </c>
      <c r="B625">
        <v>101.78</v>
      </c>
      <c r="C625">
        <v>97.56</v>
      </c>
      <c r="D625">
        <v>106.78</v>
      </c>
      <c r="E625">
        <v>99.73</v>
      </c>
      <c r="F625">
        <v>94.67</v>
      </c>
      <c r="G625">
        <v>99.56</v>
      </c>
      <c r="H625">
        <v>80.62</v>
      </c>
      <c r="K625" s="9">
        <f t="shared" si="36"/>
        <v>0.10999999999999943</v>
      </c>
      <c r="L625">
        <f t="shared" si="36"/>
        <v>0</v>
      </c>
      <c r="M625">
        <f t="shared" si="36"/>
        <v>0.28000000000000114</v>
      </c>
      <c r="N625">
        <f t="shared" si="36"/>
        <v>0.17000000000000171</v>
      </c>
      <c r="O625">
        <f t="shared" si="37"/>
        <v>6.0000000000002274E-2</v>
      </c>
      <c r="P625" s="10">
        <f t="shared" si="37"/>
        <v>0.10999999999999943</v>
      </c>
    </row>
    <row r="626" spans="1:16">
      <c r="A626">
        <v>151.25</v>
      </c>
      <c r="B626">
        <v>101.9</v>
      </c>
      <c r="C626">
        <v>97.67</v>
      </c>
      <c r="D626">
        <v>106.67</v>
      </c>
      <c r="E626">
        <v>99.9</v>
      </c>
      <c r="F626">
        <v>94.73</v>
      </c>
      <c r="G626">
        <v>99.56</v>
      </c>
      <c r="H626">
        <v>80.67</v>
      </c>
      <c r="K626" s="9">
        <f t="shared" si="36"/>
        <v>0.17000000000000171</v>
      </c>
      <c r="L626">
        <f t="shared" si="36"/>
        <v>0</v>
      </c>
      <c r="M626">
        <f t="shared" si="36"/>
        <v>0.15999999999999659</v>
      </c>
      <c r="N626">
        <f t="shared" si="36"/>
        <v>0.10999999999999943</v>
      </c>
      <c r="O626">
        <f t="shared" si="37"/>
        <v>0.10999999999999943</v>
      </c>
      <c r="P626" s="10">
        <f t="shared" si="37"/>
        <v>0.17000000000000171</v>
      </c>
    </row>
    <row r="627" spans="1:16">
      <c r="A627">
        <v>151.5</v>
      </c>
      <c r="B627">
        <v>101.78</v>
      </c>
      <c r="C627">
        <v>97.62</v>
      </c>
      <c r="D627">
        <v>106.73</v>
      </c>
      <c r="E627">
        <v>99.9</v>
      </c>
      <c r="F627">
        <v>94.78</v>
      </c>
      <c r="G627">
        <v>99.56</v>
      </c>
      <c r="H627">
        <v>80.73</v>
      </c>
      <c r="K627" s="9">
        <f t="shared" si="36"/>
        <v>0.28000000000000114</v>
      </c>
      <c r="L627">
        <f t="shared" si="36"/>
        <v>0.21999999999999886</v>
      </c>
      <c r="M627">
        <f t="shared" si="36"/>
        <v>0.15999999999999659</v>
      </c>
      <c r="N627">
        <f t="shared" si="36"/>
        <v>0.17000000000000171</v>
      </c>
      <c r="O627">
        <f t="shared" si="37"/>
        <v>0.21999999999999886</v>
      </c>
      <c r="P627" s="10">
        <f t="shared" si="37"/>
        <v>4.9999999999997158E-2</v>
      </c>
    </row>
    <row r="628" spans="1:16">
      <c r="A628">
        <v>151.75</v>
      </c>
      <c r="B628">
        <v>101.95</v>
      </c>
      <c r="C628">
        <v>97.67</v>
      </c>
      <c r="D628">
        <v>106.78</v>
      </c>
      <c r="E628">
        <v>100.01</v>
      </c>
      <c r="F628">
        <v>94.84</v>
      </c>
      <c r="G628">
        <v>99.62</v>
      </c>
      <c r="H628">
        <v>80.73</v>
      </c>
      <c r="K628" s="9">
        <f t="shared" si="36"/>
        <v>0.23000000000000398</v>
      </c>
      <c r="L628">
        <f t="shared" si="36"/>
        <v>0.28000000000000114</v>
      </c>
      <c r="M628">
        <f t="shared" si="36"/>
        <v>0</v>
      </c>
      <c r="N628">
        <f t="shared" si="36"/>
        <v>0.21999999999999886</v>
      </c>
      <c r="O628">
        <f t="shared" si="37"/>
        <v>0.28000000000000114</v>
      </c>
      <c r="P628" s="10">
        <f t="shared" si="37"/>
        <v>0.21999999999999886</v>
      </c>
    </row>
    <row r="629" spans="1:16">
      <c r="A629">
        <v>152</v>
      </c>
      <c r="B629">
        <v>101.95</v>
      </c>
      <c r="C629">
        <v>97.84</v>
      </c>
      <c r="D629">
        <v>106.67</v>
      </c>
      <c r="E629">
        <v>100.06</v>
      </c>
      <c r="F629">
        <v>94.84</v>
      </c>
      <c r="G629">
        <v>99.67</v>
      </c>
      <c r="H629">
        <v>80.84</v>
      </c>
      <c r="K629" s="9">
        <f t="shared" si="36"/>
        <v>0.17000000000000171</v>
      </c>
      <c r="L629">
        <f t="shared" si="36"/>
        <v>0.60999999999999943</v>
      </c>
      <c r="M629">
        <f t="shared" si="36"/>
        <v>0.17000000000000171</v>
      </c>
      <c r="N629">
        <f t="shared" si="36"/>
        <v>0.21999999999999886</v>
      </c>
      <c r="O629">
        <f t="shared" si="37"/>
        <v>0.28000000000000114</v>
      </c>
      <c r="P629" s="10">
        <f t="shared" si="37"/>
        <v>6.0000000000002274E-2</v>
      </c>
    </row>
    <row r="630" spans="1:16">
      <c r="A630">
        <v>152.25</v>
      </c>
      <c r="B630">
        <v>101.95</v>
      </c>
      <c r="C630">
        <v>97.9</v>
      </c>
      <c r="D630">
        <v>106.95</v>
      </c>
      <c r="E630">
        <v>100.06</v>
      </c>
      <c r="F630">
        <v>94.95</v>
      </c>
      <c r="G630">
        <v>99.78</v>
      </c>
      <c r="H630">
        <v>80.78</v>
      </c>
      <c r="K630" s="9">
        <f t="shared" si="36"/>
        <v>0.10999999999999943</v>
      </c>
      <c r="L630">
        <f t="shared" si="36"/>
        <v>0.71999999999999886</v>
      </c>
      <c r="M630">
        <f t="shared" si="36"/>
        <v>0.17000000000000171</v>
      </c>
      <c r="N630">
        <f t="shared" si="36"/>
        <v>0.10999999999999943</v>
      </c>
      <c r="O630">
        <f t="shared" si="37"/>
        <v>0.23000000000000398</v>
      </c>
      <c r="P630" s="10">
        <f t="shared" si="37"/>
        <v>0.23000000000000398</v>
      </c>
    </row>
    <row r="631" spans="1:16">
      <c r="A631">
        <v>152.5</v>
      </c>
      <c r="B631">
        <v>101.95</v>
      </c>
      <c r="C631">
        <v>97.9</v>
      </c>
      <c r="D631">
        <v>107.06</v>
      </c>
      <c r="E631">
        <v>100.01</v>
      </c>
      <c r="F631">
        <v>95.06</v>
      </c>
      <c r="G631">
        <v>99.9</v>
      </c>
      <c r="H631">
        <v>80.95</v>
      </c>
      <c r="K631" s="9">
        <f t="shared" si="36"/>
        <v>0.15999999999999659</v>
      </c>
      <c r="L631">
        <f t="shared" si="36"/>
        <v>0.89000000000000057</v>
      </c>
      <c r="M631">
        <f t="shared" si="36"/>
        <v>0.21999999999999886</v>
      </c>
      <c r="N631">
        <f t="shared" si="36"/>
        <v>6.0000000000002274E-2</v>
      </c>
      <c r="O631">
        <f t="shared" si="37"/>
        <v>0.10999999999999943</v>
      </c>
      <c r="P631" s="10">
        <f t="shared" si="37"/>
        <v>0.10999999999999943</v>
      </c>
    </row>
    <row r="632" spans="1:16">
      <c r="A632">
        <v>152.75</v>
      </c>
      <c r="B632">
        <v>102.01</v>
      </c>
      <c r="C632">
        <v>98.01</v>
      </c>
      <c r="D632">
        <v>107.28</v>
      </c>
      <c r="E632">
        <v>100.23</v>
      </c>
      <c r="F632">
        <v>95.06</v>
      </c>
      <c r="G632">
        <v>99.95</v>
      </c>
      <c r="H632">
        <v>80.900000000000006</v>
      </c>
      <c r="K632" s="9">
        <f t="shared" si="36"/>
        <v>0.15999999999999659</v>
      </c>
      <c r="L632">
        <f t="shared" si="36"/>
        <v>0.45000000000000284</v>
      </c>
      <c r="M632">
        <f t="shared" si="36"/>
        <v>4.9999999999997158E-2</v>
      </c>
      <c r="N632">
        <f t="shared" si="36"/>
        <v>0.17000000000000171</v>
      </c>
      <c r="O632">
        <f t="shared" si="37"/>
        <v>0.10999999999999943</v>
      </c>
      <c r="P632" s="10">
        <f t="shared" si="37"/>
        <v>0.26999999999999602</v>
      </c>
    </row>
    <row r="633" spans="1:16">
      <c r="A633">
        <v>153</v>
      </c>
      <c r="B633">
        <v>102.01</v>
      </c>
      <c r="C633">
        <v>98.01</v>
      </c>
      <c r="D633">
        <v>107.67</v>
      </c>
      <c r="E633">
        <v>100.23</v>
      </c>
      <c r="F633">
        <v>95.06</v>
      </c>
      <c r="G633">
        <v>100.01</v>
      </c>
      <c r="H633">
        <v>81.010000000000005</v>
      </c>
      <c r="K633" s="9">
        <f t="shared" si="36"/>
        <v>0.21999999999999886</v>
      </c>
      <c r="L633">
        <f t="shared" si="36"/>
        <v>-0.21999999999999886</v>
      </c>
      <c r="M633">
        <f t="shared" si="36"/>
        <v>0.17000000000000171</v>
      </c>
      <c r="N633">
        <f t="shared" si="36"/>
        <v>0.21999999999999886</v>
      </c>
      <c r="O633">
        <f t="shared" si="37"/>
        <v>0.21999999999999886</v>
      </c>
      <c r="P633" s="10">
        <f t="shared" si="37"/>
        <v>0.15999999999999659</v>
      </c>
    </row>
    <row r="634" spans="1:16">
      <c r="A634">
        <v>153.25</v>
      </c>
      <c r="B634">
        <v>102.12</v>
      </c>
      <c r="C634">
        <v>98.06</v>
      </c>
      <c r="D634">
        <v>107.95</v>
      </c>
      <c r="E634">
        <v>100.23</v>
      </c>
      <c r="F634">
        <v>95.12</v>
      </c>
      <c r="G634">
        <v>100.01</v>
      </c>
      <c r="H634">
        <v>81.06</v>
      </c>
      <c r="K634" s="9">
        <f t="shared" si="36"/>
        <v>0.28000000000000114</v>
      </c>
      <c r="L634">
        <f t="shared" si="36"/>
        <v>-0.28000000000000114</v>
      </c>
      <c r="M634">
        <f t="shared" si="36"/>
        <v>0.28000000000000114</v>
      </c>
      <c r="N634">
        <f t="shared" si="36"/>
        <v>0.28000000000000114</v>
      </c>
      <c r="O634">
        <f t="shared" si="37"/>
        <v>0.39000000000000057</v>
      </c>
      <c r="P634" s="10">
        <f t="shared" si="37"/>
        <v>0.21999999999999886</v>
      </c>
    </row>
    <row r="635" spans="1:16">
      <c r="A635">
        <v>153.5</v>
      </c>
      <c r="B635">
        <v>102.12</v>
      </c>
      <c r="C635">
        <v>98.17</v>
      </c>
      <c r="D635">
        <v>107.73</v>
      </c>
      <c r="E635">
        <v>100.28</v>
      </c>
      <c r="F635">
        <v>95.23</v>
      </c>
      <c r="G635">
        <v>100.06</v>
      </c>
      <c r="H635">
        <v>81.17</v>
      </c>
      <c r="K635" s="9">
        <f t="shared" si="36"/>
        <v>0.10999999999999943</v>
      </c>
      <c r="L635">
        <f t="shared" si="36"/>
        <v>-0.17000000000000171</v>
      </c>
      <c r="M635">
        <f t="shared" si="36"/>
        <v>0.28000000000000114</v>
      </c>
      <c r="N635">
        <f t="shared" si="36"/>
        <v>0.28000000000000114</v>
      </c>
      <c r="O635">
        <f t="shared" si="37"/>
        <v>0.34000000000000341</v>
      </c>
      <c r="P635" s="10">
        <f t="shared" si="37"/>
        <v>0.17000000000000171</v>
      </c>
    </row>
    <row r="636" spans="1:16">
      <c r="A636">
        <v>153.75</v>
      </c>
      <c r="B636">
        <v>102.17</v>
      </c>
      <c r="C636">
        <v>98.23</v>
      </c>
      <c r="D636">
        <v>107.45</v>
      </c>
      <c r="E636">
        <v>100.4</v>
      </c>
      <c r="F636">
        <v>95.28</v>
      </c>
      <c r="G636">
        <v>100.23</v>
      </c>
      <c r="H636">
        <v>81.17</v>
      </c>
      <c r="K636" s="9">
        <f t="shared" si="36"/>
        <v>0.17000000000000171</v>
      </c>
      <c r="L636">
        <f t="shared" si="36"/>
        <v>0.10999999999999943</v>
      </c>
      <c r="M636">
        <f t="shared" si="36"/>
        <v>0.21999999999999886</v>
      </c>
      <c r="N636">
        <f t="shared" si="36"/>
        <v>0.28000000000000114</v>
      </c>
      <c r="O636">
        <f t="shared" si="37"/>
        <v>0.17000000000000171</v>
      </c>
      <c r="P636" s="10">
        <f t="shared" si="37"/>
        <v>0.23000000000000398</v>
      </c>
    </row>
    <row r="637" spans="1:16">
      <c r="A637">
        <v>154</v>
      </c>
      <c r="B637">
        <v>102.17</v>
      </c>
      <c r="C637">
        <v>98.34</v>
      </c>
      <c r="D637">
        <v>107.67</v>
      </c>
      <c r="E637">
        <v>100.51</v>
      </c>
      <c r="F637">
        <v>95.4</v>
      </c>
      <c r="G637">
        <v>100.4</v>
      </c>
      <c r="H637">
        <v>81.28</v>
      </c>
      <c r="K637" s="9">
        <f t="shared" si="36"/>
        <v>6.0000000000002274E-2</v>
      </c>
      <c r="L637">
        <f t="shared" si="36"/>
        <v>-4.9999999999997158E-2</v>
      </c>
      <c r="M637">
        <f t="shared" si="36"/>
        <v>0.21999999999999886</v>
      </c>
      <c r="N637">
        <f t="shared" si="36"/>
        <v>0.21999999999999886</v>
      </c>
      <c r="O637">
        <f t="shared" si="37"/>
        <v>4.9999999999997158E-2</v>
      </c>
      <c r="P637" s="10">
        <f t="shared" si="37"/>
        <v>0.17000000000000171</v>
      </c>
    </row>
    <row r="638" spans="1:16">
      <c r="A638">
        <v>154.25</v>
      </c>
      <c r="B638">
        <v>102.17</v>
      </c>
      <c r="C638">
        <v>98.28</v>
      </c>
      <c r="D638">
        <v>107.56</v>
      </c>
      <c r="E638">
        <v>100.56</v>
      </c>
      <c r="F638">
        <v>95.51</v>
      </c>
      <c r="G638">
        <v>100.4</v>
      </c>
      <c r="H638">
        <v>81.34</v>
      </c>
      <c r="K638" s="9">
        <f t="shared" si="36"/>
        <v>0.17000000000000171</v>
      </c>
      <c r="L638">
        <f t="shared" si="36"/>
        <v>0.56000000000000227</v>
      </c>
      <c r="M638">
        <f t="shared" si="36"/>
        <v>0.17000000000000171</v>
      </c>
      <c r="N638">
        <f t="shared" si="36"/>
        <v>0.10999999999999943</v>
      </c>
      <c r="O638">
        <f t="shared" si="37"/>
        <v>0.10999999999999943</v>
      </c>
      <c r="P638" s="10">
        <f t="shared" si="37"/>
        <v>0.21999999999999886</v>
      </c>
    </row>
    <row r="639" spans="1:16">
      <c r="A639">
        <v>154.5</v>
      </c>
      <c r="B639">
        <v>102.17</v>
      </c>
      <c r="C639">
        <v>98.4</v>
      </c>
      <c r="D639">
        <v>107.56</v>
      </c>
      <c r="E639">
        <v>100.62</v>
      </c>
      <c r="F639">
        <v>95.56</v>
      </c>
      <c r="G639">
        <v>100.4</v>
      </c>
      <c r="H639">
        <v>81.400000000000006</v>
      </c>
      <c r="K639" s="9">
        <f t="shared" si="36"/>
        <v>0.21999999999999886</v>
      </c>
      <c r="L639">
        <f t="shared" si="36"/>
        <v>0.60999999999999943</v>
      </c>
      <c r="M639">
        <f t="shared" si="36"/>
        <v>0.15999999999999659</v>
      </c>
      <c r="N639">
        <f t="shared" si="36"/>
        <v>0.10999999999999943</v>
      </c>
      <c r="O639">
        <f t="shared" si="37"/>
        <v>0.10999999999999943</v>
      </c>
      <c r="P639" s="10">
        <f t="shared" si="37"/>
        <v>0.15999999999999659</v>
      </c>
    </row>
    <row r="640" spans="1:16">
      <c r="A640">
        <v>154.75</v>
      </c>
      <c r="B640">
        <v>102.23</v>
      </c>
      <c r="C640">
        <v>98.4</v>
      </c>
      <c r="D640">
        <v>107.62</v>
      </c>
      <c r="E640">
        <v>100.73</v>
      </c>
      <c r="F640">
        <v>95.62</v>
      </c>
      <c r="G640">
        <v>100.45</v>
      </c>
      <c r="H640">
        <v>81.45</v>
      </c>
      <c r="K640" s="9">
        <f t="shared" si="36"/>
        <v>0.32999999999999829</v>
      </c>
      <c r="L640">
        <f t="shared" si="36"/>
        <v>0.5</v>
      </c>
      <c r="M640">
        <f t="shared" si="36"/>
        <v>0.17000000000000171</v>
      </c>
      <c r="N640">
        <f t="shared" si="36"/>
        <v>0.10999999999999943</v>
      </c>
      <c r="O640">
        <f t="shared" si="37"/>
        <v>6.0000000000002274E-2</v>
      </c>
      <c r="P640" s="10">
        <f t="shared" si="37"/>
        <v>0.10999999999999943</v>
      </c>
    </row>
    <row r="641" spans="1:16">
      <c r="A641">
        <v>155</v>
      </c>
      <c r="B641">
        <v>102.23</v>
      </c>
      <c r="C641">
        <v>98.45</v>
      </c>
      <c r="D641">
        <v>108.12</v>
      </c>
      <c r="E641">
        <v>100.73</v>
      </c>
      <c r="F641">
        <v>95.62</v>
      </c>
      <c r="G641">
        <v>100.51</v>
      </c>
      <c r="H641">
        <v>81.56</v>
      </c>
      <c r="K641" s="9">
        <f t="shared" si="36"/>
        <v>0.28000000000000114</v>
      </c>
      <c r="L641">
        <f t="shared" si="36"/>
        <v>-0.21999999999999886</v>
      </c>
      <c r="M641">
        <f t="shared" si="36"/>
        <v>0.17000000000000171</v>
      </c>
      <c r="N641">
        <f t="shared" si="36"/>
        <v>0.15999999999999659</v>
      </c>
      <c r="O641">
        <f t="shared" si="37"/>
        <v>4.9999999999997158E-2</v>
      </c>
      <c r="P641" s="10">
        <f t="shared" si="37"/>
        <v>0.10999999999999943</v>
      </c>
    </row>
    <row r="642" spans="1:16">
      <c r="A642">
        <v>155.25</v>
      </c>
      <c r="B642">
        <v>102.28</v>
      </c>
      <c r="C642">
        <v>98.62</v>
      </c>
      <c r="D642">
        <v>108.17</v>
      </c>
      <c r="E642">
        <v>100.78</v>
      </c>
      <c r="F642">
        <v>95.67</v>
      </c>
      <c r="G642">
        <v>100.51</v>
      </c>
      <c r="H642">
        <v>81.56</v>
      </c>
      <c r="K642" s="9">
        <f t="shared" si="36"/>
        <v>0.15999999999999659</v>
      </c>
      <c r="L642">
        <f t="shared" si="36"/>
        <v>-0.39000000000000057</v>
      </c>
      <c r="M642">
        <f t="shared" si="36"/>
        <v>0.17000000000000171</v>
      </c>
      <c r="N642">
        <f t="shared" si="36"/>
        <v>0.10999999999999943</v>
      </c>
      <c r="O642">
        <f t="shared" si="37"/>
        <v>0.10999999999999943</v>
      </c>
      <c r="P642" s="10">
        <f t="shared" si="37"/>
        <v>0.21999999999999886</v>
      </c>
    </row>
    <row r="643" spans="1:16">
      <c r="A643">
        <v>155.5</v>
      </c>
      <c r="B643">
        <v>102.34</v>
      </c>
      <c r="C643">
        <v>98.73</v>
      </c>
      <c r="D643">
        <v>108.12</v>
      </c>
      <c r="E643">
        <v>100.9</v>
      </c>
      <c r="F643">
        <v>95.73</v>
      </c>
      <c r="G643">
        <v>100.51</v>
      </c>
      <c r="H643">
        <v>81.56</v>
      </c>
      <c r="K643" s="9">
        <f t="shared" si="36"/>
        <v>0.17000000000000171</v>
      </c>
      <c r="L643">
        <f t="shared" si="36"/>
        <v>-0.21999999999999886</v>
      </c>
      <c r="M643">
        <f t="shared" si="36"/>
        <v>0.15999999999999659</v>
      </c>
      <c r="N643">
        <f t="shared" si="36"/>
        <v>0.17000000000000171</v>
      </c>
      <c r="O643">
        <f t="shared" si="37"/>
        <v>0.26999999999999602</v>
      </c>
      <c r="P643" s="10">
        <f t="shared" si="37"/>
        <v>0.21999999999999886</v>
      </c>
    </row>
    <row r="644" spans="1:16">
      <c r="A644">
        <v>155.75</v>
      </c>
      <c r="B644">
        <v>102.4</v>
      </c>
      <c r="C644">
        <v>98.73</v>
      </c>
      <c r="D644">
        <v>107.9</v>
      </c>
      <c r="E644">
        <v>100.9</v>
      </c>
      <c r="F644">
        <v>95.78</v>
      </c>
      <c r="G644">
        <v>100.56</v>
      </c>
      <c r="H644">
        <v>81.67</v>
      </c>
      <c r="K644" s="9">
        <f t="shared" si="36"/>
        <v>0.21999999999999886</v>
      </c>
      <c r="L644">
        <f t="shared" si="36"/>
        <v>-6.0000000000002274E-2</v>
      </c>
      <c r="M644">
        <f t="shared" si="36"/>
        <v>0.21999999999999886</v>
      </c>
      <c r="N644">
        <f t="shared" si="36"/>
        <v>0.23000000000000398</v>
      </c>
      <c r="O644">
        <f t="shared" si="37"/>
        <v>0.28000000000000114</v>
      </c>
      <c r="P644" s="10">
        <f t="shared" si="37"/>
        <v>0.17000000000000171</v>
      </c>
    </row>
    <row r="645" spans="1:16">
      <c r="A645">
        <v>156</v>
      </c>
      <c r="B645">
        <v>102.4</v>
      </c>
      <c r="C645">
        <v>98.78</v>
      </c>
      <c r="D645">
        <v>107.78</v>
      </c>
      <c r="E645">
        <v>100.95</v>
      </c>
      <c r="F645">
        <v>95.78</v>
      </c>
      <c r="G645">
        <v>100.62</v>
      </c>
      <c r="H645">
        <v>81.78</v>
      </c>
      <c r="K645" s="9">
        <f t="shared" si="36"/>
        <v>0.17000000000000171</v>
      </c>
      <c r="L645">
        <f t="shared" si="36"/>
        <v>0.39000000000000057</v>
      </c>
      <c r="M645">
        <f t="shared" si="36"/>
        <v>0.21999999999999886</v>
      </c>
      <c r="N645">
        <f t="shared" si="36"/>
        <v>0.23000000000000398</v>
      </c>
      <c r="O645">
        <f t="shared" si="37"/>
        <v>0.21999999999999886</v>
      </c>
      <c r="P645" s="10">
        <f t="shared" si="37"/>
        <v>6.0000000000002274E-2</v>
      </c>
    </row>
    <row r="646" spans="1:16">
      <c r="A646">
        <v>156.25</v>
      </c>
      <c r="B646">
        <v>102.45</v>
      </c>
      <c r="C646">
        <v>98.9</v>
      </c>
      <c r="D646">
        <v>107.9</v>
      </c>
      <c r="E646">
        <v>101.06</v>
      </c>
      <c r="F646">
        <v>95.9</v>
      </c>
      <c r="G646">
        <v>100.78</v>
      </c>
      <c r="H646">
        <v>81.78</v>
      </c>
      <c r="K646" s="9">
        <f t="shared" si="36"/>
        <v>0.10999999999999943</v>
      </c>
      <c r="L646">
        <f t="shared" si="36"/>
        <v>0.60999999999999943</v>
      </c>
      <c r="M646">
        <f t="shared" si="36"/>
        <v>0.10999999999999943</v>
      </c>
      <c r="N646">
        <f t="shared" si="36"/>
        <v>0.10999999999999943</v>
      </c>
      <c r="O646">
        <f t="shared" si="37"/>
        <v>0.17000000000000171</v>
      </c>
      <c r="P646" s="10">
        <f t="shared" si="37"/>
        <v>0.12000000000000455</v>
      </c>
    </row>
    <row r="647" spans="1:16">
      <c r="A647">
        <v>156.5</v>
      </c>
      <c r="B647">
        <v>102.4</v>
      </c>
      <c r="C647">
        <v>98.95</v>
      </c>
      <c r="D647">
        <v>107.84</v>
      </c>
      <c r="E647">
        <v>101.12</v>
      </c>
      <c r="F647">
        <v>96.01</v>
      </c>
      <c r="G647">
        <v>100.84</v>
      </c>
      <c r="H647">
        <v>81.84</v>
      </c>
      <c r="K647" s="9">
        <f t="shared" si="36"/>
        <v>0.10999999999999943</v>
      </c>
      <c r="L647">
        <f t="shared" si="36"/>
        <v>0.78000000000000114</v>
      </c>
      <c r="M647">
        <f t="shared" si="36"/>
        <v>0.10999999999999943</v>
      </c>
      <c r="N647">
        <f t="shared" si="36"/>
        <v>0.10999999999999943</v>
      </c>
      <c r="O647">
        <f t="shared" si="37"/>
        <v>0.10999999999999943</v>
      </c>
      <c r="P647" s="10">
        <f t="shared" si="37"/>
        <v>0.10999999999999943</v>
      </c>
    </row>
    <row r="648" spans="1:16">
      <c r="A648">
        <v>156.75</v>
      </c>
      <c r="B648">
        <v>102.51</v>
      </c>
      <c r="C648">
        <v>98.95</v>
      </c>
      <c r="D648">
        <v>108.17</v>
      </c>
      <c r="E648">
        <v>101.17</v>
      </c>
      <c r="F648">
        <v>96.01</v>
      </c>
      <c r="G648">
        <v>100.84</v>
      </c>
      <c r="H648">
        <v>81.84</v>
      </c>
      <c r="K648" s="9">
        <f t="shared" si="36"/>
        <v>0.17000000000000171</v>
      </c>
      <c r="L648">
        <f t="shared" si="36"/>
        <v>0.34000000000000341</v>
      </c>
      <c r="M648">
        <f t="shared" si="36"/>
        <v>6.0000000000002274E-2</v>
      </c>
      <c r="N648">
        <f t="shared" si="36"/>
        <v>0.15999999999999659</v>
      </c>
      <c r="O648">
        <f t="shared" si="37"/>
        <v>6.0000000000002274E-2</v>
      </c>
      <c r="P648" s="10">
        <f t="shared" si="37"/>
        <v>0.21999999999999886</v>
      </c>
    </row>
    <row r="649" spans="1:16">
      <c r="A649">
        <v>157</v>
      </c>
      <c r="B649">
        <v>102.51</v>
      </c>
      <c r="C649">
        <v>99.01</v>
      </c>
      <c r="D649">
        <v>108.51</v>
      </c>
      <c r="E649">
        <v>101.17</v>
      </c>
      <c r="F649">
        <v>96.01</v>
      </c>
      <c r="G649">
        <v>100.95</v>
      </c>
      <c r="H649">
        <v>81.900000000000006</v>
      </c>
      <c r="K649" s="9">
        <f t="shared" si="36"/>
        <v>0.15999999999999659</v>
      </c>
      <c r="L649">
        <f t="shared" si="36"/>
        <v>0.21999999999999886</v>
      </c>
      <c r="M649">
        <f t="shared" si="36"/>
        <v>0.17000000000000171</v>
      </c>
      <c r="N649">
        <f t="shared" si="36"/>
        <v>0.26999999999999602</v>
      </c>
      <c r="O649">
        <f t="shared" si="37"/>
        <v>0</v>
      </c>
      <c r="P649" s="10">
        <f t="shared" si="37"/>
        <v>0.21999999999999886</v>
      </c>
    </row>
    <row r="650" spans="1:16">
      <c r="A650">
        <v>157.25</v>
      </c>
      <c r="B650">
        <v>102.51</v>
      </c>
      <c r="C650">
        <v>99.06</v>
      </c>
      <c r="D650">
        <v>108.62</v>
      </c>
      <c r="E650">
        <v>101.23</v>
      </c>
      <c r="F650">
        <v>96.12</v>
      </c>
      <c r="G650">
        <v>100.95</v>
      </c>
      <c r="H650">
        <v>81.95</v>
      </c>
      <c r="K650" s="9">
        <f t="shared" si="36"/>
        <v>0.21999999999999886</v>
      </c>
      <c r="L650">
        <f t="shared" si="36"/>
        <v>0.54999999999999716</v>
      </c>
      <c r="M650">
        <f t="shared" si="36"/>
        <v>0.17000000000000171</v>
      </c>
      <c r="N650">
        <f t="shared" si="36"/>
        <v>0.10999999999999943</v>
      </c>
      <c r="O650">
        <f t="shared" si="37"/>
        <v>0</v>
      </c>
      <c r="P650" s="10">
        <f t="shared" si="37"/>
        <v>0.17000000000000171</v>
      </c>
    </row>
    <row r="651" spans="1:16">
      <c r="A651">
        <v>157.5</v>
      </c>
      <c r="B651">
        <v>102.45</v>
      </c>
      <c r="C651">
        <v>99.12</v>
      </c>
      <c r="D651">
        <v>108.51</v>
      </c>
      <c r="E651">
        <v>101.23</v>
      </c>
      <c r="F651">
        <v>96.17</v>
      </c>
      <c r="G651">
        <v>100.9</v>
      </c>
      <c r="H651">
        <v>82.06</v>
      </c>
      <c r="K651" s="9">
        <f t="shared" si="36"/>
        <v>0.15999999999999659</v>
      </c>
      <c r="L651">
        <f t="shared" si="36"/>
        <v>0.76999999999999602</v>
      </c>
      <c r="M651">
        <f t="shared" si="36"/>
        <v>0.28000000000000114</v>
      </c>
      <c r="N651">
        <f t="shared" si="36"/>
        <v>0.23000000000000398</v>
      </c>
      <c r="O651">
        <f t="shared" si="37"/>
        <v>0.21999999999999886</v>
      </c>
      <c r="P651" s="10">
        <f t="shared" si="37"/>
        <v>0.21999999999999886</v>
      </c>
    </row>
    <row r="652" spans="1:16">
      <c r="A652">
        <v>157.75</v>
      </c>
      <c r="B652">
        <v>102.51</v>
      </c>
      <c r="C652">
        <v>99.17</v>
      </c>
      <c r="D652">
        <v>108.73</v>
      </c>
      <c r="E652">
        <v>101.34</v>
      </c>
      <c r="F652">
        <v>96.28</v>
      </c>
      <c r="G652">
        <v>100.95</v>
      </c>
      <c r="H652">
        <v>82.12</v>
      </c>
      <c r="K652" s="9">
        <f t="shared" si="36"/>
        <v>0.23000000000000398</v>
      </c>
      <c r="L652">
        <f t="shared" si="36"/>
        <v>0.60999999999999943</v>
      </c>
      <c r="M652">
        <f t="shared" si="36"/>
        <v>0.21999999999999886</v>
      </c>
      <c r="N652">
        <f t="shared" si="36"/>
        <v>0.23000000000000398</v>
      </c>
      <c r="O652">
        <f t="shared" si="37"/>
        <v>6.0000000000002274E-2</v>
      </c>
      <c r="P652" s="10">
        <f t="shared" si="37"/>
        <v>0.21999999999999886</v>
      </c>
    </row>
    <row r="653" spans="1:16">
      <c r="A653">
        <v>158</v>
      </c>
      <c r="B653">
        <v>102.51</v>
      </c>
      <c r="C653">
        <v>99.28</v>
      </c>
      <c r="D653">
        <v>109.17</v>
      </c>
      <c r="E653">
        <v>101.4</v>
      </c>
      <c r="F653">
        <v>96.23</v>
      </c>
      <c r="G653">
        <v>100.95</v>
      </c>
      <c r="H653">
        <v>82.12</v>
      </c>
      <c r="K653" s="9">
        <f t="shared" si="36"/>
        <v>0.17000000000000171</v>
      </c>
      <c r="L653">
        <f t="shared" si="36"/>
        <v>0.17000000000000171</v>
      </c>
      <c r="M653">
        <f t="shared" si="36"/>
        <v>0.21999999999999886</v>
      </c>
      <c r="N653">
        <f t="shared" si="36"/>
        <v>0.32999999999999829</v>
      </c>
      <c r="O653">
        <f t="shared" si="37"/>
        <v>0.10999999999999943</v>
      </c>
      <c r="P653" s="10">
        <f t="shared" si="37"/>
        <v>0.15999999999999659</v>
      </c>
    </row>
    <row r="654" spans="1:16">
      <c r="A654">
        <v>158.25</v>
      </c>
      <c r="B654">
        <v>102.51</v>
      </c>
      <c r="C654">
        <v>99.28</v>
      </c>
      <c r="D654">
        <v>109.28</v>
      </c>
      <c r="E654">
        <v>101.51</v>
      </c>
      <c r="F654">
        <v>96.4</v>
      </c>
      <c r="G654">
        <v>101.12</v>
      </c>
      <c r="H654">
        <v>82.28</v>
      </c>
      <c r="K654" s="9">
        <f t="shared" si="36"/>
        <v>0.17000000000000171</v>
      </c>
      <c r="L654">
        <f t="shared" si="36"/>
        <v>-0.10999999999999943</v>
      </c>
      <c r="M654">
        <f t="shared" si="36"/>
        <v>0.21999999999999886</v>
      </c>
      <c r="N654">
        <f t="shared" si="36"/>
        <v>0.21999999999999886</v>
      </c>
      <c r="O654">
        <f t="shared" si="37"/>
        <v>-0.10999999999999943</v>
      </c>
      <c r="P654" s="10">
        <f t="shared" si="37"/>
        <v>0.12000000000000455</v>
      </c>
    </row>
    <row r="655" spans="1:16">
      <c r="A655">
        <v>158.5</v>
      </c>
      <c r="B655">
        <v>102.51</v>
      </c>
      <c r="C655">
        <v>99.4</v>
      </c>
      <c r="D655">
        <v>109.34</v>
      </c>
      <c r="E655">
        <v>101.56</v>
      </c>
      <c r="F655">
        <v>96.51</v>
      </c>
      <c r="G655">
        <v>101.01</v>
      </c>
      <c r="H655">
        <v>82.34</v>
      </c>
      <c r="K655" s="9">
        <f t="shared" si="36"/>
        <v>0.10999999999999943</v>
      </c>
      <c r="L655">
        <f t="shared" si="36"/>
        <v>0</v>
      </c>
      <c r="M655">
        <f t="shared" si="36"/>
        <v>0.21999999999999886</v>
      </c>
      <c r="N655">
        <f t="shared" si="36"/>
        <v>0.15999999999999659</v>
      </c>
      <c r="O655">
        <f t="shared" si="37"/>
        <v>0.15999999999999659</v>
      </c>
      <c r="P655" s="10">
        <f t="shared" si="37"/>
        <v>0.10999999999999943</v>
      </c>
    </row>
    <row r="656" spans="1:16">
      <c r="A656">
        <v>158.75</v>
      </c>
      <c r="B656">
        <v>102.51</v>
      </c>
      <c r="C656">
        <v>99.45</v>
      </c>
      <c r="D656">
        <v>109.34</v>
      </c>
      <c r="E656">
        <v>101.62</v>
      </c>
      <c r="F656">
        <v>96.56</v>
      </c>
      <c r="G656">
        <v>101.06</v>
      </c>
      <c r="H656">
        <v>82.28</v>
      </c>
      <c r="K656" s="9">
        <f t="shared" si="36"/>
        <v>0.10999999999999943</v>
      </c>
      <c r="L656">
        <f t="shared" si="36"/>
        <v>6.0000000000002274E-2</v>
      </c>
      <c r="M656">
        <f t="shared" si="36"/>
        <v>0.21999999999999886</v>
      </c>
      <c r="N656">
        <f t="shared" si="36"/>
        <v>0.21999999999999886</v>
      </c>
      <c r="O656">
        <f t="shared" si="37"/>
        <v>0.10999999999999943</v>
      </c>
      <c r="P656" s="10">
        <f t="shared" si="37"/>
        <v>0.34000000000000341</v>
      </c>
    </row>
    <row r="657" spans="1:16">
      <c r="A657">
        <v>159</v>
      </c>
      <c r="B657">
        <v>102.51</v>
      </c>
      <c r="C657">
        <v>99.45</v>
      </c>
      <c r="D657">
        <v>109.17</v>
      </c>
      <c r="E657">
        <v>101.73</v>
      </c>
      <c r="F657">
        <v>96.62</v>
      </c>
      <c r="G657">
        <v>101.01</v>
      </c>
      <c r="H657">
        <v>82.4</v>
      </c>
      <c r="K657" s="9">
        <f t="shared" si="36"/>
        <v>0.21999999999999886</v>
      </c>
      <c r="L657">
        <f t="shared" si="36"/>
        <v>0.39000000000000057</v>
      </c>
      <c r="M657">
        <f t="shared" si="36"/>
        <v>0.17000000000000171</v>
      </c>
      <c r="N657">
        <f t="shared" si="36"/>
        <v>0.15999999999999659</v>
      </c>
      <c r="O657">
        <f t="shared" si="37"/>
        <v>0</v>
      </c>
      <c r="P657" s="10">
        <f t="shared" si="37"/>
        <v>0.21999999999999886</v>
      </c>
    </row>
    <row r="658" spans="1:16">
      <c r="A658">
        <v>159.25</v>
      </c>
      <c r="B658">
        <v>102.45</v>
      </c>
      <c r="C658">
        <v>99.51</v>
      </c>
      <c r="D658">
        <v>109.34</v>
      </c>
      <c r="E658">
        <v>101.78</v>
      </c>
      <c r="F658">
        <v>96.67</v>
      </c>
      <c r="G658">
        <v>101.17</v>
      </c>
      <c r="H658">
        <v>82.45</v>
      </c>
      <c r="K658" s="9">
        <f t="shared" si="36"/>
        <v>0.15999999999999659</v>
      </c>
      <c r="L658">
        <f t="shared" si="36"/>
        <v>0</v>
      </c>
      <c r="M658">
        <f t="shared" si="36"/>
        <v>0.17000000000000171</v>
      </c>
      <c r="N658">
        <f t="shared" si="36"/>
        <v>0.10999999999999943</v>
      </c>
      <c r="O658">
        <f t="shared" si="37"/>
        <v>-0.21999999999999886</v>
      </c>
      <c r="P658" s="10">
        <f t="shared" si="37"/>
        <v>0.17000000000000171</v>
      </c>
    </row>
    <row r="659" spans="1:16">
      <c r="A659">
        <v>159.5</v>
      </c>
      <c r="B659">
        <v>102.56</v>
      </c>
      <c r="C659">
        <v>99.56</v>
      </c>
      <c r="D659">
        <v>109.4</v>
      </c>
      <c r="E659">
        <v>101.84</v>
      </c>
      <c r="F659">
        <v>96.78</v>
      </c>
      <c r="G659">
        <v>101.17</v>
      </c>
      <c r="H659">
        <v>82.62</v>
      </c>
      <c r="K659" s="9">
        <f t="shared" si="36"/>
        <v>0.28000000000000114</v>
      </c>
      <c r="L659">
        <f t="shared" si="36"/>
        <v>0.10999999999999943</v>
      </c>
      <c r="M659">
        <f t="shared" si="36"/>
        <v>0.21999999999999886</v>
      </c>
      <c r="N659">
        <f t="shared" si="36"/>
        <v>6.0000000000002274E-2</v>
      </c>
      <c r="O659">
        <f t="shared" si="37"/>
        <v>-0.15999999999999659</v>
      </c>
      <c r="P659" s="10">
        <f t="shared" si="37"/>
        <v>4.9999999999997158E-2</v>
      </c>
    </row>
    <row r="660" spans="1:16">
      <c r="A660">
        <v>159.75</v>
      </c>
      <c r="B660">
        <v>102.62</v>
      </c>
      <c r="C660">
        <v>99.67</v>
      </c>
      <c r="D660">
        <v>109.56</v>
      </c>
      <c r="E660">
        <v>101.9</v>
      </c>
      <c r="F660">
        <v>96.78</v>
      </c>
      <c r="G660">
        <v>101.01</v>
      </c>
      <c r="H660">
        <v>82.62</v>
      </c>
      <c r="K660" s="9">
        <f t="shared" si="36"/>
        <v>0.17000000000000171</v>
      </c>
      <c r="L660">
        <f t="shared" si="36"/>
        <v>-0.10999999999999943</v>
      </c>
      <c r="M660">
        <f t="shared" si="36"/>
        <v>0.15999999999999659</v>
      </c>
      <c r="N660">
        <f t="shared" si="36"/>
        <v>0.12000000000000455</v>
      </c>
      <c r="O660">
        <f t="shared" si="37"/>
        <v>-0.17000000000000171</v>
      </c>
      <c r="P660" s="10">
        <f t="shared" si="37"/>
        <v>4.9999999999997158E-2</v>
      </c>
    </row>
    <row r="661" spans="1:16">
      <c r="A661">
        <v>160</v>
      </c>
      <c r="B661">
        <v>102.56</v>
      </c>
      <c r="C661">
        <v>99.67</v>
      </c>
      <c r="D661">
        <v>109.34</v>
      </c>
      <c r="E661">
        <v>101.95</v>
      </c>
      <c r="F661">
        <v>96.78</v>
      </c>
      <c r="G661">
        <v>100.95</v>
      </c>
      <c r="H661">
        <v>82.62</v>
      </c>
      <c r="K661" s="9">
        <f t="shared" si="36"/>
        <v>0.17000000000000171</v>
      </c>
      <c r="L661">
        <f t="shared" si="36"/>
        <v>6.0000000000002274E-2</v>
      </c>
      <c r="M661">
        <f t="shared" si="36"/>
        <v>0.21999999999999886</v>
      </c>
      <c r="N661">
        <f t="shared" ref="N661:P724" si="38">F664-F661</f>
        <v>0.23000000000000398</v>
      </c>
      <c r="O661">
        <f t="shared" si="37"/>
        <v>-4.9999999999997158E-2</v>
      </c>
      <c r="P661" s="10">
        <f t="shared" si="37"/>
        <v>0.21999999999999886</v>
      </c>
    </row>
    <row r="662" spans="1:16">
      <c r="A662">
        <v>160.25</v>
      </c>
      <c r="B662">
        <v>102.67</v>
      </c>
      <c r="C662">
        <v>99.84</v>
      </c>
      <c r="D662">
        <v>109.51</v>
      </c>
      <c r="E662">
        <v>102.06</v>
      </c>
      <c r="F662">
        <v>96.84</v>
      </c>
      <c r="G662">
        <v>101.01</v>
      </c>
      <c r="H662">
        <v>82.67</v>
      </c>
      <c r="K662" s="9">
        <f t="shared" ref="K662:P725" si="39">C665-C662</f>
        <v>0</v>
      </c>
      <c r="L662">
        <f t="shared" si="39"/>
        <v>0</v>
      </c>
      <c r="M662">
        <f t="shared" si="39"/>
        <v>6.0000000000002274E-2</v>
      </c>
      <c r="N662">
        <f t="shared" si="38"/>
        <v>0.10999999999999943</v>
      </c>
      <c r="O662">
        <f t="shared" si="38"/>
        <v>-0.17000000000000171</v>
      </c>
      <c r="P662" s="10">
        <f t="shared" si="38"/>
        <v>0.17000000000000171</v>
      </c>
    </row>
    <row r="663" spans="1:16">
      <c r="A663">
        <v>160.5</v>
      </c>
      <c r="B663">
        <v>102.62</v>
      </c>
      <c r="C663">
        <v>99.84</v>
      </c>
      <c r="D663">
        <v>109.45</v>
      </c>
      <c r="E663">
        <v>102.06</v>
      </c>
      <c r="F663">
        <v>96.9</v>
      </c>
      <c r="G663">
        <v>100.84</v>
      </c>
      <c r="H663">
        <v>82.67</v>
      </c>
      <c r="K663" s="9">
        <f t="shared" si="39"/>
        <v>0.17000000000000171</v>
      </c>
      <c r="L663">
        <f t="shared" si="39"/>
        <v>0.21999999999999886</v>
      </c>
      <c r="M663">
        <f t="shared" si="39"/>
        <v>0.21999999999999886</v>
      </c>
      <c r="N663">
        <f t="shared" si="38"/>
        <v>4.9999999999997158E-2</v>
      </c>
      <c r="O663">
        <f t="shared" si="38"/>
        <v>0</v>
      </c>
      <c r="P663" s="10">
        <f t="shared" si="38"/>
        <v>0.23000000000000398</v>
      </c>
    </row>
    <row r="664" spans="1:16">
      <c r="A664">
        <v>160.75</v>
      </c>
      <c r="B664">
        <v>102.67</v>
      </c>
      <c r="C664">
        <v>99.84</v>
      </c>
      <c r="D664">
        <v>109.4</v>
      </c>
      <c r="E664">
        <v>102.17</v>
      </c>
      <c r="F664">
        <v>97.01</v>
      </c>
      <c r="G664">
        <v>100.9</v>
      </c>
      <c r="H664">
        <v>82.84</v>
      </c>
      <c r="K664" s="9">
        <f t="shared" si="39"/>
        <v>0.17000000000000171</v>
      </c>
      <c r="L664">
        <f t="shared" si="39"/>
        <v>0.37999999999999545</v>
      </c>
      <c r="M664">
        <f t="shared" si="39"/>
        <v>0.17000000000000171</v>
      </c>
      <c r="N664">
        <f t="shared" si="38"/>
        <v>-6.0000000000002274E-2</v>
      </c>
      <c r="O664">
        <f t="shared" si="38"/>
        <v>0</v>
      </c>
      <c r="P664" s="10">
        <f t="shared" si="38"/>
        <v>6.0000000000002274E-2</v>
      </c>
    </row>
    <row r="665" spans="1:16">
      <c r="A665">
        <v>161</v>
      </c>
      <c r="B665">
        <v>102.62</v>
      </c>
      <c r="C665">
        <v>99.84</v>
      </c>
      <c r="D665">
        <v>109.51</v>
      </c>
      <c r="E665">
        <v>102.12</v>
      </c>
      <c r="F665">
        <v>96.95</v>
      </c>
      <c r="G665">
        <v>100.84</v>
      </c>
      <c r="H665">
        <v>82.84</v>
      </c>
      <c r="K665" s="9">
        <f t="shared" si="39"/>
        <v>0.21999999999999886</v>
      </c>
      <c r="L665">
        <f t="shared" si="39"/>
        <v>0.32999999999999829</v>
      </c>
      <c r="M665">
        <f t="shared" si="39"/>
        <v>0.21999999999999886</v>
      </c>
      <c r="N665">
        <f t="shared" si="38"/>
        <v>6.0000000000002274E-2</v>
      </c>
      <c r="O665">
        <f t="shared" si="38"/>
        <v>0</v>
      </c>
      <c r="P665" s="10">
        <f t="shared" si="38"/>
        <v>0.17000000000000171</v>
      </c>
    </row>
    <row r="666" spans="1:16">
      <c r="A666">
        <v>161.25</v>
      </c>
      <c r="B666">
        <v>102.67</v>
      </c>
      <c r="C666">
        <v>100.01</v>
      </c>
      <c r="D666">
        <v>109.67</v>
      </c>
      <c r="E666">
        <v>102.28</v>
      </c>
      <c r="F666">
        <v>96.95</v>
      </c>
      <c r="G666">
        <v>100.84</v>
      </c>
      <c r="H666">
        <v>82.9</v>
      </c>
      <c r="K666" s="9">
        <f t="shared" si="39"/>
        <v>0.15999999999999659</v>
      </c>
      <c r="L666">
        <f t="shared" si="39"/>
        <v>6.0000000000002274E-2</v>
      </c>
      <c r="M666">
        <f t="shared" si="39"/>
        <v>0.12000000000000455</v>
      </c>
      <c r="N666">
        <f t="shared" si="38"/>
        <v>6.0000000000002274E-2</v>
      </c>
      <c r="O666">
        <f t="shared" si="38"/>
        <v>6.0000000000002274E-2</v>
      </c>
      <c r="P666" s="10">
        <f t="shared" si="38"/>
        <v>0.15999999999999659</v>
      </c>
    </row>
    <row r="667" spans="1:16">
      <c r="A667">
        <v>161.5</v>
      </c>
      <c r="B667">
        <v>102.67</v>
      </c>
      <c r="C667">
        <v>100.01</v>
      </c>
      <c r="D667">
        <v>109.78</v>
      </c>
      <c r="E667">
        <v>102.34</v>
      </c>
      <c r="F667">
        <v>96.95</v>
      </c>
      <c r="G667">
        <v>100.9</v>
      </c>
      <c r="H667">
        <v>82.9</v>
      </c>
      <c r="K667" s="9">
        <f t="shared" si="39"/>
        <v>0.15999999999999659</v>
      </c>
      <c r="L667">
        <f t="shared" si="39"/>
        <v>-4.9999999999997158E-2</v>
      </c>
      <c r="M667">
        <f t="shared" si="39"/>
        <v>0.21999999999999886</v>
      </c>
      <c r="N667">
        <f t="shared" si="38"/>
        <v>0.17000000000000171</v>
      </c>
      <c r="O667">
        <f t="shared" si="38"/>
        <v>0</v>
      </c>
      <c r="P667" s="10">
        <f t="shared" si="38"/>
        <v>0.32999999999999829</v>
      </c>
    </row>
    <row r="668" spans="1:16">
      <c r="A668">
        <v>161.75</v>
      </c>
      <c r="B668">
        <v>102.73</v>
      </c>
      <c r="C668">
        <v>100.06</v>
      </c>
      <c r="D668">
        <v>109.84</v>
      </c>
      <c r="E668">
        <v>102.34</v>
      </c>
      <c r="F668">
        <v>97.01</v>
      </c>
      <c r="G668">
        <v>100.84</v>
      </c>
      <c r="H668">
        <v>83.01</v>
      </c>
      <c r="K668" s="9">
        <f t="shared" si="39"/>
        <v>0.21999999999999886</v>
      </c>
      <c r="L668">
        <f t="shared" si="39"/>
        <v>0.60999999999999943</v>
      </c>
      <c r="M668">
        <f t="shared" si="39"/>
        <v>0.32999999999999829</v>
      </c>
      <c r="N668">
        <f t="shared" si="38"/>
        <v>0.21999999999999886</v>
      </c>
      <c r="O668">
        <f t="shared" si="38"/>
        <v>6.0000000000002274E-2</v>
      </c>
      <c r="P668" s="10">
        <f t="shared" si="38"/>
        <v>0.26999999999999602</v>
      </c>
    </row>
    <row r="669" spans="1:16">
      <c r="A669">
        <v>162</v>
      </c>
      <c r="B669">
        <v>102.62</v>
      </c>
      <c r="C669">
        <v>100.17</v>
      </c>
      <c r="D669">
        <v>109.73</v>
      </c>
      <c r="E669">
        <v>102.4</v>
      </c>
      <c r="F669">
        <v>97.01</v>
      </c>
      <c r="G669">
        <v>100.9</v>
      </c>
      <c r="H669">
        <v>83.06</v>
      </c>
      <c r="K669" s="9">
        <f t="shared" si="39"/>
        <v>6.0000000000002274E-2</v>
      </c>
      <c r="L669">
        <f t="shared" si="39"/>
        <v>0.89000000000000057</v>
      </c>
      <c r="M669">
        <f t="shared" si="39"/>
        <v>0.21999999999999886</v>
      </c>
      <c r="N669">
        <f t="shared" si="38"/>
        <v>0.21999999999999886</v>
      </c>
      <c r="O669">
        <f t="shared" si="38"/>
        <v>0</v>
      </c>
      <c r="P669" s="10">
        <f t="shared" si="38"/>
        <v>0.28000000000000114</v>
      </c>
    </row>
    <row r="670" spans="1:16">
      <c r="A670">
        <v>162.25</v>
      </c>
      <c r="B670">
        <v>102.67</v>
      </c>
      <c r="C670">
        <v>100.17</v>
      </c>
      <c r="D670">
        <v>109.73</v>
      </c>
      <c r="E670">
        <v>102.56</v>
      </c>
      <c r="F670">
        <v>97.12</v>
      </c>
      <c r="G670">
        <v>100.9</v>
      </c>
      <c r="H670">
        <v>83.23</v>
      </c>
      <c r="K670" s="9">
        <f t="shared" si="39"/>
        <v>0.17000000000000171</v>
      </c>
      <c r="L670">
        <f t="shared" si="39"/>
        <v>0.82999999999999829</v>
      </c>
      <c r="M670">
        <f t="shared" si="39"/>
        <v>0.17000000000000171</v>
      </c>
      <c r="N670">
        <f t="shared" si="38"/>
        <v>0.15999999999999659</v>
      </c>
      <c r="O670">
        <f t="shared" si="38"/>
        <v>0.10999999999999943</v>
      </c>
      <c r="P670" s="10">
        <f t="shared" si="38"/>
        <v>0.17000000000000171</v>
      </c>
    </row>
    <row r="671" spans="1:16">
      <c r="A671">
        <v>162.5</v>
      </c>
      <c r="B671">
        <v>102.67</v>
      </c>
      <c r="C671">
        <v>100.28</v>
      </c>
      <c r="D671">
        <v>110.45</v>
      </c>
      <c r="E671">
        <v>102.67</v>
      </c>
      <c r="F671">
        <v>97.23</v>
      </c>
      <c r="G671">
        <v>100.9</v>
      </c>
      <c r="H671">
        <v>83.28</v>
      </c>
      <c r="K671" s="9">
        <f t="shared" si="39"/>
        <v>0.17000000000000171</v>
      </c>
      <c r="L671">
        <f t="shared" si="39"/>
        <v>-4.9999999999997158E-2</v>
      </c>
      <c r="M671">
        <f t="shared" si="39"/>
        <v>0.23000000000000398</v>
      </c>
      <c r="N671">
        <f t="shared" si="38"/>
        <v>0.10999999999999943</v>
      </c>
      <c r="O671">
        <f t="shared" si="38"/>
        <v>0.10999999999999943</v>
      </c>
      <c r="P671" s="10">
        <f t="shared" si="38"/>
        <v>0.17000000000000171</v>
      </c>
    </row>
    <row r="672" spans="1:16">
      <c r="A672">
        <v>162.75</v>
      </c>
      <c r="B672">
        <v>102.67</v>
      </c>
      <c r="C672">
        <v>100.23</v>
      </c>
      <c r="D672">
        <v>110.62</v>
      </c>
      <c r="E672">
        <v>102.62</v>
      </c>
      <c r="F672">
        <v>97.23</v>
      </c>
      <c r="G672">
        <v>100.9</v>
      </c>
      <c r="H672">
        <v>83.34</v>
      </c>
      <c r="K672" s="9">
        <f t="shared" si="39"/>
        <v>0.21999999999999886</v>
      </c>
      <c r="L672">
        <f t="shared" si="39"/>
        <v>-0.45000000000000284</v>
      </c>
      <c r="M672">
        <f t="shared" si="39"/>
        <v>0.21999999999999886</v>
      </c>
      <c r="N672">
        <f t="shared" si="38"/>
        <v>0.10999999999999943</v>
      </c>
      <c r="O672">
        <f t="shared" si="38"/>
        <v>4.9999999999997158E-2</v>
      </c>
      <c r="P672" s="10">
        <f t="shared" si="38"/>
        <v>6.0000000000002274E-2</v>
      </c>
    </row>
    <row r="673" spans="1:16">
      <c r="A673">
        <v>163</v>
      </c>
      <c r="B673">
        <v>102.78</v>
      </c>
      <c r="C673">
        <v>100.34</v>
      </c>
      <c r="D673">
        <v>110.56</v>
      </c>
      <c r="E673">
        <v>102.73</v>
      </c>
      <c r="F673">
        <v>97.28</v>
      </c>
      <c r="G673">
        <v>101.01</v>
      </c>
      <c r="H673">
        <v>83.4</v>
      </c>
      <c r="K673" s="9">
        <f t="shared" si="39"/>
        <v>0.10999999999999943</v>
      </c>
      <c r="L673">
        <f t="shared" si="39"/>
        <v>-0.65999999999999659</v>
      </c>
      <c r="M673">
        <f t="shared" si="39"/>
        <v>0.21999999999999886</v>
      </c>
      <c r="N673">
        <f t="shared" si="38"/>
        <v>0.12000000000000455</v>
      </c>
      <c r="O673">
        <f t="shared" si="38"/>
        <v>0</v>
      </c>
      <c r="P673" s="10">
        <f t="shared" si="38"/>
        <v>0.15999999999999659</v>
      </c>
    </row>
    <row r="674" spans="1:16">
      <c r="A674">
        <v>163.25</v>
      </c>
      <c r="B674">
        <v>102.78</v>
      </c>
      <c r="C674">
        <v>100.45</v>
      </c>
      <c r="D674">
        <v>110.4</v>
      </c>
      <c r="E674">
        <v>102.9</v>
      </c>
      <c r="F674">
        <v>97.34</v>
      </c>
      <c r="G674">
        <v>101.01</v>
      </c>
      <c r="H674">
        <v>83.45</v>
      </c>
      <c r="K674" s="9">
        <f t="shared" si="39"/>
        <v>6.0000000000002274E-2</v>
      </c>
      <c r="L674">
        <f t="shared" si="39"/>
        <v>-0.62000000000000455</v>
      </c>
      <c r="M674">
        <f t="shared" si="39"/>
        <v>4.9999999999997158E-2</v>
      </c>
      <c r="N674">
        <f t="shared" si="38"/>
        <v>0</v>
      </c>
      <c r="O674">
        <f t="shared" si="38"/>
        <v>0</v>
      </c>
      <c r="P674" s="10">
        <f t="shared" si="38"/>
        <v>0.10999999999999943</v>
      </c>
    </row>
    <row r="675" spans="1:16">
      <c r="A675">
        <v>163.5</v>
      </c>
      <c r="B675">
        <v>102.73</v>
      </c>
      <c r="C675">
        <v>100.45</v>
      </c>
      <c r="D675">
        <v>110.17</v>
      </c>
      <c r="E675">
        <v>102.84</v>
      </c>
      <c r="F675">
        <v>97.34</v>
      </c>
      <c r="G675">
        <v>100.95</v>
      </c>
      <c r="H675">
        <v>83.4</v>
      </c>
      <c r="K675" s="9">
        <f t="shared" si="39"/>
        <v>0.10999999999999943</v>
      </c>
      <c r="L675">
        <f t="shared" si="39"/>
        <v>-0.60999999999999943</v>
      </c>
      <c r="M675">
        <f t="shared" si="39"/>
        <v>0.21999999999999886</v>
      </c>
      <c r="N675">
        <f t="shared" si="38"/>
        <v>6.0000000000002274E-2</v>
      </c>
      <c r="O675">
        <f t="shared" si="38"/>
        <v>0.10999999999999943</v>
      </c>
      <c r="P675" s="10">
        <f t="shared" si="38"/>
        <v>0.26999999999999602</v>
      </c>
    </row>
    <row r="676" spans="1:16">
      <c r="A676">
        <v>163.75</v>
      </c>
      <c r="B676">
        <v>102.84</v>
      </c>
      <c r="C676">
        <v>100.45</v>
      </c>
      <c r="D676">
        <v>109.9</v>
      </c>
      <c r="E676">
        <v>102.95</v>
      </c>
      <c r="F676">
        <v>97.4</v>
      </c>
      <c r="G676">
        <v>101.01</v>
      </c>
      <c r="H676">
        <v>83.56</v>
      </c>
      <c r="K676" s="9">
        <f t="shared" si="39"/>
        <v>0.21999999999999886</v>
      </c>
      <c r="L676">
        <f t="shared" si="39"/>
        <v>-0.5</v>
      </c>
      <c r="M676">
        <f t="shared" si="39"/>
        <v>0.10999999999999943</v>
      </c>
      <c r="N676">
        <f t="shared" si="38"/>
        <v>0</v>
      </c>
      <c r="O676">
        <f t="shared" si="38"/>
        <v>0</v>
      </c>
      <c r="P676" s="10">
        <f t="shared" si="38"/>
        <v>0.17000000000000171</v>
      </c>
    </row>
    <row r="677" spans="1:16">
      <c r="A677">
        <v>164</v>
      </c>
      <c r="B677">
        <v>102.78</v>
      </c>
      <c r="C677">
        <v>100.51</v>
      </c>
      <c r="D677">
        <v>109.78</v>
      </c>
      <c r="E677">
        <v>102.95</v>
      </c>
      <c r="F677">
        <v>97.34</v>
      </c>
      <c r="G677">
        <v>101.01</v>
      </c>
      <c r="H677">
        <v>83.56</v>
      </c>
      <c r="K677" s="9">
        <f t="shared" si="39"/>
        <v>0.21999999999999886</v>
      </c>
      <c r="L677">
        <f t="shared" si="39"/>
        <v>-0.43999999999999773</v>
      </c>
      <c r="M677">
        <f t="shared" si="39"/>
        <v>0.17000000000000171</v>
      </c>
      <c r="N677">
        <f t="shared" si="38"/>
        <v>0.10999999999999943</v>
      </c>
      <c r="O677">
        <f t="shared" si="38"/>
        <v>0</v>
      </c>
      <c r="P677" s="10">
        <f t="shared" si="38"/>
        <v>0.17000000000000171</v>
      </c>
    </row>
    <row r="678" spans="1:16">
      <c r="A678">
        <v>164.25</v>
      </c>
      <c r="B678">
        <v>102.78</v>
      </c>
      <c r="C678">
        <v>100.56</v>
      </c>
      <c r="D678">
        <v>109.56</v>
      </c>
      <c r="E678">
        <v>103.06</v>
      </c>
      <c r="F678">
        <v>97.4</v>
      </c>
      <c r="G678">
        <v>101.06</v>
      </c>
      <c r="H678">
        <v>83.67</v>
      </c>
      <c r="K678" s="9">
        <f t="shared" si="39"/>
        <v>0.21999999999999886</v>
      </c>
      <c r="L678">
        <f t="shared" si="39"/>
        <v>-0.28000000000000114</v>
      </c>
      <c r="M678">
        <f t="shared" si="39"/>
        <v>0.17000000000000171</v>
      </c>
      <c r="N678">
        <f t="shared" si="38"/>
        <v>4.9999999999997158E-2</v>
      </c>
      <c r="O678">
        <f t="shared" si="38"/>
        <v>0.10999999999999943</v>
      </c>
      <c r="P678" s="10">
        <f t="shared" si="38"/>
        <v>0.10999999999999943</v>
      </c>
    </row>
    <row r="679" spans="1:16">
      <c r="A679">
        <v>164.5</v>
      </c>
      <c r="B679">
        <v>102.95</v>
      </c>
      <c r="C679">
        <v>100.67</v>
      </c>
      <c r="D679">
        <v>109.4</v>
      </c>
      <c r="E679">
        <v>103.06</v>
      </c>
      <c r="F679">
        <v>97.4</v>
      </c>
      <c r="G679">
        <v>101.01</v>
      </c>
      <c r="H679">
        <v>83.73</v>
      </c>
      <c r="K679" s="9">
        <f t="shared" si="39"/>
        <v>0.10999999999999943</v>
      </c>
      <c r="L679">
        <f t="shared" si="39"/>
        <v>-0.28000000000000114</v>
      </c>
      <c r="M679">
        <f t="shared" si="39"/>
        <v>0.10999999999999943</v>
      </c>
      <c r="N679">
        <f t="shared" si="38"/>
        <v>0</v>
      </c>
      <c r="O679">
        <f t="shared" si="38"/>
        <v>0</v>
      </c>
      <c r="P679" s="10">
        <f t="shared" si="38"/>
        <v>4.9999999999997158E-2</v>
      </c>
    </row>
    <row r="680" spans="1:16">
      <c r="A680">
        <v>164.75</v>
      </c>
      <c r="B680">
        <v>102.9</v>
      </c>
      <c r="C680">
        <v>100.73</v>
      </c>
      <c r="D680">
        <v>109.34</v>
      </c>
      <c r="E680">
        <v>103.12</v>
      </c>
      <c r="F680">
        <v>97.45</v>
      </c>
      <c r="G680">
        <v>101.01</v>
      </c>
      <c r="H680">
        <v>83.73</v>
      </c>
      <c r="K680" s="9">
        <f t="shared" si="39"/>
        <v>0.10999999999999943</v>
      </c>
      <c r="L680">
        <f t="shared" si="39"/>
        <v>-0.21999999999999886</v>
      </c>
      <c r="M680">
        <f t="shared" si="39"/>
        <v>0.15999999999999659</v>
      </c>
      <c r="N680">
        <f t="shared" si="38"/>
        <v>6.0000000000002274E-2</v>
      </c>
      <c r="O680">
        <f t="shared" si="38"/>
        <v>0</v>
      </c>
      <c r="P680" s="10">
        <f t="shared" si="38"/>
        <v>0.17000000000000171</v>
      </c>
    </row>
    <row r="681" spans="1:16">
      <c r="A681">
        <v>165</v>
      </c>
      <c r="B681">
        <v>103.06</v>
      </c>
      <c r="C681">
        <v>100.78</v>
      </c>
      <c r="D681">
        <v>109.28</v>
      </c>
      <c r="E681">
        <v>103.23</v>
      </c>
      <c r="F681">
        <v>97.45</v>
      </c>
      <c r="G681">
        <v>101.17</v>
      </c>
      <c r="H681">
        <v>83.78</v>
      </c>
      <c r="K681" s="9">
        <f t="shared" si="39"/>
        <v>0.17000000000000171</v>
      </c>
      <c r="L681">
        <f t="shared" si="39"/>
        <v>-4.9999999999997158E-2</v>
      </c>
      <c r="M681">
        <f t="shared" si="39"/>
        <v>0.17000000000000171</v>
      </c>
      <c r="N681">
        <f t="shared" si="38"/>
        <v>0.10999999999999943</v>
      </c>
      <c r="O681">
        <f t="shared" si="38"/>
        <v>-0.10999999999999943</v>
      </c>
      <c r="P681" s="10">
        <f t="shared" si="38"/>
        <v>0.17000000000000171</v>
      </c>
    </row>
    <row r="682" spans="1:16">
      <c r="A682">
        <v>165.25</v>
      </c>
      <c r="B682">
        <v>103.01</v>
      </c>
      <c r="C682">
        <v>100.78</v>
      </c>
      <c r="D682">
        <v>109.12</v>
      </c>
      <c r="E682">
        <v>103.17</v>
      </c>
      <c r="F682">
        <v>97.4</v>
      </c>
      <c r="G682">
        <v>101.01</v>
      </c>
      <c r="H682">
        <v>83.78</v>
      </c>
      <c r="K682" s="9">
        <f t="shared" si="39"/>
        <v>0.17000000000000171</v>
      </c>
      <c r="L682">
        <f t="shared" si="39"/>
        <v>-0.17000000000000171</v>
      </c>
      <c r="M682">
        <f t="shared" si="39"/>
        <v>0.17000000000000171</v>
      </c>
      <c r="N682">
        <f t="shared" si="38"/>
        <v>0.15999999999999659</v>
      </c>
      <c r="O682">
        <f t="shared" si="38"/>
        <v>0.10999999999999943</v>
      </c>
      <c r="P682" s="10">
        <f t="shared" si="38"/>
        <v>0.28000000000000114</v>
      </c>
    </row>
    <row r="683" spans="1:16">
      <c r="A683">
        <v>165.5</v>
      </c>
      <c r="B683">
        <v>103.01</v>
      </c>
      <c r="C683">
        <v>100.84</v>
      </c>
      <c r="D683">
        <v>109.12</v>
      </c>
      <c r="E683">
        <v>103.28</v>
      </c>
      <c r="F683">
        <v>97.51</v>
      </c>
      <c r="G683">
        <v>101.01</v>
      </c>
      <c r="H683">
        <v>83.9</v>
      </c>
      <c r="K683" s="9">
        <f t="shared" si="39"/>
        <v>0.21999999999999886</v>
      </c>
      <c r="L683">
        <f t="shared" si="39"/>
        <v>-6.0000000000002274E-2</v>
      </c>
      <c r="M683">
        <f t="shared" si="39"/>
        <v>6.0000000000002274E-2</v>
      </c>
      <c r="N683">
        <f t="shared" si="38"/>
        <v>0.10999999999999943</v>
      </c>
      <c r="O683">
        <f t="shared" si="38"/>
        <v>4.9999999999997158E-2</v>
      </c>
      <c r="P683" s="10">
        <f t="shared" si="38"/>
        <v>0.21999999999999886</v>
      </c>
    </row>
    <row r="684" spans="1:16">
      <c r="A684">
        <v>165.75</v>
      </c>
      <c r="B684">
        <v>103.12</v>
      </c>
      <c r="C684">
        <v>100.95</v>
      </c>
      <c r="D684">
        <v>109.23</v>
      </c>
      <c r="E684">
        <v>103.4</v>
      </c>
      <c r="F684">
        <v>97.56</v>
      </c>
      <c r="G684">
        <v>101.06</v>
      </c>
      <c r="H684">
        <v>83.95</v>
      </c>
      <c r="K684" s="9">
        <f t="shared" si="39"/>
        <v>0.10999999999999943</v>
      </c>
      <c r="L684">
        <f t="shared" si="39"/>
        <v>-6.0000000000002274E-2</v>
      </c>
      <c r="M684">
        <f t="shared" si="39"/>
        <v>4.9999999999997158E-2</v>
      </c>
      <c r="N684">
        <f t="shared" si="38"/>
        <v>6.0000000000002274E-2</v>
      </c>
      <c r="O684">
        <f t="shared" si="38"/>
        <v>6.0000000000002274E-2</v>
      </c>
      <c r="P684" s="10">
        <f t="shared" si="38"/>
        <v>0.21999999999999886</v>
      </c>
    </row>
    <row r="685" spans="1:16">
      <c r="A685">
        <v>166</v>
      </c>
      <c r="B685">
        <v>103.06</v>
      </c>
      <c r="C685">
        <v>100.95</v>
      </c>
      <c r="D685">
        <v>108.95</v>
      </c>
      <c r="E685">
        <v>103.34</v>
      </c>
      <c r="F685">
        <v>97.56</v>
      </c>
      <c r="G685">
        <v>101.12</v>
      </c>
      <c r="H685">
        <v>84.06</v>
      </c>
      <c r="K685" s="9">
        <f t="shared" si="39"/>
        <v>0.17000000000000171</v>
      </c>
      <c r="L685">
        <f t="shared" si="39"/>
        <v>0.21999999999999886</v>
      </c>
      <c r="M685">
        <f t="shared" si="39"/>
        <v>0.10999999999999943</v>
      </c>
      <c r="N685">
        <f t="shared" si="38"/>
        <v>6.0000000000002274E-2</v>
      </c>
      <c r="O685">
        <f t="shared" si="38"/>
        <v>-6.0000000000002274E-2</v>
      </c>
      <c r="P685" s="10">
        <f t="shared" si="38"/>
        <v>0.21999999999999886</v>
      </c>
    </row>
    <row r="686" spans="1:16">
      <c r="A686">
        <v>166.25</v>
      </c>
      <c r="B686">
        <v>103.06</v>
      </c>
      <c r="C686">
        <v>101.06</v>
      </c>
      <c r="D686">
        <v>109.06</v>
      </c>
      <c r="E686">
        <v>103.34</v>
      </c>
      <c r="F686">
        <v>97.62</v>
      </c>
      <c r="G686">
        <v>101.06</v>
      </c>
      <c r="H686">
        <v>84.12</v>
      </c>
      <c r="K686" s="9">
        <f t="shared" si="39"/>
        <v>0.17000000000000171</v>
      </c>
      <c r="L686">
        <f t="shared" si="39"/>
        <v>0</v>
      </c>
      <c r="M686">
        <f t="shared" si="39"/>
        <v>0.21999999999999886</v>
      </c>
      <c r="N686">
        <f t="shared" si="38"/>
        <v>4.9999999999997158E-2</v>
      </c>
      <c r="O686">
        <f t="shared" si="38"/>
        <v>0.10999999999999943</v>
      </c>
      <c r="P686" s="10">
        <f t="shared" si="38"/>
        <v>0.15999999999999659</v>
      </c>
    </row>
    <row r="687" spans="1:16">
      <c r="A687">
        <v>166.5</v>
      </c>
      <c r="B687">
        <v>103.12</v>
      </c>
      <c r="C687">
        <v>101.06</v>
      </c>
      <c r="D687">
        <v>109.17</v>
      </c>
      <c r="E687">
        <v>103.45</v>
      </c>
      <c r="F687">
        <v>97.62</v>
      </c>
      <c r="G687">
        <v>101.12</v>
      </c>
      <c r="H687">
        <v>84.17</v>
      </c>
      <c r="K687" s="9">
        <f t="shared" si="39"/>
        <v>0.17000000000000171</v>
      </c>
      <c r="L687">
        <f t="shared" si="39"/>
        <v>-0.21999999999999886</v>
      </c>
      <c r="M687">
        <f t="shared" si="39"/>
        <v>0.17000000000000171</v>
      </c>
      <c r="N687">
        <f t="shared" si="38"/>
        <v>4.9999999999997158E-2</v>
      </c>
      <c r="O687">
        <f t="shared" si="38"/>
        <v>0</v>
      </c>
      <c r="P687" s="10">
        <f t="shared" si="38"/>
        <v>0.10999999999999943</v>
      </c>
    </row>
    <row r="688" spans="1:16">
      <c r="A688">
        <v>166.75</v>
      </c>
      <c r="B688">
        <v>103.12</v>
      </c>
      <c r="C688">
        <v>101.12</v>
      </c>
      <c r="D688">
        <v>109.17</v>
      </c>
      <c r="E688">
        <v>103.45</v>
      </c>
      <c r="F688">
        <v>97.62</v>
      </c>
      <c r="G688">
        <v>101.06</v>
      </c>
      <c r="H688">
        <v>84.28</v>
      </c>
      <c r="K688" s="9">
        <f t="shared" si="39"/>
        <v>0.21999999999999886</v>
      </c>
      <c r="L688">
        <f t="shared" si="39"/>
        <v>-0.32999999999999829</v>
      </c>
      <c r="M688">
        <f t="shared" si="39"/>
        <v>0.17000000000000171</v>
      </c>
      <c r="N688">
        <f t="shared" si="38"/>
        <v>0.10999999999999943</v>
      </c>
      <c r="O688">
        <f t="shared" si="38"/>
        <v>0.17000000000000171</v>
      </c>
      <c r="P688" s="10">
        <f t="shared" si="38"/>
        <v>0.12000000000000455</v>
      </c>
    </row>
    <row r="689" spans="1:16">
      <c r="A689">
        <v>167</v>
      </c>
      <c r="B689">
        <v>103.12</v>
      </c>
      <c r="C689">
        <v>101.23</v>
      </c>
      <c r="D689">
        <v>109.06</v>
      </c>
      <c r="E689">
        <v>103.56</v>
      </c>
      <c r="F689">
        <v>97.67</v>
      </c>
      <c r="G689">
        <v>101.17</v>
      </c>
      <c r="H689">
        <v>84.28</v>
      </c>
      <c r="K689" s="9">
        <f t="shared" si="39"/>
        <v>0.28000000000000114</v>
      </c>
      <c r="L689">
        <f t="shared" si="39"/>
        <v>-0.28000000000000114</v>
      </c>
      <c r="M689">
        <f t="shared" si="39"/>
        <v>0.10999999999999943</v>
      </c>
      <c r="N689">
        <f t="shared" si="38"/>
        <v>0</v>
      </c>
      <c r="O689">
        <f t="shared" si="38"/>
        <v>0.10999999999999943</v>
      </c>
      <c r="P689" s="10">
        <f t="shared" si="38"/>
        <v>0.12000000000000455</v>
      </c>
    </row>
    <row r="690" spans="1:16">
      <c r="A690">
        <v>167.25</v>
      </c>
      <c r="B690">
        <v>103.28</v>
      </c>
      <c r="C690">
        <v>101.23</v>
      </c>
      <c r="D690">
        <v>108.95</v>
      </c>
      <c r="E690">
        <v>103.62</v>
      </c>
      <c r="F690">
        <v>97.67</v>
      </c>
      <c r="G690">
        <v>101.12</v>
      </c>
      <c r="H690">
        <v>84.28</v>
      </c>
      <c r="K690" s="9">
        <f t="shared" si="39"/>
        <v>0.21999999999999886</v>
      </c>
      <c r="L690">
        <f t="shared" si="39"/>
        <v>-0.54999999999999716</v>
      </c>
      <c r="M690">
        <f t="shared" si="39"/>
        <v>4.9999999999997158E-2</v>
      </c>
      <c r="N690">
        <f t="shared" si="38"/>
        <v>0.17000000000000171</v>
      </c>
      <c r="O690">
        <f t="shared" si="38"/>
        <v>0.15999999999999659</v>
      </c>
      <c r="P690" s="10">
        <f t="shared" si="38"/>
        <v>0.28000000000000114</v>
      </c>
    </row>
    <row r="691" spans="1:16">
      <c r="A691">
        <v>167.5</v>
      </c>
      <c r="B691">
        <v>103.28</v>
      </c>
      <c r="C691">
        <v>101.34</v>
      </c>
      <c r="D691">
        <v>108.84</v>
      </c>
      <c r="E691">
        <v>103.62</v>
      </c>
      <c r="F691">
        <v>97.73</v>
      </c>
      <c r="G691">
        <v>101.23</v>
      </c>
      <c r="H691">
        <v>84.4</v>
      </c>
      <c r="K691" s="9">
        <f t="shared" si="39"/>
        <v>0.21999999999999886</v>
      </c>
      <c r="L691">
        <f t="shared" si="39"/>
        <v>-0.60999999999999943</v>
      </c>
      <c r="M691">
        <f t="shared" si="39"/>
        <v>0.10999999999999943</v>
      </c>
      <c r="N691">
        <f t="shared" si="38"/>
        <v>4.9999999999997158E-2</v>
      </c>
      <c r="O691">
        <f t="shared" si="38"/>
        <v>0.10999999999999943</v>
      </c>
      <c r="P691" s="10">
        <f t="shared" si="38"/>
        <v>0.15999999999999659</v>
      </c>
    </row>
    <row r="692" spans="1:16">
      <c r="A692">
        <v>167.75</v>
      </c>
      <c r="B692">
        <v>103.34</v>
      </c>
      <c r="C692">
        <v>101.51</v>
      </c>
      <c r="D692">
        <v>108.78</v>
      </c>
      <c r="E692">
        <v>103.67</v>
      </c>
      <c r="F692">
        <v>97.67</v>
      </c>
      <c r="G692">
        <v>101.28</v>
      </c>
      <c r="H692">
        <v>84.4</v>
      </c>
      <c r="K692" s="9">
        <f t="shared" si="39"/>
        <v>4.9999999999997158E-2</v>
      </c>
      <c r="L692">
        <f t="shared" si="39"/>
        <v>-0.71999999999999886</v>
      </c>
      <c r="M692">
        <f t="shared" si="39"/>
        <v>0.10999999999999943</v>
      </c>
      <c r="N692">
        <f t="shared" si="38"/>
        <v>0.17000000000000171</v>
      </c>
      <c r="O692">
        <f t="shared" si="38"/>
        <v>6.0000000000002274E-2</v>
      </c>
      <c r="P692" s="10">
        <f t="shared" si="38"/>
        <v>0.15999999999999659</v>
      </c>
    </row>
    <row r="693" spans="1:16">
      <c r="A693">
        <v>168</v>
      </c>
      <c r="B693">
        <v>103.51</v>
      </c>
      <c r="C693">
        <v>101.45</v>
      </c>
      <c r="D693">
        <v>108.4</v>
      </c>
      <c r="E693">
        <v>103.67</v>
      </c>
      <c r="F693">
        <v>97.84</v>
      </c>
      <c r="G693">
        <v>101.28</v>
      </c>
      <c r="H693">
        <v>84.56</v>
      </c>
      <c r="K693" s="9">
        <f t="shared" si="39"/>
        <v>0.17000000000000171</v>
      </c>
      <c r="L693">
        <f t="shared" si="39"/>
        <v>-0.45000000000000284</v>
      </c>
      <c r="M693">
        <f t="shared" si="39"/>
        <v>0.10999999999999943</v>
      </c>
      <c r="N693">
        <f t="shared" si="38"/>
        <v>0</v>
      </c>
      <c r="O693">
        <f t="shared" si="38"/>
        <v>0.12000000000000455</v>
      </c>
      <c r="P693" s="10">
        <f t="shared" si="38"/>
        <v>6.0000000000002274E-2</v>
      </c>
    </row>
    <row r="694" spans="1:16">
      <c r="A694">
        <v>168.25</v>
      </c>
      <c r="B694">
        <v>103.51</v>
      </c>
      <c r="C694">
        <v>101.56</v>
      </c>
      <c r="D694">
        <v>108.23</v>
      </c>
      <c r="E694">
        <v>103.73</v>
      </c>
      <c r="F694">
        <v>97.78</v>
      </c>
      <c r="G694">
        <v>101.34</v>
      </c>
      <c r="H694">
        <v>84.56</v>
      </c>
      <c r="K694" s="9">
        <f t="shared" si="39"/>
        <v>0.10999999999999943</v>
      </c>
      <c r="L694">
        <f t="shared" si="39"/>
        <v>-0.39000000000000057</v>
      </c>
      <c r="M694">
        <f t="shared" si="39"/>
        <v>0.10999999999999943</v>
      </c>
      <c r="N694">
        <f t="shared" si="38"/>
        <v>6.0000000000002274E-2</v>
      </c>
      <c r="O694">
        <f t="shared" si="38"/>
        <v>0</v>
      </c>
      <c r="P694" s="10">
        <f t="shared" si="38"/>
        <v>0.21999999999999886</v>
      </c>
    </row>
    <row r="695" spans="1:16">
      <c r="A695">
        <v>168.5</v>
      </c>
      <c r="B695">
        <v>103.45</v>
      </c>
      <c r="C695">
        <v>101.56</v>
      </c>
      <c r="D695">
        <v>108.06</v>
      </c>
      <c r="E695">
        <v>103.78</v>
      </c>
      <c r="F695">
        <v>97.84</v>
      </c>
      <c r="G695">
        <v>101.34</v>
      </c>
      <c r="H695">
        <v>84.56</v>
      </c>
      <c r="K695" s="9">
        <f t="shared" si="39"/>
        <v>0.21999999999999886</v>
      </c>
      <c r="L695">
        <f t="shared" si="39"/>
        <v>-0.21999999999999886</v>
      </c>
      <c r="M695">
        <f t="shared" si="39"/>
        <v>0</v>
      </c>
      <c r="N695">
        <f t="shared" si="38"/>
        <v>6.0000000000002274E-2</v>
      </c>
      <c r="O695">
        <f t="shared" si="38"/>
        <v>0</v>
      </c>
      <c r="P695" s="10">
        <f t="shared" si="38"/>
        <v>0.28000000000000114</v>
      </c>
    </row>
    <row r="696" spans="1:16">
      <c r="A696">
        <v>168.75</v>
      </c>
      <c r="B696">
        <v>103.45</v>
      </c>
      <c r="C696">
        <v>101.62</v>
      </c>
      <c r="D696">
        <v>107.95</v>
      </c>
      <c r="E696">
        <v>103.78</v>
      </c>
      <c r="F696">
        <v>97.84</v>
      </c>
      <c r="G696">
        <v>101.4</v>
      </c>
      <c r="H696">
        <v>84.62</v>
      </c>
      <c r="K696" s="9">
        <f t="shared" si="39"/>
        <v>0.15999999999999659</v>
      </c>
      <c r="L696">
        <f t="shared" si="39"/>
        <v>-0.10999999999999943</v>
      </c>
      <c r="M696">
        <f t="shared" si="39"/>
        <v>0</v>
      </c>
      <c r="N696">
        <f t="shared" si="38"/>
        <v>0.17000000000000171</v>
      </c>
      <c r="O696">
        <f t="shared" si="38"/>
        <v>4.9999999999997158E-2</v>
      </c>
      <c r="P696" s="10">
        <f t="shared" si="38"/>
        <v>0.21999999999999886</v>
      </c>
    </row>
    <row r="697" spans="1:16">
      <c r="A697">
        <v>169</v>
      </c>
      <c r="B697">
        <v>134.4</v>
      </c>
      <c r="C697">
        <v>101.67</v>
      </c>
      <c r="D697">
        <v>107.84</v>
      </c>
      <c r="E697">
        <v>103.84</v>
      </c>
      <c r="F697">
        <v>97.84</v>
      </c>
      <c r="G697">
        <v>101.34</v>
      </c>
      <c r="H697">
        <v>84.78</v>
      </c>
      <c r="K697" s="9">
        <f t="shared" si="39"/>
        <v>0.17000000000000171</v>
      </c>
      <c r="L697">
        <f t="shared" si="39"/>
        <v>-0.21999999999999886</v>
      </c>
      <c r="M697">
        <f t="shared" si="39"/>
        <v>6.0000000000002274E-2</v>
      </c>
      <c r="N697">
        <f t="shared" si="38"/>
        <v>0.17000000000000171</v>
      </c>
      <c r="O697">
        <f t="shared" si="38"/>
        <v>0.21999999999999886</v>
      </c>
      <c r="P697" s="10">
        <f t="shared" si="38"/>
        <v>0.17000000000000171</v>
      </c>
    </row>
    <row r="698" spans="1:16">
      <c r="A698">
        <v>169.25</v>
      </c>
      <c r="B698">
        <v>187.95</v>
      </c>
      <c r="C698">
        <v>101.78</v>
      </c>
      <c r="D698">
        <v>107.84</v>
      </c>
      <c r="E698">
        <v>103.78</v>
      </c>
      <c r="F698">
        <v>97.9</v>
      </c>
      <c r="G698">
        <v>101.34</v>
      </c>
      <c r="H698">
        <v>84.84</v>
      </c>
      <c r="K698" s="9">
        <f t="shared" si="39"/>
        <v>0.12000000000000455</v>
      </c>
      <c r="L698">
        <f t="shared" si="39"/>
        <v>-0.21999999999999886</v>
      </c>
      <c r="M698">
        <f t="shared" si="39"/>
        <v>0.23000000000000398</v>
      </c>
      <c r="N698">
        <f t="shared" si="38"/>
        <v>0.21999999999999886</v>
      </c>
      <c r="O698">
        <f t="shared" si="38"/>
        <v>0.28000000000000114</v>
      </c>
      <c r="P698" s="10">
        <f t="shared" si="38"/>
        <v>0.21999999999999886</v>
      </c>
    </row>
    <row r="699" spans="1:16">
      <c r="A699">
        <v>169.5</v>
      </c>
      <c r="B699">
        <v>200.45</v>
      </c>
      <c r="C699">
        <v>101.78</v>
      </c>
      <c r="D699">
        <v>107.84</v>
      </c>
      <c r="E699">
        <v>103.78</v>
      </c>
      <c r="F699">
        <v>98.01</v>
      </c>
      <c r="G699">
        <v>101.45</v>
      </c>
      <c r="H699">
        <v>84.84</v>
      </c>
      <c r="K699" s="9">
        <f t="shared" si="39"/>
        <v>0.23000000000000398</v>
      </c>
      <c r="L699">
        <f t="shared" si="39"/>
        <v>-0.10999999999999943</v>
      </c>
      <c r="M699">
        <f t="shared" si="39"/>
        <v>0.17000000000000171</v>
      </c>
      <c r="N699">
        <f t="shared" si="38"/>
        <v>0.15999999999999659</v>
      </c>
      <c r="O699">
        <f t="shared" si="38"/>
        <v>0.17000000000000171</v>
      </c>
      <c r="P699" s="10">
        <f t="shared" si="38"/>
        <v>0.21999999999999886</v>
      </c>
    </row>
    <row r="700" spans="1:16">
      <c r="A700">
        <v>169.75</v>
      </c>
      <c r="B700">
        <v>205.28</v>
      </c>
      <c r="C700">
        <v>101.84</v>
      </c>
      <c r="D700">
        <v>107.62</v>
      </c>
      <c r="E700">
        <v>103.9</v>
      </c>
      <c r="F700">
        <v>98.01</v>
      </c>
      <c r="G700">
        <v>101.56</v>
      </c>
      <c r="H700">
        <v>84.95</v>
      </c>
      <c r="K700" s="9">
        <f t="shared" si="39"/>
        <v>0.17000000000000171</v>
      </c>
      <c r="L700">
        <f t="shared" si="39"/>
        <v>0</v>
      </c>
      <c r="M700">
        <f t="shared" si="39"/>
        <v>4.9999999999997158E-2</v>
      </c>
      <c r="N700">
        <f t="shared" si="38"/>
        <v>0.15999999999999659</v>
      </c>
      <c r="O700">
        <f t="shared" si="38"/>
        <v>0.17000000000000171</v>
      </c>
      <c r="P700" s="10">
        <f t="shared" si="38"/>
        <v>0.32999999999999829</v>
      </c>
    </row>
    <row r="701" spans="1:16">
      <c r="A701">
        <v>170</v>
      </c>
      <c r="B701">
        <v>208.56</v>
      </c>
      <c r="C701">
        <v>101.9</v>
      </c>
      <c r="D701">
        <v>107.62</v>
      </c>
      <c r="E701">
        <v>104.01</v>
      </c>
      <c r="F701">
        <v>98.12</v>
      </c>
      <c r="G701">
        <v>101.62</v>
      </c>
      <c r="H701">
        <v>85.06</v>
      </c>
      <c r="K701" s="9">
        <f t="shared" si="39"/>
        <v>0.15999999999999659</v>
      </c>
      <c r="L701">
        <f t="shared" si="39"/>
        <v>-6.0000000000002274E-2</v>
      </c>
      <c r="M701">
        <f t="shared" si="39"/>
        <v>-6.0000000000002274E-2</v>
      </c>
      <c r="N701">
        <f t="shared" si="38"/>
        <v>0</v>
      </c>
      <c r="O701">
        <f t="shared" si="38"/>
        <v>0.10999999999999943</v>
      </c>
      <c r="P701" s="10">
        <f t="shared" si="38"/>
        <v>0.17000000000000171</v>
      </c>
    </row>
    <row r="702" spans="1:16">
      <c r="A702">
        <v>170.25</v>
      </c>
      <c r="B702">
        <v>211.06</v>
      </c>
      <c r="C702">
        <v>102.01</v>
      </c>
      <c r="D702">
        <v>107.73</v>
      </c>
      <c r="E702">
        <v>103.95</v>
      </c>
      <c r="F702">
        <v>98.17</v>
      </c>
      <c r="G702">
        <v>101.62</v>
      </c>
      <c r="H702">
        <v>85.06</v>
      </c>
      <c r="K702" s="9">
        <f t="shared" si="39"/>
        <v>0.10999999999999943</v>
      </c>
      <c r="L702">
        <f t="shared" si="39"/>
        <v>-0.10999999999999943</v>
      </c>
      <c r="M702">
        <f t="shared" si="39"/>
        <v>0</v>
      </c>
      <c r="N702">
        <f t="shared" si="38"/>
        <v>0</v>
      </c>
      <c r="O702">
        <f t="shared" si="38"/>
        <v>0.15999999999999659</v>
      </c>
      <c r="P702" s="10">
        <f t="shared" si="38"/>
        <v>0.34000000000000341</v>
      </c>
    </row>
    <row r="703" spans="1:16">
      <c r="A703">
        <v>170.5</v>
      </c>
      <c r="B703">
        <v>212.78</v>
      </c>
      <c r="C703">
        <v>102.01</v>
      </c>
      <c r="D703">
        <v>107.62</v>
      </c>
      <c r="E703">
        <v>103.95</v>
      </c>
      <c r="F703">
        <v>98.17</v>
      </c>
      <c r="G703">
        <v>101.73</v>
      </c>
      <c r="H703">
        <v>85.28</v>
      </c>
      <c r="K703" s="9">
        <f t="shared" si="39"/>
        <v>0.10999999999999943</v>
      </c>
      <c r="L703">
        <f t="shared" si="39"/>
        <v>-0.10999999999999943</v>
      </c>
      <c r="M703">
        <f t="shared" si="39"/>
        <v>6.0000000000002274E-2</v>
      </c>
      <c r="N703">
        <f t="shared" si="38"/>
        <v>0.10999999999999943</v>
      </c>
      <c r="O703">
        <f t="shared" si="38"/>
        <v>0.17000000000000171</v>
      </c>
      <c r="P703" s="10">
        <f t="shared" si="38"/>
        <v>0.17000000000000171</v>
      </c>
    </row>
    <row r="704" spans="1:16">
      <c r="A704">
        <v>170.75</v>
      </c>
      <c r="B704">
        <v>213.12</v>
      </c>
      <c r="C704">
        <v>102.06</v>
      </c>
      <c r="D704">
        <v>107.56</v>
      </c>
      <c r="E704">
        <v>103.95</v>
      </c>
      <c r="F704">
        <v>98.12</v>
      </c>
      <c r="G704">
        <v>101.73</v>
      </c>
      <c r="H704">
        <v>85.23</v>
      </c>
      <c r="K704" s="9">
        <f t="shared" si="39"/>
        <v>0.17000000000000171</v>
      </c>
      <c r="L704">
        <f t="shared" si="39"/>
        <v>-4.9999999999997158E-2</v>
      </c>
      <c r="M704">
        <f t="shared" si="39"/>
        <v>6.0000000000002274E-2</v>
      </c>
      <c r="N704">
        <f t="shared" si="38"/>
        <v>0.15999999999999659</v>
      </c>
      <c r="O704">
        <f t="shared" si="38"/>
        <v>0.17000000000000171</v>
      </c>
      <c r="P704" s="10">
        <f t="shared" si="38"/>
        <v>0.28000000000000114</v>
      </c>
    </row>
    <row r="705" spans="1:16">
      <c r="A705">
        <v>171</v>
      </c>
      <c r="B705">
        <v>214.73</v>
      </c>
      <c r="C705">
        <v>102.12</v>
      </c>
      <c r="D705">
        <v>107.62</v>
      </c>
      <c r="E705">
        <v>103.95</v>
      </c>
      <c r="F705">
        <v>98.17</v>
      </c>
      <c r="G705">
        <v>101.78</v>
      </c>
      <c r="H705">
        <v>85.4</v>
      </c>
      <c r="K705" s="9">
        <f t="shared" si="39"/>
        <v>0.15999999999999659</v>
      </c>
      <c r="L705">
        <f t="shared" si="39"/>
        <v>-0.28000000000000114</v>
      </c>
      <c r="M705">
        <f t="shared" si="39"/>
        <v>0.10999999999999943</v>
      </c>
      <c r="N705">
        <f t="shared" si="38"/>
        <v>0.10999999999999943</v>
      </c>
      <c r="O705">
        <f t="shared" si="38"/>
        <v>0.17000000000000171</v>
      </c>
      <c r="P705" s="10">
        <f t="shared" si="38"/>
        <v>0.15999999999999659</v>
      </c>
    </row>
    <row r="706" spans="1:16">
      <c r="A706">
        <v>171.25</v>
      </c>
      <c r="B706">
        <v>215.28</v>
      </c>
      <c r="C706">
        <v>102.12</v>
      </c>
      <c r="D706">
        <v>107.51</v>
      </c>
      <c r="E706">
        <v>104.01</v>
      </c>
      <c r="F706">
        <v>98.28</v>
      </c>
      <c r="G706">
        <v>101.9</v>
      </c>
      <c r="H706">
        <v>85.45</v>
      </c>
      <c r="K706" s="9">
        <f t="shared" si="39"/>
        <v>4.9999999999997158E-2</v>
      </c>
      <c r="L706">
        <f t="shared" si="39"/>
        <v>-0.39000000000000057</v>
      </c>
      <c r="M706">
        <f t="shared" si="39"/>
        <v>-6.0000000000002274E-2</v>
      </c>
      <c r="N706">
        <f t="shared" si="38"/>
        <v>6.0000000000002274E-2</v>
      </c>
      <c r="O706">
        <f t="shared" si="38"/>
        <v>0.21999999999999886</v>
      </c>
      <c r="P706" s="10">
        <f t="shared" si="38"/>
        <v>0.17000000000000171</v>
      </c>
    </row>
    <row r="707" spans="1:16">
      <c r="A707">
        <v>171.5</v>
      </c>
      <c r="B707">
        <v>214.17</v>
      </c>
      <c r="C707">
        <v>102.23</v>
      </c>
      <c r="D707">
        <v>107.51</v>
      </c>
      <c r="E707">
        <v>104.01</v>
      </c>
      <c r="F707">
        <v>98.28</v>
      </c>
      <c r="G707">
        <v>101.9</v>
      </c>
      <c r="H707">
        <v>85.51</v>
      </c>
      <c r="K707" s="9">
        <f t="shared" si="39"/>
        <v>0.10999999999999943</v>
      </c>
      <c r="L707">
        <f t="shared" si="39"/>
        <v>-0.28000000000000114</v>
      </c>
      <c r="M707">
        <f t="shared" si="39"/>
        <v>0</v>
      </c>
      <c r="N707">
        <f t="shared" si="38"/>
        <v>0.12000000000000455</v>
      </c>
      <c r="O707">
        <f t="shared" si="38"/>
        <v>0.21999999999999886</v>
      </c>
      <c r="P707" s="10">
        <f t="shared" si="38"/>
        <v>0.21999999999999886</v>
      </c>
    </row>
    <row r="708" spans="1:16">
      <c r="A708">
        <v>171.75</v>
      </c>
      <c r="B708">
        <v>214.56</v>
      </c>
      <c r="C708">
        <v>102.28</v>
      </c>
      <c r="D708">
        <v>107.34</v>
      </c>
      <c r="E708">
        <v>104.06</v>
      </c>
      <c r="F708">
        <v>98.28</v>
      </c>
      <c r="G708">
        <v>101.95</v>
      </c>
      <c r="H708">
        <v>85.56</v>
      </c>
      <c r="K708" s="9">
        <f t="shared" si="39"/>
        <v>0.12000000000000455</v>
      </c>
      <c r="L708">
        <f t="shared" si="39"/>
        <v>-6.0000000000002274E-2</v>
      </c>
      <c r="M708">
        <f t="shared" si="39"/>
        <v>0</v>
      </c>
      <c r="N708">
        <f t="shared" si="38"/>
        <v>0.12000000000000455</v>
      </c>
      <c r="O708">
        <f t="shared" si="38"/>
        <v>0.28000000000000114</v>
      </c>
      <c r="P708" s="10">
        <f t="shared" si="38"/>
        <v>0.21999999999999886</v>
      </c>
    </row>
    <row r="709" spans="1:16">
      <c r="A709">
        <v>172</v>
      </c>
      <c r="B709">
        <v>215.01</v>
      </c>
      <c r="C709">
        <v>102.17</v>
      </c>
      <c r="D709">
        <v>107.12</v>
      </c>
      <c r="E709">
        <v>103.95</v>
      </c>
      <c r="F709">
        <v>98.34</v>
      </c>
      <c r="G709">
        <v>102.12</v>
      </c>
      <c r="H709">
        <v>85.62</v>
      </c>
      <c r="K709" s="9">
        <f t="shared" si="39"/>
        <v>0.28000000000000114</v>
      </c>
      <c r="L709">
        <f t="shared" si="39"/>
        <v>0.21999999999999886</v>
      </c>
      <c r="M709">
        <f t="shared" si="39"/>
        <v>6.0000000000002274E-2</v>
      </c>
      <c r="N709">
        <f t="shared" si="38"/>
        <v>0.10999999999999943</v>
      </c>
      <c r="O709">
        <f t="shared" si="38"/>
        <v>0.15999999999999659</v>
      </c>
      <c r="P709" s="10">
        <f t="shared" si="38"/>
        <v>0.15999999999999659</v>
      </c>
    </row>
    <row r="710" spans="1:16">
      <c r="A710">
        <v>172.25</v>
      </c>
      <c r="B710">
        <v>216.78</v>
      </c>
      <c r="C710">
        <v>102.34</v>
      </c>
      <c r="D710">
        <v>107.23</v>
      </c>
      <c r="E710">
        <v>104.01</v>
      </c>
      <c r="F710">
        <v>98.4</v>
      </c>
      <c r="G710">
        <v>102.12</v>
      </c>
      <c r="H710">
        <v>85.73</v>
      </c>
      <c r="K710" s="9">
        <f t="shared" si="39"/>
        <v>0.21999999999999886</v>
      </c>
      <c r="L710">
        <f t="shared" si="39"/>
        <v>0.17000000000000171</v>
      </c>
      <c r="M710">
        <f t="shared" si="39"/>
        <v>4.9999999999997158E-2</v>
      </c>
      <c r="N710">
        <f t="shared" si="38"/>
        <v>4.9999999999997158E-2</v>
      </c>
      <c r="O710">
        <f t="shared" si="38"/>
        <v>4.9999999999997158E-2</v>
      </c>
      <c r="P710" s="10">
        <f t="shared" si="38"/>
        <v>0.17000000000000171</v>
      </c>
    </row>
    <row r="711" spans="1:16">
      <c r="A711">
        <v>172.5</v>
      </c>
      <c r="B711">
        <v>215.17</v>
      </c>
      <c r="C711">
        <v>102.4</v>
      </c>
      <c r="D711">
        <v>107.28</v>
      </c>
      <c r="E711">
        <v>104.06</v>
      </c>
      <c r="F711">
        <v>98.4</v>
      </c>
      <c r="G711">
        <v>102.23</v>
      </c>
      <c r="H711">
        <v>85.78</v>
      </c>
      <c r="K711" s="9">
        <f t="shared" si="39"/>
        <v>0.10999999999999943</v>
      </c>
      <c r="L711">
        <f t="shared" si="39"/>
        <v>0.12000000000000455</v>
      </c>
      <c r="M711">
        <f t="shared" si="39"/>
        <v>0</v>
      </c>
      <c r="N711">
        <f t="shared" si="38"/>
        <v>0.15999999999999659</v>
      </c>
      <c r="O711">
        <f t="shared" si="38"/>
        <v>4.9999999999997158E-2</v>
      </c>
      <c r="P711" s="10">
        <f t="shared" si="38"/>
        <v>0.17000000000000171</v>
      </c>
    </row>
    <row r="712" spans="1:16">
      <c r="A712">
        <v>172.75</v>
      </c>
      <c r="B712">
        <v>205.9</v>
      </c>
      <c r="C712">
        <v>102.45</v>
      </c>
      <c r="D712">
        <v>107.34</v>
      </c>
      <c r="E712">
        <v>104.01</v>
      </c>
      <c r="F712">
        <v>98.45</v>
      </c>
      <c r="G712">
        <v>102.28</v>
      </c>
      <c r="H712">
        <v>85.78</v>
      </c>
      <c r="K712" s="9">
        <f t="shared" si="39"/>
        <v>0.21999999999999886</v>
      </c>
      <c r="L712">
        <f t="shared" si="39"/>
        <v>0.10999999999999943</v>
      </c>
      <c r="M712">
        <f t="shared" si="39"/>
        <v>0.10999999999999943</v>
      </c>
      <c r="N712">
        <f t="shared" si="38"/>
        <v>0.10999999999999943</v>
      </c>
      <c r="O712">
        <f t="shared" si="38"/>
        <v>0</v>
      </c>
      <c r="P712" s="10">
        <f t="shared" si="38"/>
        <v>0.17000000000000171</v>
      </c>
    </row>
    <row r="713" spans="1:16">
      <c r="A713">
        <v>173</v>
      </c>
      <c r="B713">
        <v>197.28</v>
      </c>
      <c r="C713">
        <v>102.56</v>
      </c>
      <c r="D713">
        <v>107.4</v>
      </c>
      <c r="E713">
        <v>104.06</v>
      </c>
      <c r="F713">
        <v>98.45</v>
      </c>
      <c r="G713">
        <v>102.17</v>
      </c>
      <c r="H713">
        <v>85.9</v>
      </c>
      <c r="K713" s="9">
        <f t="shared" si="39"/>
        <v>0.17000000000000171</v>
      </c>
      <c r="L713">
        <f t="shared" si="39"/>
        <v>0</v>
      </c>
      <c r="M713">
        <f t="shared" si="39"/>
        <v>-4.9999999999997158E-2</v>
      </c>
      <c r="N713">
        <f t="shared" si="38"/>
        <v>0.10999999999999943</v>
      </c>
      <c r="O713">
        <f t="shared" si="38"/>
        <v>0.17000000000000171</v>
      </c>
      <c r="P713" s="10">
        <f t="shared" si="38"/>
        <v>0.10999999999999943</v>
      </c>
    </row>
    <row r="714" spans="1:16">
      <c r="A714">
        <v>173.25</v>
      </c>
      <c r="B714">
        <v>185.01</v>
      </c>
      <c r="C714">
        <v>102.51</v>
      </c>
      <c r="D714">
        <v>107.4</v>
      </c>
      <c r="E714">
        <v>104.06</v>
      </c>
      <c r="F714">
        <v>98.56</v>
      </c>
      <c r="G714">
        <v>102.28</v>
      </c>
      <c r="H714">
        <v>85.95</v>
      </c>
      <c r="K714" s="9">
        <f t="shared" si="39"/>
        <v>0.26999999999999602</v>
      </c>
      <c r="L714">
        <f t="shared" si="39"/>
        <v>4.9999999999997158E-2</v>
      </c>
      <c r="M714">
        <f t="shared" si="39"/>
        <v>0.10999999999999943</v>
      </c>
      <c r="N714">
        <f t="shared" si="38"/>
        <v>6.0000000000002274E-2</v>
      </c>
      <c r="O714">
        <f t="shared" si="38"/>
        <v>0</v>
      </c>
      <c r="P714" s="10">
        <f t="shared" si="38"/>
        <v>0.32999999999999829</v>
      </c>
    </row>
    <row r="715" spans="1:16">
      <c r="A715">
        <v>173.5</v>
      </c>
      <c r="B715">
        <v>177.73</v>
      </c>
      <c r="C715">
        <v>102.67</v>
      </c>
      <c r="D715">
        <v>107.45</v>
      </c>
      <c r="E715">
        <v>104.12</v>
      </c>
      <c r="F715">
        <v>98.56</v>
      </c>
      <c r="G715">
        <v>102.28</v>
      </c>
      <c r="H715">
        <v>85.95</v>
      </c>
      <c r="K715" s="9">
        <f t="shared" si="39"/>
        <v>0.10999999999999943</v>
      </c>
      <c r="L715">
        <f t="shared" si="39"/>
        <v>6.0000000000002274E-2</v>
      </c>
      <c r="M715">
        <f t="shared" si="39"/>
        <v>4.9999999999997158E-2</v>
      </c>
      <c r="N715">
        <f t="shared" si="38"/>
        <v>0.21999999999999886</v>
      </c>
      <c r="O715">
        <f t="shared" si="38"/>
        <v>0.17000000000000171</v>
      </c>
      <c r="P715" s="10">
        <f t="shared" si="38"/>
        <v>0.45000000000000284</v>
      </c>
    </row>
    <row r="716" spans="1:16">
      <c r="A716">
        <v>173.75</v>
      </c>
      <c r="B716">
        <v>172.78</v>
      </c>
      <c r="C716">
        <v>102.73</v>
      </c>
      <c r="D716">
        <v>107.4</v>
      </c>
      <c r="E716">
        <v>104.01</v>
      </c>
      <c r="F716">
        <v>98.56</v>
      </c>
      <c r="G716">
        <v>102.34</v>
      </c>
      <c r="H716">
        <v>86.01</v>
      </c>
      <c r="K716" s="9">
        <f t="shared" si="39"/>
        <v>0.10999999999999943</v>
      </c>
      <c r="L716">
        <f t="shared" si="39"/>
        <v>0.10999999999999943</v>
      </c>
      <c r="M716">
        <f t="shared" si="39"/>
        <v>0.15999999999999659</v>
      </c>
      <c r="N716">
        <f t="shared" si="38"/>
        <v>0.34000000000000341</v>
      </c>
      <c r="O716">
        <f t="shared" si="38"/>
        <v>0.17000000000000171</v>
      </c>
      <c r="P716" s="10">
        <f t="shared" si="38"/>
        <v>0.54999999999999716</v>
      </c>
    </row>
    <row r="717" spans="1:16">
      <c r="A717">
        <v>174</v>
      </c>
      <c r="B717">
        <v>169.28</v>
      </c>
      <c r="C717">
        <v>102.78</v>
      </c>
      <c r="D717">
        <v>107.45</v>
      </c>
      <c r="E717">
        <v>104.17</v>
      </c>
      <c r="F717">
        <v>98.62</v>
      </c>
      <c r="G717">
        <v>102.28</v>
      </c>
      <c r="H717">
        <v>86.28</v>
      </c>
      <c r="K717" s="9">
        <f t="shared" si="39"/>
        <v>0.12000000000000455</v>
      </c>
      <c r="L717">
        <f t="shared" si="39"/>
        <v>6.0000000000002274E-2</v>
      </c>
      <c r="M717">
        <f t="shared" si="39"/>
        <v>0.10999999999999943</v>
      </c>
      <c r="N717">
        <f t="shared" si="38"/>
        <v>0.32999999999999829</v>
      </c>
      <c r="O717">
        <f t="shared" si="38"/>
        <v>0.34000000000000341</v>
      </c>
      <c r="P717" s="10">
        <f t="shared" si="38"/>
        <v>0.23000000000000398</v>
      </c>
    </row>
    <row r="718" spans="1:16">
      <c r="A718">
        <v>174.25</v>
      </c>
      <c r="B718">
        <v>166.45</v>
      </c>
      <c r="C718">
        <v>102.78</v>
      </c>
      <c r="D718">
        <v>107.51</v>
      </c>
      <c r="E718">
        <v>104.17</v>
      </c>
      <c r="F718">
        <v>98.78</v>
      </c>
      <c r="G718">
        <v>102.45</v>
      </c>
      <c r="H718">
        <v>86.4</v>
      </c>
      <c r="K718" s="9">
        <f t="shared" si="39"/>
        <v>0.23000000000000398</v>
      </c>
      <c r="L718">
        <f t="shared" si="39"/>
        <v>0</v>
      </c>
      <c r="M718">
        <f t="shared" si="39"/>
        <v>0</v>
      </c>
      <c r="N718">
        <f t="shared" si="38"/>
        <v>0.12000000000000455</v>
      </c>
      <c r="O718">
        <f t="shared" si="38"/>
        <v>0.10999999999999943</v>
      </c>
      <c r="P718" s="10">
        <f t="shared" si="38"/>
        <v>0.15999999999999659</v>
      </c>
    </row>
    <row r="719" spans="1:16">
      <c r="A719">
        <v>174.5</v>
      </c>
      <c r="B719">
        <v>164.28</v>
      </c>
      <c r="C719">
        <v>102.84</v>
      </c>
      <c r="D719">
        <v>107.51</v>
      </c>
      <c r="E719">
        <v>104.17</v>
      </c>
      <c r="F719">
        <v>98.9</v>
      </c>
      <c r="G719">
        <v>102.51</v>
      </c>
      <c r="H719">
        <v>86.56</v>
      </c>
      <c r="K719" s="9">
        <f t="shared" si="39"/>
        <v>6.0000000000002274E-2</v>
      </c>
      <c r="L719">
        <f t="shared" si="39"/>
        <v>4.9999999999997158E-2</v>
      </c>
      <c r="M719">
        <f t="shared" si="39"/>
        <v>6.0000000000002274E-2</v>
      </c>
      <c r="N719">
        <f t="shared" si="38"/>
        <v>0.10999999999999943</v>
      </c>
      <c r="O719">
        <f t="shared" si="38"/>
        <v>0.15999999999999659</v>
      </c>
      <c r="P719" s="10">
        <f t="shared" si="38"/>
        <v>6.0000000000002274E-2</v>
      </c>
    </row>
    <row r="720" spans="1:16">
      <c r="A720">
        <v>174.75</v>
      </c>
      <c r="B720">
        <v>162.34</v>
      </c>
      <c r="C720">
        <v>102.9</v>
      </c>
      <c r="D720">
        <v>107.51</v>
      </c>
      <c r="E720">
        <v>104.28</v>
      </c>
      <c r="F720">
        <v>98.95</v>
      </c>
      <c r="G720">
        <v>102.62</v>
      </c>
      <c r="H720">
        <v>86.51</v>
      </c>
      <c r="K720" s="9">
        <f t="shared" si="39"/>
        <v>0.10999999999999943</v>
      </c>
      <c r="L720">
        <f t="shared" si="39"/>
        <v>0.15999999999999659</v>
      </c>
      <c r="M720">
        <f t="shared" si="39"/>
        <v>0</v>
      </c>
      <c r="N720">
        <f t="shared" si="38"/>
        <v>0.10999999999999943</v>
      </c>
      <c r="O720">
        <f t="shared" si="38"/>
        <v>0.21999999999999886</v>
      </c>
      <c r="P720" s="10">
        <f t="shared" si="38"/>
        <v>0.32999999999999829</v>
      </c>
    </row>
    <row r="721" spans="1:16">
      <c r="A721">
        <v>175</v>
      </c>
      <c r="B721">
        <v>160.78</v>
      </c>
      <c r="C721">
        <v>103.01</v>
      </c>
      <c r="D721">
        <v>107.51</v>
      </c>
      <c r="E721">
        <v>104.17</v>
      </c>
      <c r="F721">
        <v>98.9</v>
      </c>
      <c r="G721">
        <v>102.56</v>
      </c>
      <c r="H721">
        <v>86.56</v>
      </c>
      <c r="K721" s="9">
        <f t="shared" si="39"/>
        <v>0.10999999999999943</v>
      </c>
      <c r="L721">
        <f t="shared" si="39"/>
        <v>0.32999999999999829</v>
      </c>
      <c r="M721">
        <f t="shared" si="39"/>
        <v>0.10999999999999943</v>
      </c>
      <c r="N721">
        <f t="shared" si="38"/>
        <v>0.21999999999999886</v>
      </c>
      <c r="O721">
        <f t="shared" si="38"/>
        <v>0.28000000000000114</v>
      </c>
      <c r="P721" s="10">
        <f t="shared" si="38"/>
        <v>0.21999999999999886</v>
      </c>
    </row>
    <row r="722" spans="1:16">
      <c r="A722">
        <v>175.25</v>
      </c>
      <c r="B722">
        <v>159.44999999999999</v>
      </c>
      <c r="C722">
        <v>102.9</v>
      </c>
      <c r="D722">
        <v>107.56</v>
      </c>
      <c r="E722">
        <v>104.23</v>
      </c>
      <c r="F722">
        <v>99.01</v>
      </c>
      <c r="G722">
        <v>102.67</v>
      </c>
      <c r="H722">
        <v>86.62</v>
      </c>
      <c r="K722" s="9">
        <f t="shared" si="39"/>
        <v>0.21999999999999886</v>
      </c>
      <c r="L722">
        <f t="shared" si="39"/>
        <v>0.34000000000000341</v>
      </c>
      <c r="M722">
        <f t="shared" si="39"/>
        <v>4.9999999999997158E-2</v>
      </c>
      <c r="N722">
        <f t="shared" si="38"/>
        <v>0.10999999999999943</v>
      </c>
      <c r="O722">
        <f t="shared" si="38"/>
        <v>72.059999999999988</v>
      </c>
      <c r="P722" s="10">
        <f t="shared" si="38"/>
        <v>0.28000000000000114</v>
      </c>
    </row>
    <row r="723" spans="1:16">
      <c r="A723">
        <v>175.5</v>
      </c>
      <c r="B723">
        <v>158.44999999999999</v>
      </c>
      <c r="C723">
        <v>103.01</v>
      </c>
      <c r="D723">
        <v>107.67</v>
      </c>
      <c r="E723">
        <v>104.28</v>
      </c>
      <c r="F723">
        <v>99.06</v>
      </c>
      <c r="G723">
        <v>102.84</v>
      </c>
      <c r="H723">
        <v>86.84</v>
      </c>
      <c r="K723" s="9">
        <f t="shared" si="39"/>
        <v>0.21999999999999886</v>
      </c>
      <c r="L723">
        <f t="shared" si="39"/>
        <v>0.34000000000000341</v>
      </c>
      <c r="M723">
        <f t="shared" si="39"/>
        <v>0</v>
      </c>
      <c r="N723">
        <f t="shared" si="38"/>
        <v>0.10999999999999943</v>
      </c>
      <c r="O723">
        <f t="shared" si="38"/>
        <v>88.78</v>
      </c>
      <c r="P723" s="10">
        <f t="shared" si="38"/>
        <v>6.0000000000002274E-2</v>
      </c>
    </row>
    <row r="724" spans="1:16">
      <c r="A724">
        <v>175.75</v>
      </c>
      <c r="B724">
        <v>157.51</v>
      </c>
      <c r="C724">
        <v>103.12</v>
      </c>
      <c r="D724">
        <v>107.84</v>
      </c>
      <c r="E724">
        <v>104.28</v>
      </c>
      <c r="F724">
        <v>99.12</v>
      </c>
      <c r="G724">
        <v>102.84</v>
      </c>
      <c r="H724">
        <v>86.78</v>
      </c>
      <c r="K724" s="9">
        <f t="shared" si="39"/>
        <v>0.10999999999999943</v>
      </c>
      <c r="L724">
        <f t="shared" si="39"/>
        <v>0.28000000000000114</v>
      </c>
      <c r="M724">
        <f t="shared" si="39"/>
        <v>6.0000000000002274E-2</v>
      </c>
      <c r="N724">
        <f t="shared" si="38"/>
        <v>4.9999999999997158E-2</v>
      </c>
      <c r="O724">
        <f t="shared" si="38"/>
        <v>115.60999999999999</v>
      </c>
      <c r="P724" s="10">
        <f t="shared" si="38"/>
        <v>0.23000000000000398</v>
      </c>
    </row>
    <row r="725" spans="1:16">
      <c r="A725">
        <v>176</v>
      </c>
      <c r="B725">
        <v>156.62</v>
      </c>
      <c r="C725">
        <v>103.12</v>
      </c>
      <c r="D725">
        <v>107.9</v>
      </c>
      <c r="E725">
        <v>104.28</v>
      </c>
      <c r="F725">
        <v>99.12</v>
      </c>
      <c r="G725">
        <v>174.73</v>
      </c>
      <c r="H725">
        <v>86.9</v>
      </c>
      <c r="K725" s="9">
        <f t="shared" si="39"/>
        <v>0.15999999999999659</v>
      </c>
      <c r="L725">
        <f t="shared" si="39"/>
        <v>0.65999999999999659</v>
      </c>
      <c r="M725">
        <f t="shared" si="39"/>
        <v>6.0000000000002274E-2</v>
      </c>
      <c r="N725">
        <f t="shared" si="39"/>
        <v>0.10999999999999943</v>
      </c>
      <c r="O725">
        <f t="shared" si="39"/>
        <v>54.94</v>
      </c>
      <c r="P725" s="10">
        <f t="shared" si="39"/>
        <v>0</v>
      </c>
    </row>
    <row r="726" spans="1:16">
      <c r="A726">
        <v>176.25</v>
      </c>
      <c r="B726">
        <v>155.84</v>
      </c>
      <c r="C726">
        <v>103.23</v>
      </c>
      <c r="D726">
        <v>108.01</v>
      </c>
      <c r="E726">
        <v>104.28</v>
      </c>
      <c r="F726">
        <v>99.17</v>
      </c>
      <c r="G726">
        <v>191.62</v>
      </c>
      <c r="H726">
        <v>86.9</v>
      </c>
      <c r="K726" s="9">
        <f t="shared" ref="K726:N789" si="40">C729-C726</f>
        <v>4.9999999999997158E-2</v>
      </c>
      <c r="L726">
        <f t="shared" si="40"/>
        <v>1.0499999999999972</v>
      </c>
      <c r="M726">
        <f t="shared" si="40"/>
        <v>6.0000000000002274E-2</v>
      </c>
      <c r="N726">
        <f t="shared" si="40"/>
        <v>0.10999999999999943</v>
      </c>
      <c r="O726">
        <f t="shared" ref="O726:P789" si="41">G729-G726</f>
        <v>36.389999999999986</v>
      </c>
      <c r="P726" s="10">
        <f t="shared" si="41"/>
        <v>0.10999999999999943</v>
      </c>
    </row>
    <row r="727" spans="1:16">
      <c r="A727">
        <v>176.5</v>
      </c>
      <c r="B727">
        <v>155.12</v>
      </c>
      <c r="C727">
        <v>103.23</v>
      </c>
      <c r="D727">
        <v>108.12</v>
      </c>
      <c r="E727">
        <v>104.34</v>
      </c>
      <c r="F727">
        <v>99.17</v>
      </c>
      <c r="G727">
        <v>218.45</v>
      </c>
      <c r="H727">
        <v>87.01</v>
      </c>
      <c r="K727" s="9">
        <f t="shared" si="40"/>
        <v>0.10999999999999943</v>
      </c>
      <c r="L727">
        <f t="shared" si="40"/>
        <v>1.3299999999999983</v>
      </c>
      <c r="M727">
        <f t="shared" si="40"/>
        <v>0</v>
      </c>
      <c r="N727">
        <f t="shared" si="40"/>
        <v>0.10999999999999943</v>
      </c>
      <c r="O727">
        <f t="shared" si="41"/>
        <v>13.780000000000001</v>
      </c>
      <c r="P727" s="10">
        <f t="shared" si="41"/>
        <v>-0.10999999999999943</v>
      </c>
    </row>
    <row r="728" spans="1:16">
      <c r="A728">
        <v>176.75</v>
      </c>
      <c r="B728">
        <v>154.51</v>
      </c>
      <c r="C728">
        <v>103.28</v>
      </c>
      <c r="D728">
        <v>108.56</v>
      </c>
      <c r="E728">
        <v>104.34</v>
      </c>
      <c r="F728">
        <v>99.23</v>
      </c>
      <c r="G728">
        <v>229.67</v>
      </c>
      <c r="H728">
        <v>86.9</v>
      </c>
      <c r="K728" s="9">
        <f t="shared" si="40"/>
        <v>6.0000000000002274E-2</v>
      </c>
      <c r="L728">
        <f t="shared" si="40"/>
        <v>1.1099999999999994</v>
      </c>
      <c r="M728">
        <f t="shared" si="40"/>
        <v>0</v>
      </c>
      <c r="N728">
        <f t="shared" si="40"/>
        <v>0.21999999999999886</v>
      </c>
      <c r="O728">
        <f t="shared" si="41"/>
        <v>2.4500000000000171</v>
      </c>
      <c r="P728" s="10">
        <f t="shared" si="41"/>
        <v>0.15999999999999659</v>
      </c>
    </row>
    <row r="729" spans="1:16">
      <c r="A729">
        <v>177</v>
      </c>
      <c r="B729">
        <v>153.94999999999999</v>
      </c>
      <c r="C729">
        <v>103.28</v>
      </c>
      <c r="D729">
        <v>109.06</v>
      </c>
      <c r="E729">
        <v>104.34</v>
      </c>
      <c r="F729">
        <v>99.28</v>
      </c>
      <c r="G729">
        <v>228.01</v>
      </c>
      <c r="H729">
        <v>87.01</v>
      </c>
      <c r="K729" s="9">
        <f t="shared" si="40"/>
        <v>0.12000000000000455</v>
      </c>
      <c r="L729">
        <f t="shared" si="40"/>
        <v>0.71999999999999886</v>
      </c>
      <c r="M729">
        <f t="shared" si="40"/>
        <v>0.17000000000000171</v>
      </c>
      <c r="N729">
        <f t="shared" si="40"/>
        <v>0.17000000000000171</v>
      </c>
      <c r="O729">
        <f t="shared" si="41"/>
        <v>11.77000000000001</v>
      </c>
      <c r="P729" s="10">
        <f t="shared" si="41"/>
        <v>4.9999999999997158E-2</v>
      </c>
    </row>
    <row r="730" spans="1:16">
      <c r="A730">
        <v>177.25</v>
      </c>
      <c r="B730">
        <v>153.51</v>
      </c>
      <c r="C730">
        <v>103.34</v>
      </c>
      <c r="D730">
        <v>109.45</v>
      </c>
      <c r="E730">
        <v>104.34</v>
      </c>
      <c r="F730">
        <v>99.28</v>
      </c>
      <c r="G730">
        <v>232.23</v>
      </c>
      <c r="H730">
        <v>86.9</v>
      </c>
      <c r="K730" s="9">
        <f t="shared" si="40"/>
        <v>6.0000000000002274E-2</v>
      </c>
      <c r="L730">
        <f t="shared" si="40"/>
        <v>0.45000000000000284</v>
      </c>
      <c r="M730">
        <f t="shared" si="40"/>
        <v>0.10999999999999943</v>
      </c>
      <c r="N730">
        <f t="shared" si="40"/>
        <v>0.23000000000000398</v>
      </c>
      <c r="O730">
        <f t="shared" si="41"/>
        <v>5.1100000000000136</v>
      </c>
      <c r="P730" s="10">
        <f t="shared" si="41"/>
        <v>0.21999999999999886</v>
      </c>
    </row>
    <row r="731" spans="1:16">
      <c r="A731">
        <v>177.5</v>
      </c>
      <c r="B731">
        <v>183.51</v>
      </c>
      <c r="C731">
        <v>103.34</v>
      </c>
      <c r="D731">
        <v>109.67</v>
      </c>
      <c r="E731">
        <v>104.34</v>
      </c>
      <c r="F731">
        <v>99.45</v>
      </c>
      <c r="G731">
        <v>232.12</v>
      </c>
      <c r="H731">
        <v>87.06</v>
      </c>
      <c r="K731" s="9">
        <f t="shared" si="40"/>
        <v>6.0000000000002274E-2</v>
      </c>
      <c r="L731">
        <f t="shared" si="40"/>
        <v>0.45000000000000284</v>
      </c>
      <c r="M731">
        <f t="shared" si="40"/>
        <v>0.17000000000000171</v>
      </c>
      <c r="N731">
        <f t="shared" si="40"/>
        <v>0.21999999999999886</v>
      </c>
      <c r="O731">
        <f t="shared" si="41"/>
        <v>10.719999999999999</v>
      </c>
      <c r="P731" s="10">
        <f t="shared" si="41"/>
        <v>6.0000000000002274E-2</v>
      </c>
    </row>
    <row r="732" spans="1:16">
      <c r="A732">
        <v>177.75</v>
      </c>
      <c r="B732">
        <v>207.23</v>
      </c>
      <c r="C732">
        <v>103.4</v>
      </c>
      <c r="D732">
        <v>109.78</v>
      </c>
      <c r="E732">
        <v>104.51</v>
      </c>
      <c r="F732">
        <v>99.45</v>
      </c>
      <c r="G732">
        <v>239.78</v>
      </c>
      <c r="H732">
        <v>87.06</v>
      </c>
      <c r="K732" s="9">
        <f t="shared" si="40"/>
        <v>4.9999999999997158E-2</v>
      </c>
      <c r="L732">
        <f t="shared" si="40"/>
        <v>0.34000000000000341</v>
      </c>
      <c r="M732">
        <f t="shared" si="40"/>
        <v>4.9999999999997158E-2</v>
      </c>
      <c r="N732">
        <f t="shared" si="40"/>
        <v>0.32999999999999829</v>
      </c>
      <c r="O732">
        <f t="shared" si="41"/>
        <v>-4.2199999999999989</v>
      </c>
      <c r="P732" s="10">
        <f t="shared" si="41"/>
        <v>0</v>
      </c>
    </row>
    <row r="733" spans="1:16">
      <c r="A733">
        <v>178</v>
      </c>
      <c r="B733">
        <v>212.73</v>
      </c>
      <c r="C733">
        <v>103.4</v>
      </c>
      <c r="D733">
        <v>109.9</v>
      </c>
      <c r="E733">
        <v>104.45</v>
      </c>
      <c r="F733">
        <v>99.51</v>
      </c>
      <c r="G733">
        <v>237.34</v>
      </c>
      <c r="H733">
        <v>87.12</v>
      </c>
      <c r="K733" s="9">
        <f t="shared" si="40"/>
        <v>0.15999999999999659</v>
      </c>
      <c r="L733">
        <f t="shared" si="40"/>
        <v>0.26999999999999602</v>
      </c>
      <c r="M733">
        <f t="shared" si="40"/>
        <v>0.17000000000000171</v>
      </c>
      <c r="N733">
        <f t="shared" si="40"/>
        <v>3</v>
      </c>
      <c r="O733">
        <f t="shared" si="41"/>
        <v>7.1699999999999875</v>
      </c>
      <c r="P733" s="10">
        <f t="shared" si="41"/>
        <v>0</v>
      </c>
    </row>
    <row r="734" spans="1:16">
      <c r="A734">
        <v>178.25</v>
      </c>
      <c r="B734">
        <v>214.84</v>
      </c>
      <c r="C734">
        <v>103.4</v>
      </c>
      <c r="D734">
        <v>110.12</v>
      </c>
      <c r="E734">
        <v>104.51</v>
      </c>
      <c r="F734">
        <v>99.67</v>
      </c>
      <c r="G734">
        <v>242.84</v>
      </c>
      <c r="H734">
        <v>87.12</v>
      </c>
      <c r="K734" s="9">
        <f t="shared" si="40"/>
        <v>0.26999999999999602</v>
      </c>
      <c r="L734">
        <f t="shared" si="40"/>
        <v>-0.10999999999999943</v>
      </c>
      <c r="M734">
        <f t="shared" si="40"/>
        <v>0.21999999999999886</v>
      </c>
      <c r="N734">
        <f t="shared" si="40"/>
        <v>15.060000000000002</v>
      </c>
      <c r="O734">
        <f t="shared" si="41"/>
        <v>-3.3300000000000125</v>
      </c>
      <c r="P734" s="10">
        <f t="shared" si="41"/>
        <v>0.10999999999999943</v>
      </c>
    </row>
    <row r="735" spans="1:16">
      <c r="A735">
        <v>178.5</v>
      </c>
      <c r="B735">
        <v>215.84</v>
      </c>
      <c r="C735">
        <v>103.45</v>
      </c>
      <c r="D735">
        <v>110.12</v>
      </c>
      <c r="E735">
        <v>104.56</v>
      </c>
      <c r="F735">
        <v>99.78</v>
      </c>
      <c r="G735">
        <v>235.56</v>
      </c>
      <c r="H735">
        <v>87.06</v>
      </c>
      <c r="K735" s="9">
        <f t="shared" si="40"/>
        <v>0.21999999999999886</v>
      </c>
      <c r="L735">
        <f t="shared" si="40"/>
        <v>-0.39000000000000057</v>
      </c>
      <c r="M735">
        <f t="shared" si="40"/>
        <v>0.17000000000000171</v>
      </c>
      <c r="N735">
        <f t="shared" si="40"/>
        <v>25.120000000000005</v>
      </c>
      <c r="O735">
        <f t="shared" si="41"/>
        <v>5.9499999999999886</v>
      </c>
      <c r="P735" s="10">
        <f t="shared" si="41"/>
        <v>0.17000000000000171</v>
      </c>
    </row>
    <row r="736" spans="1:16">
      <c r="A736">
        <v>178.75</v>
      </c>
      <c r="B736">
        <v>216.34</v>
      </c>
      <c r="C736">
        <v>103.56</v>
      </c>
      <c r="D736">
        <v>110.17</v>
      </c>
      <c r="E736">
        <v>104.62</v>
      </c>
      <c r="F736">
        <v>102.51</v>
      </c>
      <c r="G736">
        <v>244.51</v>
      </c>
      <c r="H736">
        <v>87.12</v>
      </c>
      <c r="K736" s="9">
        <f t="shared" si="40"/>
        <v>0.10999999999999943</v>
      </c>
      <c r="L736">
        <f t="shared" si="40"/>
        <v>-0.89000000000000057</v>
      </c>
      <c r="M736">
        <f t="shared" si="40"/>
        <v>0.10999999999999943</v>
      </c>
      <c r="N736">
        <f t="shared" si="40"/>
        <v>31.769999999999996</v>
      </c>
      <c r="O736">
        <f t="shared" si="41"/>
        <v>-1.2800000000000011</v>
      </c>
      <c r="P736" s="10">
        <f t="shared" si="41"/>
        <v>0</v>
      </c>
    </row>
    <row r="737" spans="1:16">
      <c r="A737">
        <v>179</v>
      </c>
      <c r="B737">
        <v>216.78</v>
      </c>
      <c r="C737">
        <v>103.67</v>
      </c>
      <c r="D737">
        <v>110.01</v>
      </c>
      <c r="E737">
        <v>104.73</v>
      </c>
      <c r="F737">
        <v>114.73</v>
      </c>
      <c r="G737">
        <v>239.51</v>
      </c>
      <c r="H737">
        <v>87.23</v>
      </c>
      <c r="K737" s="9">
        <f t="shared" si="40"/>
        <v>-4.9999999999997158E-2</v>
      </c>
      <c r="L737">
        <f t="shared" si="40"/>
        <v>-1</v>
      </c>
      <c r="M737">
        <f t="shared" si="40"/>
        <v>0</v>
      </c>
      <c r="N737">
        <f t="shared" si="40"/>
        <v>26.549999999999997</v>
      </c>
      <c r="O737">
        <f t="shared" si="41"/>
        <v>-0.94999999999998863</v>
      </c>
      <c r="P737" s="10">
        <f t="shared" si="41"/>
        <v>4.9999999999997158E-2</v>
      </c>
    </row>
    <row r="738" spans="1:16">
      <c r="A738">
        <v>179.25</v>
      </c>
      <c r="B738">
        <v>217.17</v>
      </c>
      <c r="C738">
        <v>103.67</v>
      </c>
      <c r="D738">
        <v>109.73</v>
      </c>
      <c r="E738">
        <v>104.73</v>
      </c>
      <c r="F738">
        <v>124.9</v>
      </c>
      <c r="G738">
        <v>241.51</v>
      </c>
      <c r="H738">
        <v>87.23</v>
      </c>
      <c r="K738" s="9">
        <f t="shared" si="40"/>
        <v>6.0000000000002274E-2</v>
      </c>
      <c r="L738">
        <f t="shared" si="40"/>
        <v>-0.56000000000000227</v>
      </c>
      <c r="M738">
        <f t="shared" si="40"/>
        <v>0.10999999999999943</v>
      </c>
      <c r="N738">
        <f t="shared" si="40"/>
        <v>22.379999999999995</v>
      </c>
      <c r="O738">
        <f t="shared" si="41"/>
        <v>-14</v>
      </c>
      <c r="P738" s="10">
        <f t="shared" si="41"/>
        <v>4.9999999999997158E-2</v>
      </c>
    </row>
    <row r="739" spans="1:16">
      <c r="A739">
        <v>179.5</v>
      </c>
      <c r="B739">
        <v>217.4</v>
      </c>
      <c r="C739">
        <v>103.67</v>
      </c>
      <c r="D739">
        <v>109.28</v>
      </c>
      <c r="E739">
        <v>104.73</v>
      </c>
      <c r="F739">
        <v>134.28</v>
      </c>
      <c r="G739">
        <v>243.23</v>
      </c>
      <c r="H739">
        <v>87.12</v>
      </c>
      <c r="K739" s="9">
        <f t="shared" si="40"/>
        <v>0.10999999999999943</v>
      </c>
      <c r="L739">
        <f t="shared" si="40"/>
        <v>6.0000000000002274E-2</v>
      </c>
      <c r="M739">
        <f t="shared" si="40"/>
        <v>0.21999999999999886</v>
      </c>
      <c r="N739">
        <f t="shared" si="40"/>
        <v>18.169999999999987</v>
      </c>
      <c r="O739">
        <f t="shared" si="41"/>
        <v>-24.560000000000002</v>
      </c>
      <c r="P739" s="10">
        <f t="shared" si="41"/>
        <v>0.15999999999999659</v>
      </c>
    </row>
    <row r="740" spans="1:16">
      <c r="A740">
        <v>179.75</v>
      </c>
      <c r="B740">
        <v>217.51</v>
      </c>
      <c r="C740">
        <v>103.62</v>
      </c>
      <c r="D740">
        <v>109.01</v>
      </c>
      <c r="E740">
        <v>104.73</v>
      </c>
      <c r="F740">
        <v>141.28</v>
      </c>
      <c r="G740">
        <v>238.56</v>
      </c>
      <c r="H740">
        <v>87.28</v>
      </c>
      <c r="K740" s="9">
        <f t="shared" si="40"/>
        <v>0.15999999999999659</v>
      </c>
      <c r="L740">
        <f t="shared" si="40"/>
        <v>0.39000000000000057</v>
      </c>
      <c r="M740">
        <f t="shared" si="40"/>
        <v>0.17000000000000171</v>
      </c>
      <c r="N740">
        <f t="shared" si="40"/>
        <v>15.169999999999987</v>
      </c>
      <c r="O740">
        <f t="shared" si="41"/>
        <v>-28.28</v>
      </c>
      <c r="P740" s="10">
        <f t="shared" si="41"/>
        <v>0.12000000000000455</v>
      </c>
    </row>
    <row r="741" spans="1:16">
      <c r="A741">
        <v>180</v>
      </c>
      <c r="B741">
        <v>217.9</v>
      </c>
      <c r="C741">
        <v>103.73</v>
      </c>
      <c r="D741">
        <v>109.17</v>
      </c>
      <c r="E741">
        <v>104.84</v>
      </c>
      <c r="F741">
        <v>147.28</v>
      </c>
      <c r="G741">
        <v>227.51</v>
      </c>
      <c r="H741">
        <v>87.28</v>
      </c>
      <c r="K741" s="9">
        <f t="shared" si="40"/>
        <v>0.10999999999999943</v>
      </c>
      <c r="L741">
        <f t="shared" si="40"/>
        <v>0.73000000000000398</v>
      </c>
      <c r="M741">
        <f t="shared" si="40"/>
        <v>0.10999999999999943</v>
      </c>
      <c r="N741">
        <f t="shared" si="40"/>
        <v>12.340000000000003</v>
      </c>
      <c r="O741">
        <f t="shared" si="41"/>
        <v>-34.340000000000003</v>
      </c>
      <c r="P741" s="10">
        <f t="shared" si="41"/>
        <v>6.0000000000002274E-2</v>
      </c>
    </row>
    <row r="742" spans="1:16">
      <c r="A742">
        <v>180.25</v>
      </c>
      <c r="B742">
        <v>218.84</v>
      </c>
      <c r="C742">
        <v>103.78</v>
      </c>
      <c r="D742">
        <v>109.34</v>
      </c>
      <c r="E742">
        <v>104.95</v>
      </c>
      <c r="F742">
        <v>152.44999999999999</v>
      </c>
      <c r="G742">
        <v>218.67</v>
      </c>
      <c r="H742">
        <v>87.28</v>
      </c>
      <c r="K742" s="9">
        <f t="shared" si="40"/>
        <v>0</v>
      </c>
      <c r="L742">
        <f t="shared" si="40"/>
        <v>0.78000000000000114</v>
      </c>
      <c r="M742">
        <f t="shared" si="40"/>
        <v>0</v>
      </c>
      <c r="N742">
        <f t="shared" si="40"/>
        <v>9.7199999999999989</v>
      </c>
      <c r="O742">
        <f t="shared" si="41"/>
        <v>-39.44</v>
      </c>
      <c r="P742" s="10">
        <f t="shared" si="41"/>
        <v>0.17000000000000171</v>
      </c>
    </row>
    <row r="743" spans="1:16">
      <c r="A743">
        <v>180.5</v>
      </c>
      <c r="B743">
        <v>220.34</v>
      </c>
      <c r="C743">
        <v>103.78</v>
      </c>
      <c r="D743">
        <v>109.4</v>
      </c>
      <c r="E743">
        <v>104.9</v>
      </c>
      <c r="F743">
        <v>156.44999999999999</v>
      </c>
      <c r="G743">
        <v>210.28</v>
      </c>
      <c r="H743">
        <v>87.4</v>
      </c>
      <c r="K743" s="9">
        <f t="shared" si="40"/>
        <v>6.0000000000002274E-2</v>
      </c>
      <c r="L743">
        <f t="shared" si="40"/>
        <v>0.54999999999999716</v>
      </c>
      <c r="M743">
        <f t="shared" si="40"/>
        <v>0</v>
      </c>
      <c r="N743">
        <f t="shared" si="40"/>
        <v>8</v>
      </c>
      <c r="O743">
        <f t="shared" si="41"/>
        <v>-39.830000000000013</v>
      </c>
      <c r="P743" s="10">
        <f t="shared" si="41"/>
        <v>0.10999999999999943</v>
      </c>
    </row>
    <row r="744" spans="1:16">
      <c r="A744">
        <v>180.75</v>
      </c>
      <c r="B744">
        <v>221.23</v>
      </c>
      <c r="C744">
        <v>103.84</v>
      </c>
      <c r="D744">
        <v>109.9</v>
      </c>
      <c r="E744">
        <v>104.95</v>
      </c>
      <c r="F744">
        <v>159.62</v>
      </c>
      <c r="G744">
        <v>193.17</v>
      </c>
      <c r="H744">
        <v>87.34</v>
      </c>
      <c r="K744" s="9">
        <f t="shared" si="40"/>
        <v>0</v>
      </c>
      <c r="L744">
        <f t="shared" si="40"/>
        <v>0.43999999999999773</v>
      </c>
      <c r="M744">
        <f t="shared" si="40"/>
        <v>0.10999999999999943</v>
      </c>
      <c r="N744">
        <f t="shared" si="40"/>
        <v>7</v>
      </c>
      <c r="O744">
        <f t="shared" si="41"/>
        <v>-27.659999999999997</v>
      </c>
      <c r="P744" s="10">
        <f t="shared" si="41"/>
        <v>0.21999999999999886</v>
      </c>
    </row>
    <row r="745" spans="1:16">
      <c r="A745">
        <v>181</v>
      </c>
      <c r="B745">
        <v>221.9</v>
      </c>
      <c r="C745">
        <v>103.78</v>
      </c>
      <c r="D745">
        <v>110.12</v>
      </c>
      <c r="E745">
        <v>104.95</v>
      </c>
      <c r="F745">
        <v>162.16999999999999</v>
      </c>
      <c r="G745">
        <v>179.23</v>
      </c>
      <c r="H745">
        <v>87.45</v>
      </c>
      <c r="K745" s="9">
        <f t="shared" si="40"/>
        <v>0.12000000000000455</v>
      </c>
      <c r="L745">
        <f t="shared" si="40"/>
        <v>0.54999999999999716</v>
      </c>
      <c r="M745">
        <f t="shared" si="40"/>
        <v>6.0000000000002274E-2</v>
      </c>
      <c r="N745">
        <f t="shared" si="40"/>
        <v>6.2800000000000011</v>
      </c>
      <c r="O745">
        <f t="shared" si="41"/>
        <v>-17.169999999999987</v>
      </c>
      <c r="P745" s="10">
        <f t="shared" si="41"/>
        <v>0.17000000000000171</v>
      </c>
    </row>
    <row r="746" spans="1:16">
      <c r="A746">
        <v>181.25</v>
      </c>
      <c r="B746">
        <v>222.01</v>
      </c>
      <c r="C746">
        <v>103.84</v>
      </c>
      <c r="D746">
        <v>109.95</v>
      </c>
      <c r="E746">
        <v>104.9</v>
      </c>
      <c r="F746">
        <v>164.45</v>
      </c>
      <c r="G746">
        <v>170.45</v>
      </c>
      <c r="H746">
        <v>87.51</v>
      </c>
      <c r="K746" s="9">
        <f t="shared" si="40"/>
        <v>0</v>
      </c>
      <c r="L746">
        <f t="shared" si="40"/>
        <v>1.6700000000000017</v>
      </c>
      <c r="M746">
        <f t="shared" si="40"/>
        <v>0.21999999999999886</v>
      </c>
      <c r="N746">
        <f t="shared" si="40"/>
        <v>5.6700000000000159</v>
      </c>
      <c r="O746">
        <f t="shared" si="41"/>
        <v>-10.719999999999999</v>
      </c>
      <c r="P746" s="10">
        <f t="shared" si="41"/>
        <v>0.15999999999999659</v>
      </c>
    </row>
    <row r="747" spans="1:16">
      <c r="A747">
        <v>181.5</v>
      </c>
      <c r="B747">
        <v>221.56</v>
      </c>
      <c r="C747">
        <v>103.84</v>
      </c>
      <c r="D747">
        <v>110.34</v>
      </c>
      <c r="E747">
        <v>105.06</v>
      </c>
      <c r="F747">
        <v>166.62</v>
      </c>
      <c r="G747">
        <v>165.51</v>
      </c>
      <c r="H747">
        <v>87.56</v>
      </c>
      <c r="K747" s="9">
        <f t="shared" si="40"/>
        <v>6.0000000000002274E-2</v>
      </c>
      <c r="L747">
        <f t="shared" si="40"/>
        <v>127.82999999999998</v>
      </c>
      <c r="M747">
        <f t="shared" si="40"/>
        <v>0.34000000000000341</v>
      </c>
      <c r="N747">
        <f t="shared" si="40"/>
        <v>5</v>
      </c>
      <c r="O747">
        <f t="shared" si="41"/>
        <v>-7.7800000000000011</v>
      </c>
      <c r="P747" s="10">
        <f t="shared" si="41"/>
        <v>0.10999999999999943</v>
      </c>
    </row>
    <row r="748" spans="1:16">
      <c r="A748">
        <v>181.75</v>
      </c>
      <c r="B748">
        <v>220.17</v>
      </c>
      <c r="C748">
        <v>103.9</v>
      </c>
      <c r="D748">
        <v>110.67</v>
      </c>
      <c r="E748">
        <v>105.01</v>
      </c>
      <c r="F748">
        <v>168.45</v>
      </c>
      <c r="G748">
        <v>162.06</v>
      </c>
      <c r="H748">
        <v>87.62</v>
      </c>
      <c r="K748" s="9">
        <f t="shared" si="40"/>
        <v>4.9999999999997158E-2</v>
      </c>
      <c r="L748">
        <f t="shared" si="40"/>
        <v>142.73000000000002</v>
      </c>
      <c r="M748">
        <f t="shared" si="40"/>
        <v>2.2199999999999989</v>
      </c>
      <c r="N748">
        <f t="shared" si="40"/>
        <v>4.1100000000000136</v>
      </c>
      <c r="O748">
        <f t="shared" si="41"/>
        <v>-6.0500000000000114</v>
      </c>
      <c r="P748" s="10">
        <f t="shared" si="41"/>
        <v>0.15999999999999659</v>
      </c>
    </row>
    <row r="749" spans="1:16">
      <c r="A749">
        <v>182</v>
      </c>
      <c r="B749">
        <v>213.12</v>
      </c>
      <c r="C749">
        <v>103.84</v>
      </c>
      <c r="D749">
        <v>111.62</v>
      </c>
      <c r="E749">
        <v>105.12</v>
      </c>
      <c r="F749">
        <v>170.12</v>
      </c>
      <c r="G749">
        <v>159.72999999999999</v>
      </c>
      <c r="H749">
        <v>87.67</v>
      </c>
      <c r="K749" s="9">
        <f t="shared" si="40"/>
        <v>0.10999999999999943</v>
      </c>
      <c r="L749">
        <f t="shared" si="40"/>
        <v>142.16</v>
      </c>
      <c r="M749">
        <f t="shared" si="40"/>
        <v>5.5</v>
      </c>
      <c r="N749">
        <f t="shared" si="40"/>
        <v>0.93999999999999773</v>
      </c>
      <c r="O749">
        <f t="shared" si="41"/>
        <v>-5.0600000000000023</v>
      </c>
      <c r="P749" s="10">
        <f t="shared" si="41"/>
        <v>0.10999999999999943</v>
      </c>
    </row>
    <row r="750" spans="1:16">
      <c r="A750">
        <v>182.25</v>
      </c>
      <c r="B750">
        <v>211.45</v>
      </c>
      <c r="C750">
        <v>103.9</v>
      </c>
      <c r="D750">
        <v>238.17</v>
      </c>
      <c r="E750">
        <v>105.4</v>
      </c>
      <c r="F750">
        <v>171.62</v>
      </c>
      <c r="G750">
        <v>157.72999999999999</v>
      </c>
      <c r="H750">
        <v>87.67</v>
      </c>
      <c r="K750" s="9">
        <f t="shared" si="40"/>
        <v>4.9999999999997158E-2</v>
      </c>
      <c r="L750">
        <f t="shared" si="40"/>
        <v>16.950000000000017</v>
      </c>
      <c r="M750">
        <f t="shared" si="40"/>
        <v>9.2199999999999989</v>
      </c>
      <c r="N750">
        <f t="shared" si="40"/>
        <v>-4.6100000000000136</v>
      </c>
      <c r="O750">
        <f t="shared" si="41"/>
        <v>-4.2800000000000011</v>
      </c>
      <c r="P750" s="10">
        <f t="shared" si="41"/>
        <v>0.17000000000000171</v>
      </c>
    </row>
    <row r="751" spans="1:16">
      <c r="A751">
        <v>182.5</v>
      </c>
      <c r="B751">
        <v>210.78</v>
      </c>
      <c r="C751">
        <v>103.95</v>
      </c>
      <c r="D751">
        <v>253.4</v>
      </c>
      <c r="E751">
        <v>107.23</v>
      </c>
      <c r="F751">
        <v>172.56</v>
      </c>
      <c r="G751">
        <v>156.01</v>
      </c>
      <c r="H751">
        <v>87.78</v>
      </c>
      <c r="K751" s="9">
        <f t="shared" si="40"/>
        <v>0</v>
      </c>
      <c r="L751">
        <f t="shared" si="40"/>
        <v>0.5</v>
      </c>
      <c r="M751">
        <f t="shared" si="40"/>
        <v>11.670000000000002</v>
      </c>
      <c r="N751">
        <f t="shared" si="40"/>
        <v>-10.390000000000015</v>
      </c>
      <c r="O751">
        <f t="shared" si="41"/>
        <v>-3.5600000000000023</v>
      </c>
      <c r="P751" s="10">
        <f t="shared" si="41"/>
        <v>6.0000000000002274E-2</v>
      </c>
    </row>
    <row r="752" spans="1:16">
      <c r="A752">
        <v>182.75</v>
      </c>
      <c r="B752">
        <v>210.4</v>
      </c>
      <c r="C752">
        <v>103.95</v>
      </c>
      <c r="D752">
        <v>253.78</v>
      </c>
      <c r="E752">
        <v>110.62</v>
      </c>
      <c r="F752">
        <v>171.06</v>
      </c>
      <c r="G752">
        <v>154.66999999999999</v>
      </c>
      <c r="H752">
        <v>87.78</v>
      </c>
      <c r="K752" s="9">
        <f t="shared" si="40"/>
        <v>6.0000000000002274E-2</v>
      </c>
      <c r="L752">
        <f t="shared" si="40"/>
        <v>0.44999999999998863</v>
      </c>
      <c r="M752">
        <f t="shared" si="40"/>
        <v>12.439999999999998</v>
      </c>
      <c r="N752">
        <f t="shared" si="40"/>
        <v>-13</v>
      </c>
      <c r="O752">
        <f t="shared" si="41"/>
        <v>-3.1099999999999852</v>
      </c>
      <c r="P752" s="10">
        <f t="shared" si="41"/>
        <v>0.17000000000000171</v>
      </c>
    </row>
    <row r="753" spans="1:16">
      <c r="A753">
        <v>183</v>
      </c>
      <c r="B753">
        <v>204.78</v>
      </c>
      <c r="C753">
        <v>103.95</v>
      </c>
      <c r="D753">
        <v>255.12</v>
      </c>
      <c r="E753">
        <v>114.62</v>
      </c>
      <c r="F753">
        <v>167.01</v>
      </c>
      <c r="G753">
        <v>153.44999999999999</v>
      </c>
      <c r="H753">
        <v>87.84</v>
      </c>
      <c r="K753" s="9">
        <f t="shared" si="40"/>
        <v>6.0000000000002274E-2</v>
      </c>
      <c r="L753">
        <f t="shared" si="40"/>
        <v>-1.3900000000000148</v>
      </c>
      <c r="M753">
        <f t="shared" si="40"/>
        <v>12.61</v>
      </c>
      <c r="N753">
        <f t="shared" si="40"/>
        <v>-12.340000000000003</v>
      </c>
      <c r="O753">
        <f t="shared" si="41"/>
        <v>-2.8899999999999864</v>
      </c>
      <c r="P753" s="10">
        <f t="shared" si="41"/>
        <v>0.10999999999999943</v>
      </c>
    </row>
    <row r="754" spans="1:16">
      <c r="A754">
        <v>183.25</v>
      </c>
      <c r="B754">
        <v>197.95</v>
      </c>
      <c r="C754">
        <v>103.95</v>
      </c>
      <c r="D754">
        <v>253.9</v>
      </c>
      <c r="E754">
        <v>118.9</v>
      </c>
      <c r="F754">
        <v>162.16999999999999</v>
      </c>
      <c r="G754">
        <v>152.44999999999999</v>
      </c>
      <c r="H754">
        <v>87.84</v>
      </c>
      <c r="K754" s="9">
        <f t="shared" si="40"/>
        <v>0.17000000000000171</v>
      </c>
      <c r="L754">
        <f t="shared" si="40"/>
        <v>-0.95000000000001705</v>
      </c>
      <c r="M754">
        <f t="shared" si="40"/>
        <v>12.159999999999997</v>
      </c>
      <c r="N754">
        <f t="shared" si="40"/>
        <v>-10.389999999999986</v>
      </c>
      <c r="O754">
        <f t="shared" si="41"/>
        <v>-2.6099999999999852</v>
      </c>
      <c r="P754" s="10">
        <f t="shared" si="41"/>
        <v>0.21999999999999886</v>
      </c>
    </row>
    <row r="755" spans="1:16">
      <c r="A755">
        <v>183.5</v>
      </c>
      <c r="B755">
        <v>193.78</v>
      </c>
      <c r="C755">
        <v>104.01</v>
      </c>
      <c r="D755">
        <v>254.23</v>
      </c>
      <c r="E755">
        <v>123.06</v>
      </c>
      <c r="F755">
        <v>158.06</v>
      </c>
      <c r="G755">
        <v>151.56</v>
      </c>
      <c r="H755">
        <v>87.95</v>
      </c>
      <c r="K755" s="9">
        <f t="shared" si="40"/>
        <v>4.9999999999997158E-2</v>
      </c>
      <c r="L755">
        <f t="shared" si="40"/>
        <v>-0.16999999999998749</v>
      </c>
      <c r="M755">
        <f t="shared" si="40"/>
        <v>11.780000000000001</v>
      </c>
      <c r="N755">
        <f t="shared" si="40"/>
        <v>-8.9399999999999977</v>
      </c>
      <c r="O755">
        <f t="shared" si="41"/>
        <v>-2.3300000000000125</v>
      </c>
      <c r="P755" s="10">
        <f t="shared" si="41"/>
        <v>0.10999999999999943</v>
      </c>
    </row>
    <row r="756" spans="1:16">
      <c r="A756">
        <v>183.75</v>
      </c>
      <c r="B756">
        <v>190.95</v>
      </c>
      <c r="C756">
        <v>104.01</v>
      </c>
      <c r="D756">
        <v>253.73</v>
      </c>
      <c r="E756">
        <v>127.23</v>
      </c>
      <c r="F756">
        <v>154.66999999999999</v>
      </c>
      <c r="G756">
        <v>150.56</v>
      </c>
      <c r="H756">
        <v>87.95</v>
      </c>
      <c r="K756" s="9">
        <f t="shared" si="40"/>
        <v>0.10999999999999943</v>
      </c>
      <c r="L756">
        <f t="shared" si="40"/>
        <v>0.83000000000001251</v>
      </c>
      <c r="M756">
        <f t="shared" si="40"/>
        <v>11.11</v>
      </c>
      <c r="N756">
        <f t="shared" si="40"/>
        <v>-7.6099999999999852</v>
      </c>
      <c r="O756">
        <f t="shared" si="41"/>
        <v>3.6699999999999875</v>
      </c>
      <c r="P756" s="10">
        <f t="shared" si="41"/>
        <v>0.17000000000000171</v>
      </c>
    </row>
    <row r="757" spans="1:16">
      <c r="A757">
        <v>184</v>
      </c>
      <c r="B757">
        <v>188.95</v>
      </c>
      <c r="C757">
        <v>104.12</v>
      </c>
      <c r="D757">
        <v>252.95</v>
      </c>
      <c r="E757">
        <v>131.06</v>
      </c>
      <c r="F757">
        <v>151.78</v>
      </c>
      <c r="G757">
        <v>149.84</v>
      </c>
      <c r="H757">
        <v>88.06</v>
      </c>
      <c r="K757" s="9">
        <f t="shared" si="40"/>
        <v>0</v>
      </c>
      <c r="L757">
        <f t="shared" si="40"/>
        <v>1.6100000000000136</v>
      </c>
      <c r="M757">
        <f t="shared" si="40"/>
        <v>10.669999999999987</v>
      </c>
      <c r="N757">
        <f t="shared" si="40"/>
        <v>-6.8300000000000125</v>
      </c>
      <c r="O757">
        <f t="shared" si="41"/>
        <v>54.609999999999985</v>
      </c>
      <c r="P757" s="10">
        <f t="shared" si="41"/>
        <v>6.0000000000002274E-2</v>
      </c>
    </row>
    <row r="758" spans="1:16">
      <c r="A758">
        <v>184.25</v>
      </c>
      <c r="B758">
        <v>187.12</v>
      </c>
      <c r="C758">
        <v>104.06</v>
      </c>
      <c r="D758">
        <v>254.06</v>
      </c>
      <c r="E758">
        <v>134.84</v>
      </c>
      <c r="F758">
        <v>149.12</v>
      </c>
      <c r="G758">
        <v>149.22999999999999</v>
      </c>
      <c r="H758">
        <v>88.06</v>
      </c>
      <c r="K758" s="9">
        <f t="shared" si="40"/>
        <v>6.0000000000002274E-2</v>
      </c>
      <c r="L758">
        <f t="shared" si="40"/>
        <v>0.5</v>
      </c>
      <c r="M758">
        <f t="shared" si="40"/>
        <v>10.109999999999985</v>
      </c>
      <c r="N758">
        <f t="shared" si="40"/>
        <v>-5.8400000000000034</v>
      </c>
      <c r="O758">
        <f t="shared" si="41"/>
        <v>59.830000000000013</v>
      </c>
      <c r="P758" s="10">
        <f t="shared" si="41"/>
        <v>0.17000000000000171</v>
      </c>
    </row>
    <row r="759" spans="1:16">
      <c r="A759">
        <v>184.5</v>
      </c>
      <c r="B759">
        <v>185.84</v>
      </c>
      <c r="C759">
        <v>104.12</v>
      </c>
      <c r="D759">
        <v>254.56</v>
      </c>
      <c r="E759">
        <v>138.34</v>
      </c>
      <c r="F759">
        <v>147.06</v>
      </c>
      <c r="G759">
        <v>154.22999999999999</v>
      </c>
      <c r="H759">
        <v>88.12</v>
      </c>
      <c r="K759" s="9">
        <f t="shared" si="40"/>
        <v>4.9999999999997158E-2</v>
      </c>
      <c r="L759">
        <f t="shared" si="40"/>
        <v>-0.15999999999999659</v>
      </c>
      <c r="M759">
        <f t="shared" si="40"/>
        <v>9.6699999999999875</v>
      </c>
      <c r="N759">
        <f t="shared" si="40"/>
        <v>-5.2800000000000011</v>
      </c>
      <c r="O759">
        <f t="shared" si="41"/>
        <v>61.5</v>
      </c>
      <c r="P759" s="10">
        <f t="shared" si="41"/>
        <v>0.28000000000000114</v>
      </c>
    </row>
    <row r="760" spans="1:16">
      <c r="A760">
        <v>184.75</v>
      </c>
      <c r="B760">
        <v>184.62</v>
      </c>
      <c r="C760">
        <v>104.12</v>
      </c>
      <c r="D760">
        <v>254.56</v>
      </c>
      <c r="E760">
        <v>141.72999999999999</v>
      </c>
      <c r="F760">
        <v>144.94999999999999</v>
      </c>
      <c r="G760">
        <v>204.45</v>
      </c>
      <c r="H760">
        <v>88.12</v>
      </c>
      <c r="K760" s="9">
        <f t="shared" si="40"/>
        <v>4.9999999999997158E-2</v>
      </c>
      <c r="L760">
        <f t="shared" si="40"/>
        <v>-0.43999999999999773</v>
      </c>
      <c r="M760">
        <f t="shared" si="40"/>
        <v>9.1100000000000136</v>
      </c>
      <c r="N760">
        <f t="shared" si="40"/>
        <v>-4.6099999999999852</v>
      </c>
      <c r="O760">
        <f t="shared" si="41"/>
        <v>16</v>
      </c>
      <c r="P760" s="10">
        <f t="shared" si="41"/>
        <v>0.28000000000000114</v>
      </c>
    </row>
    <row r="761" spans="1:16">
      <c r="A761">
        <v>185</v>
      </c>
      <c r="B761">
        <v>183.56</v>
      </c>
      <c r="C761">
        <v>104.12</v>
      </c>
      <c r="D761">
        <v>254.56</v>
      </c>
      <c r="E761">
        <v>144.94999999999999</v>
      </c>
      <c r="F761">
        <v>143.28</v>
      </c>
      <c r="G761">
        <v>209.06</v>
      </c>
      <c r="H761">
        <v>88.23</v>
      </c>
      <c r="K761" s="9">
        <f t="shared" si="40"/>
        <v>4.9999999999997158E-2</v>
      </c>
      <c r="L761">
        <f t="shared" si="40"/>
        <v>-0.83000000000001251</v>
      </c>
      <c r="M761">
        <f t="shared" si="40"/>
        <v>8.5600000000000023</v>
      </c>
      <c r="N761">
        <f t="shared" si="40"/>
        <v>-4.1100000000000136</v>
      </c>
      <c r="O761">
        <f t="shared" si="41"/>
        <v>14.780000000000001</v>
      </c>
      <c r="P761" s="10">
        <f t="shared" si="41"/>
        <v>0.21999999999999886</v>
      </c>
    </row>
    <row r="762" spans="1:16">
      <c r="A762">
        <v>185.25</v>
      </c>
      <c r="B762">
        <v>182.56</v>
      </c>
      <c r="C762">
        <v>104.17</v>
      </c>
      <c r="D762">
        <v>254.4</v>
      </c>
      <c r="E762">
        <v>148.01</v>
      </c>
      <c r="F762">
        <v>141.78</v>
      </c>
      <c r="G762">
        <v>215.73</v>
      </c>
      <c r="H762">
        <v>88.4</v>
      </c>
      <c r="K762" s="9">
        <f t="shared" si="40"/>
        <v>0</v>
      </c>
      <c r="L762">
        <f t="shared" si="40"/>
        <v>-0.45000000000001705</v>
      </c>
      <c r="M762">
        <f t="shared" si="40"/>
        <v>8.1100000000000136</v>
      </c>
      <c r="N762">
        <f t="shared" si="40"/>
        <v>-3.7199999999999989</v>
      </c>
      <c r="O762">
        <f t="shared" si="41"/>
        <v>8.0500000000000114</v>
      </c>
      <c r="P762" s="10">
        <f t="shared" si="41"/>
        <v>0.10999999999999943</v>
      </c>
    </row>
    <row r="763" spans="1:16">
      <c r="A763">
        <v>185.5</v>
      </c>
      <c r="B763">
        <v>181.67</v>
      </c>
      <c r="C763">
        <v>104.17</v>
      </c>
      <c r="D763">
        <v>254.12</v>
      </c>
      <c r="E763">
        <v>150.84</v>
      </c>
      <c r="F763">
        <v>140.34</v>
      </c>
      <c r="G763">
        <v>220.45</v>
      </c>
      <c r="H763">
        <v>88.4</v>
      </c>
      <c r="K763" s="9">
        <f t="shared" si="40"/>
        <v>0</v>
      </c>
      <c r="L763">
        <f t="shared" si="40"/>
        <v>-1.0600000000000023</v>
      </c>
      <c r="M763">
        <f t="shared" si="40"/>
        <v>7.6099999999999852</v>
      </c>
      <c r="N763">
        <f t="shared" si="40"/>
        <v>-3.3300000000000125</v>
      </c>
      <c r="O763">
        <f t="shared" si="41"/>
        <v>2.3900000000000148</v>
      </c>
      <c r="P763" s="10">
        <f t="shared" si="41"/>
        <v>0.15999999999999659</v>
      </c>
    </row>
    <row r="764" spans="1:16">
      <c r="A764">
        <v>185.75</v>
      </c>
      <c r="B764">
        <v>180.78</v>
      </c>
      <c r="C764">
        <v>104.17</v>
      </c>
      <c r="D764">
        <v>253.73</v>
      </c>
      <c r="E764">
        <v>153.51</v>
      </c>
      <c r="F764">
        <v>139.16999999999999</v>
      </c>
      <c r="G764">
        <v>223.84</v>
      </c>
      <c r="H764">
        <v>88.45</v>
      </c>
      <c r="K764" s="9">
        <f t="shared" si="40"/>
        <v>0</v>
      </c>
      <c r="L764">
        <f t="shared" si="40"/>
        <v>-4.3299999999999841</v>
      </c>
      <c r="M764">
        <f t="shared" si="40"/>
        <v>6.6599999999999966</v>
      </c>
      <c r="N764">
        <f t="shared" si="40"/>
        <v>-3.0499999999999829</v>
      </c>
      <c r="O764">
        <f t="shared" si="41"/>
        <v>-1.0600000000000023</v>
      </c>
      <c r="P764" s="10">
        <f t="shared" si="41"/>
        <v>6.0000000000002274E-2</v>
      </c>
    </row>
    <row r="765" spans="1:16">
      <c r="A765">
        <v>186</v>
      </c>
      <c r="B765">
        <v>180.06</v>
      </c>
      <c r="C765">
        <v>104.17</v>
      </c>
      <c r="D765">
        <v>253.95</v>
      </c>
      <c r="E765">
        <v>156.12</v>
      </c>
      <c r="F765">
        <v>138.06</v>
      </c>
      <c r="G765">
        <v>223.78</v>
      </c>
      <c r="H765">
        <v>88.51</v>
      </c>
      <c r="K765" s="9">
        <f t="shared" si="40"/>
        <v>0.10999999999999943</v>
      </c>
      <c r="L765">
        <f t="shared" si="40"/>
        <v>-9.7199999999999989</v>
      </c>
      <c r="M765">
        <f t="shared" si="40"/>
        <v>5.3299999999999841</v>
      </c>
      <c r="N765">
        <f t="shared" si="40"/>
        <v>-2.6599999999999966</v>
      </c>
      <c r="O765">
        <f t="shared" si="41"/>
        <v>-1.3799999999999955</v>
      </c>
      <c r="P765" s="10">
        <f t="shared" si="41"/>
        <v>0.15999999999999659</v>
      </c>
    </row>
    <row r="766" spans="1:16">
      <c r="A766">
        <v>186.25</v>
      </c>
      <c r="B766">
        <v>179.23</v>
      </c>
      <c r="C766">
        <v>104.17</v>
      </c>
      <c r="D766">
        <v>253.06</v>
      </c>
      <c r="E766">
        <v>158.44999999999999</v>
      </c>
      <c r="F766">
        <v>137.01</v>
      </c>
      <c r="G766">
        <v>222.84</v>
      </c>
      <c r="H766">
        <v>88.56</v>
      </c>
      <c r="K766" s="9">
        <f t="shared" si="40"/>
        <v>0.10999999999999943</v>
      </c>
      <c r="L766">
        <f t="shared" si="40"/>
        <v>-13.110000000000014</v>
      </c>
      <c r="M766">
        <f t="shared" si="40"/>
        <v>4.1100000000000136</v>
      </c>
      <c r="N766">
        <f t="shared" si="40"/>
        <v>-2.3899999999999864</v>
      </c>
      <c r="O766">
        <f t="shared" si="41"/>
        <v>-0.17000000000001592</v>
      </c>
      <c r="P766" s="10">
        <f t="shared" si="41"/>
        <v>0.17000000000000171</v>
      </c>
    </row>
    <row r="767" spans="1:16">
      <c r="A767">
        <v>186.5</v>
      </c>
      <c r="B767">
        <v>178.56</v>
      </c>
      <c r="C767">
        <v>104.17</v>
      </c>
      <c r="D767">
        <v>249.4</v>
      </c>
      <c r="E767">
        <v>160.16999999999999</v>
      </c>
      <c r="F767">
        <v>136.12</v>
      </c>
      <c r="G767">
        <v>222.78</v>
      </c>
      <c r="H767">
        <v>88.51</v>
      </c>
      <c r="K767" s="9">
        <f t="shared" si="40"/>
        <v>0.17000000000000171</v>
      </c>
      <c r="L767">
        <f t="shared" si="40"/>
        <v>-13.170000000000016</v>
      </c>
      <c r="M767">
        <f t="shared" si="40"/>
        <v>3.0600000000000023</v>
      </c>
      <c r="N767">
        <f t="shared" si="40"/>
        <v>0.10999999999998522</v>
      </c>
      <c r="O767">
        <f t="shared" si="41"/>
        <v>0.94999999999998863</v>
      </c>
      <c r="P767" s="10">
        <f t="shared" si="41"/>
        <v>0.26999999999999602</v>
      </c>
    </row>
    <row r="768" spans="1:16">
      <c r="A768">
        <v>186.75</v>
      </c>
      <c r="B768">
        <v>178.01</v>
      </c>
      <c r="C768">
        <v>104.28</v>
      </c>
      <c r="D768">
        <v>244.23</v>
      </c>
      <c r="E768">
        <v>161.44999999999999</v>
      </c>
      <c r="F768">
        <v>135.4</v>
      </c>
      <c r="G768">
        <v>222.4</v>
      </c>
      <c r="H768">
        <v>88.67</v>
      </c>
      <c r="K768" s="9">
        <f t="shared" si="40"/>
        <v>6.0000000000002274E-2</v>
      </c>
      <c r="L768">
        <f t="shared" si="40"/>
        <v>-11.609999999999985</v>
      </c>
      <c r="M768">
        <f t="shared" si="40"/>
        <v>2.1100000000000136</v>
      </c>
      <c r="N768">
        <f t="shared" si="40"/>
        <v>9.1099999999999852</v>
      </c>
      <c r="O768">
        <f t="shared" si="41"/>
        <v>0.26999999999998181</v>
      </c>
      <c r="P768" s="10">
        <f t="shared" si="41"/>
        <v>0.17000000000000171</v>
      </c>
    </row>
    <row r="769" spans="1:16">
      <c r="A769">
        <v>187</v>
      </c>
      <c r="B769">
        <v>177.51</v>
      </c>
      <c r="C769">
        <v>104.28</v>
      </c>
      <c r="D769">
        <v>239.95</v>
      </c>
      <c r="E769">
        <v>162.56</v>
      </c>
      <c r="F769">
        <v>134.62</v>
      </c>
      <c r="G769">
        <v>222.67</v>
      </c>
      <c r="H769">
        <v>88.73</v>
      </c>
      <c r="K769" s="9">
        <f t="shared" si="40"/>
        <v>6.0000000000002274E-2</v>
      </c>
      <c r="L769">
        <f t="shared" si="40"/>
        <v>-10.780000000000001</v>
      </c>
      <c r="M769">
        <f t="shared" si="40"/>
        <v>0.94999999999998863</v>
      </c>
      <c r="N769">
        <f t="shared" si="40"/>
        <v>17.22</v>
      </c>
      <c r="O769">
        <f t="shared" si="41"/>
        <v>1.5600000000000023</v>
      </c>
      <c r="P769" s="10">
        <f t="shared" si="41"/>
        <v>0.17000000000000171</v>
      </c>
    </row>
    <row r="770" spans="1:16">
      <c r="A770">
        <v>187.25</v>
      </c>
      <c r="B770">
        <v>176.95</v>
      </c>
      <c r="C770">
        <v>104.34</v>
      </c>
      <c r="D770">
        <v>236.23</v>
      </c>
      <c r="E770">
        <v>163.22999999999999</v>
      </c>
      <c r="F770">
        <v>136.22999999999999</v>
      </c>
      <c r="G770">
        <v>223.73</v>
      </c>
      <c r="H770">
        <v>88.78</v>
      </c>
      <c r="K770" s="9">
        <f t="shared" si="40"/>
        <v>0</v>
      </c>
      <c r="L770">
        <f t="shared" si="40"/>
        <v>-10.449999999999989</v>
      </c>
      <c r="M770">
        <f t="shared" si="40"/>
        <v>-6.0000000000002274E-2</v>
      </c>
      <c r="N770">
        <f t="shared" si="40"/>
        <v>20.830000000000013</v>
      </c>
      <c r="O770">
        <f t="shared" si="41"/>
        <v>-0.60999999999998522</v>
      </c>
      <c r="P770" s="10">
        <f t="shared" si="41"/>
        <v>0.23000000000000398</v>
      </c>
    </row>
    <row r="771" spans="1:16">
      <c r="A771">
        <v>187.5</v>
      </c>
      <c r="B771">
        <v>176.4</v>
      </c>
      <c r="C771">
        <v>104.34</v>
      </c>
      <c r="D771">
        <v>232.62</v>
      </c>
      <c r="E771">
        <v>163.56</v>
      </c>
      <c r="F771">
        <v>144.51</v>
      </c>
      <c r="G771">
        <v>222.67</v>
      </c>
      <c r="H771">
        <v>88.84</v>
      </c>
      <c r="K771" s="9">
        <f t="shared" si="40"/>
        <v>6.0000000000002274E-2</v>
      </c>
      <c r="L771">
        <f t="shared" si="40"/>
        <v>-10.110000000000014</v>
      </c>
      <c r="M771">
        <f t="shared" si="40"/>
        <v>-1</v>
      </c>
      <c r="N771">
        <f t="shared" si="40"/>
        <v>16.390000000000015</v>
      </c>
      <c r="O771">
        <f t="shared" si="41"/>
        <v>0.34000000000000341</v>
      </c>
      <c r="P771" s="10">
        <f t="shared" si="41"/>
        <v>0.17000000000000171</v>
      </c>
    </row>
    <row r="772" spans="1:16">
      <c r="A772">
        <v>187.75</v>
      </c>
      <c r="B772">
        <v>175.95</v>
      </c>
      <c r="C772">
        <v>104.34</v>
      </c>
      <c r="D772">
        <v>229.17</v>
      </c>
      <c r="E772">
        <v>163.51</v>
      </c>
      <c r="F772">
        <v>151.84</v>
      </c>
      <c r="G772">
        <v>224.23</v>
      </c>
      <c r="H772">
        <v>88.9</v>
      </c>
      <c r="K772" s="9">
        <f t="shared" si="40"/>
        <v>0</v>
      </c>
      <c r="L772">
        <f t="shared" si="40"/>
        <v>-9.7699999999999818</v>
      </c>
      <c r="M772">
        <f t="shared" si="40"/>
        <v>-1.7299999999999898</v>
      </c>
      <c r="N772">
        <f t="shared" si="40"/>
        <v>12.219999999999999</v>
      </c>
      <c r="O772">
        <f t="shared" si="41"/>
        <v>-1.3299999999999841</v>
      </c>
      <c r="P772" s="10">
        <f t="shared" si="41"/>
        <v>0.26999999999999602</v>
      </c>
    </row>
    <row r="773" spans="1:16">
      <c r="A773">
        <v>188</v>
      </c>
      <c r="B773">
        <v>175.45</v>
      </c>
      <c r="C773">
        <v>104.34</v>
      </c>
      <c r="D773">
        <v>225.78</v>
      </c>
      <c r="E773">
        <v>163.16999999999999</v>
      </c>
      <c r="F773">
        <v>157.06</v>
      </c>
      <c r="G773">
        <v>223.12</v>
      </c>
      <c r="H773">
        <v>89.01</v>
      </c>
      <c r="K773" s="9">
        <f t="shared" si="40"/>
        <v>6.0000000000002274E-2</v>
      </c>
      <c r="L773">
        <f t="shared" si="40"/>
        <v>-9</v>
      </c>
      <c r="M773">
        <f t="shared" si="40"/>
        <v>-2.1099999999999852</v>
      </c>
      <c r="N773">
        <f t="shared" si="40"/>
        <v>9.7199999999999989</v>
      </c>
      <c r="O773">
        <f t="shared" si="41"/>
        <v>-2.1100000000000136</v>
      </c>
      <c r="P773" s="10">
        <f t="shared" si="41"/>
        <v>0.32999999999999829</v>
      </c>
    </row>
    <row r="774" spans="1:16">
      <c r="A774">
        <v>188.25</v>
      </c>
      <c r="B774">
        <v>175.06</v>
      </c>
      <c r="C774">
        <v>104.4</v>
      </c>
      <c r="D774">
        <v>222.51</v>
      </c>
      <c r="E774">
        <v>162.56</v>
      </c>
      <c r="F774">
        <v>160.9</v>
      </c>
      <c r="G774">
        <v>223.01</v>
      </c>
      <c r="H774">
        <v>89.01</v>
      </c>
      <c r="K774" s="9">
        <f t="shared" si="40"/>
        <v>4.9999999999997158E-2</v>
      </c>
      <c r="L774">
        <f t="shared" si="40"/>
        <v>-8.7800000000000011</v>
      </c>
      <c r="M774">
        <f t="shared" si="40"/>
        <v>-2.5</v>
      </c>
      <c r="N774">
        <f t="shared" si="40"/>
        <v>8.1599999999999966</v>
      </c>
      <c r="O774">
        <f t="shared" si="41"/>
        <v>-3.1699999999999875</v>
      </c>
      <c r="P774" s="10">
        <f t="shared" si="41"/>
        <v>0.32999999999999829</v>
      </c>
    </row>
    <row r="775" spans="1:16">
      <c r="A775">
        <v>188.5</v>
      </c>
      <c r="B775">
        <v>174.56</v>
      </c>
      <c r="C775">
        <v>104.34</v>
      </c>
      <c r="D775">
        <v>219.4</v>
      </c>
      <c r="E775">
        <v>161.78</v>
      </c>
      <c r="F775">
        <v>164.06</v>
      </c>
      <c r="G775">
        <v>222.9</v>
      </c>
      <c r="H775">
        <v>89.17</v>
      </c>
      <c r="K775" s="9">
        <f t="shared" si="40"/>
        <v>0.10999999999999943</v>
      </c>
      <c r="L775">
        <f t="shared" si="40"/>
        <v>-8.8400000000000034</v>
      </c>
      <c r="M775">
        <f t="shared" si="40"/>
        <v>-2.6599999999999966</v>
      </c>
      <c r="N775">
        <f t="shared" si="40"/>
        <v>6.6099999999999852</v>
      </c>
      <c r="O775">
        <f t="shared" si="41"/>
        <v>-4.1700000000000159</v>
      </c>
      <c r="P775" s="10">
        <f t="shared" si="41"/>
        <v>0.39000000000000057</v>
      </c>
    </row>
    <row r="776" spans="1:16">
      <c r="A776">
        <v>188.75</v>
      </c>
      <c r="B776">
        <v>174.28</v>
      </c>
      <c r="C776">
        <v>104.4</v>
      </c>
      <c r="D776">
        <v>216.78</v>
      </c>
      <c r="E776">
        <v>161.06</v>
      </c>
      <c r="F776">
        <v>166.78</v>
      </c>
      <c r="G776">
        <v>221.01</v>
      </c>
      <c r="H776">
        <v>89.34</v>
      </c>
      <c r="K776" s="9">
        <f t="shared" si="40"/>
        <v>4.9999999999997158E-2</v>
      </c>
      <c r="L776">
        <f t="shared" si="40"/>
        <v>-9.3799999999999955</v>
      </c>
      <c r="M776">
        <f t="shared" si="40"/>
        <v>-3</v>
      </c>
      <c r="N776">
        <f t="shared" si="40"/>
        <v>4.8400000000000034</v>
      </c>
      <c r="O776">
        <f t="shared" si="41"/>
        <v>0.5</v>
      </c>
      <c r="P776" s="10">
        <f t="shared" si="41"/>
        <v>0.10999999999999943</v>
      </c>
    </row>
    <row r="777" spans="1:16">
      <c r="A777">
        <v>189</v>
      </c>
      <c r="B777">
        <v>173.84</v>
      </c>
      <c r="C777">
        <v>104.45</v>
      </c>
      <c r="D777">
        <v>213.73</v>
      </c>
      <c r="E777">
        <v>160.06</v>
      </c>
      <c r="F777">
        <v>169.06</v>
      </c>
      <c r="G777">
        <v>219.84</v>
      </c>
      <c r="H777">
        <v>89.34</v>
      </c>
      <c r="K777" s="9">
        <f t="shared" si="40"/>
        <v>0</v>
      </c>
      <c r="L777">
        <f t="shared" si="40"/>
        <v>-9.6699999999999875</v>
      </c>
      <c r="M777">
        <f t="shared" si="40"/>
        <v>-3.0500000000000114</v>
      </c>
      <c r="N777">
        <f t="shared" si="40"/>
        <v>3.2199999999999989</v>
      </c>
      <c r="O777">
        <f t="shared" si="41"/>
        <v>0.5</v>
      </c>
      <c r="P777" s="10">
        <f t="shared" si="41"/>
        <v>0.32999999999999829</v>
      </c>
    </row>
    <row r="778" spans="1:16">
      <c r="A778">
        <v>189.25</v>
      </c>
      <c r="B778">
        <v>173.4</v>
      </c>
      <c r="C778">
        <v>104.45</v>
      </c>
      <c r="D778">
        <v>210.56</v>
      </c>
      <c r="E778">
        <v>159.12</v>
      </c>
      <c r="F778">
        <v>170.67</v>
      </c>
      <c r="G778">
        <v>218.73</v>
      </c>
      <c r="H778">
        <v>89.56</v>
      </c>
      <c r="K778" s="9">
        <f t="shared" si="40"/>
        <v>6.0000000000002274E-2</v>
      </c>
      <c r="L778">
        <f t="shared" si="40"/>
        <v>-9.5</v>
      </c>
      <c r="M778">
        <f t="shared" si="40"/>
        <v>-3.1100000000000136</v>
      </c>
      <c r="N778">
        <f t="shared" si="40"/>
        <v>2.2800000000000011</v>
      </c>
      <c r="O778">
        <f t="shared" si="41"/>
        <v>-2.9499999999999886</v>
      </c>
      <c r="P778" s="10">
        <f t="shared" si="41"/>
        <v>0.17000000000000171</v>
      </c>
    </row>
    <row r="779" spans="1:16">
      <c r="A779">
        <v>189.5</v>
      </c>
      <c r="B779">
        <v>173.06</v>
      </c>
      <c r="C779">
        <v>104.45</v>
      </c>
      <c r="D779">
        <v>207.4</v>
      </c>
      <c r="E779">
        <v>158.06</v>
      </c>
      <c r="F779">
        <v>171.62</v>
      </c>
      <c r="G779">
        <v>221.51</v>
      </c>
      <c r="H779">
        <v>89.45</v>
      </c>
      <c r="K779" s="9">
        <f t="shared" si="40"/>
        <v>0.17000000000000171</v>
      </c>
      <c r="L779">
        <f t="shared" si="40"/>
        <v>-8.5</v>
      </c>
      <c r="M779">
        <f t="shared" si="40"/>
        <v>-3.0500000000000114</v>
      </c>
      <c r="N779">
        <f t="shared" si="40"/>
        <v>2</v>
      </c>
      <c r="O779">
        <f t="shared" si="41"/>
        <v>-3</v>
      </c>
      <c r="P779" s="10">
        <f t="shared" si="41"/>
        <v>0.39000000000000057</v>
      </c>
    </row>
    <row r="780" spans="1:16">
      <c r="A780">
        <v>189.75</v>
      </c>
      <c r="B780">
        <v>172.73</v>
      </c>
      <c r="C780">
        <v>104.45</v>
      </c>
      <c r="D780">
        <v>204.06</v>
      </c>
      <c r="E780">
        <v>157.01</v>
      </c>
      <c r="F780">
        <v>172.28</v>
      </c>
      <c r="G780">
        <v>220.34</v>
      </c>
      <c r="H780">
        <v>89.67</v>
      </c>
      <c r="K780" s="9">
        <f t="shared" si="40"/>
        <v>0.39000000000000057</v>
      </c>
      <c r="L780">
        <f t="shared" si="40"/>
        <v>36.889999999999986</v>
      </c>
      <c r="M780">
        <f t="shared" si="40"/>
        <v>-2.9499999999999886</v>
      </c>
      <c r="N780">
        <f t="shared" si="40"/>
        <v>1.9499999999999886</v>
      </c>
      <c r="O780">
        <f t="shared" si="41"/>
        <v>-16.78</v>
      </c>
      <c r="P780" s="10">
        <f t="shared" si="41"/>
        <v>0.17000000000000171</v>
      </c>
    </row>
    <row r="781" spans="1:16">
      <c r="A781">
        <v>190</v>
      </c>
      <c r="B781">
        <v>172.28</v>
      </c>
      <c r="C781">
        <v>104.51</v>
      </c>
      <c r="D781">
        <v>201.06</v>
      </c>
      <c r="E781">
        <v>156.01</v>
      </c>
      <c r="F781">
        <v>172.95</v>
      </c>
      <c r="G781">
        <v>215.78</v>
      </c>
      <c r="H781">
        <v>89.73</v>
      </c>
      <c r="K781" s="9">
        <f t="shared" si="40"/>
        <v>0.65999999999999659</v>
      </c>
      <c r="L781">
        <f t="shared" si="40"/>
        <v>46.669999999999987</v>
      </c>
      <c r="M781">
        <f t="shared" si="40"/>
        <v>-2.8899999999999864</v>
      </c>
      <c r="N781">
        <f t="shared" si="40"/>
        <v>1.8300000000000125</v>
      </c>
      <c r="O781">
        <f t="shared" si="41"/>
        <v>-19.879999999999995</v>
      </c>
      <c r="P781" s="10">
        <f t="shared" si="41"/>
        <v>0.21999999999999886</v>
      </c>
    </row>
    <row r="782" spans="1:16">
      <c r="A782">
        <v>190.25</v>
      </c>
      <c r="B782">
        <v>171.9</v>
      </c>
      <c r="C782">
        <v>104.62</v>
      </c>
      <c r="D782">
        <v>198.9</v>
      </c>
      <c r="E782">
        <v>155.01</v>
      </c>
      <c r="F782">
        <v>173.62</v>
      </c>
      <c r="G782">
        <v>218.51</v>
      </c>
      <c r="H782">
        <v>89.84</v>
      </c>
      <c r="K782" s="9">
        <f t="shared" si="40"/>
        <v>1</v>
      </c>
      <c r="L782">
        <f t="shared" si="40"/>
        <v>50.72</v>
      </c>
      <c r="M782">
        <f t="shared" si="40"/>
        <v>-2.5600000000000023</v>
      </c>
      <c r="N782">
        <f t="shared" si="40"/>
        <v>1.3899999999999864</v>
      </c>
      <c r="O782">
        <f t="shared" si="41"/>
        <v>-33.06</v>
      </c>
      <c r="P782" s="10">
        <f t="shared" si="41"/>
        <v>0.17000000000000171</v>
      </c>
    </row>
    <row r="783" spans="1:16">
      <c r="A783">
        <v>190.5</v>
      </c>
      <c r="B783">
        <v>171.51</v>
      </c>
      <c r="C783">
        <v>104.84</v>
      </c>
      <c r="D783">
        <v>240.95</v>
      </c>
      <c r="E783">
        <v>154.06</v>
      </c>
      <c r="F783">
        <v>174.23</v>
      </c>
      <c r="G783">
        <v>203.56</v>
      </c>
      <c r="H783">
        <v>89.84</v>
      </c>
      <c r="K783" s="9">
        <f t="shared" si="40"/>
        <v>1.4399999999999977</v>
      </c>
      <c r="L783">
        <f t="shared" si="40"/>
        <v>8.5600000000000023</v>
      </c>
      <c r="M783">
        <f t="shared" si="40"/>
        <v>-2.1599999999999966</v>
      </c>
      <c r="N783">
        <f t="shared" si="40"/>
        <v>1.3300000000000125</v>
      </c>
      <c r="O783">
        <f t="shared" si="41"/>
        <v>-23.659999999999997</v>
      </c>
      <c r="P783" s="10">
        <f t="shared" si="41"/>
        <v>0.17000000000000171</v>
      </c>
    </row>
    <row r="784" spans="1:16">
      <c r="A784">
        <v>190.75</v>
      </c>
      <c r="B784">
        <v>171.17</v>
      </c>
      <c r="C784">
        <v>105.17</v>
      </c>
      <c r="D784">
        <v>247.73</v>
      </c>
      <c r="E784">
        <v>153.12</v>
      </c>
      <c r="F784">
        <v>174.78</v>
      </c>
      <c r="G784">
        <v>195.9</v>
      </c>
      <c r="H784">
        <v>89.95</v>
      </c>
      <c r="K784" s="9">
        <f t="shared" si="40"/>
        <v>1.8400000000000034</v>
      </c>
      <c r="L784">
        <f t="shared" si="40"/>
        <v>4.1100000000000136</v>
      </c>
      <c r="M784">
        <f t="shared" si="40"/>
        <v>-1.6700000000000159</v>
      </c>
      <c r="N784">
        <f t="shared" si="40"/>
        <v>1.1200000000000045</v>
      </c>
      <c r="O784">
        <f t="shared" si="41"/>
        <v>-19.120000000000005</v>
      </c>
      <c r="P784" s="10">
        <f t="shared" si="41"/>
        <v>0.10999999999999943</v>
      </c>
    </row>
    <row r="785" spans="1:16">
      <c r="A785">
        <v>191</v>
      </c>
      <c r="B785">
        <v>170.78</v>
      </c>
      <c r="C785">
        <v>105.62</v>
      </c>
      <c r="D785">
        <v>249.62</v>
      </c>
      <c r="E785">
        <v>152.44999999999999</v>
      </c>
      <c r="F785">
        <v>175.01</v>
      </c>
      <c r="G785">
        <v>185.45</v>
      </c>
      <c r="H785">
        <v>90.01</v>
      </c>
      <c r="K785" s="9">
        <f t="shared" si="40"/>
        <v>2.2800000000000011</v>
      </c>
      <c r="L785">
        <f t="shared" si="40"/>
        <v>1.7800000000000011</v>
      </c>
      <c r="M785">
        <f t="shared" si="40"/>
        <v>-0.88999999999998636</v>
      </c>
      <c r="N785">
        <f t="shared" si="40"/>
        <v>0.93999999999999773</v>
      </c>
      <c r="O785">
        <f t="shared" si="41"/>
        <v>-10.780000000000001</v>
      </c>
      <c r="P785" s="10">
        <f t="shared" si="41"/>
        <v>0.21999999999999886</v>
      </c>
    </row>
    <row r="786" spans="1:16">
      <c r="A786">
        <v>191.25</v>
      </c>
      <c r="B786">
        <v>170.34</v>
      </c>
      <c r="C786">
        <v>106.28</v>
      </c>
      <c r="D786">
        <v>249.51</v>
      </c>
      <c r="E786">
        <v>151.9</v>
      </c>
      <c r="F786">
        <v>175.56</v>
      </c>
      <c r="G786">
        <v>179.9</v>
      </c>
      <c r="H786">
        <v>90.01</v>
      </c>
      <c r="K786" s="9">
        <f t="shared" si="40"/>
        <v>2.5</v>
      </c>
      <c r="L786">
        <f t="shared" si="40"/>
        <v>1.6599999999999966</v>
      </c>
      <c r="M786">
        <f t="shared" si="40"/>
        <v>0.26999999999998181</v>
      </c>
      <c r="N786">
        <f t="shared" si="40"/>
        <v>0.21999999999999886</v>
      </c>
      <c r="O786">
        <f t="shared" si="41"/>
        <v>-6.8900000000000148</v>
      </c>
      <c r="P786" s="10">
        <f t="shared" si="41"/>
        <v>0.32999999999999829</v>
      </c>
    </row>
    <row r="787" spans="1:16">
      <c r="A787">
        <v>191.5</v>
      </c>
      <c r="B787">
        <v>170.06</v>
      </c>
      <c r="C787">
        <v>107.01</v>
      </c>
      <c r="D787">
        <v>251.84</v>
      </c>
      <c r="E787">
        <v>151.44999999999999</v>
      </c>
      <c r="F787">
        <v>175.9</v>
      </c>
      <c r="G787">
        <v>176.78</v>
      </c>
      <c r="H787">
        <v>90.06</v>
      </c>
      <c r="K787" s="9">
        <f t="shared" si="40"/>
        <v>2.6599999999999966</v>
      </c>
      <c r="L787">
        <f t="shared" si="40"/>
        <v>-0.43999999999999773</v>
      </c>
      <c r="M787">
        <f t="shared" si="40"/>
        <v>1.6700000000000159</v>
      </c>
      <c r="N787">
        <f t="shared" si="40"/>
        <v>-0.95000000000001705</v>
      </c>
      <c r="O787">
        <f t="shared" si="41"/>
        <v>-5.0500000000000114</v>
      </c>
      <c r="P787" s="10">
        <f t="shared" si="41"/>
        <v>0.5</v>
      </c>
    </row>
    <row r="788" spans="1:16">
      <c r="A788">
        <v>191.75</v>
      </c>
      <c r="B788">
        <v>169.67</v>
      </c>
      <c r="C788">
        <v>107.9</v>
      </c>
      <c r="D788">
        <v>251.4</v>
      </c>
      <c r="E788">
        <v>151.56</v>
      </c>
      <c r="F788">
        <v>175.95</v>
      </c>
      <c r="G788">
        <v>174.67</v>
      </c>
      <c r="H788">
        <v>90.23</v>
      </c>
      <c r="K788" s="9">
        <f t="shared" si="40"/>
        <v>2.769999999999996</v>
      </c>
      <c r="L788">
        <f t="shared" si="40"/>
        <v>0.82999999999998408</v>
      </c>
      <c r="M788">
        <f t="shared" si="40"/>
        <v>2.6099999999999852</v>
      </c>
      <c r="N788">
        <f t="shared" si="40"/>
        <v>-3.2199999999999989</v>
      </c>
      <c r="O788">
        <f t="shared" si="41"/>
        <v>-4.1099999999999852</v>
      </c>
      <c r="P788" s="10">
        <f t="shared" si="41"/>
        <v>0.32999999999999829</v>
      </c>
    </row>
    <row r="789" spans="1:16">
      <c r="A789">
        <v>192</v>
      </c>
      <c r="B789">
        <v>169.4</v>
      </c>
      <c r="C789">
        <v>108.78</v>
      </c>
      <c r="D789">
        <v>251.17</v>
      </c>
      <c r="E789">
        <v>152.16999999999999</v>
      </c>
      <c r="F789">
        <v>175.78</v>
      </c>
      <c r="G789">
        <v>173.01</v>
      </c>
      <c r="H789">
        <v>90.34</v>
      </c>
      <c r="K789" s="9">
        <f t="shared" si="40"/>
        <v>3.0600000000000023</v>
      </c>
      <c r="L789">
        <f t="shared" si="40"/>
        <v>-1.5</v>
      </c>
      <c r="M789">
        <f t="shared" si="40"/>
        <v>3</v>
      </c>
      <c r="N789">
        <f t="shared" ref="N789:P852" si="42">F792-F789</f>
        <v>-6.3300000000000125</v>
      </c>
      <c r="O789">
        <f t="shared" si="41"/>
        <v>-3.5600000000000023</v>
      </c>
      <c r="P789" s="10">
        <f t="shared" si="41"/>
        <v>0.32999999999999829</v>
      </c>
    </row>
    <row r="790" spans="1:16">
      <c r="A790">
        <v>192.25</v>
      </c>
      <c r="B790">
        <v>168.95</v>
      </c>
      <c r="C790">
        <v>109.67</v>
      </c>
      <c r="D790">
        <v>251.4</v>
      </c>
      <c r="E790">
        <v>153.12</v>
      </c>
      <c r="F790">
        <v>174.95</v>
      </c>
      <c r="G790">
        <v>171.73</v>
      </c>
      <c r="H790">
        <v>90.56</v>
      </c>
      <c r="K790" s="9">
        <f t="shared" ref="K790:P853" si="43">C793-C790</f>
        <v>3.230000000000004</v>
      </c>
      <c r="L790">
        <f t="shared" si="43"/>
        <v>-2.8400000000000034</v>
      </c>
      <c r="M790">
        <f t="shared" si="43"/>
        <v>3.2199999999999989</v>
      </c>
      <c r="N790">
        <f t="shared" si="42"/>
        <v>-8.5499999999999829</v>
      </c>
      <c r="O790">
        <f t="shared" si="42"/>
        <v>-3.2199999999999989</v>
      </c>
      <c r="P790" s="10">
        <f t="shared" si="42"/>
        <v>0.21999999999999886</v>
      </c>
    </row>
    <row r="791" spans="1:16">
      <c r="A791">
        <v>192.5</v>
      </c>
      <c r="B791">
        <v>168.73</v>
      </c>
      <c r="C791">
        <v>110.67</v>
      </c>
      <c r="D791">
        <v>252.23</v>
      </c>
      <c r="E791">
        <v>154.16999999999999</v>
      </c>
      <c r="F791">
        <v>172.73</v>
      </c>
      <c r="G791">
        <v>170.56</v>
      </c>
      <c r="H791">
        <v>90.56</v>
      </c>
      <c r="K791" s="9">
        <f t="shared" si="43"/>
        <v>3.3900000000000006</v>
      </c>
      <c r="L791">
        <f t="shared" si="43"/>
        <v>-3</v>
      </c>
      <c r="M791">
        <f t="shared" si="43"/>
        <v>3.2300000000000182</v>
      </c>
      <c r="N791">
        <f t="shared" si="42"/>
        <v>-8.8299999999999841</v>
      </c>
      <c r="O791">
        <f t="shared" si="42"/>
        <v>-2.8900000000000148</v>
      </c>
      <c r="P791" s="10">
        <f t="shared" si="42"/>
        <v>0.21999999999999886</v>
      </c>
    </row>
    <row r="792" spans="1:16">
      <c r="A792">
        <v>192.75</v>
      </c>
      <c r="B792">
        <v>168.34</v>
      </c>
      <c r="C792">
        <v>111.84</v>
      </c>
      <c r="D792">
        <v>249.67</v>
      </c>
      <c r="E792">
        <v>155.16999999999999</v>
      </c>
      <c r="F792">
        <v>169.45</v>
      </c>
      <c r="G792">
        <v>169.45</v>
      </c>
      <c r="H792">
        <v>90.67</v>
      </c>
      <c r="K792" s="9">
        <f t="shared" si="43"/>
        <v>3.3299999999999983</v>
      </c>
      <c r="L792">
        <f t="shared" si="43"/>
        <v>-1</v>
      </c>
      <c r="M792">
        <f t="shared" si="43"/>
        <v>3.3400000000000034</v>
      </c>
      <c r="N792">
        <f t="shared" si="42"/>
        <v>-7.7199999999999989</v>
      </c>
      <c r="O792">
        <f t="shared" si="42"/>
        <v>-2.6099999999999852</v>
      </c>
      <c r="P792" s="10">
        <f t="shared" si="42"/>
        <v>0.28000000000000114</v>
      </c>
    </row>
    <row r="793" spans="1:16">
      <c r="A793">
        <v>193</v>
      </c>
      <c r="B793">
        <v>167.95</v>
      </c>
      <c r="C793">
        <v>112.9</v>
      </c>
      <c r="D793">
        <v>248.56</v>
      </c>
      <c r="E793">
        <v>156.34</v>
      </c>
      <c r="F793">
        <v>166.4</v>
      </c>
      <c r="G793">
        <v>168.51</v>
      </c>
      <c r="H793">
        <v>90.78</v>
      </c>
      <c r="K793" s="9">
        <f t="shared" si="43"/>
        <v>3.5</v>
      </c>
      <c r="L793">
        <f t="shared" si="43"/>
        <v>0.71999999999999886</v>
      </c>
      <c r="M793">
        <f t="shared" si="43"/>
        <v>3.1699999999999875</v>
      </c>
      <c r="N793">
        <f t="shared" si="42"/>
        <v>-6.5600000000000023</v>
      </c>
      <c r="O793">
        <f t="shared" si="42"/>
        <v>-2.4499999999999886</v>
      </c>
      <c r="P793" s="10">
        <f t="shared" si="42"/>
        <v>0.23000000000000398</v>
      </c>
    </row>
    <row r="794" spans="1:16">
      <c r="A794">
        <v>193.25</v>
      </c>
      <c r="B794">
        <v>167.62</v>
      </c>
      <c r="C794">
        <v>114.06</v>
      </c>
      <c r="D794">
        <v>249.23</v>
      </c>
      <c r="E794">
        <v>157.4</v>
      </c>
      <c r="F794">
        <v>163.9</v>
      </c>
      <c r="G794">
        <v>167.67</v>
      </c>
      <c r="H794">
        <v>90.78</v>
      </c>
      <c r="K794" s="9">
        <f t="shared" si="43"/>
        <v>3.4500000000000028</v>
      </c>
      <c r="L794">
        <f t="shared" si="43"/>
        <v>-0.10999999999998522</v>
      </c>
      <c r="M794">
        <f t="shared" si="43"/>
        <v>3.2199999999999989</v>
      </c>
      <c r="N794">
        <f t="shared" si="42"/>
        <v>-5.7300000000000182</v>
      </c>
      <c r="O794">
        <f t="shared" si="42"/>
        <v>-2.1599999999999966</v>
      </c>
      <c r="P794" s="10">
        <f t="shared" si="42"/>
        <v>0.34000000000000341</v>
      </c>
    </row>
    <row r="795" spans="1:16">
      <c r="A795">
        <v>193.5</v>
      </c>
      <c r="B795">
        <v>167.28</v>
      </c>
      <c r="C795">
        <v>115.17</v>
      </c>
      <c r="D795">
        <v>248.67</v>
      </c>
      <c r="E795">
        <v>158.51</v>
      </c>
      <c r="F795">
        <v>161.72999999999999</v>
      </c>
      <c r="G795">
        <v>166.84</v>
      </c>
      <c r="H795">
        <v>90.95</v>
      </c>
      <c r="K795" s="9">
        <f t="shared" si="43"/>
        <v>3.3900000000000006</v>
      </c>
      <c r="L795">
        <f t="shared" si="43"/>
        <v>0.11000000000001364</v>
      </c>
      <c r="M795">
        <f t="shared" si="43"/>
        <v>3.0500000000000114</v>
      </c>
      <c r="N795">
        <f t="shared" si="42"/>
        <v>-5.0600000000000023</v>
      </c>
      <c r="O795">
        <f t="shared" si="42"/>
        <v>-2</v>
      </c>
      <c r="P795" s="10">
        <f t="shared" si="42"/>
        <v>0.28000000000000114</v>
      </c>
    </row>
    <row r="796" spans="1:16">
      <c r="A796">
        <v>193.75</v>
      </c>
      <c r="B796">
        <v>166.95</v>
      </c>
      <c r="C796">
        <v>116.4</v>
      </c>
      <c r="D796">
        <v>249.28</v>
      </c>
      <c r="E796">
        <v>159.51</v>
      </c>
      <c r="F796">
        <v>159.84</v>
      </c>
      <c r="G796">
        <v>166.06</v>
      </c>
      <c r="H796">
        <v>91.01</v>
      </c>
      <c r="K796" s="9">
        <f t="shared" si="43"/>
        <v>3.2199999999999989</v>
      </c>
      <c r="L796">
        <f t="shared" si="43"/>
        <v>0.22999999999998977</v>
      </c>
      <c r="M796">
        <f t="shared" si="43"/>
        <v>3</v>
      </c>
      <c r="N796">
        <f t="shared" si="42"/>
        <v>-4.5</v>
      </c>
      <c r="O796">
        <f t="shared" si="42"/>
        <v>-1.8300000000000125</v>
      </c>
      <c r="P796" s="10">
        <f t="shared" si="42"/>
        <v>0.21999999999999886</v>
      </c>
    </row>
    <row r="797" spans="1:16">
      <c r="A797">
        <v>194</v>
      </c>
      <c r="B797">
        <v>166.67</v>
      </c>
      <c r="C797">
        <v>117.51</v>
      </c>
      <c r="D797">
        <v>249.12</v>
      </c>
      <c r="E797">
        <v>160.62</v>
      </c>
      <c r="F797">
        <v>158.16999999999999</v>
      </c>
      <c r="G797">
        <v>165.51</v>
      </c>
      <c r="H797">
        <v>91.12</v>
      </c>
      <c r="K797" s="9">
        <f t="shared" si="43"/>
        <v>3.0499999999999972</v>
      </c>
      <c r="L797">
        <f t="shared" si="43"/>
        <v>1.8899999999999864</v>
      </c>
      <c r="M797">
        <f t="shared" si="43"/>
        <v>2.7800000000000011</v>
      </c>
      <c r="N797">
        <f t="shared" si="42"/>
        <v>-4</v>
      </c>
      <c r="O797">
        <f t="shared" si="42"/>
        <v>-1.9499999999999886</v>
      </c>
      <c r="P797" s="10">
        <f t="shared" si="42"/>
        <v>0.28000000000000114</v>
      </c>
    </row>
    <row r="798" spans="1:16">
      <c r="A798">
        <v>194.25</v>
      </c>
      <c r="B798">
        <v>166.4</v>
      </c>
      <c r="C798">
        <v>118.56</v>
      </c>
      <c r="D798">
        <v>248.78</v>
      </c>
      <c r="E798">
        <v>161.56</v>
      </c>
      <c r="F798">
        <v>156.66999999999999</v>
      </c>
      <c r="G798">
        <v>164.84</v>
      </c>
      <c r="H798">
        <v>91.23</v>
      </c>
      <c r="K798" s="9">
        <f t="shared" si="43"/>
        <v>3.0600000000000023</v>
      </c>
      <c r="L798">
        <f t="shared" si="43"/>
        <v>1.9499999999999886</v>
      </c>
      <c r="M798">
        <f t="shared" si="43"/>
        <v>2.6699999999999875</v>
      </c>
      <c r="N798">
        <f t="shared" si="42"/>
        <v>-3.5</v>
      </c>
      <c r="O798">
        <f t="shared" si="42"/>
        <v>-1.8900000000000148</v>
      </c>
      <c r="P798" s="10">
        <f t="shared" si="42"/>
        <v>0.21999999999999886</v>
      </c>
    </row>
    <row r="799" spans="1:16">
      <c r="A799">
        <v>194.5</v>
      </c>
      <c r="B799">
        <v>166.01</v>
      </c>
      <c r="C799">
        <v>119.62</v>
      </c>
      <c r="D799">
        <v>249.51</v>
      </c>
      <c r="E799">
        <v>162.51</v>
      </c>
      <c r="F799">
        <v>155.34</v>
      </c>
      <c r="G799">
        <v>164.23</v>
      </c>
      <c r="H799">
        <v>91.23</v>
      </c>
      <c r="K799" s="9">
        <f t="shared" si="43"/>
        <v>2.8900000000000006</v>
      </c>
      <c r="L799">
        <f t="shared" si="43"/>
        <v>0.61000000000001364</v>
      </c>
      <c r="M799">
        <f t="shared" si="43"/>
        <v>2.3900000000000148</v>
      </c>
      <c r="N799">
        <f t="shared" si="42"/>
        <v>-3.0600000000000023</v>
      </c>
      <c r="O799">
        <f t="shared" si="42"/>
        <v>-1.8899999999999864</v>
      </c>
      <c r="P799" s="10">
        <f t="shared" si="42"/>
        <v>0.43999999999999773</v>
      </c>
    </row>
    <row r="800" spans="1:16">
      <c r="A800">
        <v>194.75</v>
      </c>
      <c r="B800">
        <v>165.78</v>
      </c>
      <c r="C800">
        <v>120.56</v>
      </c>
      <c r="D800">
        <v>251.01</v>
      </c>
      <c r="E800">
        <v>163.4</v>
      </c>
      <c r="F800">
        <v>154.16999999999999</v>
      </c>
      <c r="G800">
        <v>163.56</v>
      </c>
      <c r="H800">
        <v>91.4</v>
      </c>
      <c r="K800" s="9">
        <f t="shared" si="43"/>
        <v>2.6099999999999994</v>
      </c>
      <c r="L800">
        <f t="shared" si="43"/>
        <v>-0.66999999999998749</v>
      </c>
      <c r="M800">
        <f t="shared" si="43"/>
        <v>2.1099999999999852</v>
      </c>
      <c r="N800">
        <f t="shared" si="42"/>
        <v>-2.8299999999999841</v>
      </c>
      <c r="O800">
        <f t="shared" si="42"/>
        <v>-1.7199999999999989</v>
      </c>
      <c r="P800" s="10">
        <f t="shared" si="42"/>
        <v>0.26999999999999602</v>
      </c>
    </row>
    <row r="801" spans="1:16">
      <c r="A801">
        <v>195</v>
      </c>
      <c r="B801">
        <v>165.4</v>
      </c>
      <c r="C801">
        <v>121.62</v>
      </c>
      <c r="D801">
        <v>250.73</v>
      </c>
      <c r="E801">
        <v>164.23</v>
      </c>
      <c r="F801">
        <v>153.16999999999999</v>
      </c>
      <c r="G801">
        <v>162.94999999999999</v>
      </c>
      <c r="H801">
        <v>91.45</v>
      </c>
      <c r="K801" s="9">
        <f t="shared" si="43"/>
        <v>2.3900000000000006</v>
      </c>
      <c r="L801">
        <f t="shared" si="43"/>
        <v>-2.0600000000000023</v>
      </c>
      <c r="M801">
        <f t="shared" si="43"/>
        <v>1.8900000000000148</v>
      </c>
      <c r="N801">
        <f t="shared" si="42"/>
        <v>-2.6099999999999852</v>
      </c>
      <c r="O801">
        <f t="shared" si="42"/>
        <v>-1.6699999999999875</v>
      </c>
      <c r="P801" s="10">
        <f t="shared" si="42"/>
        <v>0.45000000000000284</v>
      </c>
    </row>
    <row r="802" spans="1:16">
      <c r="A802">
        <v>195.25</v>
      </c>
      <c r="B802">
        <v>165.06</v>
      </c>
      <c r="C802">
        <v>122.51</v>
      </c>
      <c r="D802">
        <v>250.12</v>
      </c>
      <c r="E802">
        <v>164.9</v>
      </c>
      <c r="F802">
        <v>152.28</v>
      </c>
      <c r="G802">
        <v>162.34</v>
      </c>
      <c r="H802">
        <v>91.67</v>
      </c>
      <c r="K802" s="9">
        <f t="shared" si="43"/>
        <v>2.269999999999996</v>
      </c>
      <c r="L802">
        <f t="shared" si="43"/>
        <v>-4.0600000000000023</v>
      </c>
      <c r="M802">
        <f t="shared" si="43"/>
        <v>1.6099999999999852</v>
      </c>
      <c r="N802">
        <f t="shared" si="42"/>
        <v>-2.5</v>
      </c>
      <c r="O802">
        <f t="shared" si="42"/>
        <v>-1.5600000000000023</v>
      </c>
      <c r="P802" s="10">
        <f t="shared" si="42"/>
        <v>0.28000000000000114</v>
      </c>
    </row>
    <row r="803" spans="1:16">
      <c r="A803">
        <v>195.5</v>
      </c>
      <c r="B803">
        <v>164.62</v>
      </c>
      <c r="C803">
        <v>123.17</v>
      </c>
      <c r="D803">
        <v>250.34</v>
      </c>
      <c r="E803">
        <v>165.51</v>
      </c>
      <c r="F803">
        <v>151.34</v>
      </c>
      <c r="G803">
        <v>161.84</v>
      </c>
      <c r="H803">
        <v>91.67</v>
      </c>
      <c r="K803" s="9">
        <f t="shared" si="43"/>
        <v>2.1700000000000017</v>
      </c>
      <c r="L803">
        <f t="shared" si="43"/>
        <v>-8.7199999999999989</v>
      </c>
      <c r="M803">
        <f t="shared" si="43"/>
        <v>1.3300000000000125</v>
      </c>
      <c r="N803">
        <f t="shared" si="42"/>
        <v>-2.2800000000000011</v>
      </c>
      <c r="O803">
        <f t="shared" si="42"/>
        <v>-1.6100000000000136</v>
      </c>
      <c r="P803" s="10">
        <f t="shared" si="42"/>
        <v>0.39000000000000057</v>
      </c>
    </row>
    <row r="804" spans="1:16">
      <c r="A804">
        <v>195.75</v>
      </c>
      <c r="B804">
        <v>164.4</v>
      </c>
      <c r="C804">
        <v>124.01</v>
      </c>
      <c r="D804">
        <v>248.67</v>
      </c>
      <c r="E804">
        <v>166.12</v>
      </c>
      <c r="F804">
        <v>150.56</v>
      </c>
      <c r="G804">
        <v>161.28</v>
      </c>
      <c r="H804">
        <v>91.9</v>
      </c>
      <c r="K804" s="9">
        <f t="shared" si="43"/>
        <v>2</v>
      </c>
      <c r="L804">
        <f t="shared" si="43"/>
        <v>-11.159999999999997</v>
      </c>
      <c r="M804">
        <f t="shared" si="43"/>
        <v>0.88999999999998636</v>
      </c>
      <c r="N804">
        <f t="shared" si="42"/>
        <v>-2.0500000000000114</v>
      </c>
      <c r="O804">
        <f t="shared" si="42"/>
        <v>-1.6100000000000136</v>
      </c>
      <c r="P804" s="10">
        <f t="shared" si="42"/>
        <v>0.21999999999999886</v>
      </c>
    </row>
    <row r="805" spans="1:16">
      <c r="A805">
        <v>196</v>
      </c>
      <c r="B805">
        <v>164.06</v>
      </c>
      <c r="C805">
        <v>124.78</v>
      </c>
      <c r="D805">
        <v>246.06</v>
      </c>
      <c r="E805">
        <v>166.51</v>
      </c>
      <c r="F805">
        <v>149.78</v>
      </c>
      <c r="G805">
        <v>160.78</v>
      </c>
      <c r="H805">
        <v>91.95</v>
      </c>
      <c r="K805" s="9">
        <f t="shared" si="43"/>
        <v>1.6700000000000017</v>
      </c>
      <c r="L805">
        <f t="shared" si="43"/>
        <v>-12.330000000000013</v>
      </c>
      <c r="M805">
        <f t="shared" si="43"/>
        <v>0.55000000000001137</v>
      </c>
      <c r="N805">
        <f t="shared" si="42"/>
        <v>-1.9399999999999977</v>
      </c>
      <c r="O805">
        <f t="shared" si="42"/>
        <v>-1.6100000000000136</v>
      </c>
      <c r="P805" s="10">
        <f t="shared" si="42"/>
        <v>0.28000000000000114</v>
      </c>
    </row>
    <row r="806" spans="1:16">
      <c r="A806">
        <v>196.25</v>
      </c>
      <c r="B806">
        <v>163.78</v>
      </c>
      <c r="C806">
        <v>125.34</v>
      </c>
      <c r="D806">
        <v>241.62</v>
      </c>
      <c r="E806">
        <v>166.84</v>
      </c>
      <c r="F806">
        <v>149.06</v>
      </c>
      <c r="G806">
        <v>160.22999999999999</v>
      </c>
      <c r="H806">
        <v>92.06</v>
      </c>
      <c r="K806" s="9">
        <f t="shared" si="43"/>
        <v>1.6099999999999994</v>
      </c>
      <c r="L806">
        <f t="shared" si="43"/>
        <v>-11.450000000000017</v>
      </c>
      <c r="M806">
        <f t="shared" si="43"/>
        <v>0.16999999999998749</v>
      </c>
      <c r="N806">
        <f t="shared" si="42"/>
        <v>-1.7199999999999989</v>
      </c>
      <c r="O806">
        <f t="shared" si="42"/>
        <v>-1.5</v>
      </c>
      <c r="P806" s="10">
        <f t="shared" si="42"/>
        <v>0.17000000000000171</v>
      </c>
    </row>
    <row r="807" spans="1:16">
      <c r="A807">
        <v>196.5</v>
      </c>
      <c r="B807">
        <v>163.51</v>
      </c>
      <c r="C807">
        <v>126.01</v>
      </c>
      <c r="D807">
        <v>237.51</v>
      </c>
      <c r="E807">
        <v>167.01</v>
      </c>
      <c r="F807">
        <v>148.51</v>
      </c>
      <c r="G807">
        <v>159.66999999999999</v>
      </c>
      <c r="H807">
        <v>92.12</v>
      </c>
      <c r="K807" s="9">
        <f t="shared" si="43"/>
        <v>1.3900000000000006</v>
      </c>
      <c r="L807">
        <f t="shared" si="43"/>
        <v>-11</v>
      </c>
      <c r="M807">
        <f t="shared" si="43"/>
        <v>-6.0000000000002274E-2</v>
      </c>
      <c r="N807">
        <f t="shared" si="42"/>
        <v>-1.7299999999999898</v>
      </c>
      <c r="O807">
        <f t="shared" si="42"/>
        <v>-1.4399999999999977</v>
      </c>
      <c r="P807" s="10">
        <f t="shared" si="42"/>
        <v>0.21999999999999886</v>
      </c>
    </row>
    <row r="808" spans="1:16">
      <c r="A808">
        <v>196.75</v>
      </c>
      <c r="B808">
        <v>163.22999999999999</v>
      </c>
      <c r="C808">
        <v>126.45</v>
      </c>
      <c r="D808">
        <v>233.73</v>
      </c>
      <c r="E808">
        <v>167.06</v>
      </c>
      <c r="F808">
        <v>147.84</v>
      </c>
      <c r="G808">
        <v>159.16999999999999</v>
      </c>
      <c r="H808">
        <v>92.23</v>
      </c>
      <c r="K808" s="9">
        <f t="shared" si="43"/>
        <v>1.2800000000000011</v>
      </c>
      <c r="L808">
        <f t="shared" si="43"/>
        <v>-11</v>
      </c>
      <c r="M808">
        <f t="shared" si="43"/>
        <v>-0.39000000000001478</v>
      </c>
      <c r="N808">
        <f t="shared" si="42"/>
        <v>-1.5</v>
      </c>
      <c r="O808">
        <f t="shared" si="42"/>
        <v>-1.3899999999999864</v>
      </c>
      <c r="P808" s="10">
        <f t="shared" si="42"/>
        <v>0.21999999999999886</v>
      </c>
    </row>
    <row r="809" spans="1:16">
      <c r="A809">
        <v>197</v>
      </c>
      <c r="B809">
        <v>162.9</v>
      </c>
      <c r="C809">
        <v>126.95</v>
      </c>
      <c r="D809">
        <v>230.17</v>
      </c>
      <c r="E809">
        <v>167.01</v>
      </c>
      <c r="F809">
        <v>147.34</v>
      </c>
      <c r="G809">
        <v>158.72999999999999</v>
      </c>
      <c r="H809">
        <v>92.23</v>
      </c>
      <c r="K809" s="9">
        <f t="shared" si="43"/>
        <v>1.1099999999999994</v>
      </c>
      <c r="L809">
        <f t="shared" si="43"/>
        <v>-11.109999999999985</v>
      </c>
      <c r="M809">
        <f t="shared" si="43"/>
        <v>-0.66999999999998749</v>
      </c>
      <c r="N809">
        <f t="shared" si="42"/>
        <v>-1.3900000000000148</v>
      </c>
      <c r="O809">
        <f t="shared" si="42"/>
        <v>-1.4499999999999886</v>
      </c>
      <c r="P809" s="10">
        <f t="shared" si="42"/>
        <v>0.28000000000000114</v>
      </c>
    </row>
    <row r="810" spans="1:16">
      <c r="A810">
        <v>197.25</v>
      </c>
      <c r="B810">
        <v>162.56</v>
      </c>
      <c r="C810">
        <v>127.4</v>
      </c>
      <c r="D810">
        <v>226.51</v>
      </c>
      <c r="E810">
        <v>166.95</v>
      </c>
      <c r="F810">
        <v>146.78</v>
      </c>
      <c r="G810">
        <v>158.22999999999999</v>
      </c>
      <c r="H810">
        <v>92.34</v>
      </c>
      <c r="K810" s="9">
        <f t="shared" si="43"/>
        <v>1</v>
      </c>
      <c r="L810">
        <f t="shared" si="43"/>
        <v>-10.949999999999989</v>
      </c>
      <c r="M810">
        <f t="shared" si="43"/>
        <v>-1.1099999999999852</v>
      </c>
      <c r="N810">
        <f t="shared" si="42"/>
        <v>-1.2199999999999989</v>
      </c>
      <c r="O810">
        <f t="shared" si="42"/>
        <v>-1.3899999999999864</v>
      </c>
      <c r="P810" s="10">
        <f t="shared" si="42"/>
        <v>0.28000000000000114</v>
      </c>
    </row>
    <row r="811" spans="1:16">
      <c r="A811">
        <v>197.5</v>
      </c>
      <c r="B811">
        <v>162.28</v>
      </c>
      <c r="C811">
        <v>127.73</v>
      </c>
      <c r="D811">
        <v>222.73</v>
      </c>
      <c r="E811">
        <v>166.67</v>
      </c>
      <c r="F811">
        <v>146.34</v>
      </c>
      <c r="G811">
        <v>157.78</v>
      </c>
      <c r="H811">
        <v>92.45</v>
      </c>
      <c r="K811" s="9">
        <f t="shared" si="43"/>
        <v>0.99999999999998579</v>
      </c>
      <c r="L811">
        <f t="shared" si="43"/>
        <v>-10.449999999999989</v>
      </c>
      <c r="M811">
        <f t="shared" si="43"/>
        <v>-1.3299999999999841</v>
      </c>
      <c r="N811">
        <f t="shared" si="42"/>
        <v>-1.1700000000000159</v>
      </c>
      <c r="O811">
        <f t="shared" si="42"/>
        <v>-1.3300000000000125</v>
      </c>
      <c r="P811" s="10">
        <f t="shared" si="42"/>
        <v>0.28000000000000114</v>
      </c>
    </row>
    <row r="812" spans="1:16">
      <c r="A812">
        <v>197.75</v>
      </c>
      <c r="B812">
        <v>162.06</v>
      </c>
      <c r="C812">
        <v>128.06</v>
      </c>
      <c r="D812">
        <v>219.06</v>
      </c>
      <c r="E812">
        <v>166.34</v>
      </c>
      <c r="F812">
        <v>145.94999999999999</v>
      </c>
      <c r="G812">
        <v>157.28</v>
      </c>
      <c r="H812">
        <v>92.51</v>
      </c>
      <c r="K812" s="9">
        <f t="shared" si="43"/>
        <v>0.94999999999998863</v>
      </c>
      <c r="L812">
        <f t="shared" si="43"/>
        <v>-9.5500000000000114</v>
      </c>
      <c r="M812">
        <f t="shared" si="43"/>
        <v>-1.3900000000000148</v>
      </c>
      <c r="N812">
        <f t="shared" si="42"/>
        <v>-1.2199999999999989</v>
      </c>
      <c r="O812">
        <f t="shared" si="42"/>
        <v>-1.3300000000000125</v>
      </c>
      <c r="P812" s="10">
        <f t="shared" si="42"/>
        <v>0.39000000000000057</v>
      </c>
    </row>
    <row r="813" spans="1:16">
      <c r="A813">
        <v>198</v>
      </c>
      <c r="B813">
        <v>161.72999999999999</v>
      </c>
      <c r="C813">
        <v>128.4</v>
      </c>
      <c r="D813">
        <v>215.56</v>
      </c>
      <c r="E813">
        <v>165.84</v>
      </c>
      <c r="F813">
        <v>145.56</v>
      </c>
      <c r="G813">
        <v>156.84</v>
      </c>
      <c r="H813">
        <v>92.62</v>
      </c>
      <c r="K813" s="9">
        <f t="shared" si="43"/>
        <v>0.87999999999999545</v>
      </c>
      <c r="L813">
        <f t="shared" si="43"/>
        <v>-9.3300000000000125</v>
      </c>
      <c r="M813">
        <f t="shared" si="43"/>
        <v>-1.6100000000000136</v>
      </c>
      <c r="N813">
        <f t="shared" si="42"/>
        <v>-1.1100000000000136</v>
      </c>
      <c r="O813">
        <f t="shared" si="42"/>
        <v>-1.2800000000000011</v>
      </c>
      <c r="P813" s="10">
        <f t="shared" si="42"/>
        <v>0.39000000000000057</v>
      </c>
    </row>
    <row r="814" spans="1:16">
      <c r="A814">
        <v>198.25</v>
      </c>
      <c r="B814">
        <v>161.44999999999999</v>
      </c>
      <c r="C814">
        <v>128.72999999999999</v>
      </c>
      <c r="D814">
        <v>212.28</v>
      </c>
      <c r="E814">
        <v>165.34</v>
      </c>
      <c r="F814">
        <v>145.16999999999999</v>
      </c>
      <c r="G814">
        <v>156.44999999999999</v>
      </c>
      <c r="H814">
        <v>92.73</v>
      </c>
      <c r="K814" s="9">
        <f t="shared" si="43"/>
        <v>0.78000000000000114</v>
      </c>
      <c r="L814">
        <f t="shared" si="43"/>
        <v>-8.9399999999999977</v>
      </c>
      <c r="M814">
        <f t="shared" si="43"/>
        <v>-1.5600000000000023</v>
      </c>
      <c r="N814">
        <f t="shared" si="42"/>
        <v>-1.0499999999999829</v>
      </c>
      <c r="O814">
        <f t="shared" si="42"/>
        <v>-1.2800000000000011</v>
      </c>
      <c r="P814" s="10">
        <f t="shared" si="42"/>
        <v>0.39000000000000057</v>
      </c>
    </row>
    <row r="815" spans="1:16">
      <c r="A815">
        <v>198.5</v>
      </c>
      <c r="B815">
        <v>161.12</v>
      </c>
      <c r="C815">
        <v>129.01</v>
      </c>
      <c r="D815">
        <v>209.51</v>
      </c>
      <c r="E815">
        <v>164.95</v>
      </c>
      <c r="F815">
        <v>144.72999999999999</v>
      </c>
      <c r="G815">
        <v>155.94999999999999</v>
      </c>
      <c r="H815">
        <v>92.9</v>
      </c>
      <c r="K815" s="9">
        <f t="shared" si="43"/>
        <v>0.71999999999999886</v>
      </c>
      <c r="L815">
        <f t="shared" si="43"/>
        <v>-8.8899999999999864</v>
      </c>
      <c r="M815">
        <f t="shared" si="43"/>
        <v>-1.7199999999999989</v>
      </c>
      <c r="N815">
        <f t="shared" si="42"/>
        <v>-0.88999999999998636</v>
      </c>
      <c r="O815">
        <f t="shared" si="42"/>
        <v>-1.1099999999999852</v>
      </c>
      <c r="P815" s="10">
        <f t="shared" si="42"/>
        <v>0.26999999999999602</v>
      </c>
    </row>
    <row r="816" spans="1:16">
      <c r="A816">
        <v>198.75</v>
      </c>
      <c r="B816">
        <v>160.9</v>
      </c>
      <c r="C816">
        <v>129.28</v>
      </c>
      <c r="D816">
        <v>206.23</v>
      </c>
      <c r="E816">
        <v>164.23</v>
      </c>
      <c r="F816">
        <v>144.44999999999999</v>
      </c>
      <c r="G816">
        <v>155.56</v>
      </c>
      <c r="H816">
        <v>93.01</v>
      </c>
      <c r="K816" s="9">
        <f t="shared" si="43"/>
        <v>0.84000000000000341</v>
      </c>
      <c r="L816">
        <f t="shared" si="43"/>
        <v>-7.1099999999999852</v>
      </c>
      <c r="M816">
        <f t="shared" si="43"/>
        <v>-1.5600000000000023</v>
      </c>
      <c r="N816">
        <f t="shared" si="42"/>
        <v>-0.93999999999999773</v>
      </c>
      <c r="O816">
        <f t="shared" si="42"/>
        <v>-1.1100000000000136</v>
      </c>
      <c r="P816" s="10">
        <f t="shared" si="42"/>
        <v>0.26999999999999602</v>
      </c>
    </row>
    <row r="817" spans="1:16">
      <c r="A817">
        <v>199</v>
      </c>
      <c r="B817">
        <v>160.56</v>
      </c>
      <c r="C817">
        <v>129.51</v>
      </c>
      <c r="D817">
        <v>203.34</v>
      </c>
      <c r="E817">
        <v>163.78</v>
      </c>
      <c r="F817">
        <v>144.12</v>
      </c>
      <c r="G817">
        <v>155.16999999999999</v>
      </c>
      <c r="H817">
        <v>93.12</v>
      </c>
      <c r="K817" s="9">
        <f t="shared" si="43"/>
        <v>0.93999999999999773</v>
      </c>
      <c r="L817">
        <f t="shared" si="43"/>
        <v>-6.7800000000000011</v>
      </c>
      <c r="M817">
        <f t="shared" si="43"/>
        <v>-1.5500000000000114</v>
      </c>
      <c r="N817">
        <f t="shared" si="42"/>
        <v>-0.84000000000000341</v>
      </c>
      <c r="O817">
        <f t="shared" si="42"/>
        <v>-1.0499999999999829</v>
      </c>
      <c r="P817" s="10">
        <f t="shared" si="42"/>
        <v>0.32999999999999829</v>
      </c>
    </row>
    <row r="818" spans="1:16">
      <c r="A818">
        <v>199.25</v>
      </c>
      <c r="B818">
        <v>160.28</v>
      </c>
      <c r="C818">
        <v>129.72999999999999</v>
      </c>
      <c r="D818">
        <v>200.62</v>
      </c>
      <c r="E818">
        <v>163.22999999999999</v>
      </c>
      <c r="F818">
        <v>143.84</v>
      </c>
      <c r="G818">
        <v>154.84</v>
      </c>
      <c r="H818">
        <v>93.17</v>
      </c>
      <c r="K818" s="9">
        <f t="shared" si="43"/>
        <v>1.1100000000000136</v>
      </c>
      <c r="L818">
        <f t="shared" si="43"/>
        <v>-6.5</v>
      </c>
      <c r="M818">
        <f t="shared" si="43"/>
        <v>-1.5</v>
      </c>
      <c r="N818">
        <f t="shared" si="42"/>
        <v>-0.89000000000001478</v>
      </c>
      <c r="O818">
        <f t="shared" si="42"/>
        <v>-1.0600000000000023</v>
      </c>
      <c r="P818" s="10">
        <f t="shared" si="42"/>
        <v>0.39000000000000057</v>
      </c>
    </row>
    <row r="819" spans="1:16">
      <c r="A819">
        <v>199.5</v>
      </c>
      <c r="B819">
        <v>159.94999999999999</v>
      </c>
      <c r="C819">
        <v>130.12</v>
      </c>
      <c r="D819">
        <v>199.12</v>
      </c>
      <c r="E819">
        <v>162.66999999999999</v>
      </c>
      <c r="F819">
        <v>143.51</v>
      </c>
      <c r="G819">
        <v>154.44999999999999</v>
      </c>
      <c r="H819">
        <v>93.28</v>
      </c>
      <c r="K819" s="9">
        <f t="shared" si="43"/>
        <v>1.2199999999999989</v>
      </c>
      <c r="L819">
        <f t="shared" si="43"/>
        <v>-7.3400000000000034</v>
      </c>
      <c r="M819">
        <f t="shared" si="43"/>
        <v>-1.6099999999999852</v>
      </c>
      <c r="N819">
        <f t="shared" si="42"/>
        <v>-0.78000000000000114</v>
      </c>
      <c r="O819">
        <f t="shared" si="42"/>
        <v>-1</v>
      </c>
      <c r="P819" s="10">
        <f t="shared" si="42"/>
        <v>0.28000000000000114</v>
      </c>
    </row>
    <row r="820" spans="1:16">
      <c r="A820">
        <v>199.75</v>
      </c>
      <c r="B820">
        <v>159.72999999999999</v>
      </c>
      <c r="C820">
        <v>130.44999999999999</v>
      </c>
      <c r="D820">
        <v>196.56</v>
      </c>
      <c r="E820">
        <v>162.22999999999999</v>
      </c>
      <c r="F820">
        <v>143.28</v>
      </c>
      <c r="G820">
        <v>154.12</v>
      </c>
      <c r="H820">
        <v>93.45</v>
      </c>
      <c r="K820" s="9">
        <f t="shared" si="43"/>
        <v>1.3900000000000148</v>
      </c>
      <c r="L820">
        <f t="shared" si="43"/>
        <v>-6.9399999999999977</v>
      </c>
      <c r="M820">
        <f t="shared" si="43"/>
        <v>-1.6699999999999875</v>
      </c>
      <c r="N820">
        <f t="shared" si="42"/>
        <v>-0.83000000000001251</v>
      </c>
      <c r="O820">
        <f t="shared" si="42"/>
        <v>-0.95000000000001705</v>
      </c>
      <c r="P820" s="10">
        <f t="shared" si="42"/>
        <v>0.28000000000000114</v>
      </c>
    </row>
    <row r="821" spans="1:16">
      <c r="A821">
        <v>200</v>
      </c>
      <c r="B821">
        <v>159.51</v>
      </c>
      <c r="C821">
        <v>130.84</v>
      </c>
      <c r="D821">
        <v>194.12</v>
      </c>
      <c r="E821">
        <v>161.72999999999999</v>
      </c>
      <c r="F821">
        <v>142.94999999999999</v>
      </c>
      <c r="G821">
        <v>153.78</v>
      </c>
      <c r="H821">
        <v>93.56</v>
      </c>
      <c r="K821" s="9">
        <f t="shared" si="43"/>
        <v>1.4399999999999977</v>
      </c>
      <c r="L821">
        <f t="shared" si="43"/>
        <v>-6.5</v>
      </c>
      <c r="M821">
        <f t="shared" si="43"/>
        <v>-1.6099999999999852</v>
      </c>
      <c r="N821">
        <f t="shared" si="42"/>
        <v>-0.78000000000000114</v>
      </c>
      <c r="O821">
        <f t="shared" si="42"/>
        <v>-0.87999999999999545</v>
      </c>
      <c r="P821" s="10">
        <f t="shared" si="42"/>
        <v>0.28000000000000114</v>
      </c>
    </row>
    <row r="822" spans="1:16">
      <c r="A822">
        <v>200.25</v>
      </c>
      <c r="B822">
        <v>159.28</v>
      </c>
      <c r="C822">
        <v>131.34</v>
      </c>
      <c r="D822">
        <v>191.78</v>
      </c>
      <c r="E822">
        <v>161.06</v>
      </c>
      <c r="F822">
        <v>142.72999999999999</v>
      </c>
      <c r="G822">
        <v>153.44999999999999</v>
      </c>
      <c r="H822">
        <v>93.56</v>
      </c>
      <c r="K822" s="9">
        <f t="shared" si="43"/>
        <v>1.5</v>
      </c>
      <c r="L822">
        <f t="shared" si="43"/>
        <v>-6.0500000000000114</v>
      </c>
      <c r="M822">
        <f t="shared" si="43"/>
        <v>-1.4399999999999977</v>
      </c>
      <c r="N822">
        <f t="shared" si="42"/>
        <v>-0.82999999999998408</v>
      </c>
      <c r="O822">
        <f t="shared" si="42"/>
        <v>-0.82999999999998408</v>
      </c>
      <c r="P822" s="10">
        <f t="shared" si="42"/>
        <v>0.28000000000000114</v>
      </c>
    </row>
    <row r="823" spans="1:16">
      <c r="A823">
        <v>200.5</v>
      </c>
      <c r="B823">
        <v>159.01</v>
      </c>
      <c r="C823">
        <v>131.84</v>
      </c>
      <c r="D823">
        <v>189.62</v>
      </c>
      <c r="E823">
        <v>160.56</v>
      </c>
      <c r="F823">
        <v>142.44999999999999</v>
      </c>
      <c r="G823">
        <v>153.16999999999999</v>
      </c>
      <c r="H823">
        <v>93.73</v>
      </c>
      <c r="K823" s="9">
        <f t="shared" si="43"/>
        <v>1.5600000000000023</v>
      </c>
      <c r="L823">
        <f t="shared" si="43"/>
        <v>-5.6700000000000159</v>
      </c>
      <c r="M823">
        <f t="shared" si="43"/>
        <v>-1.4399999999999977</v>
      </c>
      <c r="N823">
        <f t="shared" si="42"/>
        <v>-0.71999999999999886</v>
      </c>
      <c r="O823">
        <f t="shared" si="42"/>
        <v>-0.82999999999998408</v>
      </c>
      <c r="P823" s="10">
        <f t="shared" si="42"/>
        <v>0.28000000000000114</v>
      </c>
    </row>
    <row r="824" spans="1:16">
      <c r="A824">
        <v>200.75</v>
      </c>
      <c r="B824">
        <v>158.72999999999999</v>
      </c>
      <c r="C824">
        <v>132.28</v>
      </c>
      <c r="D824">
        <v>187.62</v>
      </c>
      <c r="E824">
        <v>160.12</v>
      </c>
      <c r="F824">
        <v>142.16999999999999</v>
      </c>
      <c r="G824">
        <v>152.9</v>
      </c>
      <c r="H824">
        <v>93.84</v>
      </c>
      <c r="K824" s="9">
        <f t="shared" si="43"/>
        <v>1.6699999999999875</v>
      </c>
      <c r="L824">
        <f t="shared" si="43"/>
        <v>-5.4500000000000171</v>
      </c>
      <c r="M824">
        <f t="shared" si="43"/>
        <v>-1.4500000000000171</v>
      </c>
      <c r="N824">
        <f t="shared" si="42"/>
        <v>-0.65999999999999659</v>
      </c>
      <c r="O824">
        <f t="shared" si="42"/>
        <v>-0.89000000000001478</v>
      </c>
      <c r="P824" s="10">
        <f t="shared" si="42"/>
        <v>0.28000000000000114</v>
      </c>
    </row>
    <row r="825" spans="1:16">
      <c r="A825">
        <v>201</v>
      </c>
      <c r="B825">
        <v>158.4</v>
      </c>
      <c r="C825">
        <v>132.84</v>
      </c>
      <c r="D825">
        <v>185.73</v>
      </c>
      <c r="E825">
        <v>159.62</v>
      </c>
      <c r="F825">
        <v>141.9</v>
      </c>
      <c r="G825">
        <v>152.62</v>
      </c>
      <c r="H825">
        <v>93.84</v>
      </c>
      <c r="K825" s="9">
        <f t="shared" si="43"/>
        <v>1.7199999999999989</v>
      </c>
      <c r="L825">
        <f t="shared" si="43"/>
        <v>-5.3299999999999841</v>
      </c>
      <c r="M825">
        <f t="shared" si="43"/>
        <v>-1.3900000000000148</v>
      </c>
      <c r="N825">
        <f t="shared" si="42"/>
        <v>-0.67000000000001592</v>
      </c>
      <c r="O825">
        <f t="shared" si="42"/>
        <v>-0.89000000000001478</v>
      </c>
      <c r="P825" s="10">
        <f t="shared" si="42"/>
        <v>0.28000000000000114</v>
      </c>
    </row>
    <row r="826" spans="1:16">
      <c r="A826">
        <v>201.25</v>
      </c>
      <c r="B826">
        <v>158.16999999999999</v>
      </c>
      <c r="C826">
        <v>133.4</v>
      </c>
      <c r="D826">
        <v>183.95</v>
      </c>
      <c r="E826">
        <v>159.12</v>
      </c>
      <c r="F826">
        <v>141.72999999999999</v>
      </c>
      <c r="G826">
        <v>152.34</v>
      </c>
      <c r="H826">
        <v>94.01</v>
      </c>
      <c r="K826" s="9">
        <f t="shared" si="43"/>
        <v>1.8299999999999841</v>
      </c>
      <c r="L826">
        <f t="shared" si="43"/>
        <v>-4.9399999999999977</v>
      </c>
      <c r="M826">
        <f t="shared" si="43"/>
        <v>-1.2199999999999989</v>
      </c>
      <c r="N826">
        <f t="shared" si="42"/>
        <v>-0.66999999999998749</v>
      </c>
      <c r="O826">
        <f t="shared" si="42"/>
        <v>-0.78000000000000114</v>
      </c>
      <c r="P826" s="10">
        <f t="shared" si="42"/>
        <v>0.26999999999999602</v>
      </c>
    </row>
    <row r="827" spans="1:16">
      <c r="A827">
        <v>201.5</v>
      </c>
      <c r="B827">
        <v>157.94999999999999</v>
      </c>
      <c r="C827">
        <v>133.94999999999999</v>
      </c>
      <c r="D827">
        <v>182.17</v>
      </c>
      <c r="E827">
        <v>158.66999999999999</v>
      </c>
      <c r="F827">
        <v>141.51</v>
      </c>
      <c r="G827">
        <v>152.01</v>
      </c>
      <c r="H827">
        <v>94.12</v>
      </c>
      <c r="K827" s="9">
        <f t="shared" si="43"/>
        <v>1.9500000000000171</v>
      </c>
      <c r="L827">
        <f t="shared" si="43"/>
        <v>-4.6099999999999852</v>
      </c>
      <c r="M827">
        <f t="shared" si="43"/>
        <v>-1.1099999999999852</v>
      </c>
      <c r="N827">
        <f t="shared" si="42"/>
        <v>-0.60999999999998522</v>
      </c>
      <c r="O827">
        <f t="shared" si="42"/>
        <v>-0.72999999999998977</v>
      </c>
      <c r="P827" s="10">
        <f t="shared" si="42"/>
        <v>0.28000000000000114</v>
      </c>
    </row>
    <row r="828" spans="1:16">
      <c r="A828">
        <v>201.75</v>
      </c>
      <c r="B828">
        <v>157.62</v>
      </c>
      <c r="C828">
        <v>134.56</v>
      </c>
      <c r="D828">
        <v>180.4</v>
      </c>
      <c r="E828">
        <v>158.22999999999999</v>
      </c>
      <c r="F828">
        <v>141.22999999999999</v>
      </c>
      <c r="G828">
        <v>151.72999999999999</v>
      </c>
      <c r="H828">
        <v>94.12</v>
      </c>
      <c r="K828" s="9">
        <f t="shared" si="43"/>
        <v>1.9499999999999886</v>
      </c>
      <c r="L828">
        <f t="shared" si="43"/>
        <v>-4.1700000000000159</v>
      </c>
      <c r="M828">
        <f t="shared" si="43"/>
        <v>-1.1099999999999852</v>
      </c>
      <c r="N828">
        <f t="shared" si="42"/>
        <v>-0.5</v>
      </c>
      <c r="O828">
        <f t="shared" si="42"/>
        <v>-0.66999999999998749</v>
      </c>
      <c r="P828" s="10">
        <f t="shared" si="42"/>
        <v>0.39000000000000057</v>
      </c>
    </row>
    <row r="829" spans="1:16">
      <c r="A829">
        <v>202</v>
      </c>
      <c r="B829">
        <v>157.4</v>
      </c>
      <c r="C829">
        <v>135.22999999999999</v>
      </c>
      <c r="D829">
        <v>179.01</v>
      </c>
      <c r="E829">
        <v>157.9</v>
      </c>
      <c r="F829">
        <v>141.06</v>
      </c>
      <c r="G829">
        <v>151.56</v>
      </c>
      <c r="H829">
        <v>94.28</v>
      </c>
      <c r="K829" s="9">
        <f t="shared" si="43"/>
        <v>1.9399999999999977</v>
      </c>
      <c r="L829">
        <f t="shared" si="43"/>
        <v>-4.1699999999999875</v>
      </c>
      <c r="M829">
        <f t="shared" si="43"/>
        <v>-1.1700000000000159</v>
      </c>
      <c r="N829">
        <f t="shared" si="42"/>
        <v>-0.43999999999999773</v>
      </c>
      <c r="O829">
        <f t="shared" si="42"/>
        <v>-0.78000000000000114</v>
      </c>
      <c r="P829" s="10">
        <f t="shared" si="42"/>
        <v>0.23000000000000398</v>
      </c>
    </row>
    <row r="830" spans="1:16">
      <c r="A830">
        <v>202.25</v>
      </c>
      <c r="B830">
        <v>157.16999999999999</v>
      </c>
      <c r="C830">
        <v>135.9</v>
      </c>
      <c r="D830">
        <v>177.56</v>
      </c>
      <c r="E830">
        <v>157.56</v>
      </c>
      <c r="F830">
        <v>140.9</v>
      </c>
      <c r="G830">
        <v>151.28</v>
      </c>
      <c r="H830">
        <v>94.4</v>
      </c>
      <c r="K830" s="9">
        <f t="shared" si="43"/>
        <v>1.9399999999999977</v>
      </c>
      <c r="L830">
        <f t="shared" si="43"/>
        <v>-4</v>
      </c>
      <c r="M830">
        <f t="shared" si="43"/>
        <v>-1.1100000000000136</v>
      </c>
      <c r="N830">
        <f t="shared" si="42"/>
        <v>-0.39000000000001478</v>
      </c>
      <c r="O830">
        <f t="shared" si="42"/>
        <v>-0.65999999999999659</v>
      </c>
      <c r="P830" s="10">
        <f t="shared" si="42"/>
        <v>0.26999999999999602</v>
      </c>
    </row>
    <row r="831" spans="1:16">
      <c r="A831">
        <v>202.5</v>
      </c>
      <c r="B831">
        <v>156.9</v>
      </c>
      <c r="C831">
        <v>136.51</v>
      </c>
      <c r="D831">
        <v>176.23</v>
      </c>
      <c r="E831">
        <v>157.12</v>
      </c>
      <c r="F831">
        <v>140.72999999999999</v>
      </c>
      <c r="G831">
        <v>151.06</v>
      </c>
      <c r="H831">
        <v>94.51</v>
      </c>
      <c r="K831" s="9">
        <f t="shared" si="43"/>
        <v>1.8900000000000148</v>
      </c>
      <c r="L831">
        <f t="shared" si="43"/>
        <v>-4</v>
      </c>
      <c r="M831">
        <f t="shared" si="43"/>
        <v>-1.0600000000000023</v>
      </c>
      <c r="N831">
        <f t="shared" si="42"/>
        <v>-0.44999999999998863</v>
      </c>
      <c r="O831">
        <f t="shared" si="42"/>
        <v>-0.61000000000001364</v>
      </c>
      <c r="P831" s="10">
        <f t="shared" si="42"/>
        <v>0.21999999999999886</v>
      </c>
    </row>
    <row r="832" spans="1:16">
      <c r="A832">
        <v>202.75</v>
      </c>
      <c r="B832">
        <v>156.66999999999999</v>
      </c>
      <c r="C832">
        <v>137.16999999999999</v>
      </c>
      <c r="D832">
        <v>174.84</v>
      </c>
      <c r="E832">
        <v>156.72999999999999</v>
      </c>
      <c r="F832">
        <v>140.62</v>
      </c>
      <c r="G832">
        <v>150.78</v>
      </c>
      <c r="H832">
        <v>94.51</v>
      </c>
      <c r="K832" s="9">
        <f t="shared" si="43"/>
        <v>1.9500000000000171</v>
      </c>
      <c r="L832">
        <f t="shared" si="43"/>
        <v>-3.7800000000000011</v>
      </c>
      <c r="M832">
        <f t="shared" si="43"/>
        <v>-0.88999999999998636</v>
      </c>
      <c r="N832">
        <f t="shared" si="42"/>
        <v>-0.56000000000000227</v>
      </c>
      <c r="O832">
        <f t="shared" si="42"/>
        <v>-0.61000000000001364</v>
      </c>
      <c r="P832" s="10">
        <f t="shared" si="42"/>
        <v>0.32999999999999829</v>
      </c>
    </row>
    <row r="833" spans="1:16">
      <c r="A833">
        <v>203</v>
      </c>
      <c r="B833">
        <v>156.44999999999999</v>
      </c>
      <c r="C833">
        <v>137.84</v>
      </c>
      <c r="D833">
        <v>173.56</v>
      </c>
      <c r="E833">
        <v>156.44999999999999</v>
      </c>
      <c r="F833">
        <v>140.51</v>
      </c>
      <c r="G833">
        <v>150.62</v>
      </c>
      <c r="H833">
        <v>94.67</v>
      </c>
      <c r="K833" s="9">
        <f t="shared" si="43"/>
        <v>1.7199999999999989</v>
      </c>
      <c r="L833">
        <f t="shared" si="43"/>
        <v>-3.8300000000000125</v>
      </c>
      <c r="M833">
        <f t="shared" si="43"/>
        <v>-0.93999999999999773</v>
      </c>
      <c r="N833">
        <f t="shared" si="42"/>
        <v>-0.56000000000000227</v>
      </c>
      <c r="O833">
        <f t="shared" si="42"/>
        <v>-0.78000000000000114</v>
      </c>
      <c r="P833" s="10">
        <f t="shared" si="42"/>
        <v>0.23000000000000398</v>
      </c>
    </row>
    <row r="834" spans="1:16">
      <c r="A834">
        <v>203.25</v>
      </c>
      <c r="B834">
        <v>156.22999999999999</v>
      </c>
      <c r="C834">
        <v>138.4</v>
      </c>
      <c r="D834">
        <v>172.23</v>
      </c>
      <c r="E834">
        <v>156.06</v>
      </c>
      <c r="F834">
        <v>140.28</v>
      </c>
      <c r="G834">
        <v>150.44999999999999</v>
      </c>
      <c r="H834">
        <v>94.73</v>
      </c>
      <c r="K834" s="9">
        <f t="shared" si="43"/>
        <v>1.8299999999999841</v>
      </c>
      <c r="L834">
        <f t="shared" si="43"/>
        <v>-3.6099999999999852</v>
      </c>
      <c r="M834">
        <f t="shared" si="43"/>
        <v>-0.93999999999999773</v>
      </c>
      <c r="N834">
        <f t="shared" si="42"/>
        <v>-0.43999999999999773</v>
      </c>
      <c r="O834">
        <f t="shared" si="42"/>
        <v>-0.71999999999999886</v>
      </c>
      <c r="P834" s="10">
        <f t="shared" si="42"/>
        <v>0.39000000000000057</v>
      </c>
    </row>
    <row r="835" spans="1:16">
      <c r="A835">
        <v>203.5</v>
      </c>
      <c r="B835">
        <v>156.01</v>
      </c>
      <c r="C835">
        <v>139.12</v>
      </c>
      <c r="D835">
        <v>171.06</v>
      </c>
      <c r="E835">
        <v>155.84</v>
      </c>
      <c r="F835">
        <v>140.06</v>
      </c>
      <c r="G835">
        <v>150.16999999999999</v>
      </c>
      <c r="H835">
        <v>94.84</v>
      </c>
      <c r="K835" s="9">
        <f t="shared" si="43"/>
        <v>1.6099999999999852</v>
      </c>
      <c r="L835">
        <f t="shared" si="43"/>
        <v>-3.5</v>
      </c>
      <c r="M835">
        <f t="shared" si="43"/>
        <v>-1</v>
      </c>
      <c r="N835">
        <f t="shared" si="42"/>
        <v>-0.28000000000000114</v>
      </c>
      <c r="O835">
        <f t="shared" si="42"/>
        <v>-0.71999999999999886</v>
      </c>
      <c r="P835" s="10">
        <f t="shared" si="42"/>
        <v>0.39000000000000057</v>
      </c>
    </row>
    <row r="836" spans="1:16">
      <c r="A836">
        <v>203.75</v>
      </c>
      <c r="B836">
        <v>155.78</v>
      </c>
      <c r="C836">
        <v>139.56</v>
      </c>
      <c r="D836">
        <v>169.73</v>
      </c>
      <c r="E836">
        <v>155.51</v>
      </c>
      <c r="F836">
        <v>139.94999999999999</v>
      </c>
      <c r="G836">
        <v>149.84</v>
      </c>
      <c r="H836">
        <v>94.9</v>
      </c>
      <c r="K836" s="9">
        <f t="shared" si="43"/>
        <v>1.7199999999999989</v>
      </c>
      <c r="L836">
        <f t="shared" si="43"/>
        <v>-3.2199999999999989</v>
      </c>
      <c r="M836">
        <f t="shared" si="43"/>
        <v>-0.94999999999998863</v>
      </c>
      <c r="N836">
        <f t="shared" si="42"/>
        <v>-0.38999999999998636</v>
      </c>
      <c r="O836">
        <f t="shared" si="42"/>
        <v>-0.61000000000001364</v>
      </c>
      <c r="P836" s="10">
        <f t="shared" si="42"/>
        <v>0.32999999999999829</v>
      </c>
    </row>
    <row r="837" spans="1:16">
      <c r="A837">
        <v>204</v>
      </c>
      <c r="B837">
        <v>155.51</v>
      </c>
      <c r="C837">
        <v>140.22999999999999</v>
      </c>
      <c r="D837">
        <v>168.62</v>
      </c>
      <c r="E837">
        <v>155.12</v>
      </c>
      <c r="F837">
        <v>139.84</v>
      </c>
      <c r="G837">
        <v>149.72999999999999</v>
      </c>
      <c r="H837">
        <v>95.12</v>
      </c>
      <c r="K837" s="9">
        <f t="shared" si="43"/>
        <v>1.6100000000000136</v>
      </c>
      <c r="L837">
        <f t="shared" si="43"/>
        <v>-3.1100000000000136</v>
      </c>
      <c r="M837">
        <f t="shared" si="43"/>
        <v>-0.84000000000000341</v>
      </c>
      <c r="N837">
        <f t="shared" si="42"/>
        <v>-0.39000000000001478</v>
      </c>
      <c r="O837">
        <f t="shared" si="42"/>
        <v>-0.60999999999998522</v>
      </c>
      <c r="P837" s="10">
        <f t="shared" si="42"/>
        <v>0.21999999999999886</v>
      </c>
    </row>
    <row r="838" spans="1:16">
      <c r="A838">
        <v>204.25</v>
      </c>
      <c r="B838">
        <v>155.28</v>
      </c>
      <c r="C838">
        <v>140.72999999999999</v>
      </c>
      <c r="D838">
        <v>167.56</v>
      </c>
      <c r="E838">
        <v>154.84</v>
      </c>
      <c r="F838">
        <v>139.78</v>
      </c>
      <c r="G838">
        <v>149.44999999999999</v>
      </c>
      <c r="H838">
        <v>95.23</v>
      </c>
      <c r="K838" s="9">
        <f t="shared" si="43"/>
        <v>1.6700000000000159</v>
      </c>
      <c r="L838">
        <f t="shared" si="43"/>
        <v>-2.8900000000000148</v>
      </c>
      <c r="M838">
        <f t="shared" si="43"/>
        <v>-0.78000000000000114</v>
      </c>
      <c r="N838">
        <f t="shared" si="42"/>
        <v>-0.5</v>
      </c>
      <c r="O838">
        <f t="shared" si="42"/>
        <v>-0.5</v>
      </c>
      <c r="P838" s="10">
        <f t="shared" si="42"/>
        <v>0.32999999999999829</v>
      </c>
    </row>
    <row r="839" spans="1:16">
      <c r="A839">
        <v>204.5</v>
      </c>
      <c r="B839">
        <v>154.94999999999999</v>
      </c>
      <c r="C839">
        <v>141.28</v>
      </c>
      <c r="D839">
        <v>166.51</v>
      </c>
      <c r="E839">
        <v>154.56</v>
      </c>
      <c r="F839">
        <v>139.56</v>
      </c>
      <c r="G839">
        <v>149.22999999999999</v>
      </c>
      <c r="H839">
        <v>95.23</v>
      </c>
      <c r="K839" s="9">
        <f t="shared" si="43"/>
        <v>1.5600000000000023</v>
      </c>
      <c r="L839">
        <f t="shared" si="43"/>
        <v>-2.8899999999999864</v>
      </c>
      <c r="M839">
        <f t="shared" si="43"/>
        <v>-0.78000000000000114</v>
      </c>
      <c r="N839">
        <f t="shared" si="42"/>
        <v>-0.33000000000001251</v>
      </c>
      <c r="O839">
        <f t="shared" si="42"/>
        <v>-0.5</v>
      </c>
      <c r="P839" s="10">
        <f t="shared" si="42"/>
        <v>0.39000000000000057</v>
      </c>
    </row>
    <row r="840" spans="1:16">
      <c r="A840">
        <v>204.75</v>
      </c>
      <c r="B840">
        <v>154.84</v>
      </c>
      <c r="C840">
        <v>141.84</v>
      </c>
      <c r="D840">
        <v>165.51</v>
      </c>
      <c r="E840">
        <v>154.28</v>
      </c>
      <c r="F840">
        <v>139.44999999999999</v>
      </c>
      <c r="G840">
        <v>149.12</v>
      </c>
      <c r="H840">
        <v>95.34</v>
      </c>
      <c r="K840" s="9">
        <f t="shared" si="43"/>
        <v>1.5600000000000023</v>
      </c>
      <c r="L840">
        <f t="shared" si="43"/>
        <v>-2.7800000000000011</v>
      </c>
      <c r="M840">
        <f t="shared" si="43"/>
        <v>-0.65999999999999659</v>
      </c>
      <c r="N840">
        <f t="shared" si="42"/>
        <v>-0.32999999999998408</v>
      </c>
      <c r="O840">
        <f t="shared" si="42"/>
        <v>-0.56000000000000227</v>
      </c>
      <c r="P840" s="10">
        <f t="shared" si="42"/>
        <v>0.28000000000000114</v>
      </c>
    </row>
    <row r="841" spans="1:16">
      <c r="A841">
        <v>205</v>
      </c>
      <c r="B841">
        <v>154.62</v>
      </c>
      <c r="C841">
        <v>142.4</v>
      </c>
      <c r="D841">
        <v>164.67</v>
      </c>
      <c r="E841">
        <v>154.06</v>
      </c>
      <c r="F841">
        <v>139.28</v>
      </c>
      <c r="G841">
        <v>148.94999999999999</v>
      </c>
      <c r="H841">
        <v>95.56</v>
      </c>
      <c r="K841" s="9">
        <f t="shared" si="43"/>
        <v>1.4399999999999977</v>
      </c>
      <c r="L841">
        <f t="shared" si="43"/>
        <v>-2.6599999999999966</v>
      </c>
      <c r="M841">
        <f t="shared" si="43"/>
        <v>-0.61000000000001364</v>
      </c>
      <c r="N841">
        <f t="shared" si="42"/>
        <v>-0.27000000000001023</v>
      </c>
      <c r="O841">
        <f t="shared" si="42"/>
        <v>-0.5</v>
      </c>
      <c r="P841" s="10">
        <f t="shared" si="42"/>
        <v>0.21999999999999886</v>
      </c>
    </row>
    <row r="842" spans="1:16">
      <c r="A842">
        <v>205.25</v>
      </c>
      <c r="B842">
        <v>154.34</v>
      </c>
      <c r="C842">
        <v>142.84</v>
      </c>
      <c r="D842">
        <v>163.62</v>
      </c>
      <c r="E842">
        <v>153.78</v>
      </c>
      <c r="F842">
        <v>139.22999999999999</v>
      </c>
      <c r="G842">
        <v>148.72999999999999</v>
      </c>
      <c r="H842">
        <v>95.62</v>
      </c>
      <c r="K842" s="9">
        <f t="shared" si="43"/>
        <v>1.4399999999999977</v>
      </c>
      <c r="L842">
        <f t="shared" si="43"/>
        <v>-2.3400000000000034</v>
      </c>
      <c r="M842">
        <f t="shared" si="43"/>
        <v>-0.55000000000001137</v>
      </c>
      <c r="N842">
        <f t="shared" si="42"/>
        <v>-0.28000000000000114</v>
      </c>
      <c r="O842">
        <f t="shared" si="42"/>
        <v>-0.32999999999998408</v>
      </c>
      <c r="P842" s="10">
        <f t="shared" si="42"/>
        <v>0.15999999999999659</v>
      </c>
    </row>
    <row r="843" spans="1:16">
      <c r="A843">
        <v>205.5</v>
      </c>
      <c r="B843">
        <v>154.16999999999999</v>
      </c>
      <c r="C843">
        <v>143.4</v>
      </c>
      <c r="D843">
        <v>162.72999999999999</v>
      </c>
      <c r="E843">
        <v>153.62</v>
      </c>
      <c r="F843">
        <v>139.12</v>
      </c>
      <c r="G843">
        <v>148.56</v>
      </c>
      <c r="H843">
        <v>95.62</v>
      </c>
      <c r="K843" s="9">
        <f t="shared" si="43"/>
        <v>1.2199999999999989</v>
      </c>
      <c r="L843">
        <f t="shared" si="43"/>
        <v>-2.2199999999999989</v>
      </c>
      <c r="M843">
        <f t="shared" si="43"/>
        <v>-0.61000000000001364</v>
      </c>
      <c r="N843">
        <f t="shared" si="42"/>
        <v>-0.34000000000000341</v>
      </c>
      <c r="O843">
        <f t="shared" si="42"/>
        <v>-0.43999999999999773</v>
      </c>
      <c r="P843" s="10">
        <f t="shared" si="42"/>
        <v>0.28000000000000114</v>
      </c>
    </row>
    <row r="844" spans="1:16">
      <c r="A844">
        <v>205.75</v>
      </c>
      <c r="B844">
        <v>153.78</v>
      </c>
      <c r="C844">
        <v>143.84</v>
      </c>
      <c r="D844">
        <v>162.01</v>
      </c>
      <c r="E844">
        <v>153.44999999999999</v>
      </c>
      <c r="F844">
        <v>139.01</v>
      </c>
      <c r="G844">
        <v>148.44999999999999</v>
      </c>
      <c r="H844">
        <v>95.78</v>
      </c>
      <c r="K844" s="9">
        <f t="shared" si="43"/>
        <v>1.1099999999999852</v>
      </c>
      <c r="L844">
        <f t="shared" si="43"/>
        <v>-2.1699999999999875</v>
      </c>
      <c r="M844">
        <f t="shared" si="43"/>
        <v>-0.66999999999998749</v>
      </c>
      <c r="N844">
        <f t="shared" si="42"/>
        <v>-0.28000000000000114</v>
      </c>
      <c r="O844">
        <f t="shared" si="42"/>
        <v>-0.5</v>
      </c>
      <c r="P844" s="10">
        <f t="shared" si="42"/>
        <v>0.23000000000000398</v>
      </c>
    </row>
    <row r="845" spans="1:16">
      <c r="A845">
        <v>206</v>
      </c>
      <c r="B845">
        <v>153.78</v>
      </c>
      <c r="C845">
        <v>144.28</v>
      </c>
      <c r="D845">
        <v>161.28</v>
      </c>
      <c r="E845">
        <v>153.22999999999999</v>
      </c>
      <c r="F845">
        <v>138.94999999999999</v>
      </c>
      <c r="G845">
        <v>148.4</v>
      </c>
      <c r="H845">
        <v>95.78</v>
      </c>
      <c r="K845" s="9">
        <f t="shared" si="43"/>
        <v>1.0600000000000023</v>
      </c>
      <c r="L845">
        <f t="shared" si="43"/>
        <v>-2.0500000000000114</v>
      </c>
      <c r="M845">
        <f t="shared" si="43"/>
        <v>-0.66999999999998749</v>
      </c>
      <c r="N845">
        <f t="shared" si="42"/>
        <v>-0.32999999999998408</v>
      </c>
      <c r="O845">
        <f t="shared" si="42"/>
        <v>-0.56000000000000227</v>
      </c>
      <c r="P845" s="10">
        <f t="shared" si="42"/>
        <v>0.28000000000000114</v>
      </c>
    </row>
    <row r="846" spans="1:16">
      <c r="A846">
        <v>206.25</v>
      </c>
      <c r="B846">
        <v>153.51</v>
      </c>
      <c r="C846">
        <v>144.62</v>
      </c>
      <c r="D846">
        <v>160.51</v>
      </c>
      <c r="E846">
        <v>153.01</v>
      </c>
      <c r="F846">
        <v>138.78</v>
      </c>
      <c r="G846">
        <v>148.12</v>
      </c>
      <c r="H846">
        <v>95.9</v>
      </c>
      <c r="K846" s="9">
        <f t="shared" si="43"/>
        <v>1.1599999999999966</v>
      </c>
      <c r="L846">
        <f t="shared" si="43"/>
        <v>-1.8899999999999864</v>
      </c>
      <c r="M846">
        <f t="shared" si="43"/>
        <v>-0.60999999999998522</v>
      </c>
      <c r="N846">
        <f t="shared" si="42"/>
        <v>-0.21999999999999886</v>
      </c>
      <c r="O846">
        <f t="shared" si="42"/>
        <v>-0.39000000000001478</v>
      </c>
      <c r="P846" s="10">
        <f t="shared" si="42"/>
        <v>0.26999999999999602</v>
      </c>
    </row>
    <row r="847" spans="1:16">
      <c r="A847">
        <v>206.5</v>
      </c>
      <c r="B847">
        <v>153.22999999999999</v>
      </c>
      <c r="C847">
        <v>144.94999999999999</v>
      </c>
      <c r="D847">
        <v>159.84</v>
      </c>
      <c r="E847">
        <v>152.78</v>
      </c>
      <c r="F847">
        <v>138.72999999999999</v>
      </c>
      <c r="G847">
        <v>147.94999999999999</v>
      </c>
      <c r="H847">
        <v>96.01</v>
      </c>
      <c r="K847" s="9">
        <f t="shared" si="43"/>
        <v>1.0600000000000023</v>
      </c>
      <c r="L847">
        <f t="shared" si="43"/>
        <v>-1.8300000000000125</v>
      </c>
      <c r="M847">
        <f t="shared" si="43"/>
        <v>-0.61000000000001364</v>
      </c>
      <c r="N847">
        <f t="shared" si="42"/>
        <v>-0.28000000000000114</v>
      </c>
      <c r="O847">
        <f t="shared" si="42"/>
        <v>-0.28000000000000114</v>
      </c>
      <c r="P847" s="10">
        <f t="shared" si="42"/>
        <v>0.21999999999999886</v>
      </c>
    </row>
    <row r="848" spans="1:16">
      <c r="A848">
        <v>206.75</v>
      </c>
      <c r="B848">
        <v>153.12</v>
      </c>
      <c r="C848">
        <v>145.34</v>
      </c>
      <c r="D848">
        <v>159.22999999999999</v>
      </c>
      <c r="E848">
        <v>152.56</v>
      </c>
      <c r="F848">
        <v>138.62</v>
      </c>
      <c r="G848">
        <v>147.84</v>
      </c>
      <c r="H848">
        <v>96.06</v>
      </c>
      <c r="K848" s="9">
        <f t="shared" si="43"/>
        <v>0.93999999999999773</v>
      </c>
      <c r="L848">
        <f t="shared" si="43"/>
        <v>-1.8299999999999841</v>
      </c>
      <c r="M848">
        <f t="shared" si="43"/>
        <v>-0.55000000000001137</v>
      </c>
      <c r="N848">
        <f t="shared" si="42"/>
        <v>-0.21999999999999886</v>
      </c>
      <c r="O848">
        <f t="shared" si="42"/>
        <v>-0.28000000000000114</v>
      </c>
      <c r="P848" s="10">
        <f t="shared" si="42"/>
        <v>0.39000000000000057</v>
      </c>
    </row>
    <row r="849" spans="1:16">
      <c r="A849">
        <v>207</v>
      </c>
      <c r="B849">
        <v>152.84</v>
      </c>
      <c r="C849">
        <v>145.78</v>
      </c>
      <c r="D849">
        <v>158.62</v>
      </c>
      <c r="E849">
        <v>152.4</v>
      </c>
      <c r="F849">
        <v>138.56</v>
      </c>
      <c r="G849">
        <v>147.72999999999999</v>
      </c>
      <c r="H849">
        <v>96.17</v>
      </c>
      <c r="K849" s="9">
        <f t="shared" si="43"/>
        <v>0.84000000000000341</v>
      </c>
      <c r="L849">
        <f t="shared" si="43"/>
        <v>-1.7199999999999989</v>
      </c>
      <c r="M849">
        <f t="shared" si="43"/>
        <v>-0.62000000000000455</v>
      </c>
      <c r="N849">
        <f t="shared" si="42"/>
        <v>-0.28000000000000114</v>
      </c>
      <c r="O849">
        <f t="shared" si="42"/>
        <v>-0.32999999999998408</v>
      </c>
      <c r="P849" s="10">
        <f t="shared" si="42"/>
        <v>0.23000000000000398</v>
      </c>
    </row>
    <row r="850" spans="1:16">
      <c r="A850">
        <v>207.25</v>
      </c>
      <c r="B850">
        <v>152.66999999999999</v>
      </c>
      <c r="C850">
        <v>146.01</v>
      </c>
      <c r="D850">
        <v>158.01</v>
      </c>
      <c r="E850">
        <v>152.16999999999999</v>
      </c>
      <c r="F850">
        <v>138.44999999999999</v>
      </c>
      <c r="G850">
        <v>147.66999999999999</v>
      </c>
      <c r="H850">
        <v>96.23</v>
      </c>
      <c r="K850" s="9">
        <f t="shared" si="43"/>
        <v>0.77000000000001023</v>
      </c>
      <c r="L850">
        <f t="shared" si="43"/>
        <v>-1.6099999999999852</v>
      </c>
      <c r="M850">
        <f t="shared" si="43"/>
        <v>-0.54999999999998295</v>
      </c>
      <c r="N850">
        <f t="shared" si="42"/>
        <v>-0.21999999999999886</v>
      </c>
      <c r="O850">
        <f t="shared" si="42"/>
        <v>-0.43999999999999773</v>
      </c>
      <c r="P850" s="10">
        <f t="shared" si="42"/>
        <v>0.32999999999999829</v>
      </c>
    </row>
    <row r="851" spans="1:16">
      <c r="A851">
        <v>207.5</v>
      </c>
      <c r="B851">
        <v>152.44999999999999</v>
      </c>
      <c r="C851">
        <v>146.28</v>
      </c>
      <c r="D851">
        <v>157.4</v>
      </c>
      <c r="E851">
        <v>152.01</v>
      </c>
      <c r="F851">
        <v>138.4</v>
      </c>
      <c r="G851">
        <v>147.56</v>
      </c>
      <c r="H851">
        <v>96.45</v>
      </c>
      <c r="K851" s="9">
        <f t="shared" si="43"/>
        <v>0.84000000000000341</v>
      </c>
      <c r="L851">
        <f t="shared" si="43"/>
        <v>-1.5600000000000023</v>
      </c>
      <c r="M851">
        <f t="shared" si="43"/>
        <v>-0.5</v>
      </c>
      <c r="N851">
        <f t="shared" si="42"/>
        <v>-0.23000000000001819</v>
      </c>
      <c r="O851">
        <f t="shared" si="42"/>
        <v>-0.33000000000001251</v>
      </c>
      <c r="P851" s="10">
        <f t="shared" si="42"/>
        <v>0.21999999999999886</v>
      </c>
    </row>
    <row r="852" spans="1:16">
      <c r="A852">
        <v>207.75</v>
      </c>
      <c r="B852">
        <v>152.34</v>
      </c>
      <c r="C852">
        <v>146.62</v>
      </c>
      <c r="D852">
        <v>156.9</v>
      </c>
      <c r="E852">
        <v>151.78</v>
      </c>
      <c r="F852">
        <v>138.28</v>
      </c>
      <c r="G852">
        <v>147.4</v>
      </c>
      <c r="H852">
        <v>96.4</v>
      </c>
      <c r="K852" s="9">
        <f t="shared" si="43"/>
        <v>0.65999999999999659</v>
      </c>
      <c r="L852">
        <f t="shared" si="43"/>
        <v>-1.4500000000000171</v>
      </c>
      <c r="M852">
        <f t="shared" si="43"/>
        <v>-0.37999999999999545</v>
      </c>
      <c r="N852">
        <f t="shared" si="42"/>
        <v>-0.15999999999999659</v>
      </c>
      <c r="O852">
        <f t="shared" si="42"/>
        <v>-0.39000000000001478</v>
      </c>
      <c r="P852" s="10">
        <f t="shared" si="42"/>
        <v>0.43999999999999773</v>
      </c>
    </row>
    <row r="853" spans="1:16">
      <c r="A853">
        <v>208</v>
      </c>
      <c r="B853">
        <v>152.01</v>
      </c>
      <c r="C853">
        <v>146.78</v>
      </c>
      <c r="D853">
        <v>156.4</v>
      </c>
      <c r="E853">
        <v>151.62</v>
      </c>
      <c r="F853">
        <v>138.22999999999999</v>
      </c>
      <c r="G853">
        <v>147.22999999999999</v>
      </c>
      <c r="H853">
        <v>96.56</v>
      </c>
      <c r="K853" s="9">
        <f t="shared" si="43"/>
        <v>0.66999999999998749</v>
      </c>
      <c r="L853">
        <f t="shared" si="43"/>
        <v>-1.5</v>
      </c>
      <c r="M853">
        <f t="shared" si="43"/>
        <v>-0.39000000000001478</v>
      </c>
      <c r="N853">
        <f t="shared" si="43"/>
        <v>-0.21999999999999886</v>
      </c>
      <c r="O853">
        <f t="shared" si="43"/>
        <v>-0.38999999999998636</v>
      </c>
      <c r="P853" s="10">
        <f t="shared" si="43"/>
        <v>0.28000000000000114</v>
      </c>
    </row>
    <row r="854" spans="1:16">
      <c r="A854">
        <v>208.25</v>
      </c>
      <c r="B854">
        <v>151.9</v>
      </c>
      <c r="C854">
        <v>147.12</v>
      </c>
      <c r="D854">
        <v>155.84</v>
      </c>
      <c r="E854">
        <v>151.51</v>
      </c>
      <c r="F854">
        <v>138.16999999999999</v>
      </c>
      <c r="G854">
        <v>147.22999999999999</v>
      </c>
      <c r="H854">
        <v>96.67</v>
      </c>
      <c r="K854" s="9">
        <f t="shared" ref="K854:N917" si="44">C857-C854</f>
        <v>0.60999999999998522</v>
      </c>
      <c r="L854">
        <f t="shared" si="44"/>
        <v>-1.2800000000000011</v>
      </c>
      <c r="M854">
        <f t="shared" si="44"/>
        <v>-0.38999999999998636</v>
      </c>
      <c r="N854">
        <f t="shared" si="44"/>
        <v>-0.21999999999999886</v>
      </c>
      <c r="O854">
        <f t="shared" ref="O854:P917" si="45">G857-G854</f>
        <v>-0.32999999999998408</v>
      </c>
      <c r="P854" s="10">
        <f t="shared" si="45"/>
        <v>0.23000000000000398</v>
      </c>
    </row>
    <row r="855" spans="1:16">
      <c r="A855">
        <v>208.5</v>
      </c>
      <c r="B855">
        <v>151.72999999999999</v>
      </c>
      <c r="C855">
        <v>147.28</v>
      </c>
      <c r="D855">
        <v>155.44999999999999</v>
      </c>
      <c r="E855">
        <v>151.4</v>
      </c>
      <c r="F855">
        <v>138.12</v>
      </c>
      <c r="G855">
        <v>147.01</v>
      </c>
      <c r="H855">
        <v>96.84</v>
      </c>
      <c r="K855" s="9">
        <f t="shared" si="44"/>
        <v>0.62000000000000455</v>
      </c>
      <c r="L855">
        <f t="shared" si="44"/>
        <v>-1.5</v>
      </c>
      <c r="M855">
        <f t="shared" si="44"/>
        <v>-0.45000000000001705</v>
      </c>
      <c r="N855">
        <f t="shared" si="44"/>
        <v>-0.28000000000000114</v>
      </c>
      <c r="O855">
        <f t="shared" si="45"/>
        <v>-0.22999999999998977</v>
      </c>
      <c r="P855" s="10">
        <f t="shared" si="45"/>
        <v>0.17000000000000171</v>
      </c>
    </row>
    <row r="856" spans="1:16">
      <c r="A856">
        <v>208.75</v>
      </c>
      <c r="B856">
        <v>151.51</v>
      </c>
      <c r="C856">
        <v>147.44999999999999</v>
      </c>
      <c r="D856">
        <v>154.9</v>
      </c>
      <c r="E856">
        <v>151.22999999999999</v>
      </c>
      <c r="F856">
        <v>138.01</v>
      </c>
      <c r="G856">
        <v>146.84</v>
      </c>
      <c r="H856">
        <v>96.84</v>
      </c>
      <c r="K856" s="9">
        <f t="shared" si="44"/>
        <v>0.61000000000001364</v>
      </c>
      <c r="L856">
        <f t="shared" si="44"/>
        <v>-1.7800000000000011</v>
      </c>
      <c r="M856">
        <f t="shared" si="44"/>
        <v>-0.44999999999998863</v>
      </c>
      <c r="N856">
        <f t="shared" si="44"/>
        <v>-0.10999999999998522</v>
      </c>
      <c r="O856">
        <f t="shared" si="45"/>
        <v>-0.17000000000001592</v>
      </c>
      <c r="P856" s="10">
        <f t="shared" si="45"/>
        <v>0.32999999999999829</v>
      </c>
    </row>
    <row r="857" spans="1:16">
      <c r="A857">
        <v>209</v>
      </c>
      <c r="B857">
        <v>151.34</v>
      </c>
      <c r="C857">
        <v>147.72999999999999</v>
      </c>
      <c r="D857">
        <v>154.56</v>
      </c>
      <c r="E857">
        <v>151.12</v>
      </c>
      <c r="F857">
        <v>137.94999999999999</v>
      </c>
      <c r="G857">
        <v>146.9</v>
      </c>
      <c r="H857">
        <v>96.9</v>
      </c>
      <c r="K857" s="9">
        <f t="shared" si="44"/>
        <v>0.55000000000001137</v>
      </c>
      <c r="L857">
        <f t="shared" si="44"/>
        <v>-2</v>
      </c>
      <c r="M857">
        <f t="shared" si="44"/>
        <v>-0.39000000000001478</v>
      </c>
      <c r="N857">
        <f t="shared" si="44"/>
        <v>-0.16999999999998749</v>
      </c>
      <c r="O857">
        <f t="shared" si="45"/>
        <v>-0.28000000000000114</v>
      </c>
      <c r="P857" s="10">
        <f t="shared" si="45"/>
        <v>0.37999999999999545</v>
      </c>
    </row>
    <row r="858" spans="1:16">
      <c r="A858">
        <v>209.25</v>
      </c>
      <c r="B858">
        <v>151.12</v>
      </c>
      <c r="C858">
        <v>147.9</v>
      </c>
      <c r="D858">
        <v>153.94999999999999</v>
      </c>
      <c r="E858">
        <v>150.94999999999999</v>
      </c>
      <c r="F858">
        <v>137.84</v>
      </c>
      <c r="G858">
        <v>146.78</v>
      </c>
      <c r="H858">
        <v>97.01</v>
      </c>
      <c r="K858" s="9">
        <f t="shared" si="44"/>
        <v>0.54999999999998295</v>
      </c>
      <c r="L858">
        <f t="shared" si="44"/>
        <v>-1.9399999999999977</v>
      </c>
      <c r="M858">
        <f t="shared" si="44"/>
        <v>-0.38999999999998636</v>
      </c>
      <c r="N858">
        <f t="shared" si="44"/>
        <v>-0.21999999999999886</v>
      </c>
      <c r="O858">
        <f t="shared" si="45"/>
        <v>-0.27000000000001023</v>
      </c>
      <c r="P858" s="10">
        <f t="shared" si="45"/>
        <v>0.43999999999999773</v>
      </c>
    </row>
    <row r="859" spans="1:16">
      <c r="A859">
        <v>209.5</v>
      </c>
      <c r="B859">
        <v>150.94999999999999</v>
      </c>
      <c r="C859">
        <v>148.06</v>
      </c>
      <c r="D859">
        <v>153.12</v>
      </c>
      <c r="E859">
        <v>150.78</v>
      </c>
      <c r="F859">
        <v>137.9</v>
      </c>
      <c r="G859">
        <v>146.66999999999999</v>
      </c>
      <c r="H859">
        <v>97.17</v>
      </c>
      <c r="K859" s="9">
        <f t="shared" si="44"/>
        <v>0.44999999999998863</v>
      </c>
      <c r="L859">
        <f t="shared" si="44"/>
        <v>-1.5600000000000023</v>
      </c>
      <c r="M859">
        <f t="shared" si="44"/>
        <v>-0.43999999999999773</v>
      </c>
      <c r="N859">
        <f t="shared" si="44"/>
        <v>-0.34000000000000341</v>
      </c>
      <c r="O859">
        <f t="shared" si="45"/>
        <v>-0.38999999999998636</v>
      </c>
      <c r="P859" s="10">
        <f t="shared" si="45"/>
        <v>0.34000000000000341</v>
      </c>
    </row>
    <row r="860" spans="1:16">
      <c r="A860">
        <v>209.75</v>
      </c>
      <c r="B860">
        <v>150.78</v>
      </c>
      <c r="C860">
        <v>148.28</v>
      </c>
      <c r="D860">
        <v>152.56</v>
      </c>
      <c r="E860">
        <v>150.72999999999999</v>
      </c>
      <c r="F860">
        <v>137.78</v>
      </c>
      <c r="G860">
        <v>146.62</v>
      </c>
      <c r="H860">
        <v>97.28</v>
      </c>
      <c r="K860" s="9">
        <f t="shared" si="44"/>
        <v>0.34000000000000341</v>
      </c>
      <c r="L860">
        <f t="shared" si="44"/>
        <v>-1.3900000000000148</v>
      </c>
      <c r="M860">
        <f t="shared" si="44"/>
        <v>-0.5</v>
      </c>
      <c r="N860">
        <f t="shared" si="44"/>
        <v>-0.27000000000001023</v>
      </c>
      <c r="O860">
        <f t="shared" si="45"/>
        <v>-0.34000000000000341</v>
      </c>
      <c r="P860" s="10">
        <f t="shared" si="45"/>
        <v>0.34000000000000341</v>
      </c>
    </row>
    <row r="861" spans="1:16">
      <c r="A861">
        <v>210</v>
      </c>
      <c r="B861">
        <v>150.56</v>
      </c>
      <c r="C861">
        <v>148.44999999999999</v>
      </c>
      <c r="D861">
        <v>152.01</v>
      </c>
      <c r="E861">
        <v>150.56</v>
      </c>
      <c r="F861">
        <v>137.62</v>
      </c>
      <c r="G861">
        <v>146.51</v>
      </c>
      <c r="H861">
        <v>97.45</v>
      </c>
      <c r="K861" s="9">
        <f t="shared" si="44"/>
        <v>0.28000000000000114</v>
      </c>
      <c r="L861">
        <f t="shared" si="44"/>
        <v>-1.1699999999999875</v>
      </c>
      <c r="M861">
        <f t="shared" si="44"/>
        <v>-0.39000000000001478</v>
      </c>
      <c r="N861">
        <f t="shared" si="44"/>
        <v>-6.0000000000002274E-2</v>
      </c>
      <c r="O861">
        <f t="shared" si="45"/>
        <v>-0.28000000000000114</v>
      </c>
      <c r="P861" s="10">
        <f t="shared" si="45"/>
        <v>0.21999999999999886</v>
      </c>
    </row>
    <row r="862" spans="1:16">
      <c r="A862">
        <v>210.25</v>
      </c>
      <c r="B862">
        <v>150.34</v>
      </c>
      <c r="C862">
        <v>148.51</v>
      </c>
      <c r="D862">
        <v>151.56</v>
      </c>
      <c r="E862">
        <v>150.34</v>
      </c>
      <c r="F862">
        <v>137.56</v>
      </c>
      <c r="G862">
        <v>146.28</v>
      </c>
      <c r="H862">
        <v>97.51</v>
      </c>
      <c r="K862" s="9">
        <f t="shared" si="44"/>
        <v>0.33000000000001251</v>
      </c>
      <c r="L862">
        <f t="shared" si="44"/>
        <v>-1.1100000000000136</v>
      </c>
      <c r="M862">
        <f t="shared" si="44"/>
        <v>-0.33000000000001251</v>
      </c>
      <c r="N862">
        <f t="shared" si="44"/>
        <v>-5.0000000000011369E-2</v>
      </c>
      <c r="O862">
        <f t="shared" si="45"/>
        <v>-0.21999999999999886</v>
      </c>
      <c r="P862" s="10">
        <f t="shared" si="45"/>
        <v>0.32999999999999829</v>
      </c>
    </row>
    <row r="863" spans="1:16">
      <c r="A863">
        <v>210.5</v>
      </c>
      <c r="B863">
        <v>150.22999999999999</v>
      </c>
      <c r="C863">
        <v>148.62</v>
      </c>
      <c r="D863">
        <v>151.16999999999999</v>
      </c>
      <c r="E863">
        <v>150.22999999999999</v>
      </c>
      <c r="F863">
        <v>137.51</v>
      </c>
      <c r="G863">
        <v>146.28</v>
      </c>
      <c r="H863">
        <v>97.62</v>
      </c>
      <c r="K863" s="9">
        <f t="shared" si="44"/>
        <v>0.38999999999998636</v>
      </c>
      <c r="L863">
        <f t="shared" si="44"/>
        <v>-1</v>
      </c>
      <c r="M863">
        <f t="shared" si="44"/>
        <v>-0.32999999999998408</v>
      </c>
      <c r="N863">
        <f t="shared" si="44"/>
        <v>-0.10999999999998522</v>
      </c>
      <c r="O863">
        <f t="shared" si="45"/>
        <v>-0.27000000000001023</v>
      </c>
      <c r="P863" s="10">
        <f t="shared" si="45"/>
        <v>0.28000000000000114</v>
      </c>
    </row>
    <row r="864" spans="1:16">
      <c r="A864">
        <v>210.75</v>
      </c>
      <c r="B864">
        <v>150.06</v>
      </c>
      <c r="C864">
        <v>148.72999999999999</v>
      </c>
      <c r="D864">
        <v>150.84</v>
      </c>
      <c r="E864">
        <v>150.16999999999999</v>
      </c>
      <c r="F864">
        <v>137.56</v>
      </c>
      <c r="G864">
        <v>146.22999999999999</v>
      </c>
      <c r="H864">
        <v>97.67</v>
      </c>
      <c r="K864" s="9">
        <f t="shared" si="44"/>
        <v>0.33000000000001251</v>
      </c>
      <c r="L864">
        <f t="shared" si="44"/>
        <v>-0.93999999999999773</v>
      </c>
      <c r="M864">
        <f t="shared" si="44"/>
        <v>-0.38999999999998636</v>
      </c>
      <c r="N864">
        <f t="shared" si="44"/>
        <v>-0.21999999999999886</v>
      </c>
      <c r="O864">
        <f t="shared" si="45"/>
        <v>-0.32999999999998408</v>
      </c>
      <c r="P864" s="10">
        <f t="shared" si="45"/>
        <v>0.45000000000000284</v>
      </c>
    </row>
    <row r="865" spans="1:16">
      <c r="A865">
        <v>211</v>
      </c>
      <c r="B865">
        <v>149.94999999999999</v>
      </c>
      <c r="C865">
        <v>148.84</v>
      </c>
      <c r="D865">
        <v>150.44999999999999</v>
      </c>
      <c r="E865">
        <v>150.01</v>
      </c>
      <c r="F865">
        <v>137.51</v>
      </c>
      <c r="G865">
        <v>146.06</v>
      </c>
      <c r="H865">
        <v>97.84</v>
      </c>
      <c r="K865" s="9">
        <f t="shared" si="44"/>
        <v>0.21999999999999886</v>
      </c>
      <c r="L865">
        <f t="shared" si="44"/>
        <v>-0.78000000000000114</v>
      </c>
      <c r="M865">
        <f t="shared" si="44"/>
        <v>-0.34000000000000341</v>
      </c>
      <c r="N865">
        <f t="shared" si="44"/>
        <v>-0.16999999999998749</v>
      </c>
      <c r="O865">
        <f t="shared" si="45"/>
        <v>-0.11000000000001364</v>
      </c>
      <c r="P865" s="10">
        <f t="shared" si="45"/>
        <v>0.32999999999999829</v>
      </c>
    </row>
    <row r="866" spans="1:16">
      <c r="A866">
        <v>211.25</v>
      </c>
      <c r="B866">
        <v>149.66999999999999</v>
      </c>
      <c r="C866">
        <v>149.01</v>
      </c>
      <c r="D866">
        <v>150.16999999999999</v>
      </c>
      <c r="E866">
        <v>149.9</v>
      </c>
      <c r="F866">
        <v>137.4</v>
      </c>
      <c r="G866">
        <v>146.01</v>
      </c>
      <c r="H866">
        <v>97.9</v>
      </c>
      <c r="K866" s="9">
        <f t="shared" si="44"/>
        <v>0.15999999999999659</v>
      </c>
      <c r="L866">
        <f t="shared" si="44"/>
        <v>-0.76999999999998181</v>
      </c>
      <c r="M866">
        <f t="shared" si="44"/>
        <v>-0.28000000000000114</v>
      </c>
      <c r="N866">
        <f t="shared" si="44"/>
        <v>-6.0000000000002274E-2</v>
      </c>
      <c r="O866">
        <f t="shared" si="45"/>
        <v>-0.16999999999998749</v>
      </c>
      <c r="P866" s="10">
        <f t="shared" si="45"/>
        <v>0.26999999999999602</v>
      </c>
    </row>
    <row r="867" spans="1:16">
      <c r="A867">
        <v>211.5</v>
      </c>
      <c r="B867">
        <v>149.56</v>
      </c>
      <c r="C867">
        <v>149.06</v>
      </c>
      <c r="D867">
        <v>149.9</v>
      </c>
      <c r="E867">
        <v>149.78</v>
      </c>
      <c r="F867">
        <v>137.34</v>
      </c>
      <c r="G867">
        <v>145.9</v>
      </c>
      <c r="H867">
        <v>98.12</v>
      </c>
      <c r="K867" s="9">
        <f t="shared" si="44"/>
        <v>0.16999999999998749</v>
      </c>
      <c r="L867">
        <f t="shared" si="44"/>
        <v>-0.73000000000001819</v>
      </c>
      <c r="M867">
        <f t="shared" si="44"/>
        <v>-0.27000000000001023</v>
      </c>
      <c r="N867">
        <f t="shared" si="44"/>
        <v>-6.0000000000002274E-2</v>
      </c>
      <c r="O867">
        <f t="shared" si="45"/>
        <v>-0.17000000000001592</v>
      </c>
      <c r="P867" s="10">
        <f t="shared" si="45"/>
        <v>0.21999999999999886</v>
      </c>
    </row>
    <row r="868" spans="1:16">
      <c r="A868">
        <v>211.75</v>
      </c>
      <c r="B868">
        <v>149.28</v>
      </c>
      <c r="C868">
        <v>149.06</v>
      </c>
      <c r="D868">
        <v>149.66999999999999</v>
      </c>
      <c r="E868">
        <v>149.66999999999999</v>
      </c>
      <c r="F868">
        <v>137.34</v>
      </c>
      <c r="G868">
        <v>145.94999999999999</v>
      </c>
      <c r="H868">
        <v>98.17</v>
      </c>
      <c r="K868" s="9">
        <f t="shared" si="44"/>
        <v>0.28000000000000114</v>
      </c>
      <c r="L868">
        <f t="shared" si="44"/>
        <v>-0.60999999999998522</v>
      </c>
      <c r="M868">
        <f t="shared" si="44"/>
        <v>-0.26999999999998181</v>
      </c>
      <c r="N868">
        <f t="shared" si="44"/>
        <v>-0.21999999999999886</v>
      </c>
      <c r="O868">
        <f t="shared" si="45"/>
        <v>-0.28000000000000114</v>
      </c>
      <c r="P868" s="10">
        <f t="shared" si="45"/>
        <v>0.28000000000000114</v>
      </c>
    </row>
    <row r="869" spans="1:16">
      <c r="A869">
        <v>212</v>
      </c>
      <c r="B869">
        <v>149.16999999999999</v>
      </c>
      <c r="C869">
        <v>149.16999999999999</v>
      </c>
      <c r="D869">
        <v>149.4</v>
      </c>
      <c r="E869">
        <v>149.62</v>
      </c>
      <c r="F869">
        <v>137.34</v>
      </c>
      <c r="G869">
        <v>145.84</v>
      </c>
      <c r="H869">
        <v>98.17</v>
      </c>
      <c r="K869" s="9">
        <f t="shared" si="44"/>
        <v>0.11000000000001364</v>
      </c>
      <c r="L869">
        <f t="shared" si="44"/>
        <v>-0.45000000000001705</v>
      </c>
      <c r="M869">
        <f t="shared" si="44"/>
        <v>-0.34000000000000341</v>
      </c>
      <c r="N869">
        <f t="shared" si="44"/>
        <v>-0.17000000000001592</v>
      </c>
      <c r="O869">
        <f t="shared" si="45"/>
        <v>-0.28000000000000114</v>
      </c>
      <c r="P869" s="10">
        <f t="shared" si="45"/>
        <v>0.34000000000000341</v>
      </c>
    </row>
    <row r="870" spans="1:16">
      <c r="A870">
        <v>212.25</v>
      </c>
      <c r="B870">
        <v>149.06</v>
      </c>
      <c r="C870">
        <v>149.22999999999999</v>
      </c>
      <c r="D870">
        <v>149.16999999999999</v>
      </c>
      <c r="E870">
        <v>149.51</v>
      </c>
      <c r="F870">
        <v>137.28</v>
      </c>
      <c r="G870">
        <v>145.72999999999999</v>
      </c>
      <c r="H870">
        <v>98.34</v>
      </c>
      <c r="K870" s="9">
        <f t="shared" si="44"/>
        <v>0.21999999999999886</v>
      </c>
      <c r="L870">
        <f t="shared" si="44"/>
        <v>-0.43999999999999773</v>
      </c>
      <c r="M870">
        <f t="shared" si="44"/>
        <v>-0.34000000000000341</v>
      </c>
      <c r="N870">
        <f t="shared" si="44"/>
        <v>-0.11000000000001364</v>
      </c>
      <c r="O870">
        <f t="shared" si="45"/>
        <v>-0.16999999999998749</v>
      </c>
      <c r="P870" s="10">
        <f t="shared" si="45"/>
        <v>0.32999999999999829</v>
      </c>
    </row>
    <row r="871" spans="1:16">
      <c r="A871">
        <v>212.5</v>
      </c>
      <c r="B871">
        <v>148.94999999999999</v>
      </c>
      <c r="C871">
        <v>149.34</v>
      </c>
      <c r="D871">
        <v>149.06</v>
      </c>
      <c r="E871">
        <v>149.4</v>
      </c>
      <c r="F871">
        <v>137.12</v>
      </c>
      <c r="G871">
        <v>145.66999999999999</v>
      </c>
      <c r="H871">
        <v>98.45</v>
      </c>
      <c r="K871" s="9">
        <f t="shared" si="44"/>
        <v>0</v>
      </c>
      <c r="L871">
        <f t="shared" si="44"/>
        <v>-0.5</v>
      </c>
      <c r="M871">
        <f t="shared" si="44"/>
        <v>-0.34000000000000341</v>
      </c>
      <c r="N871">
        <f t="shared" si="44"/>
        <v>0</v>
      </c>
      <c r="O871">
        <f t="shared" si="45"/>
        <v>-0.21999999999999886</v>
      </c>
      <c r="P871" s="10">
        <f t="shared" si="45"/>
        <v>0.32999999999999829</v>
      </c>
    </row>
    <row r="872" spans="1:16">
      <c r="A872">
        <v>212.75</v>
      </c>
      <c r="B872">
        <v>148.72999999999999</v>
      </c>
      <c r="C872">
        <v>149.28</v>
      </c>
      <c r="D872">
        <v>148.94999999999999</v>
      </c>
      <c r="E872">
        <v>149.28</v>
      </c>
      <c r="F872">
        <v>137.16999999999999</v>
      </c>
      <c r="G872">
        <v>145.56</v>
      </c>
      <c r="H872">
        <v>98.51</v>
      </c>
      <c r="K872" s="9">
        <f t="shared" si="44"/>
        <v>0.16999999999998749</v>
      </c>
      <c r="L872">
        <f t="shared" si="44"/>
        <v>-0.54999999999998295</v>
      </c>
      <c r="M872">
        <f t="shared" si="44"/>
        <v>-0.27000000000001023</v>
      </c>
      <c r="N872">
        <f t="shared" si="44"/>
        <v>-0.10999999999998522</v>
      </c>
      <c r="O872">
        <f t="shared" si="45"/>
        <v>-0.15999999999999659</v>
      </c>
      <c r="P872" s="10">
        <f t="shared" si="45"/>
        <v>0.39000000000000057</v>
      </c>
    </row>
    <row r="873" spans="1:16">
      <c r="A873">
        <v>213</v>
      </c>
      <c r="B873">
        <v>148.62</v>
      </c>
      <c r="C873">
        <v>149.44999999999999</v>
      </c>
      <c r="D873">
        <v>148.72999999999999</v>
      </c>
      <c r="E873">
        <v>149.16999999999999</v>
      </c>
      <c r="F873">
        <v>137.16999999999999</v>
      </c>
      <c r="G873">
        <v>145.56</v>
      </c>
      <c r="H873">
        <v>98.67</v>
      </c>
      <c r="K873" s="34">
        <f>C876-C873</f>
        <v>0</v>
      </c>
      <c r="L873">
        <f t="shared" si="44"/>
        <v>-0.38999999999998636</v>
      </c>
      <c r="M873">
        <f t="shared" si="44"/>
        <v>-0.32999999999998408</v>
      </c>
      <c r="N873">
        <f t="shared" si="44"/>
        <v>-0.10999999999998522</v>
      </c>
      <c r="O873">
        <f t="shared" si="45"/>
        <v>-0.21999999999999886</v>
      </c>
      <c r="P873" s="10">
        <f t="shared" si="45"/>
        <v>0.23000000000000398</v>
      </c>
    </row>
    <row r="874" spans="1:16">
      <c r="A874">
        <v>213.25</v>
      </c>
      <c r="B874">
        <v>148.4</v>
      </c>
      <c r="C874">
        <v>149.34</v>
      </c>
      <c r="D874">
        <v>148.56</v>
      </c>
      <c r="E874">
        <v>149.06</v>
      </c>
      <c r="F874">
        <v>137.12</v>
      </c>
      <c r="G874">
        <v>145.44999999999999</v>
      </c>
      <c r="H874">
        <v>98.78</v>
      </c>
      <c r="K874" s="9">
        <f t="shared" si="44"/>
        <v>0.10999999999998522</v>
      </c>
      <c r="L874">
        <f t="shared" si="44"/>
        <v>-0.39000000000001478</v>
      </c>
      <c r="M874">
        <f t="shared" si="44"/>
        <v>-0.28000000000000114</v>
      </c>
      <c r="N874">
        <f t="shared" si="44"/>
        <v>-0.11000000000001364</v>
      </c>
      <c r="O874">
        <f t="shared" si="45"/>
        <v>-0.16999999999998749</v>
      </c>
      <c r="P874" s="10">
        <f t="shared" si="45"/>
        <v>0.28000000000000114</v>
      </c>
    </row>
    <row r="875" spans="1:16">
      <c r="A875">
        <v>213.5</v>
      </c>
      <c r="B875">
        <v>148.28</v>
      </c>
      <c r="C875">
        <v>149.44999999999999</v>
      </c>
      <c r="D875">
        <v>148.4</v>
      </c>
      <c r="E875">
        <v>149.01</v>
      </c>
      <c r="F875">
        <v>137.06</v>
      </c>
      <c r="G875">
        <v>145.4</v>
      </c>
      <c r="H875">
        <v>98.9</v>
      </c>
      <c r="K875" s="9">
        <f t="shared" si="44"/>
        <v>0</v>
      </c>
      <c r="L875">
        <f t="shared" si="44"/>
        <v>-0.34000000000000341</v>
      </c>
      <c r="M875">
        <f t="shared" si="44"/>
        <v>-0.34000000000000341</v>
      </c>
      <c r="N875">
        <f t="shared" si="44"/>
        <v>-0.11000000000001364</v>
      </c>
      <c r="O875">
        <f t="shared" si="45"/>
        <v>-0.23000000000001819</v>
      </c>
      <c r="P875" s="10">
        <f t="shared" si="45"/>
        <v>0.26999999999999602</v>
      </c>
    </row>
    <row r="876" spans="1:16">
      <c r="A876">
        <v>213.75</v>
      </c>
      <c r="B876">
        <v>148.06</v>
      </c>
      <c r="C876">
        <v>149.44999999999999</v>
      </c>
      <c r="D876">
        <v>148.34</v>
      </c>
      <c r="E876">
        <v>148.84</v>
      </c>
      <c r="F876">
        <v>137.06</v>
      </c>
      <c r="G876">
        <v>145.34</v>
      </c>
      <c r="H876">
        <v>98.9</v>
      </c>
      <c r="K876" s="9">
        <f t="shared" si="44"/>
        <v>0.11000000000001364</v>
      </c>
      <c r="L876">
        <f t="shared" si="44"/>
        <v>-0.39000000000001478</v>
      </c>
      <c r="M876">
        <f t="shared" si="44"/>
        <v>-0.11000000000001364</v>
      </c>
      <c r="N876">
        <f t="shared" si="44"/>
        <v>-0.11000000000001364</v>
      </c>
      <c r="O876">
        <f t="shared" si="45"/>
        <v>-0.17000000000001592</v>
      </c>
      <c r="P876" s="10">
        <f t="shared" si="45"/>
        <v>0.32999999999999829</v>
      </c>
    </row>
    <row r="877" spans="1:16">
      <c r="A877">
        <v>214</v>
      </c>
      <c r="B877">
        <v>147.94999999999999</v>
      </c>
      <c r="C877">
        <v>149.44999999999999</v>
      </c>
      <c r="D877">
        <v>148.16999999999999</v>
      </c>
      <c r="E877">
        <v>148.78</v>
      </c>
      <c r="F877">
        <v>137.01</v>
      </c>
      <c r="G877">
        <v>145.28</v>
      </c>
      <c r="H877">
        <v>99.06</v>
      </c>
      <c r="K877" s="9">
        <f t="shared" si="44"/>
        <v>0</v>
      </c>
      <c r="L877">
        <f t="shared" si="44"/>
        <v>-0.32999999999998408</v>
      </c>
      <c r="M877">
        <f t="shared" si="44"/>
        <v>-0.37999999999999545</v>
      </c>
      <c r="N877">
        <f t="shared" si="44"/>
        <v>-0.10999999999998522</v>
      </c>
      <c r="O877">
        <f t="shared" si="45"/>
        <v>-0.21999999999999886</v>
      </c>
      <c r="P877" s="10">
        <f t="shared" si="45"/>
        <v>0.28000000000000114</v>
      </c>
    </row>
    <row r="878" spans="1:16">
      <c r="A878">
        <v>214.25</v>
      </c>
      <c r="B878">
        <v>147.78</v>
      </c>
      <c r="C878">
        <v>149.44999999999999</v>
      </c>
      <c r="D878">
        <v>148.06</v>
      </c>
      <c r="E878">
        <v>148.66999999999999</v>
      </c>
      <c r="F878">
        <v>136.94999999999999</v>
      </c>
      <c r="G878">
        <v>145.16999999999999</v>
      </c>
      <c r="H878">
        <v>99.17</v>
      </c>
      <c r="K878" s="9">
        <f t="shared" si="44"/>
        <v>-4.9999999999982947E-2</v>
      </c>
      <c r="L878">
        <f t="shared" si="44"/>
        <v>-0.39000000000001478</v>
      </c>
      <c r="M878">
        <f t="shared" si="44"/>
        <v>-0.26999999999998181</v>
      </c>
      <c r="N878">
        <f t="shared" si="44"/>
        <v>-4.9999999999982947E-2</v>
      </c>
      <c r="O878">
        <f t="shared" si="45"/>
        <v>-0.21999999999999886</v>
      </c>
      <c r="P878" s="10">
        <f t="shared" si="45"/>
        <v>0.34000000000000341</v>
      </c>
    </row>
    <row r="879" spans="1:16">
      <c r="A879">
        <v>214.5</v>
      </c>
      <c r="B879">
        <v>147.62</v>
      </c>
      <c r="C879">
        <v>149.56</v>
      </c>
      <c r="D879">
        <v>147.94999999999999</v>
      </c>
      <c r="E879">
        <v>148.72999999999999</v>
      </c>
      <c r="F879">
        <v>136.94999999999999</v>
      </c>
      <c r="G879">
        <v>145.16999999999999</v>
      </c>
      <c r="H879">
        <v>99.23</v>
      </c>
      <c r="K879" s="9">
        <f t="shared" si="44"/>
        <v>-0.11000000000001364</v>
      </c>
      <c r="L879">
        <f t="shared" si="44"/>
        <v>-0.32999999999998408</v>
      </c>
      <c r="M879">
        <f t="shared" si="44"/>
        <v>-0.32999999999998408</v>
      </c>
      <c r="N879">
        <f t="shared" si="44"/>
        <v>-4.9999999999982947E-2</v>
      </c>
      <c r="O879">
        <f t="shared" si="45"/>
        <v>-0.21999999999999886</v>
      </c>
      <c r="P879" s="10">
        <f t="shared" si="45"/>
        <v>0.39000000000000057</v>
      </c>
    </row>
    <row r="880" spans="1:16">
      <c r="A880">
        <v>214.75</v>
      </c>
      <c r="B880">
        <v>147.44999999999999</v>
      </c>
      <c r="C880">
        <v>149.44999999999999</v>
      </c>
      <c r="D880">
        <v>147.84</v>
      </c>
      <c r="E880">
        <v>148.4</v>
      </c>
      <c r="F880">
        <v>136.9</v>
      </c>
      <c r="G880">
        <v>145.06</v>
      </c>
      <c r="H880">
        <v>99.34</v>
      </c>
      <c r="K880" s="9">
        <f t="shared" si="44"/>
        <v>-4.9999999999982947E-2</v>
      </c>
      <c r="L880">
        <f t="shared" si="44"/>
        <v>-0.28000000000000114</v>
      </c>
      <c r="M880">
        <f t="shared" si="44"/>
        <v>-0.12000000000000455</v>
      </c>
      <c r="N880">
        <f t="shared" si="44"/>
        <v>-6.0000000000002274E-2</v>
      </c>
      <c r="O880">
        <f t="shared" si="45"/>
        <v>-0.15999999999999659</v>
      </c>
      <c r="P880" s="10">
        <f t="shared" si="45"/>
        <v>0.32999999999999829</v>
      </c>
    </row>
    <row r="881" spans="1:16">
      <c r="A881">
        <v>215</v>
      </c>
      <c r="B881">
        <v>147.28</v>
      </c>
      <c r="C881">
        <v>149.4</v>
      </c>
      <c r="D881">
        <v>147.66999999999999</v>
      </c>
      <c r="E881">
        <v>148.4</v>
      </c>
      <c r="F881">
        <v>136.9</v>
      </c>
      <c r="G881">
        <v>144.94999999999999</v>
      </c>
      <c r="H881">
        <v>99.51</v>
      </c>
      <c r="K881" s="9">
        <f t="shared" si="44"/>
        <v>0.10999999999998522</v>
      </c>
      <c r="L881">
        <f t="shared" si="44"/>
        <v>-0.21999999999999886</v>
      </c>
      <c r="M881">
        <f t="shared" si="44"/>
        <v>-0.12000000000000455</v>
      </c>
      <c r="N881">
        <f t="shared" si="44"/>
        <v>-6.0000000000002274E-2</v>
      </c>
      <c r="O881">
        <f t="shared" si="45"/>
        <v>-0.16999999999998749</v>
      </c>
      <c r="P881" s="10">
        <f t="shared" si="45"/>
        <v>0.32999999999999829</v>
      </c>
    </row>
    <row r="882" spans="1:16">
      <c r="A882">
        <v>215.25</v>
      </c>
      <c r="B882">
        <v>147.12</v>
      </c>
      <c r="C882">
        <v>149.44999999999999</v>
      </c>
      <c r="D882">
        <v>147.62</v>
      </c>
      <c r="E882">
        <v>148.4</v>
      </c>
      <c r="F882">
        <v>136.9</v>
      </c>
      <c r="G882">
        <v>144.94999999999999</v>
      </c>
      <c r="H882">
        <v>99.62</v>
      </c>
      <c r="K882" s="9">
        <f t="shared" si="44"/>
        <v>-0.16999999999998749</v>
      </c>
      <c r="L882">
        <f t="shared" si="44"/>
        <v>-0.34000000000000341</v>
      </c>
      <c r="M882">
        <f t="shared" si="44"/>
        <v>-0.23000000000001819</v>
      </c>
      <c r="N882">
        <f t="shared" si="44"/>
        <v>-0.12000000000000455</v>
      </c>
      <c r="O882">
        <f t="shared" si="45"/>
        <v>-0.16999999999998749</v>
      </c>
      <c r="P882" s="10">
        <f t="shared" si="45"/>
        <v>0.28000000000000114</v>
      </c>
    </row>
    <row r="883" spans="1:16">
      <c r="A883">
        <v>215.5</v>
      </c>
      <c r="B883">
        <v>146.94999999999999</v>
      </c>
      <c r="C883">
        <v>149.4</v>
      </c>
      <c r="D883">
        <v>147.56</v>
      </c>
      <c r="E883">
        <v>148.28</v>
      </c>
      <c r="F883">
        <v>136.84</v>
      </c>
      <c r="G883">
        <v>144.9</v>
      </c>
      <c r="H883">
        <v>99.67</v>
      </c>
      <c r="K883" s="9">
        <f t="shared" si="44"/>
        <v>-6.0000000000002274E-2</v>
      </c>
      <c r="L883">
        <f t="shared" si="44"/>
        <v>-0.28000000000000114</v>
      </c>
      <c r="M883">
        <f t="shared" si="44"/>
        <v>-0.33000000000001251</v>
      </c>
      <c r="N883">
        <f t="shared" si="44"/>
        <v>-0.17000000000001592</v>
      </c>
      <c r="O883">
        <f t="shared" si="45"/>
        <v>-0.23000000000001819</v>
      </c>
      <c r="P883" s="10">
        <f t="shared" si="45"/>
        <v>0.23000000000000398</v>
      </c>
    </row>
    <row r="884" spans="1:16">
      <c r="A884">
        <v>215.75</v>
      </c>
      <c r="B884">
        <v>146.9</v>
      </c>
      <c r="C884">
        <v>149.51</v>
      </c>
      <c r="D884">
        <v>147.44999999999999</v>
      </c>
      <c r="E884">
        <v>148.28</v>
      </c>
      <c r="F884">
        <v>136.84</v>
      </c>
      <c r="G884">
        <v>144.78</v>
      </c>
      <c r="H884">
        <v>99.84</v>
      </c>
      <c r="K884" s="9">
        <f t="shared" si="44"/>
        <v>-0.16999999999998749</v>
      </c>
      <c r="L884">
        <f t="shared" si="44"/>
        <v>-0.28000000000000114</v>
      </c>
      <c r="M884">
        <f t="shared" si="44"/>
        <v>-0.33000000000001251</v>
      </c>
      <c r="N884">
        <f t="shared" si="44"/>
        <v>-0.17000000000001592</v>
      </c>
      <c r="O884">
        <f t="shared" si="45"/>
        <v>-0.15999999999999659</v>
      </c>
      <c r="P884" s="10">
        <f t="shared" si="45"/>
        <v>0.21999999999999886</v>
      </c>
    </row>
    <row r="885" spans="1:16">
      <c r="A885">
        <v>216</v>
      </c>
      <c r="B885">
        <v>146.66999999999999</v>
      </c>
      <c r="C885">
        <v>149.28</v>
      </c>
      <c r="D885">
        <v>147.28</v>
      </c>
      <c r="E885">
        <v>148.16999999999999</v>
      </c>
      <c r="F885">
        <v>136.78</v>
      </c>
      <c r="G885">
        <v>144.78</v>
      </c>
      <c r="H885">
        <v>99.9</v>
      </c>
      <c r="I885" s="36"/>
      <c r="J885" s="36"/>
      <c r="K885" s="53">
        <f t="shared" si="44"/>
        <v>-5.0000000000011369E-2</v>
      </c>
      <c r="L885" s="36">
        <f t="shared" si="44"/>
        <v>-0.11000000000001364</v>
      </c>
      <c r="M885" s="36">
        <f t="shared" si="44"/>
        <v>-0.26999999999998181</v>
      </c>
      <c r="N885">
        <f t="shared" si="44"/>
        <v>-0.11000000000001364</v>
      </c>
      <c r="O885">
        <f t="shared" si="45"/>
        <v>-0.15999999999999659</v>
      </c>
      <c r="P885" s="10">
        <f t="shared" si="45"/>
        <v>0.26999999999999602</v>
      </c>
    </row>
    <row r="886" spans="1:16">
      <c r="A886">
        <v>216.25</v>
      </c>
      <c r="B886">
        <v>146.62</v>
      </c>
      <c r="C886">
        <v>149.34</v>
      </c>
      <c r="D886">
        <v>147.28</v>
      </c>
      <c r="E886">
        <v>147.94999999999999</v>
      </c>
      <c r="F886">
        <v>136.66999999999999</v>
      </c>
      <c r="G886">
        <v>144.66999999999999</v>
      </c>
      <c r="H886">
        <v>99.9</v>
      </c>
      <c r="I886" s="36"/>
      <c r="J886" s="36"/>
      <c r="K886" s="53">
        <f t="shared" si="44"/>
        <v>-0.17000000000001592</v>
      </c>
      <c r="L886" s="36">
        <f t="shared" si="44"/>
        <v>-0.21999999999999886</v>
      </c>
      <c r="M886" s="36">
        <f t="shared" si="44"/>
        <v>-0.10999999999998522</v>
      </c>
      <c r="N886">
        <f t="shared" si="44"/>
        <v>-0.15999999999999659</v>
      </c>
      <c r="O886">
        <f t="shared" si="45"/>
        <v>-0.10999999999998522</v>
      </c>
      <c r="P886" s="10">
        <f t="shared" si="45"/>
        <v>0.32999999999999829</v>
      </c>
    </row>
    <row r="887" spans="1:16">
      <c r="A887">
        <v>216.5</v>
      </c>
      <c r="B887">
        <v>146.4</v>
      </c>
      <c r="C887">
        <v>149.34</v>
      </c>
      <c r="D887">
        <v>147.16999999999999</v>
      </c>
      <c r="E887">
        <v>147.94999999999999</v>
      </c>
      <c r="F887">
        <v>136.66999999999999</v>
      </c>
      <c r="G887">
        <v>144.62</v>
      </c>
      <c r="H887">
        <v>100.06</v>
      </c>
      <c r="I887" s="36"/>
      <c r="J887" s="36"/>
      <c r="K887" s="53">
        <f t="shared" si="44"/>
        <v>-0.21999999999999886</v>
      </c>
      <c r="L887" s="36">
        <f t="shared" si="44"/>
        <v>-0.21999999999999886</v>
      </c>
      <c r="M887" s="36">
        <f t="shared" si="44"/>
        <v>-0.21999999999999886</v>
      </c>
      <c r="N887">
        <f t="shared" si="44"/>
        <v>-0.10999999999998522</v>
      </c>
      <c r="O887">
        <f t="shared" si="45"/>
        <v>-0.11000000000001364</v>
      </c>
      <c r="P887" s="10">
        <f t="shared" si="45"/>
        <v>0.21999999999999886</v>
      </c>
    </row>
    <row r="888" spans="1:16">
      <c r="A888">
        <v>216.75</v>
      </c>
      <c r="B888">
        <v>146.34</v>
      </c>
      <c r="C888">
        <v>149.22999999999999</v>
      </c>
      <c r="D888">
        <v>147.16999999999999</v>
      </c>
      <c r="E888">
        <v>147.9</v>
      </c>
      <c r="F888">
        <v>136.66999999999999</v>
      </c>
      <c r="G888">
        <v>144.62</v>
      </c>
      <c r="H888">
        <v>100.17</v>
      </c>
      <c r="I888" s="36"/>
      <c r="J888" s="36"/>
      <c r="K888" s="53">
        <f t="shared" si="44"/>
        <v>-0.21999999999999886</v>
      </c>
      <c r="L888" s="36">
        <f t="shared" si="44"/>
        <v>-0.26999999999998181</v>
      </c>
      <c r="M888" s="36">
        <f t="shared" si="44"/>
        <v>-0.23000000000001819</v>
      </c>
      <c r="N888">
        <f t="shared" si="44"/>
        <v>-0.15999999999999659</v>
      </c>
      <c r="O888">
        <f t="shared" si="45"/>
        <v>-0.21999999999999886</v>
      </c>
      <c r="P888" s="10">
        <f t="shared" si="45"/>
        <v>0.28000000000000114</v>
      </c>
    </row>
    <row r="889" spans="1:16">
      <c r="A889">
        <v>217</v>
      </c>
      <c r="B889">
        <v>146.16999999999999</v>
      </c>
      <c r="C889">
        <v>149.16999999999999</v>
      </c>
      <c r="D889">
        <v>147.06</v>
      </c>
      <c r="E889">
        <v>147.84</v>
      </c>
      <c r="F889">
        <v>136.51</v>
      </c>
      <c r="G889">
        <v>144.56</v>
      </c>
      <c r="H889">
        <v>100.23</v>
      </c>
      <c r="I889" s="36"/>
      <c r="J889" s="36"/>
      <c r="K889" s="53">
        <f t="shared" si="44"/>
        <v>-0.10999999999998522</v>
      </c>
      <c r="L889" s="36">
        <f t="shared" si="44"/>
        <v>-0.21999999999999886</v>
      </c>
      <c r="M889" s="36">
        <f t="shared" si="44"/>
        <v>-0.21999999999999886</v>
      </c>
      <c r="N889">
        <f t="shared" si="44"/>
        <v>0</v>
      </c>
      <c r="O889">
        <f t="shared" si="45"/>
        <v>-0.21999999999999886</v>
      </c>
      <c r="P889" s="10">
        <f t="shared" si="45"/>
        <v>0.21999999999999886</v>
      </c>
    </row>
    <row r="890" spans="1:16">
      <c r="A890">
        <v>217.25</v>
      </c>
      <c r="B890">
        <v>146.06</v>
      </c>
      <c r="C890">
        <v>149.12</v>
      </c>
      <c r="D890">
        <v>146.94999999999999</v>
      </c>
      <c r="E890">
        <v>147.72999999999999</v>
      </c>
      <c r="F890">
        <v>136.56</v>
      </c>
      <c r="G890">
        <v>144.51</v>
      </c>
      <c r="H890">
        <v>100.28</v>
      </c>
      <c r="I890" s="36"/>
      <c r="J890" s="36"/>
      <c r="K890" s="53">
        <f t="shared" si="44"/>
        <v>-0.21999999999999886</v>
      </c>
      <c r="L890" s="36">
        <f t="shared" si="44"/>
        <v>-0.28000000000000114</v>
      </c>
      <c r="M890" s="36">
        <f t="shared" si="44"/>
        <v>-0.28000000000000114</v>
      </c>
      <c r="N890">
        <f t="shared" si="44"/>
        <v>-0.15999999999999659</v>
      </c>
      <c r="O890">
        <f t="shared" si="45"/>
        <v>-0.28000000000000114</v>
      </c>
      <c r="P890" s="10">
        <f t="shared" si="45"/>
        <v>0.34000000000000341</v>
      </c>
    </row>
    <row r="891" spans="1:16">
      <c r="A891">
        <v>217.5</v>
      </c>
      <c r="B891">
        <v>145.84</v>
      </c>
      <c r="C891">
        <v>149.01</v>
      </c>
      <c r="D891">
        <v>146.9</v>
      </c>
      <c r="E891">
        <v>147.66999999999999</v>
      </c>
      <c r="F891">
        <v>136.51</v>
      </c>
      <c r="G891">
        <v>144.4</v>
      </c>
      <c r="H891">
        <v>100.45</v>
      </c>
      <c r="I891" s="36"/>
      <c r="J891" s="36"/>
      <c r="K891" s="53">
        <f t="shared" si="44"/>
        <v>-0.16999999999998749</v>
      </c>
      <c r="L891" s="36">
        <f t="shared" si="44"/>
        <v>-0.23000000000001819</v>
      </c>
      <c r="M891" s="36">
        <f t="shared" si="44"/>
        <v>-0.15999999999999659</v>
      </c>
      <c r="N891">
        <f t="shared" si="44"/>
        <v>-6.0000000000002274E-2</v>
      </c>
      <c r="O891">
        <f t="shared" si="45"/>
        <v>-0.12000000000000455</v>
      </c>
      <c r="P891" s="10">
        <f t="shared" si="45"/>
        <v>0.28000000000000114</v>
      </c>
    </row>
    <row r="892" spans="1:16">
      <c r="A892">
        <v>217.75</v>
      </c>
      <c r="B892">
        <v>145.78</v>
      </c>
      <c r="C892">
        <v>149.06</v>
      </c>
      <c r="D892">
        <v>146.84</v>
      </c>
      <c r="E892">
        <v>147.62</v>
      </c>
      <c r="F892">
        <v>136.51</v>
      </c>
      <c r="G892">
        <v>144.34</v>
      </c>
      <c r="H892">
        <v>100.45</v>
      </c>
      <c r="I892" s="36"/>
      <c r="J892" s="36"/>
      <c r="K892" s="53">
        <f t="shared" si="44"/>
        <v>-0.33000000000001251</v>
      </c>
      <c r="L892" s="36">
        <f t="shared" si="44"/>
        <v>-0.21999999999999886</v>
      </c>
      <c r="M892" s="36">
        <f t="shared" si="44"/>
        <v>-0.11000000000001364</v>
      </c>
      <c r="N892">
        <f t="shared" si="44"/>
        <v>-0.10999999999998522</v>
      </c>
      <c r="O892">
        <f t="shared" si="45"/>
        <v>0</v>
      </c>
      <c r="P892" s="10">
        <f t="shared" si="45"/>
        <v>0.39000000000000057</v>
      </c>
    </row>
    <row r="893" spans="1:16">
      <c r="A893">
        <v>218</v>
      </c>
      <c r="B893">
        <v>145.56</v>
      </c>
      <c r="C893">
        <v>148.9</v>
      </c>
      <c r="D893">
        <v>146.66999999999999</v>
      </c>
      <c r="E893">
        <v>147.44999999999999</v>
      </c>
      <c r="F893">
        <v>136.4</v>
      </c>
      <c r="G893">
        <v>144.22999999999999</v>
      </c>
      <c r="H893">
        <v>100.62</v>
      </c>
      <c r="I893" s="36"/>
      <c r="J893" s="36"/>
      <c r="K893" s="53">
        <f t="shared" si="44"/>
        <v>-0.34000000000000341</v>
      </c>
      <c r="L893" s="36">
        <f t="shared" si="44"/>
        <v>-0.15999999999999659</v>
      </c>
      <c r="M893" s="36">
        <f t="shared" si="44"/>
        <v>-0.16999999999998749</v>
      </c>
      <c r="N893">
        <f t="shared" si="44"/>
        <v>0</v>
      </c>
      <c r="O893">
        <f t="shared" si="45"/>
        <v>-6.0000000000002274E-2</v>
      </c>
      <c r="P893" s="10">
        <f t="shared" si="45"/>
        <v>0.32999999999999829</v>
      </c>
    </row>
    <row r="894" spans="1:16">
      <c r="A894">
        <v>218.25</v>
      </c>
      <c r="B894">
        <v>145.44999999999999</v>
      </c>
      <c r="C894">
        <v>148.84</v>
      </c>
      <c r="D894">
        <v>146.66999999999999</v>
      </c>
      <c r="E894">
        <v>147.51</v>
      </c>
      <c r="F894">
        <v>136.44999999999999</v>
      </c>
      <c r="G894">
        <v>144.28</v>
      </c>
      <c r="H894">
        <v>100.73</v>
      </c>
      <c r="I894" s="36"/>
      <c r="J894" s="36"/>
      <c r="K894" s="53">
        <f t="shared" si="44"/>
        <v>-0.28000000000000114</v>
      </c>
      <c r="L894" s="36">
        <f t="shared" si="44"/>
        <v>-0.21999999999999886</v>
      </c>
      <c r="M894" s="36">
        <f t="shared" si="44"/>
        <v>-0.28000000000000114</v>
      </c>
      <c r="N894">
        <f t="shared" si="44"/>
        <v>-4.9999999999982947E-2</v>
      </c>
      <c r="O894">
        <f t="shared" si="45"/>
        <v>-0.15999999999999659</v>
      </c>
      <c r="P894" s="10">
        <f t="shared" si="45"/>
        <v>0.32999999999999829</v>
      </c>
    </row>
    <row r="895" spans="1:16">
      <c r="A895">
        <v>218.5</v>
      </c>
      <c r="B895">
        <v>145.4</v>
      </c>
      <c r="C895">
        <v>148.72999999999999</v>
      </c>
      <c r="D895">
        <v>146.62</v>
      </c>
      <c r="E895">
        <v>147.51</v>
      </c>
      <c r="F895">
        <v>136.4</v>
      </c>
      <c r="G895">
        <v>144.34</v>
      </c>
      <c r="H895">
        <v>100.84</v>
      </c>
      <c r="I895" s="36"/>
      <c r="J895" s="36"/>
      <c r="K895" s="53">
        <f t="shared" si="44"/>
        <v>-0.28000000000000114</v>
      </c>
      <c r="L895" s="36">
        <f t="shared" si="44"/>
        <v>-0.28000000000000114</v>
      </c>
      <c r="M895" s="36">
        <f t="shared" si="44"/>
        <v>-0.22999999999998977</v>
      </c>
      <c r="N895">
        <f t="shared" si="44"/>
        <v>-6.0000000000002274E-2</v>
      </c>
      <c r="O895">
        <f t="shared" si="45"/>
        <v>-0.28000000000000114</v>
      </c>
      <c r="P895" s="10">
        <f t="shared" si="45"/>
        <v>0.32999999999999829</v>
      </c>
    </row>
    <row r="896" spans="1:16">
      <c r="A896">
        <v>218.75</v>
      </c>
      <c r="B896">
        <v>145.16999999999999</v>
      </c>
      <c r="C896">
        <v>148.56</v>
      </c>
      <c r="D896">
        <v>146.51</v>
      </c>
      <c r="E896">
        <v>147.28</v>
      </c>
      <c r="F896">
        <v>136.4</v>
      </c>
      <c r="G896">
        <v>144.16999999999999</v>
      </c>
      <c r="H896">
        <v>100.95</v>
      </c>
      <c r="I896" s="36"/>
      <c r="J896" s="36"/>
      <c r="K896" s="53">
        <f t="shared" si="44"/>
        <v>-0.21999999999999886</v>
      </c>
      <c r="L896" s="36">
        <f t="shared" si="44"/>
        <v>-0.16999999999998749</v>
      </c>
      <c r="M896" s="36">
        <f t="shared" si="44"/>
        <v>-0.11000000000001364</v>
      </c>
      <c r="N896">
        <f t="shared" si="44"/>
        <v>-0.12000000000000455</v>
      </c>
      <c r="O896">
        <f t="shared" si="45"/>
        <v>-0.10999999999998522</v>
      </c>
      <c r="P896" s="10">
        <f t="shared" si="45"/>
        <v>0.28000000000000114</v>
      </c>
    </row>
    <row r="897" spans="1:16">
      <c r="A897">
        <v>219</v>
      </c>
      <c r="B897">
        <v>145.12</v>
      </c>
      <c r="C897">
        <v>148.56</v>
      </c>
      <c r="D897">
        <v>146.44999999999999</v>
      </c>
      <c r="E897">
        <v>147.22999999999999</v>
      </c>
      <c r="F897">
        <v>136.4</v>
      </c>
      <c r="G897">
        <v>144.12</v>
      </c>
      <c r="H897">
        <v>101.06</v>
      </c>
      <c r="I897" s="36"/>
      <c r="J897" s="36"/>
      <c r="K897" s="53">
        <f t="shared" si="44"/>
        <v>-0.15999999999999659</v>
      </c>
      <c r="L897" s="36">
        <f t="shared" si="44"/>
        <v>-0.16999999999998749</v>
      </c>
      <c r="M897" s="36">
        <f t="shared" si="44"/>
        <v>-0.16999999999998749</v>
      </c>
      <c r="N897">
        <f t="shared" si="44"/>
        <v>-0.12000000000000455</v>
      </c>
      <c r="O897">
        <f t="shared" si="45"/>
        <v>-0.17000000000001592</v>
      </c>
      <c r="P897" s="10">
        <f t="shared" si="45"/>
        <v>0.28000000000000114</v>
      </c>
    </row>
    <row r="898" spans="1:16">
      <c r="A898">
        <v>219.25</v>
      </c>
      <c r="B898">
        <v>144.94999999999999</v>
      </c>
      <c r="C898">
        <v>148.44999999999999</v>
      </c>
      <c r="D898">
        <v>146.34</v>
      </c>
      <c r="E898">
        <v>147.28</v>
      </c>
      <c r="F898">
        <v>136.34</v>
      </c>
      <c r="G898">
        <v>144.06</v>
      </c>
      <c r="H898">
        <v>101.17</v>
      </c>
      <c r="I898" s="36"/>
      <c r="J898" s="36"/>
      <c r="K898" s="53">
        <f t="shared" si="44"/>
        <v>-0.21999999999999886</v>
      </c>
      <c r="L898" s="36">
        <f t="shared" si="44"/>
        <v>-6.0000000000002274E-2</v>
      </c>
      <c r="M898" s="36">
        <f t="shared" si="44"/>
        <v>-0.21999999999999886</v>
      </c>
      <c r="N898">
        <f t="shared" si="44"/>
        <v>-0.11000000000001364</v>
      </c>
      <c r="O898">
        <f t="shared" si="45"/>
        <v>-0.15999999999999659</v>
      </c>
      <c r="P898" s="10">
        <f t="shared" si="45"/>
        <v>0.28000000000000114</v>
      </c>
    </row>
    <row r="899" spans="1:16">
      <c r="A899">
        <v>219.5</v>
      </c>
      <c r="B899">
        <v>144.94999999999999</v>
      </c>
      <c r="C899">
        <v>148.34</v>
      </c>
      <c r="D899">
        <v>146.34</v>
      </c>
      <c r="E899">
        <v>147.16999999999999</v>
      </c>
      <c r="F899">
        <v>136.28</v>
      </c>
      <c r="G899">
        <v>144.06</v>
      </c>
      <c r="H899">
        <v>101.23</v>
      </c>
      <c r="I899" s="36"/>
      <c r="J899" s="36"/>
      <c r="K899" s="53">
        <f t="shared" si="44"/>
        <v>-0.21999999999999886</v>
      </c>
      <c r="L899" s="36">
        <f t="shared" si="44"/>
        <v>-0.21999999999999886</v>
      </c>
      <c r="M899" s="36">
        <f t="shared" si="44"/>
        <v>-0.21999999999999886</v>
      </c>
      <c r="N899">
        <f t="shared" si="44"/>
        <v>-5.0000000000011369E-2</v>
      </c>
      <c r="O899">
        <f t="shared" si="45"/>
        <v>-0.21999999999999886</v>
      </c>
      <c r="P899" s="10">
        <f t="shared" si="45"/>
        <v>0.32999999999999829</v>
      </c>
    </row>
    <row r="900" spans="1:16">
      <c r="A900">
        <v>219.75</v>
      </c>
      <c r="B900">
        <v>144.72999999999999</v>
      </c>
      <c r="C900">
        <v>148.4</v>
      </c>
      <c r="D900">
        <v>146.28</v>
      </c>
      <c r="E900">
        <v>147.06</v>
      </c>
      <c r="F900">
        <v>136.28</v>
      </c>
      <c r="G900">
        <v>143.94999999999999</v>
      </c>
      <c r="H900">
        <v>101.34</v>
      </c>
      <c r="I900" s="36"/>
      <c r="J900" s="36"/>
      <c r="K900" s="53">
        <f t="shared" si="44"/>
        <v>-0.34000000000000341</v>
      </c>
      <c r="L900" s="36">
        <f t="shared" si="44"/>
        <v>-0.11000000000001364</v>
      </c>
      <c r="M900" s="36">
        <f t="shared" si="44"/>
        <v>-0.21999999999999886</v>
      </c>
      <c r="N900">
        <f t="shared" si="44"/>
        <v>-5.0000000000011369E-2</v>
      </c>
      <c r="O900">
        <f t="shared" si="45"/>
        <v>-0.10999999999998522</v>
      </c>
      <c r="P900" s="10">
        <f t="shared" si="45"/>
        <v>0.21999999999999886</v>
      </c>
    </row>
    <row r="901" spans="1:16">
      <c r="A901">
        <v>220</v>
      </c>
      <c r="B901">
        <v>144.66999999999999</v>
      </c>
      <c r="C901">
        <v>148.22999999999999</v>
      </c>
      <c r="D901">
        <v>146.28</v>
      </c>
      <c r="E901">
        <v>147.06</v>
      </c>
      <c r="F901">
        <v>136.22999999999999</v>
      </c>
      <c r="G901">
        <v>143.9</v>
      </c>
      <c r="H901">
        <v>101.45</v>
      </c>
      <c r="I901" s="36"/>
      <c r="J901" s="36"/>
      <c r="K901" s="53">
        <f t="shared" si="44"/>
        <v>-0.28000000000000114</v>
      </c>
      <c r="L901" s="36">
        <f t="shared" si="44"/>
        <v>-0.27000000000001023</v>
      </c>
      <c r="M901" s="36">
        <f t="shared" si="44"/>
        <v>-0.28000000000000114</v>
      </c>
      <c r="N901">
        <f t="shared" si="44"/>
        <v>0</v>
      </c>
      <c r="O901">
        <f t="shared" si="45"/>
        <v>-6.0000000000002274E-2</v>
      </c>
      <c r="P901" s="10">
        <f t="shared" si="45"/>
        <v>0.21999999999999886</v>
      </c>
    </row>
    <row r="902" spans="1:16">
      <c r="A902">
        <v>220.25</v>
      </c>
      <c r="B902">
        <v>144.56</v>
      </c>
      <c r="C902">
        <v>148.12</v>
      </c>
      <c r="D902">
        <v>146.12</v>
      </c>
      <c r="E902">
        <v>146.94999999999999</v>
      </c>
      <c r="F902">
        <v>136.22999999999999</v>
      </c>
      <c r="G902">
        <v>143.84</v>
      </c>
      <c r="H902">
        <v>101.56</v>
      </c>
      <c r="I902" s="36"/>
      <c r="J902" s="36"/>
      <c r="K902" s="34">
        <f>C905-C902</f>
        <v>-0.28000000000000114</v>
      </c>
      <c r="L902" s="36">
        <f t="shared" si="44"/>
        <v>-0.11000000000001364</v>
      </c>
      <c r="M902" s="36">
        <f t="shared" si="44"/>
        <v>-0.16999999999998749</v>
      </c>
      <c r="N902">
        <f t="shared" si="44"/>
        <v>0</v>
      </c>
      <c r="O902">
        <f t="shared" si="45"/>
        <v>-6.0000000000002274E-2</v>
      </c>
      <c r="P902" s="10">
        <f t="shared" si="45"/>
        <v>0.28000000000000114</v>
      </c>
    </row>
    <row r="903" spans="1:16">
      <c r="A903">
        <v>220.5</v>
      </c>
      <c r="B903">
        <v>144.44999999999999</v>
      </c>
      <c r="C903">
        <v>148.06</v>
      </c>
      <c r="D903">
        <v>146.16999999999999</v>
      </c>
      <c r="E903">
        <v>146.84</v>
      </c>
      <c r="F903">
        <v>136.22999999999999</v>
      </c>
      <c r="G903">
        <v>143.84</v>
      </c>
      <c r="H903">
        <v>101.56</v>
      </c>
      <c r="I903" s="36"/>
      <c r="J903" s="36"/>
      <c r="K903" s="53">
        <f t="shared" si="44"/>
        <v>-0.33000000000001251</v>
      </c>
      <c r="L903" s="36">
        <f t="shared" si="44"/>
        <v>-0.32999999999998408</v>
      </c>
      <c r="M903" s="36">
        <f t="shared" si="44"/>
        <v>-6.0000000000002274E-2</v>
      </c>
      <c r="N903">
        <f t="shared" si="44"/>
        <v>0</v>
      </c>
      <c r="O903">
        <f t="shared" si="45"/>
        <v>-6.0000000000002274E-2</v>
      </c>
      <c r="P903" s="10">
        <f t="shared" si="45"/>
        <v>0.34000000000000341</v>
      </c>
    </row>
    <row r="904" spans="1:16">
      <c r="A904">
        <v>220.75</v>
      </c>
      <c r="B904">
        <v>144.28</v>
      </c>
      <c r="C904">
        <v>147.94999999999999</v>
      </c>
      <c r="D904">
        <v>146.01</v>
      </c>
      <c r="E904">
        <v>146.78</v>
      </c>
      <c r="F904">
        <v>136.22999999999999</v>
      </c>
      <c r="G904">
        <v>143.84</v>
      </c>
      <c r="H904">
        <v>101.67</v>
      </c>
      <c r="I904" s="36"/>
      <c r="J904" s="36"/>
      <c r="K904" s="53">
        <f t="shared" si="44"/>
        <v>-0.21999999999999886</v>
      </c>
      <c r="L904" s="36">
        <f t="shared" si="44"/>
        <v>-6.0000000000002274E-2</v>
      </c>
      <c r="M904" s="36">
        <f t="shared" si="44"/>
        <v>6.0000000000002274E-2</v>
      </c>
      <c r="N904">
        <f t="shared" si="44"/>
        <v>0</v>
      </c>
      <c r="O904">
        <f t="shared" si="45"/>
        <v>-0.11000000000001364</v>
      </c>
      <c r="P904" s="10">
        <f t="shared" si="45"/>
        <v>6.0000000000002274E-2</v>
      </c>
    </row>
    <row r="905" spans="1:16">
      <c r="A905">
        <v>221</v>
      </c>
      <c r="B905">
        <v>144.28</v>
      </c>
      <c r="C905">
        <v>147.84</v>
      </c>
      <c r="D905">
        <v>146.01</v>
      </c>
      <c r="E905">
        <v>146.78</v>
      </c>
      <c r="F905">
        <v>136.22999999999999</v>
      </c>
      <c r="G905">
        <v>143.78</v>
      </c>
      <c r="H905">
        <v>101.84</v>
      </c>
      <c r="I905" s="36"/>
      <c r="J905" s="36"/>
      <c r="K905" s="53">
        <f t="shared" si="44"/>
        <v>-0.28000000000000114</v>
      </c>
      <c r="L905" s="36">
        <f t="shared" si="44"/>
        <v>-0.16999999999998749</v>
      </c>
      <c r="M905" s="36">
        <f t="shared" si="44"/>
        <v>-0.11000000000001364</v>
      </c>
      <c r="N905">
        <f t="shared" si="44"/>
        <v>0</v>
      </c>
      <c r="O905">
        <f t="shared" si="45"/>
        <v>-0.15999999999999659</v>
      </c>
      <c r="P905" s="10">
        <f t="shared" si="45"/>
        <v>-0.10999999999999943</v>
      </c>
    </row>
    <row r="906" spans="1:16">
      <c r="A906">
        <v>221.25</v>
      </c>
      <c r="B906">
        <v>144.06</v>
      </c>
      <c r="C906">
        <v>147.72999999999999</v>
      </c>
      <c r="D906">
        <v>145.84</v>
      </c>
      <c r="E906">
        <v>146.78</v>
      </c>
      <c r="F906">
        <v>136.22999999999999</v>
      </c>
      <c r="G906">
        <v>143.78</v>
      </c>
      <c r="H906">
        <v>101.9</v>
      </c>
      <c r="I906" s="36"/>
      <c r="J906" s="36"/>
      <c r="K906" s="53">
        <f t="shared" si="44"/>
        <v>-0.28000000000000114</v>
      </c>
      <c r="L906" s="36">
        <f t="shared" si="44"/>
        <v>-0.17000000000001592</v>
      </c>
      <c r="M906" s="36">
        <f t="shared" si="44"/>
        <v>-0.15999999999999659</v>
      </c>
      <c r="N906">
        <f t="shared" si="44"/>
        <v>-6.0000000000002274E-2</v>
      </c>
      <c r="O906">
        <f t="shared" si="45"/>
        <v>-0.27000000000001023</v>
      </c>
      <c r="P906" s="10">
        <f t="shared" si="45"/>
        <v>-0.17000000000000171</v>
      </c>
    </row>
    <row r="907" spans="1:16">
      <c r="A907">
        <v>221.5</v>
      </c>
      <c r="B907">
        <v>144.16999999999999</v>
      </c>
      <c r="C907">
        <v>147.72999999999999</v>
      </c>
      <c r="D907">
        <v>145.94999999999999</v>
      </c>
      <c r="E907">
        <v>146.84</v>
      </c>
      <c r="F907">
        <v>136.22999999999999</v>
      </c>
      <c r="G907">
        <v>143.72999999999999</v>
      </c>
      <c r="H907">
        <v>101.73</v>
      </c>
      <c r="I907" s="36"/>
      <c r="J907" s="36"/>
      <c r="K907" s="53">
        <f t="shared" si="44"/>
        <v>-0.32999999999998408</v>
      </c>
      <c r="L907" s="36">
        <f t="shared" si="44"/>
        <v>-0.16999999999998749</v>
      </c>
      <c r="M907" s="36">
        <f t="shared" si="44"/>
        <v>-0.33000000000001251</v>
      </c>
      <c r="N907">
        <f t="shared" si="44"/>
        <v>-0.16999999999998749</v>
      </c>
      <c r="O907">
        <f t="shared" si="45"/>
        <v>-0.16999999999998749</v>
      </c>
      <c r="P907" s="10">
        <f t="shared" si="45"/>
        <v>0.10999999999999943</v>
      </c>
    </row>
    <row r="908" spans="1:16">
      <c r="A908">
        <v>221.75</v>
      </c>
      <c r="B908">
        <v>143.9</v>
      </c>
      <c r="C908">
        <v>147.56</v>
      </c>
      <c r="D908">
        <v>145.84</v>
      </c>
      <c r="E908">
        <v>146.66999999999999</v>
      </c>
      <c r="F908">
        <v>136.22999999999999</v>
      </c>
      <c r="G908">
        <v>143.62</v>
      </c>
      <c r="H908">
        <v>101.73</v>
      </c>
      <c r="I908" s="36"/>
      <c r="J908" s="36"/>
      <c r="K908" s="53">
        <f t="shared" si="44"/>
        <v>-0.39000000000001478</v>
      </c>
      <c r="L908" s="36">
        <f t="shared" si="44"/>
        <v>-0.17000000000001592</v>
      </c>
      <c r="M908" s="36">
        <f t="shared" si="44"/>
        <v>-0.15999999999999659</v>
      </c>
      <c r="N908">
        <f t="shared" si="44"/>
        <v>-0.16999999999998749</v>
      </c>
      <c r="O908">
        <f t="shared" si="45"/>
        <v>-0.11000000000001364</v>
      </c>
      <c r="P908" s="10">
        <f t="shared" si="45"/>
        <v>0.21999999999999886</v>
      </c>
    </row>
    <row r="909" spans="1:16">
      <c r="A909">
        <v>222</v>
      </c>
      <c r="B909">
        <v>143.78</v>
      </c>
      <c r="C909">
        <v>147.44999999999999</v>
      </c>
      <c r="D909">
        <v>145.66999999999999</v>
      </c>
      <c r="E909">
        <v>146.62</v>
      </c>
      <c r="F909">
        <v>136.16999999999999</v>
      </c>
      <c r="G909">
        <v>143.51</v>
      </c>
      <c r="H909">
        <v>101.73</v>
      </c>
      <c r="I909" s="36"/>
      <c r="J909" s="36"/>
      <c r="K909" s="53">
        <f t="shared" si="44"/>
        <v>-0.38999999999998636</v>
      </c>
      <c r="L909" s="36">
        <f t="shared" si="44"/>
        <v>-4.9999999999982947E-2</v>
      </c>
      <c r="M909" s="36">
        <f t="shared" si="44"/>
        <v>-0.17000000000001592</v>
      </c>
      <c r="N909">
        <f t="shared" si="44"/>
        <v>-0.15999999999999659</v>
      </c>
      <c r="O909">
        <f t="shared" si="45"/>
        <v>-6.0000000000002274E-2</v>
      </c>
      <c r="P909" s="10">
        <f t="shared" si="45"/>
        <v>0.28000000000000114</v>
      </c>
    </row>
    <row r="910" spans="1:16">
      <c r="A910">
        <v>222.25</v>
      </c>
      <c r="B910">
        <v>143.66999999999999</v>
      </c>
      <c r="C910">
        <v>147.4</v>
      </c>
      <c r="D910">
        <v>145.78</v>
      </c>
      <c r="E910">
        <v>146.51</v>
      </c>
      <c r="F910">
        <v>136.06</v>
      </c>
      <c r="G910">
        <v>143.56</v>
      </c>
      <c r="H910">
        <v>101.84</v>
      </c>
      <c r="I910" s="36"/>
      <c r="J910" s="36"/>
      <c r="K910" s="53">
        <f t="shared" si="44"/>
        <v>-0.5</v>
      </c>
      <c r="L910" s="36">
        <f t="shared" si="44"/>
        <v>-0.27000000000001023</v>
      </c>
      <c r="M910" s="36">
        <f t="shared" si="44"/>
        <v>-0.10999999999998522</v>
      </c>
      <c r="N910">
        <f t="shared" si="44"/>
        <v>-5.0000000000011369E-2</v>
      </c>
      <c r="O910">
        <f t="shared" si="45"/>
        <v>-0.15999999999999659</v>
      </c>
      <c r="P910" s="10">
        <f t="shared" si="45"/>
        <v>0.21999999999999886</v>
      </c>
    </row>
    <row r="911" spans="1:16">
      <c r="A911">
        <v>222.5</v>
      </c>
      <c r="B911">
        <v>143.56</v>
      </c>
      <c r="C911">
        <v>147.16999999999999</v>
      </c>
      <c r="D911">
        <v>145.66999999999999</v>
      </c>
      <c r="E911">
        <v>146.51</v>
      </c>
      <c r="F911">
        <v>136.06</v>
      </c>
      <c r="G911">
        <v>143.51</v>
      </c>
      <c r="H911">
        <v>101.95</v>
      </c>
      <c r="I911" s="36"/>
      <c r="J911" s="36"/>
      <c r="K911" s="53">
        <f t="shared" si="44"/>
        <v>-0.38999999999998636</v>
      </c>
      <c r="L911" s="36">
        <f t="shared" si="44"/>
        <v>-0.21999999999999886</v>
      </c>
      <c r="M911" s="36">
        <f t="shared" si="44"/>
        <v>-0.16999999999998749</v>
      </c>
      <c r="N911">
        <f t="shared" si="44"/>
        <v>-0.11000000000001364</v>
      </c>
      <c r="O911">
        <f t="shared" si="45"/>
        <v>-0.16999999999998749</v>
      </c>
      <c r="P911" s="10">
        <f t="shared" si="45"/>
        <v>0.17000000000000171</v>
      </c>
    </row>
    <row r="912" spans="1:16">
      <c r="A912">
        <v>222.75</v>
      </c>
      <c r="B912">
        <v>143.51</v>
      </c>
      <c r="C912">
        <v>147.06</v>
      </c>
      <c r="D912">
        <v>145.62</v>
      </c>
      <c r="E912">
        <v>146.44999999999999</v>
      </c>
      <c r="F912">
        <v>136.01</v>
      </c>
      <c r="G912">
        <v>143.44999999999999</v>
      </c>
      <c r="H912">
        <v>102.01</v>
      </c>
      <c r="I912" s="36"/>
      <c r="J912" s="36"/>
      <c r="K912" s="53">
        <f t="shared" si="44"/>
        <v>-0.39000000000001478</v>
      </c>
      <c r="L912" s="36">
        <f t="shared" si="44"/>
        <v>-0.21999999999999886</v>
      </c>
      <c r="M912" s="36">
        <f t="shared" si="44"/>
        <v>-0.21999999999999886</v>
      </c>
      <c r="N912">
        <f t="shared" si="44"/>
        <v>-6.0000000000002274E-2</v>
      </c>
      <c r="O912">
        <f t="shared" si="45"/>
        <v>-0.10999999999998522</v>
      </c>
      <c r="P912" s="10">
        <f t="shared" si="45"/>
        <v>0.26999999999999602</v>
      </c>
    </row>
    <row r="913" spans="1:16">
      <c r="A913">
        <v>223</v>
      </c>
      <c r="B913">
        <v>143.4</v>
      </c>
      <c r="C913">
        <v>146.9</v>
      </c>
      <c r="D913">
        <v>145.51</v>
      </c>
      <c r="E913">
        <v>146.4</v>
      </c>
      <c r="F913">
        <v>136.01</v>
      </c>
      <c r="G913">
        <v>143.4</v>
      </c>
      <c r="H913">
        <v>102.06</v>
      </c>
      <c r="I913" s="36"/>
      <c r="J913" s="36"/>
      <c r="K913" s="53">
        <f t="shared" si="44"/>
        <v>-0.34000000000000341</v>
      </c>
      <c r="L913" s="36">
        <f t="shared" si="44"/>
        <v>-0.16999999999998749</v>
      </c>
      <c r="M913" s="36">
        <f t="shared" si="44"/>
        <v>-0.23000000000001819</v>
      </c>
      <c r="N913">
        <f t="shared" si="44"/>
        <v>-0.22999999999998977</v>
      </c>
      <c r="O913">
        <f t="shared" si="45"/>
        <v>-0.17000000000001592</v>
      </c>
      <c r="P913" s="10">
        <f t="shared" si="45"/>
        <v>0.21999999999999886</v>
      </c>
    </row>
    <row r="914" spans="1:16">
      <c r="A914">
        <v>223.25</v>
      </c>
      <c r="B914">
        <v>143.22999999999999</v>
      </c>
      <c r="C914">
        <v>146.78</v>
      </c>
      <c r="D914">
        <v>145.44999999999999</v>
      </c>
      <c r="E914">
        <v>146.34</v>
      </c>
      <c r="F914">
        <v>135.94999999999999</v>
      </c>
      <c r="G914">
        <v>143.34</v>
      </c>
      <c r="H914">
        <v>102.12</v>
      </c>
      <c r="K914" s="83">
        <f t="shared" si="44"/>
        <v>-0.33000000000001251</v>
      </c>
      <c r="L914" s="36">
        <f t="shared" si="44"/>
        <v>-0.10999999999998522</v>
      </c>
      <c r="M914">
        <f t="shared" si="44"/>
        <v>-0.17000000000001592</v>
      </c>
      <c r="N914">
        <f t="shared" si="44"/>
        <v>-4.9999999999982947E-2</v>
      </c>
      <c r="O914">
        <f t="shared" si="45"/>
        <v>-6.0000000000002274E-2</v>
      </c>
      <c r="P914" s="10">
        <f t="shared" si="45"/>
        <v>0.39000000000000057</v>
      </c>
    </row>
    <row r="915" spans="1:16">
      <c r="A915">
        <v>223.5</v>
      </c>
      <c r="B915">
        <v>143.01</v>
      </c>
      <c r="C915">
        <v>146.66999999999999</v>
      </c>
      <c r="D915">
        <v>145.4</v>
      </c>
      <c r="E915">
        <v>146.22999999999999</v>
      </c>
      <c r="F915">
        <v>135.94999999999999</v>
      </c>
      <c r="G915">
        <v>143.34</v>
      </c>
      <c r="H915">
        <v>102.28</v>
      </c>
      <c r="K915" s="53">
        <f t="shared" si="44"/>
        <v>-0.26999999999998181</v>
      </c>
      <c r="L915" s="36">
        <f t="shared" si="44"/>
        <v>-0.23000000000001819</v>
      </c>
      <c r="M915">
        <f t="shared" si="44"/>
        <v>-6.0000000000002274E-2</v>
      </c>
      <c r="N915">
        <f t="shared" si="44"/>
        <v>-0.10999999999998522</v>
      </c>
      <c r="O915">
        <f t="shared" si="45"/>
        <v>-0.17000000000001592</v>
      </c>
      <c r="P915" s="10">
        <f t="shared" si="45"/>
        <v>0.28000000000000114</v>
      </c>
    </row>
    <row r="916" spans="1:16">
      <c r="A916">
        <v>223.75</v>
      </c>
      <c r="B916">
        <v>142.94999999999999</v>
      </c>
      <c r="C916">
        <v>146.56</v>
      </c>
      <c r="D916">
        <v>145.34</v>
      </c>
      <c r="E916">
        <v>146.16999999999999</v>
      </c>
      <c r="F916">
        <v>135.78</v>
      </c>
      <c r="G916">
        <v>143.22999999999999</v>
      </c>
      <c r="H916">
        <v>102.28</v>
      </c>
      <c r="K916" s="53">
        <f t="shared" si="44"/>
        <v>-0.33000000000001251</v>
      </c>
      <c r="L916" s="36">
        <f t="shared" si="44"/>
        <v>-0.17000000000001592</v>
      </c>
      <c r="M916">
        <f t="shared" si="44"/>
        <v>-0.10999999999998522</v>
      </c>
      <c r="N916">
        <f t="shared" si="44"/>
        <v>0.12000000000000455</v>
      </c>
      <c r="O916">
        <f t="shared" si="45"/>
        <v>-6.0000000000002274E-2</v>
      </c>
      <c r="P916" s="10">
        <f t="shared" si="45"/>
        <v>0.39000000000000057</v>
      </c>
    </row>
    <row r="917" spans="1:16">
      <c r="A917">
        <v>224</v>
      </c>
      <c r="B917">
        <v>142.84</v>
      </c>
      <c r="C917">
        <v>146.44999999999999</v>
      </c>
      <c r="D917">
        <v>145.34</v>
      </c>
      <c r="E917">
        <v>146.16999999999999</v>
      </c>
      <c r="F917">
        <v>135.9</v>
      </c>
      <c r="G917">
        <v>143.28</v>
      </c>
      <c r="H917">
        <v>102.51</v>
      </c>
      <c r="K917" s="53">
        <f t="shared" si="44"/>
        <v>-0.38999999999998636</v>
      </c>
      <c r="L917" s="36">
        <f t="shared" si="44"/>
        <v>-0.28000000000000114</v>
      </c>
      <c r="M917">
        <f t="shared" si="44"/>
        <v>-0.15999999999999659</v>
      </c>
      <c r="N917">
        <f t="shared" ref="N917:P980" si="46">F920-F917</f>
        <v>0</v>
      </c>
      <c r="O917">
        <f t="shared" si="45"/>
        <v>-0.27000000000001023</v>
      </c>
      <c r="P917" s="10">
        <f t="shared" si="45"/>
        <v>0.32999999999999829</v>
      </c>
    </row>
    <row r="918" spans="1:16">
      <c r="A918">
        <v>224.25</v>
      </c>
      <c r="B918">
        <v>142.72999999999999</v>
      </c>
      <c r="C918">
        <v>146.4</v>
      </c>
      <c r="D918">
        <v>145.16999999999999</v>
      </c>
      <c r="E918">
        <v>146.16999999999999</v>
      </c>
      <c r="F918">
        <v>135.84</v>
      </c>
      <c r="G918">
        <v>143.16999999999999</v>
      </c>
      <c r="H918">
        <v>102.56</v>
      </c>
      <c r="K918" s="53">
        <f t="shared" ref="K918:P981" si="47">C921-C918</f>
        <v>-0.34000000000000341</v>
      </c>
      <c r="L918" s="36">
        <f t="shared" si="47"/>
        <v>-4.9999999999982947E-2</v>
      </c>
      <c r="M918">
        <f t="shared" si="47"/>
        <v>-0.26999999999998181</v>
      </c>
      <c r="N918">
        <f t="shared" si="46"/>
        <v>0</v>
      </c>
      <c r="O918">
        <f t="shared" si="46"/>
        <v>-0.21999999999999886</v>
      </c>
      <c r="P918" s="10">
        <f t="shared" si="46"/>
        <v>0.34000000000000341</v>
      </c>
    </row>
    <row r="919" spans="1:16">
      <c r="A919">
        <v>224.5</v>
      </c>
      <c r="B919">
        <v>142.62</v>
      </c>
      <c r="C919">
        <v>146.22999999999999</v>
      </c>
      <c r="D919">
        <v>145.16999999999999</v>
      </c>
      <c r="E919">
        <v>146.06</v>
      </c>
      <c r="F919">
        <v>135.9</v>
      </c>
      <c r="G919">
        <v>143.16999999999999</v>
      </c>
      <c r="H919">
        <v>102.67</v>
      </c>
      <c r="K919" s="53">
        <f t="shared" si="47"/>
        <v>-0.21999999999999886</v>
      </c>
      <c r="L919" s="36">
        <f t="shared" si="47"/>
        <v>-4.9999999999982947E-2</v>
      </c>
      <c r="M919">
        <f t="shared" si="47"/>
        <v>-0.21999999999999886</v>
      </c>
      <c r="N919">
        <f t="shared" si="46"/>
        <v>-0.12000000000000455</v>
      </c>
      <c r="O919">
        <f t="shared" si="46"/>
        <v>-0.10999999999998522</v>
      </c>
      <c r="P919" s="10">
        <f t="shared" si="46"/>
        <v>0.39000000000000057</v>
      </c>
    </row>
    <row r="920" spans="1:16">
      <c r="A920">
        <v>224.75</v>
      </c>
      <c r="B920">
        <v>142.4</v>
      </c>
      <c r="C920">
        <v>146.06</v>
      </c>
      <c r="D920">
        <v>145.06</v>
      </c>
      <c r="E920">
        <v>146.01</v>
      </c>
      <c r="F920">
        <v>135.9</v>
      </c>
      <c r="G920">
        <v>143.01</v>
      </c>
      <c r="H920">
        <v>102.84</v>
      </c>
      <c r="K920" s="53">
        <f t="shared" si="47"/>
        <v>-0.21999999999999886</v>
      </c>
      <c r="L920" s="36">
        <f t="shared" si="47"/>
        <v>0</v>
      </c>
      <c r="M920">
        <f t="shared" si="47"/>
        <v>-0.22999999999998977</v>
      </c>
      <c r="N920">
        <f t="shared" si="46"/>
        <v>-0.17000000000001592</v>
      </c>
      <c r="O920">
        <f t="shared" si="46"/>
        <v>-0.10999999999998522</v>
      </c>
      <c r="P920" s="10">
        <f t="shared" si="46"/>
        <v>0.39000000000000057</v>
      </c>
    </row>
    <row r="921" spans="1:16">
      <c r="A921">
        <v>225</v>
      </c>
      <c r="B921">
        <v>142.16999999999999</v>
      </c>
      <c r="C921">
        <v>146.06</v>
      </c>
      <c r="D921">
        <v>145.12</v>
      </c>
      <c r="E921">
        <v>145.9</v>
      </c>
      <c r="F921">
        <v>135.84</v>
      </c>
      <c r="G921">
        <v>142.94999999999999</v>
      </c>
      <c r="H921">
        <v>102.9</v>
      </c>
      <c r="K921" s="53">
        <f t="shared" si="47"/>
        <v>-0.33000000000001251</v>
      </c>
      <c r="L921" s="36">
        <f t="shared" si="47"/>
        <v>-0.21999999999999886</v>
      </c>
      <c r="M921">
        <f t="shared" si="47"/>
        <v>-0.17000000000001592</v>
      </c>
      <c r="N921">
        <f t="shared" si="46"/>
        <v>-0.11000000000001364</v>
      </c>
      <c r="O921">
        <f t="shared" si="46"/>
        <v>0</v>
      </c>
      <c r="P921" s="10">
        <f t="shared" si="46"/>
        <v>0.37999999999999545</v>
      </c>
    </row>
    <row r="922" spans="1:16">
      <c r="A922">
        <v>225.25</v>
      </c>
      <c r="B922">
        <v>142.01</v>
      </c>
      <c r="C922">
        <v>146.01</v>
      </c>
      <c r="D922">
        <v>145.12</v>
      </c>
      <c r="E922">
        <v>145.84</v>
      </c>
      <c r="F922">
        <v>135.78</v>
      </c>
      <c r="G922">
        <v>143.06</v>
      </c>
      <c r="H922">
        <v>103.06</v>
      </c>
      <c r="K922" s="53">
        <f t="shared" si="47"/>
        <v>-0.38999999999998636</v>
      </c>
      <c r="L922" s="36">
        <f t="shared" si="47"/>
        <v>-0.28000000000000114</v>
      </c>
      <c r="M922">
        <f t="shared" si="47"/>
        <v>-0.17000000000001592</v>
      </c>
      <c r="N922">
        <f t="shared" si="46"/>
        <v>-0.11000000000001364</v>
      </c>
      <c r="O922">
        <f t="shared" si="46"/>
        <v>-0.21999999999999886</v>
      </c>
      <c r="P922" s="10">
        <f t="shared" si="46"/>
        <v>0.34000000000000341</v>
      </c>
    </row>
    <row r="923" spans="1:16">
      <c r="A923">
        <v>225.5</v>
      </c>
      <c r="B923">
        <v>141.84</v>
      </c>
      <c r="C923">
        <v>145.84</v>
      </c>
      <c r="D923">
        <v>145.06</v>
      </c>
      <c r="E923">
        <v>145.78</v>
      </c>
      <c r="F923">
        <v>135.72999999999999</v>
      </c>
      <c r="G923">
        <v>142.9</v>
      </c>
      <c r="H923">
        <v>103.23</v>
      </c>
      <c r="K923" s="53">
        <f t="shared" si="47"/>
        <v>-0.33000000000001251</v>
      </c>
      <c r="L923" s="36">
        <f t="shared" si="47"/>
        <v>-0.21999999999999886</v>
      </c>
      <c r="M923">
        <f t="shared" si="47"/>
        <v>-0.15999999999999659</v>
      </c>
      <c r="N923">
        <f t="shared" si="46"/>
        <v>-6.0000000000002274E-2</v>
      </c>
      <c r="O923">
        <f t="shared" si="46"/>
        <v>-0.12000000000000455</v>
      </c>
      <c r="P923" s="10">
        <f t="shared" si="46"/>
        <v>0.28000000000000114</v>
      </c>
    </row>
    <row r="924" spans="1:16">
      <c r="A924">
        <v>225.75</v>
      </c>
      <c r="B924">
        <v>141.78</v>
      </c>
      <c r="C924">
        <v>145.72999999999999</v>
      </c>
      <c r="D924">
        <v>144.9</v>
      </c>
      <c r="E924">
        <v>145.72999999999999</v>
      </c>
      <c r="F924">
        <v>135.72999999999999</v>
      </c>
      <c r="G924">
        <v>142.94999999999999</v>
      </c>
      <c r="H924">
        <v>103.28</v>
      </c>
      <c r="K924" s="53">
        <f t="shared" si="47"/>
        <v>-0.32999999999998408</v>
      </c>
      <c r="L924" s="36">
        <f t="shared" si="47"/>
        <v>-0.12000000000000455</v>
      </c>
      <c r="M924">
        <f t="shared" si="47"/>
        <v>-0.16999999999998749</v>
      </c>
      <c r="N924">
        <f t="shared" si="46"/>
        <v>-6.0000000000002274E-2</v>
      </c>
      <c r="O924">
        <f t="shared" si="46"/>
        <v>-0.21999999999999886</v>
      </c>
      <c r="P924" s="10">
        <f t="shared" si="46"/>
        <v>0.28000000000000114</v>
      </c>
    </row>
    <row r="925" spans="1:16">
      <c r="A925">
        <v>226</v>
      </c>
      <c r="B925">
        <v>141.62</v>
      </c>
      <c r="C925">
        <v>145.62</v>
      </c>
      <c r="D925">
        <v>144.84</v>
      </c>
      <c r="E925">
        <v>145.66999999999999</v>
      </c>
      <c r="F925">
        <v>135.66999999999999</v>
      </c>
      <c r="G925">
        <v>142.84</v>
      </c>
      <c r="H925">
        <v>103.4</v>
      </c>
      <c r="K925" s="53">
        <f t="shared" si="47"/>
        <v>-0.34000000000000341</v>
      </c>
      <c r="L925" s="36">
        <f t="shared" si="47"/>
        <v>-0.11000000000001364</v>
      </c>
      <c r="M925">
        <f t="shared" si="47"/>
        <v>-0.15999999999999659</v>
      </c>
      <c r="N925">
        <f t="shared" si="46"/>
        <v>-4.9999999999982947E-2</v>
      </c>
      <c r="O925">
        <f t="shared" si="46"/>
        <v>-0.11000000000001364</v>
      </c>
      <c r="P925" s="10">
        <f t="shared" si="46"/>
        <v>0.26999999999999602</v>
      </c>
    </row>
    <row r="926" spans="1:16">
      <c r="A926">
        <v>226.25</v>
      </c>
      <c r="B926">
        <v>141.51</v>
      </c>
      <c r="C926">
        <v>145.51</v>
      </c>
      <c r="D926">
        <v>144.84</v>
      </c>
      <c r="E926">
        <v>145.62</v>
      </c>
      <c r="F926">
        <v>135.66999999999999</v>
      </c>
      <c r="G926">
        <v>142.78</v>
      </c>
      <c r="H926">
        <v>103.51</v>
      </c>
      <c r="K926" s="53">
        <f t="shared" si="47"/>
        <v>-0.44999999999998863</v>
      </c>
      <c r="L926" s="36">
        <f t="shared" si="47"/>
        <v>-0.28000000000000114</v>
      </c>
      <c r="M926">
        <f t="shared" si="47"/>
        <v>-0.17000000000001592</v>
      </c>
      <c r="N926">
        <f t="shared" si="46"/>
        <v>-4.9999999999982947E-2</v>
      </c>
      <c r="O926">
        <f t="shared" si="46"/>
        <v>0</v>
      </c>
      <c r="P926" s="10">
        <f t="shared" si="46"/>
        <v>0.26999999999999602</v>
      </c>
    </row>
    <row r="927" spans="1:16">
      <c r="A927">
        <v>226.5</v>
      </c>
      <c r="B927">
        <v>141.4</v>
      </c>
      <c r="C927">
        <v>145.4</v>
      </c>
      <c r="D927">
        <v>144.78</v>
      </c>
      <c r="E927">
        <v>145.56</v>
      </c>
      <c r="F927">
        <v>135.66999999999999</v>
      </c>
      <c r="G927">
        <v>142.72999999999999</v>
      </c>
      <c r="H927">
        <v>103.56</v>
      </c>
      <c r="K927" s="53">
        <f t="shared" si="47"/>
        <v>-0.5</v>
      </c>
      <c r="L927" s="36">
        <f t="shared" si="47"/>
        <v>-0.33000000000001251</v>
      </c>
      <c r="M927">
        <f t="shared" si="47"/>
        <v>-0.21999999999999886</v>
      </c>
      <c r="N927">
        <f t="shared" si="46"/>
        <v>-0.10999999999998522</v>
      </c>
      <c r="O927">
        <f t="shared" si="46"/>
        <v>-0.16999999999998749</v>
      </c>
      <c r="P927" s="10">
        <f t="shared" si="46"/>
        <v>0.34000000000000341</v>
      </c>
    </row>
    <row r="928" spans="1:16">
      <c r="A928">
        <v>226.75</v>
      </c>
      <c r="B928">
        <v>141.22999999999999</v>
      </c>
      <c r="C928">
        <v>145.28</v>
      </c>
      <c r="D928">
        <v>144.72999999999999</v>
      </c>
      <c r="E928">
        <v>145.51</v>
      </c>
      <c r="F928">
        <v>135.62</v>
      </c>
      <c r="G928">
        <v>142.72999999999999</v>
      </c>
      <c r="H928">
        <v>103.67</v>
      </c>
      <c r="K928" s="53">
        <f t="shared" si="47"/>
        <v>-0.55000000000001137</v>
      </c>
      <c r="L928" s="36">
        <f t="shared" si="47"/>
        <v>-0.28000000000000114</v>
      </c>
      <c r="M928">
        <f t="shared" si="47"/>
        <v>-0.16999999999998749</v>
      </c>
      <c r="N928">
        <f t="shared" si="46"/>
        <v>-0.11000000000001364</v>
      </c>
      <c r="O928">
        <f t="shared" si="46"/>
        <v>-6.0000000000002274E-2</v>
      </c>
      <c r="P928" s="10">
        <f t="shared" si="46"/>
        <v>0.39000000000000057</v>
      </c>
    </row>
    <row r="929" spans="1:16">
      <c r="A929">
        <v>227</v>
      </c>
      <c r="B929">
        <v>141.22999999999999</v>
      </c>
      <c r="C929">
        <v>145.06</v>
      </c>
      <c r="D929">
        <v>144.56</v>
      </c>
      <c r="E929">
        <v>145.44999999999999</v>
      </c>
      <c r="F929">
        <v>135.62</v>
      </c>
      <c r="G929">
        <v>142.78</v>
      </c>
      <c r="H929">
        <v>103.78</v>
      </c>
      <c r="K929" s="53">
        <f t="shared" si="47"/>
        <v>-0.55000000000001137</v>
      </c>
      <c r="L929" s="36">
        <f t="shared" si="47"/>
        <v>-5.0000000000011369E-2</v>
      </c>
      <c r="M929">
        <f t="shared" si="47"/>
        <v>-0.16999999999998749</v>
      </c>
      <c r="N929">
        <f t="shared" si="46"/>
        <v>-0.11000000000001364</v>
      </c>
      <c r="O929">
        <f t="shared" si="46"/>
        <v>-0.15999999999999659</v>
      </c>
      <c r="P929" s="10">
        <f t="shared" si="46"/>
        <v>0.28000000000000114</v>
      </c>
    </row>
    <row r="930" spans="1:16">
      <c r="A930">
        <v>227.25</v>
      </c>
      <c r="B930">
        <v>141.12</v>
      </c>
      <c r="C930">
        <v>144.9</v>
      </c>
      <c r="D930">
        <v>144.44999999999999</v>
      </c>
      <c r="E930">
        <v>145.34</v>
      </c>
      <c r="F930">
        <v>135.56</v>
      </c>
      <c r="G930">
        <v>142.56</v>
      </c>
      <c r="H930">
        <v>103.9</v>
      </c>
      <c r="K930" s="53">
        <f t="shared" si="47"/>
        <v>-0.67000000000001592</v>
      </c>
      <c r="L930" s="36">
        <f t="shared" si="47"/>
        <v>0</v>
      </c>
      <c r="M930">
        <f t="shared" si="47"/>
        <v>-0.11000000000001364</v>
      </c>
      <c r="N930">
        <f t="shared" si="46"/>
        <v>-5.0000000000011369E-2</v>
      </c>
      <c r="O930">
        <f t="shared" si="46"/>
        <v>0</v>
      </c>
      <c r="P930" s="10">
        <f t="shared" si="46"/>
        <v>0.26999999999999602</v>
      </c>
    </row>
    <row r="931" spans="1:16">
      <c r="A931">
        <v>227.5</v>
      </c>
      <c r="B931">
        <v>141.06</v>
      </c>
      <c r="C931">
        <v>144.72999999999999</v>
      </c>
      <c r="D931">
        <v>144.44999999999999</v>
      </c>
      <c r="E931">
        <v>145.34</v>
      </c>
      <c r="F931">
        <v>135.51</v>
      </c>
      <c r="G931">
        <v>142.66999999999999</v>
      </c>
      <c r="H931">
        <v>104.06</v>
      </c>
      <c r="K931" s="53">
        <f t="shared" si="47"/>
        <v>-0.60999999999998522</v>
      </c>
      <c r="L931" s="36">
        <f t="shared" si="47"/>
        <v>-0.16999999999998749</v>
      </c>
      <c r="M931">
        <f t="shared" si="47"/>
        <v>-0.17000000000001592</v>
      </c>
      <c r="N931">
        <f t="shared" si="46"/>
        <v>0.11000000000001364</v>
      </c>
      <c r="O931">
        <f t="shared" si="46"/>
        <v>-0.10999999999998522</v>
      </c>
      <c r="P931" s="10">
        <f t="shared" si="46"/>
        <v>0.28000000000000114</v>
      </c>
    </row>
    <row r="932" spans="1:16">
      <c r="A932">
        <v>227.75</v>
      </c>
      <c r="B932">
        <v>141.01</v>
      </c>
      <c r="C932">
        <v>144.51</v>
      </c>
      <c r="D932">
        <v>144.51</v>
      </c>
      <c r="E932">
        <v>145.28</v>
      </c>
      <c r="F932">
        <v>135.51</v>
      </c>
      <c r="G932">
        <v>142.62</v>
      </c>
      <c r="H932">
        <v>104.06</v>
      </c>
      <c r="K932" s="53">
        <f t="shared" si="47"/>
        <v>-0.66999999999998749</v>
      </c>
      <c r="L932" s="36">
        <f t="shared" si="47"/>
        <v>-0.16999999999998749</v>
      </c>
      <c r="M932">
        <f t="shared" si="47"/>
        <v>-0.21999999999999886</v>
      </c>
      <c r="N932">
        <f t="shared" si="46"/>
        <v>0</v>
      </c>
      <c r="O932">
        <f t="shared" si="46"/>
        <v>-0.11000000000001364</v>
      </c>
      <c r="P932" s="10">
        <f t="shared" si="46"/>
        <v>0.34000000000000341</v>
      </c>
    </row>
    <row r="933" spans="1:16">
      <c r="A933">
        <v>228</v>
      </c>
      <c r="B933">
        <v>140.84</v>
      </c>
      <c r="C933">
        <v>144.22999999999999</v>
      </c>
      <c r="D933">
        <v>144.44999999999999</v>
      </c>
      <c r="E933">
        <v>145.22999999999999</v>
      </c>
      <c r="F933">
        <v>135.51</v>
      </c>
      <c r="G933">
        <v>142.56</v>
      </c>
      <c r="H933">
        <v>104.17</v>
      </c>
      <c r="K933" s="53">
        <f t="shared" si="47"/>
        <v>-0.44999999999998863</v>
      </c>
      <c r="L933" s="36">
        <f t="shared" si="47"/>
        <v>-0.16999999999998749</v>
      </c>
      <c r="M933">
        <f t="shared" si="47"/>
        <v>-0.28000000000000114</v>
      </c>
      <c r="N933">
        <f t="shared" si="46"/>
        <v>5.0000000000011369E-2</v>
      </c>
      <c r="O933">
        <f t="shared" si="46"/>
        <v>-5.0000000000011369E-2</v>
      </c>
      <c r="P933" s="10">
        <f t="shared" si="46"/>
        <v>0.34000000000000341</v>
      </c>
    </row>
    <row r="934" spans="1:16">
      <c r="A934">
        <v>228.25</v>
      </c>
      <c r="B934">
        <v>140.78</v>
      </c>
      <c r="C934">
        <v>144.12</v>
      </c>
      <c r="D934">
        <v>144.28</v>
      </c>
      <c r="E934">
        <v>145.16999999999999</v>
      </c>
      <c r="F934">
        <v>135.62</v>
      </c>
      <c r="G934">
        <v>142.56</v>
      </c>
      <c r="H934">
        <v>104.34</v>
      </c>
      <c r="K934" s="53">
        <f t="shared" si="47"/>
        <v>-0.45000000000001705</v>
      </c>
      <c r="L934" s="36">
        <f t="shared" si="47"/>
        <v>-0.11000000000001364</v>
      </c>
      <c r="M934">
        <f t="shared" si="47"/>
        <v>-0.21999999999999886</v>
      </c>
      <c r="N934">
        <f t="shared" si="46"/>
        <v>-6.0000000000002274E-2</v>
      </c>
      <c r="O934">
        <f t="shared" si="46"/>
        <v>-0.11000000000001364</v>
      </c>
      <c r="P934" s="10">
        <f t="shared" si="46"/>
        <v>0.28000000000000114</v>
      </c>
    </row>
    <row r="935" spans="1:16">
      <c r="A935">
        <v>228.5</v>
      </c>
      <c r="B935">
        <v>140.72999999999999</v>
      </c>
      <c r="C935">
        <v>143.84</v>
      </c>
      <c r="D935">
        <v>144.34</v>
      </c>
      <c r="E935">
        <v>145.06</v>
      </c>
      <c r="F935">
        <v>135.51</v>
      </c>
      <c r="G935">
        <v>142.51</v>
      </c>
      <c r="H935">
        <v>104.4</v>
      </c>
      <c r="K935" s="53">
        <f t="shared" si="47"/>
        <v>-0.39000000000001478</v>
      </c>
      <c r="L935" s="36">
        <f t="shared" si="47"/>
        <v>-0.21999999999999886</v>
      </c>
      <c r="M935">
        <f t="shared" si="47"/>
        <v>-0.15999999999999659</v>
      </c>
      <c r="N935">
        <f t="shared" si="46"/>
        <v>0</v>
      </c>
      <c r="O935">
        <f t="shared" si="46"/>
        <v>-0.16999999999998749</v>
      </c>
      <c r="P935" s="10">
        <f t="shared" si="46"/>
        <v>0.32999999999999829</v>
      </c>
    </row>
    <row r="936" spans="1:16">
      <c r="A936">
        <v>228.75</v>
      </c>
      <c r="B936">
        <v>140.56</v>
      </c>
      <c r="C936">
        <v>143.78</v>
      </c>
      <c r="D936">
        <v>144.28</v>
      </c>
      <c r="E936">
        <v>144.94999999999999</v>
      </c>
      <c r="F936">
        <v>135.56</v>
      </c>
      <c r="G936">
        <v>142.51</v>
      </c>
      <c r="H936">
        <v>104.51</v>
      </c>
      <c r="K936" s="53">
        <f t="shared" si="47"/>
        <v>-0.43999999999999773</v>
      </c>
      <c r="L936" s="36">
        <f t="shared" si="47"/>
        <v>-0.21999999999999886</v>
      </c>
      <c r="M936">
        <f t="shared" si="47"/>
        <v>0</v>
      </c>
      <c r="N936">
        <f t="shared" si="46"/>
        <v>-0.11000000000001364</v>
      </c>
      <c r="O936">
        <f t="shared" si="46"/>
        <v>-0.22999999999998977</v>
      </c>
      <c r="P936" s="10">
        <f t="shared" si="46"/>
        <v>0.15999999999999659</v>
      </c>
    </row>
    <row r="937" spans="1:16">
      <c r="A937">
        <v>229</v>
      </c>
      <c r="B937">
        <v>140.51</v>
      </c>
      <c r="C937">
        <v>143.66999999999999</v>
      </c>
      <c r="D937">
        <v>144.16999999999999</v>
      </c>
      <c r="E937">
        <v>144.94999999999999</v>
      </c>
      <c r="F937">
        <v>135.56</v>
      </c>
      <c r="G937">
        <v>142.44999999999999</v>
      </c>
      <c r="H937">
        <v>104.62</v>
      </c>
      <c r="K937" s="53">
        <f t="shared" si="47"/>
        <v>-0.5</v>
      </c>
      <c r="L937" s="36">
        <f t="shared" si="47"/>
        <v>-0.21999999999999886</v>
      </c>
      <c r="M937">
        <f t="shared" si="47"/>
        <v>-0.10999999999998522</v>
      </c>
      <c r="N937">
        <f t="shared" si="46"/>
        <v>-5.0000000000011369E-2</v>
      </c>
      <c r="O937">
        <f t="shared" si="46"/>
        <v>-0.16999999999998749</v>
      </c>
      <c r="P937" s="10">
        <f t="shared" si="46"/>
        <v>0.10999999999999943</v>
      </c>
    </row>
    <row r="938" spans="1:16">
      <c r="A938">
        <v>229.25</v>
      </c>
      <c r="B938">
        <v>140.44999999999999</v>
      </c>
      <c r="C938">
        <v>143.44999999999999</v>
      </c>
      <c r="D938">
        <v>144.12</v>
      </c>
      <c r="E938">
        <v>144.9</v>
      </c>
      <c r="F938">
        <v>135.51</v>
      </c>
      <c r="G938">
        <v>142.34</v>
      </c>
      <c r="H938">
        <v>104.73</v>
      </c>
      <c r="K938" s="53">
        <f t="shared" si="47"/>
        <v>-0.43999999999999773</v>
      </c>
      <c r="L938" s="36">
        <f t="shared" si="47"/>
        <v>-0.11000000000001364</v>
      </c>
      <c r="M938">
        <f t="shared" si="47"/>
        <v>-0.12000000000000455</v>
      </c>
      <c r="N938">
        <f t="shared" si="46"/>
        <v>-0.10999999999998522</v>
      </c>
      <c r="O938">
        <f t="shared" si="46"/>
        <v>-0.11000000000001364</v>
      </c>
      <c r="P938" s="10">
        <f t="shared" si="46"/>
        <v>0</v>
      </c>
    </row>
    <row r="939" spans="1:16">
      <c r="A939">
        <v>229.5</v>
      </c>
      <c r="B939">
        <v>140.34</v>
      </c>
      <c r="C939">
        <v>143.34</v>
      </c>
      <c r="D939">
        <v>144.06</v>
      </c>
      <c r="E939">
        <v>144.94999999999999</v>
      </c>
      <c r="F939">
        <v>135.44999999999999</v>
      </c>
      <c r="G939">
        <v>142.28</v>
      </c>
      <c r="H939">
        <v>104.67</v>
      </c>
      <c r="K939" s="53">
        <f t="shared" si="47"/>
        <v>-0.56000000000000227</v>
      </c>
      <c r="L939" s="36">
        <f t="shared" si="47"/>
        <v>-0.21999999999999886</v>
      </c>
      <c r="M939">
        <f t="shared" si="47"/>
        <v>-0.16999999999998749</v>
      </c>
      <c r="N939">
        <f t="shared" si="46"/>
        <v>0</v>
      </c>
      <c r="O939">
        <f t="shared" si="46"/>
        <v>0</v>
      </c>
      <c r="P939" s="10">
        <f t="shared" si="46"/>
        <v>0.17000000000000171</v>
      </c>
    </row>
    <row r="940" spans="1:16">
      <c r="A940">
        <v>229.75</v>
      </c>
      <c r="B940">
        <v>140.22999999999999</v>
      </c>
      <c r="C940">
        <v>143.16999999999999</v>
      </c>
      <c r="D940">
        <v>143.94999999999999</v>
      </c>
      <c r="E940">
        <v>144.84</v>
      </c>
      <c r="F940">
        <v>135.51</v>
      </c>
      <c r="G940">
        <v>142.28</v>
      </c>
      <c r="H940">
        <v>104.73</v>
      </c>
      <c r="K940" s="53">
        <f t="shared" si="47"/>
        <v>-0.54999999999998295</v>
      </c>
      <c r="L940" s="36">
        <f t="shared" si="47"/>
        <v>-0.21999999999999886</v>
      </c>
      <c r="M940">
        <f t="shared" si="47"/>
        <v>-0.11000000000001364</v>
      </c>
      <c r="N940">
        <f t="shared" si="46"/>
        <v>-6.0000000000002274E-2</v>
      </c>
      <c r="O940">
        <f t="shared" si="46"/>
        <v>-0.11000000000001364</v>
      </c>
      <c r="P940" s="10">
        <f t="shared" si="46"/>
        <v>0.17000000000000171</v>
      </c>
    </row>
    <row r="941" spans="1:16">
      <c r="A941">
        <v>230</v>
      </c>
      <c r="B941">
        <v>140.22999999999999</v>
      </c>
      <c r="C941">
        <v>143.01</v>
      </c>
      <c r="D941">
        <v>144.01</v>
      </c>
      <c r="E941">
        <v>144.78</v>
      </c>
      <c r="F941">
        <v>135.4</v>
      </c>
      <c r="G941">
        <v>142.22999999999999</v>
      </c>
      <c r="H941">
        <v>104.73</v>
      </c>
      <c r="K941" s="53">
        <f t="shared" si="47"/>
        <v>-0.44999999999998863</v>
      </c>
      <c r="L941" s="36">
        <f t="shared" si="47"/>
        <v>-0.28000000000000114</v>
      </c>
      <c r="M941">
        <f t="shared" si="47"/>
        <v>-0.11000000000001364</v>
      </c>
      <c r="N941">
        <f t="shared" si="46"/>
        <v>0</v>
      </c>
      <c r="O941">
        <f t="shared" si="46"/>
        <v>-6.0000000000002274E-2</v>
      </c>
      <c r="P941" s="10">
        <f t="shared" si="46"/>
        <v>0.28000000000000114</v>
      </c>
    </row>
    <row r="942" spans="1:16">
      <c r="A942">
        <v>230.25</v>
      </c>
      <c r="B942">
        <v>140.06</v>
      </c>
      <c r="C942">
        <v>142.78</v>
      </c>
      <c r="D942">
        <v>143.84</v>
      </c>
      <c r="E942">
        <v>144.78</v>
      </c>
      <c r="F942">
        <v>135.44999999999999</v>
      </c>
      <c r="G942">
        <v>142.28</v>
      </c>
      <c r="H942">
        <v>104.84</v>
      </c>
      <c r="K942" s="53">
        <f t="shared" si="47"/>
        <v>-0.43999999999999773</v>
      </c>
      <c r="L942" s="36">
        <f t="shared" si="47"/>
        <v>-0.21999999999999886</v>
      </c>
      <c r="M942">
        <f t="shared" si="47"/>
        <v>-0.11000000000001364</v>
      </c>
      <c r="N942">
        <f t="shared" si="46"/>
        <v>-0.10999999999998522</v>
      </c>
      <c r="O942">
        <f t="shared" si="46"/>
        <v>-0.21999999999999886</v>
      </c>
      <c r="P942" s="10">
        <f t="shared" si="46"/>
        <v>0.21999999999999886</v>
      </c>
    </row>
    <row r="943" spans="1:16">
      <c r="A943">
        <v>230.5</v>
      </c>
      <c r="B943">
        <v>140.01</v>
      </c>
      <c r="C943">
        <v>142.62</v>
      </c>
      <c r="D943">
        <v>143.72999999999999</v>
      </c>
      <c r="E943">
        <v>144.72999999999999</v>
      </c>
      <c r="F943">
        <v>135.44999999999999</v>
      </c>
      <c r="G943">
        <v>142.16999999999999</v>
      </c>
      <c r="H943">
        <v>104.9</v>
      </c>
      <c r="K943" s="53">
        <f t="shared" si="47"/>
        <v>-0.39000000000001478</v>
      </c>
      <c r="L943" s="36">
        <f t="shared" si="47"/>
        <v>-0.21999999999999886</v>
      </c>
      <c r="M943">
        <f t="shared" si="47"/>
        <v>-6.0000000000002274E-2</v>
      </c>
      <c r="N943">
        <f t="shared" si="46"/>
        <v>-4.9999999999982947E-2</v>
      </c>
      <c r="O943">
        <f t="shared" si="46"/>
        <v>-0.10999999999998522</v>
      </c>
      <c r="P943" s="10">
        <f t="shared" si="46"/>
        <v>0.21999999999999886</v>
      </c>
    </row>
    <row r="944" spans="1:16">
      <c r="A944">
        <v>230.75</v>
      </c>
      <c r="B944">
        <v>140.12</v>
      </c>
      <c r="C944">
        <v>142.56</v>
      </c>
      <c r="D944">
        <v>143.72999999999999</v>
      </c>
      <c r="E944">
        <v>144.66999999999999</v>
      </c>
      <c r="F944">
        <v>135.4</v>
      </c>
      <c r="G944">
        <v>142.16999999999999</v>
      </c>
      <c r="H944">
        <v>105.01</v>
      </c>
      <c r="K944" s="53">
        <f t="shared" si="47"/>
        <v>-0.43999999999999773</v>
      </c>
      <c r="L944" s="36">
        <f t="shared" si="47"/>
        <v>-0.28000000000000114</v>
      </c>
      <c r="M944">
        <f t="shared" si="47"/>
        <v>-0.15999999999999659</v>
      </c>
      <c r="N944">
        <f t="shared" si="46"/>
        <v>0</v>
      </c>
      <c r="O944">
        <f t="shared" si="46"/>
        <v>-0.15999999999999659</v>
      </c>
      <c r="P944" s="10">
        <f t="shared" si="46"/>
        <v>0.15999999999999659</v>
      </c>
    </row>
    <row r="945" spans="1:16">
      <c r="A945">
        <v>231</v>
      </c>
      <c r="B945">
        <v>139.84</v>
      </c>
      <c r="C945">
        <v>142.34</v>
      </c>
      <c r="D945">
        <v>143.62</v>
      </c>
      <c r="E945">
        <v>144.66999999999999</v>
      </c>
      <c r="F945">
        <v>135.34</v>
      </c>
      <c r="G945">
        <v>142.06</v>
      </c>
      <c r="H945">
        <v>105.06</v>
      </c>
      <c r="K945" s="9">
        <f t="shared" si="47"/>
        <v>-0.28000000000000114</v>
      </c>
      <c r="L945">
        <f t="shared" si="47"/>
        <v>-0.34000000000000341</v>
      </c>
      <c r="M945">
        <f t="shared" si="47"/>
        <v>-0.15999999999999659</v>
      </c>
      <c r="N945">
        <f t="shared" si="46"/>
        <v>-0.11000000000001364</v>
      </c>
      <c r="O945">
        <f t="shared" si="46"/>
        <v>-5.0000000000011369E-2</v>
      </c>
      <c r="P945" s="10">
        <f t="shared" si="46"/>
        <v>0.21999999999999886</v>
      </c>
    </row>
    <row r="946" spans="1:16">
      <c r="A946">
        <v>231.25</v>
      </c>
      <c r="B946">
        <v>139.78</v>
      </c>
      <c r="C946">
        <v>142.22999999999999</v>
      </c>
      <c r="D946">
        <v>143.51</v>
      </c>
      <c r="E946">
        <v>144.66999999999999</v>
      </c>
      <c r="F946">
        <v>135.4</v>
      </c>
      <c r="G946">
        <v>142.06</v>
      </c>
      <c r="H946">
        <v>105.12</v>
      </c>
      <c r="K946" s="9">
        <f t="shared" si="47"/>
        <v>-0.16999999999998749</v>
      </c>
      <c r="L946">
        <f t="shared" si="47"/>
        <v>-0.22999999999998977</v>
      </c>
      <c r="M946">
        <f t="shared" si="47"/>
        <v>-0.21999999999999886</v>
      </c>
      <c r="N946">
        <f t="shared" si="46"/>
        <v>-0.17000000000001592</v>
      </c>
      <c r="O946">
        <f t="shared" si="46"/>
        <v>-0.11000000000001364</v>
      </c>
      <c r="P946" s="10">
        <f t="shared" si="46"/>
        <v>0.21999999999999886</v>
      </c>
    </row>
    <row r="947" spans="1:16">
      <c r="A947">
        <v>231.5</v>
      </c>
      <c r="B947">
        <v>139.66999999999999</v>
      </c>
      <c r="C947">
        <v>142.12</v>
      </c>
      <c r="D947">
        <v>143.44999999999999</v>
      </c>
      <c r="E947">
        <v>144.51</v>
      </c>
      <c r="F947">
        <v>135.4</v>
      </c>
      <c r="G947">
        <v>142.01</v>
      </c>
      <c r="H947">
        <v>105.17</v>
      </c>
      <c r="K947" s="9">
        <f t="shared" si="47"/>
        <v>-6.0000000000002274E-2</v>
      </c>
      <c r="L947">
        <f t="shared" si="47"/>
        <v>-0.28000000000000114</v>
      </c>
      <c r="M947">
        <f t="shared" si="47"/>
        <v>-6.0000000000002274E-2</v>
      </c>
      <c r="N947">
        <f t="shared" si="46"/>
        <v>-0.17000000000001592</v>
      </c>
      <c r="O947">
        <f t="shared" si="46"/>
        <v>-0.10999999999998522</v>
      </c>
      <c r="P947" s="10">
        <f t="shared" si="46"/>
        <v>0.34000000000000341</v>
      </c>
    </row>
    <row r="948" spans="1:16">
      <c r="A948">
        <v>231.75</v>
      </c>
      <c r="B948">
        <v>139.66999999999999</v>
      </c>
      <c r="C948">
        <v>142.06</v>
      </c>
      <c r="D948">
        <v>143.28</v>
      </c>
      <c r="E948">
        <v>144.51</v>
      </c>
      <c r="F948">
        <v>135.22999999999999</v>
      </c>
      <c r="G948">
        <v>142.01</v>
      </c>
      <c r="H948">
        <v>105.28</v>
      </c>
      <c r="K948" s="79">
        <f t="shared" si="47"/>
        <v>-0.15999999999999659</v>
      </c>
      <c r="L948">
        <f t="shared" si="47"/>
        <v>-0.11000000000001364</v>
      </c>
      <c r="M948">
        <f t="shared" si="47"/>
        <v>-6.0000000000002274E-2</v>
      </c>
      <c r="N948">
        <f t="shared" si="46"/>
        <v>0</v>
      </c>
      <c r="O948">
        <f t="shared" si="46"/>
        <v>-0.16999999999998749</v>
      </c>
      <c r="P948" s="10">
        <f t="shared" si="46"/>
        <v>0.34000000000000341</v>
      </c>
    </row>
    <row r="949" spans="1:16">
      <c r="A949">
        <v>232</v>
      </c>
      <c r="B949">
        <v>139.56</v>
      </c>
      <c r="C949">
        <v>142.06</v>
      </c>
      <c r="D949">
        <v>143.28</v>
      </c>
      <c r="E949">
        <v>144.44999999999999</v>
      </c>
      <c r="F949">
        <v>135.22999999999999</v>
      </c>
      <c r="G949">
        <v>141.94999999999999</v>
      </c>
      <c r="H949">
        <v>105.34</v>
      </c>
      <c r="K949" s="9">
        <f t="shared" si="47"/>
        <v>-0.11000000000001364</v>
      </c>
      <c r="L949">
        <f t="shared" si="47"/>
        <v>-0.15999999999999659</v>
      </c>
      <c r="M949">
        <f t="shared" si="47"/>
        <v>-4.9999999999982947E-2</v>
      </c>
      <c r="N949">
        <f t="shared" si="46"/>
        <v>0</v>
      </c>
      <c r="O949">
        <f t="shared" si="46"/>
        <v>-4.9999999999982947E-2</v>
      </c>
      <c r="P949" s="10">
        <f t="shared" si="46"/>
        <v>0.39000000000000057</v>
      </c>
    </row>
    <row r="950" spans="1:16">
      <c r="A950">
        <v>232.25</v>
      </c>
      <c r="B950">
        <v>139.51</v>
      </c>
      <c r="C950">
        <v>142.06</v>
      </c>
      <c r="D950">
        <v>143.16999999999999</v>
      </c>
      <c r="E950">
        <v>144.44999999999999</v>
      </c>
      <c r="F950">
        <v>135.22999999999999</v>
      </c>
      <c r="G950">
        <v>141.9</v>
      </c>
      <c r="H950">
        <v>105.51</v>
      </c>
      <c r="K950" s="9">
        <f t="shared" si="47"/>
        <v>-0.11000000000001364</v>
      </c>
      <c r="L950">
        <f t="shared" si="47"/>
        <v>-0.15999999999999659</v>
      </c>
      <c r="M950">
        <f t="shared" si="47"/>
        <v>-0.10999999999998522</v>
      </c>
      <c r="N950">
        <f t="shared" si="46"/>
        <v>0</v>
      </c>
      <c r="O950">
        <f t="shared" si="46"/>
        <v>-6.0000000000002274E-2</v>
      </c>
      <c r="P950" s="10">
        <f t="shared" si="46"/>
        <v>0.32999999999999829</v>
      </c>
    </row>
    <row r="951" spans="1:16">
      <c r="A951">
        <v>232.5</v>
      </c>
      <c r="B951">
        <v>139.22999999999999</v>
      </c>
      <c r="C951">
        <v>141.9</v>
      </c>
      <c r="D951">
        <v>143.16999999999999</v>
      </c>
      <c r="E951">
        <v>144.44999999999999</v>
      </c>
      <c r="F951">
        <v>135.22999999999999</v>
      </c>
      <c r="G951">
        <v>141.84</v>
      </c>
      <c r="H951">
        <v>105.62</v>
      </c>
      <c r="K951" s="9">
        <f t="shared" si="47"/>
        <v>0.10999999999998522</v>
      </c>
      <c r="L951">
        <f t="shared" si="47"/>
        <v>-0.26999999999998181</v>
      </c>
      <c r="M951">
        <f t="shared" si="47"/>
        <v>-0.16999999999998749</v>
      </c>
      <c r="N951">
        <f t="shared" si="46"/>
        <v>0</v>
      </c>
      <c r="O951">
        <f t="shared" si="46"/>
        <v>0</v>
      </c>
      <c r="P951" s="10">
        <f t="shared" si="46"/>
        <v>0.39000000000000057</v>
      </c>
    </row>
    <row r="952" spans="1:16">
      <c r="A952">
        <v>232.75</v>
      </c>
      <c r="B952">
        <v>139.16999999999999</v>
      </c>
      <c r="C952">
        <v>141.94999999999999</v>
      </c>
      <c r="D952">
        <v>143.12</v>
      </c>
      <c r="E952">
        <v>144.4</v>
      </c>
      <c r="F952">
        <v>135.22999999999999</v>
      </c>
      <c r="G952">
        <v>141.9</v>
      </c>
      <c r="H952">
        <v>105.73</v>
      </c>
      <c r="K952" s="9">
        <f t="shared" si="47"/>
        <v>0</v>
      </c>
      <c r="L952">
        <f t="shared" si="47"/>
        <v>-0.45000000000001705</v>
      </c>
      <c r="M952">
        <f t="shared" si="47"/>
        <v>-0.17000000000001592</v>
      </c>
      <c r="N952">
        <f t="shared" si="46"/>
        <v>-0.10999999999998522</v>
      </c>
      <c r="O952">
        <f t="shared" si="46"/>
        <v>-0.17000000000001592</v>
      </c>
      <c r="P952" s="10">
        <f t="shared" si="46"/>
        <v>0.21999999999999886</v>
      </c>
    </row>
    <row r="953" spans="1:16">
      <c r="A953">
        <v>233</v>
      </c>
      <c r="B953">
        <v>138.94999999999999</v>
      </c>
      <c r="C953">
        <v>141.94999999999999</v>
      </c>
      <c r="D953">
        <v>143.01</v>
      </c>
      <c r="E953">
        <v>144.34</v>
      </c>
      <c r="F953">
        <v>135.22999999999999</v>
      </c>
      <c r="G953">
        <v>141.84</v>
      </c>
      <c r="H953">
        <v>105.84</v>
      </c>
      <c r="K953" s="9">
        <f t="shared" si="47"/>
        <v>0.11000000000001364</v>
      </c>
      <c r="L953">
        <f t="shared" si="47"/>
        <v>-0.22999999999998977</v>
      </c>
      <c r="M953">
        <f t="shared" si="47"/>
        <v>-0.11000000000001364</v>
      </c>
      <c r="N953">
        <f t="shared" si="46"/>
        <v>-0.10999999999998522</v>
      </c>
      <c r="O953">
        <f t="shared" si="46"/>
        <v>-0.21999999999999886</v>
      </c>
      <c r="P953" s="10">
        <f t="shared" si="46"/>
        <v>0.21999999999999886</v>
      </c>
    </row>
    <row r="954" spans="1:16">
      <c r="A954">
        <v>233.25</v>
      </c>
      <c r="B954">
        <v>138.78</v>
      </c>
      <c r="C954">
        <v>142.01</v>
      </c>
      <c r="D954">
        <v>142.9</v>
      </c>
      <c r="E954">
        <v>144.28</v>
      </c>
      <c r="F954">
        <v>135.22999999999999</v>
      </c>
      <c r="G954">
        <v>141.84</v>
      </c>
      <c r="H954">
        <v>106.01</v>
      </c>
      <c r="K954" s="9">
        <f t="shared" si="47"/>
        <v>-6.0000000000002274E-2</v>
      </c>
      <c r="L954">
        <f t="shared" si="47"/>
        <v>-0.23000000000001819</v>
      </c>
      <c r="M954">
        <f t="shared" si="47"/>
        <v>-0.15999999999999659</v>
      </c>
      <c r="N954">
        <f t="shared" si="46"/>
        <v>-0.16999999999998749</v>
      </c>
      <c r="O954">
        <f t="shared" si="46"/>
        <v>-0.21999999999999886</v>
      </c>
      <c r="P954" s="10">
        <f t="shared" si="46"/>
        <v>0.15999999999999659</v>
      </c>
    </row>
    <row r="955" spans="1:16">
      <c r="A955">
        <v>233.5</v>
      </c>
      <c r="B955">
        <v>138.51</v>
      </c>
      <c r="C955">
        <v>141.94999999999999</v>
      </c>
      <c r="D955">
        <v>142.66999999999999</v>
      </c>
      <c r="E955">
        <v>144.22999999999999</v>
      </c>
      <c r="F955">
        <v>135.12</v>
      </c>
      <c r="G955">
        <v>141.72999999999999</v>
      </c>
      <c r="H955">
        <v>105.95</v>
      </c>
      <c r="K955" s="9">
        <f t="shared" si="47"/>
        <v>6.0000000000002274E-2</v>
      </c>
      <c r="L955">
        <f t="shared" si="47"/>
        <v>-4.9999999999982947E-2</v>
      </c>
      <c r="M955">
        <f t="shared" si="47"/>
        <v>-6.0000000000002274E-2</v>
      </c>
      <c r="N955">
        <f t="shared" si="46"/>
        <v>-0.11000000000001364</v>
      </c>
      <c r="O955">
        <f t="shared" si="46"/>
        <v>-0.16999999999998749</v>
      </c>
      <c r="P955" s="10">
        <f t="shared" si="46"/>
        <v>0.21999999999999886</v>
      </c>
    </row>
    <row r="956" spans="1:16">
      <c r="A956">
        <v>233.75</v>
      </c>
      <c r="B956">
        <v>138.44999999999999</v>
      </c>
      <c r="C956">
        <v>142.06</v>
      </c>
      <c r="D956">
        <v>142.78</v>
      </c>
      <c r="E956">
        <v>144.22999999999999</v>
      </c>
      <c r="F956">
        <v>135.12</v>
      </c>
      <c r="G956">
        <v>141.62</v>
      </c>
      <c r="H956">
        <v>106.06</v>
      </c>
      <c r="K956" s="9">
        <f t="shared" si="47"/>
        <v>-0.15999999999999659</v>
      </c>
      <c r="L956">
        <f t="shared" si="47"/>
        <v>-0.27000000000001023</v>
      </c>
      <c r="M956">
        <f t="shared" si="47"/>
        <v>-0.10999999999998522</v>
      </c>
      <c r="N956">
        <f t="shared" si="46"/>
        <v>-0.11000000000001364</v>
      </c>
      <c r="O956">
        <f t="shared" si="46"/>
        <v>-6.0000000000002274E-2</v>
      </c>
      <c r="P956" s="10">
        <f t="shared" si="46"/>
        <v>0.17000000000000171</v>
      </c>
    </row>
    <row r="957" spans="1:16">
      <c r="A957">
        <v>234</v>
      </c>
      <c r="B957">
        <v>138.44999999999999</v>
      </c>
      <c r="C957">
        <v>141.94999999999999</v>
      </c>
      <c r="D957">
        <v>142.66999999999999</v>
      </c>
      <c r="E957">
        <v>144.12</v>
      </c>
      <c r="F957">
        <v>135.06</v>
      </c>
      <c r="G957">
        <v>141.62</v>
      </c>
      <c r="H957">
        <v>106.17</v>
      </c>
      <c r="K957" s="9">
        <f t="shared" si="47"/>
        <v>-0.10999999999998522</v>
      </c>
      <c r="L957">
        <f t="shared" si="47"/>
        <v>-0.15999999999999659</v>
      </c>
      <c r="M957">
        <f t="shared" si="47"/>
        <v>-6.0000000000002274E-2</v>
      </c>
      <c r="N957">
        <f t="shared" si="46"/>
        <v>-0.11000000000001364</v>
      </c>
      <c r="O957">
        <f t="shared" si="46"/>
        <v>-0.17000000000001592</v>
      </c>
      <c r="P957" s="10">
        <f t="shared" si="46"/>
        <v>6.0000000000002274E-2</v>
      </c>
    </row>
    <row r="958" spans="1:16">
      <c r="A958">
        <v>234.25</v>
      </c>
      <c r="B958">
        <v>138.34</v>
      </c>
      <c r="C958">
        <v>142.01</v>
      </c>
      <c r="D958">
        <v>142.62</v>
      </c>
      <c r="E958">
        <v>144.16999999999999</v>
      </c>
      <c r="F958">
        <v>135.01</v>
      </c>
      <c r="G958">
        <v>141.56</v>
      </c>
      <c r="H958">
        <v>106.17</v>
      </c>
      <c r="K958" s="9">
        <f t="shared" si="47"/>
        <v>-0.28000000000000114</v>
      </c>
      <c r="L958">
        <f t="shared" si="47"/>
        <v>-0.17000000000001592</v>
      </c>
      <c r="M958">
        <f t="shared" si="47"/>
        <v>-0.15999999999999659</v>
      </c>
      <c r="N958">
        <f t="shared" si="46"/>
        <v>0</v>
      </c>
      <c r="O958">
        <f t="shared" si="46"/>
        <v>-0.11000000000001364</v>
      </c>
      <c r="P958" s="10">
        <f t="shared" si="46"/>
        <v>0.17000000000000171</v>
      </c>
    </row>
    <row r="959" spans="1:16">
      <c r="A959">
        <v>234.5</v>
      </c>
      <c r="B959">
        <v>138.22999999999999</v>
      </c>
      <c r="C959">
        <v>141.9</v>
      </c>
      <c r="D959">
        <v>142.51</v>
      </c>
      <c r="E959">
        <v>144.12</v>
      </c>
      <c r="F959">
        <v>135.01</v>
      </c>
      <c r="G959">
        <v>141.56</v>
      </c>
      <c r="H959">
        <v>106.23</v>
      </c>
      <c r="K959" s="9">
        <f t="shared" si="47"/>
        <v>-0.28000000000000114</v>
      </c>
      <c r="L959">
        <f t="shared" si="47"/>
        <v>-6.0000000000002274E-2</v>
      </c>
      <c r="M959">
        <f t="shared" si="47"/>
        <v>-0.11000000000001364</v>
      </c>
      <c r="N959">
        <f t="shared" si="46"/>
        <v>-0.16999999999998749</v>
      </c>
      <c r="O959">
        <f t="shared" si="46"/>
        <v>-0.21999999999999886</v>
      </c>
      <c r="P959" s="10">
        <f t="shared" si="46"/>
        <v>0.17000000000000171</v>
      </c>
    </row>
    <row r="960" spans="1:16">
      <c r="A960">
        <v>234.75</v>
      </c>
      <c r="B960">
        <v>138.06</v>
      </c>
      <c r="C960">
        <v>141.84</v>
      </c>
      <c r="D960">
        <v>142.51</v>
      </c>
      <c r="E960">
        <v>144.06</v>
      </c>
      <c r="F960">
        <v>134.94999999999999</v>
      </c>
      <c r="G960">
        <v>141.44999999999999</v>
      </c>
      <c r="H960">
        <v>106.23</v>
      </c>
      <c r="K960" s="9">
        <f t="shared" si="47"/>
        <v>-0.21999999999999886</v>
      </c>
      <c r="L960">
        <f t="shared" si="47"/>
        <v>-0.22999999999998977</v>
      </c>
      <c r="M960">
        <f t="shared" si="47"/>
        <v>-0.11000000000001364</v>
      </c>
      <c r="N960">
        <f t="shared" si="46"/>
        <v>-0.16999999999998749</v>
      </c>
      <c r="O960">
        <f t="shared" si="46"/>
        <v>-0.10999999999998522</v>
      </c>
      <c r="P960" s="10">
        <f t="shared" si="46"/>
        <v>0.21999999999999886</v>
      </c>
    </row>
    <row r="961" spans="1:16">
      <c r="A961">
        <v>235</v>
      </c>
      <c r="B961">
        <v>138.06</v>
      </c>
      <c r="C961">
        <v>141.72999999999999</v>
      </c>
      <c r="D961">
        <v>142.44999999999999</v>
      </c>
      <c r="E961">
        <v>144.01</v>
      </c>
      <c r="F961">
        <v>135.01</v>
      </c>
      <c r="G961">
        <v>141.44999999999999</v>
      </c>
      <c r="H961">
        <v>106.34</v>
      </c>
      <c r="K961" s="9">
        <f t="shared" si="47"/>
        <v>-0.16999999999998749</v>
      </c>
      <c r="L961">
        <f t="shared" si="47"/>
        <v>-0.32999999999998408</v>
      </c>
      <c r="M961">
        <f t="shared" si="47"/>
        <v>-0.16999999999998749</v>
      </c>
      <c r="N961">
        <f t="shared" si="46"/>
        <v>-0.16999999999998749</v>
      </c>
      <c r="O961">
        <f t="shared" si="46"/>
        <v>-0.21999999999999886</v>
      </c>
      <c r="P961" s="10">
        <f t="shared" si="46"/>
        <v>0.21999999999999886</v>
      </c>
    </row>
    <row r="962" spans="1:16">
      <c r="A962">
        <v>235.25</v>
      </c>
      <c r="B962">
        <v>138.01</v>
      </c>
      <c r="C962">
        <v>141.62</v>
      </c>
      <c r="D962">
        <v>142.44999999999999</v>
      </c>
      <c r="E962">
        <v>144.01</v>
      </c>
      <c r="F962">
        <v>134.84</v>
      </c>
      <c r="G962">
        <v>141.34</v>
      </c>
      <c r="H962">
        <v>106.4</v>
      </c>
      <c r="K962" s="9">
        <f t="shared" si="47"/>
        <v>-0.11000000000001364</v>
      </c>
      <c r="L962">
        <f t="shared" si="47"/>
        <v>-0.28000000000000114</v>
      </c>
      <c r="M962">
        <f t="shared" si="47"/>
        <v>-0.16999999999998749</v>
      </c>
      <c r="N962">
        <f t="shared" si="46"/>
        <v>-0.17000000000001592</v>
      </c>
      <c r="O962">
        <f t="shared" si="46"/>
        <v>-0.11000000000001364</v>
      </c>
      <c r="P962" s="10">
        <f t="shared" si="46"/>
        <v>0.32999999999999829</v>
      </c>
    </row>
    <row r="963" spans="1:16">
      <c r="A963">
        <v>235.5</v>
      </c>
      <c r="B963">
        <v>137.84</v>
      </c>
      <c r="C963">
        <v>141.62</v>
      </c>
      <c r="D963">
        <v>142.28</v>
      </c>
      <c r="E963">
        <v>143.94999999999999</v>
      </c>
      <c r="F963">
        <v>134.78</v>
      </c>
      <c r="G963">
        <v>141.34</v>
      </c>
      <c r="H963">
        <v>106.45</v>
      </c>
      <c r="K963" s="9">
        <f t="shared" si="47"/>
        <v>-0.28000000000000114</v>
      </c>
      <c r="L963">
        <f t="shared" si="47"/>
        <v>-0.21999999999999886</v>
      </c>
      <c r="M963">
        <f t="shared" si="47"/>
        <v>-0.10999999999998522</v>
      </c>
      <c r="N963">
        <f t="shared" si="46"/>
        <v>-5.0000000000011369E-2</v>
      </c>
      <c r="O963">
        <f t="shared" si="46"/>
        <v>-0.21999999999999886</v>
      </c>
      <c r="P963" s="10">
        <f t="shared" si="46"/>
        <v>0.5</v>
      </c>
    </row>
    <row r="964" spans="1:16">
      <c r="A964">
        <v>235.75</v>
      </c>
      <c r="B964">
        <v>137.84</v>
      </c>
      <c r="C964">
        <v>141.56</v>
      </c>
      <c r="D964">
        <v>142.12</v>
      </c>
      <c r="E964">
        <v>143.84</v>
      </c>
      <c r="F964">
        <v>134.84</v>
      </c>
      <c r="G964">
        <v>141.22999999999999</v>
      </c>
      <c r="H964">
        <v>106.56</v>
      </c>
      <c r="K964" s="9">
        <f t="shared" si="47"/>
        <v>-0.21999999999999886</v>
      </c>
      <c r="L964">
        <f t="shared" si="47"/>
        <v>-0.11000000000001364</v>
      </c>
      <c r="M964">
        <f t="shared" si="47"/>
        <v>0</v>
      </c>
      <c r="N964">
        <f t="shared" si="46"/>
        <v>-0.11000000000001364</v>
      </c>
      <c r="O964">
        <f t="shared" si="46"/>
        <v>0</v>
      </c>
      <c r="P964" s="10">
        <f t="shared" si="46"/>
        <v>0.39000000000000057</v>
      </c>
    </row>
    <row r="965" spans="1:16">
      <c r="A965">
        <v>236</v>
      </c>
      <c r="B965">
        <v>137.84</v>
      </c>
      <c r="C965">
        <v>141.51</v>
      </c>
      <c r="D965">
        <v>142.16999999999999</v>
      </c>
      <c r="E965">
        <v>143.84</v>
      </c>
      <c r="F965">
        <v>134.66999999999999</v>
      </c>
      <c r="G965">
        <v>141.22999999999999</v>
      </c>
      <c r="H965">
        <v>106.73</v>
      </c>
      <c r="K965" s="9">
        <f t="shared" si="47"/>
        <v>-0.28000000000000114</v>
      </c>
      <c r="L965">
        <f t="shared" si="47"/>
        <v>-0.32999999999998408</v>
      </c>
      <c r="M965">
        <f t="shared" si="47"/>
        <v>-6.0000000000002274E-2</v>
      </c>
      <c r="N965">
        <f t="shared" si="46"/>
        <v>0.11000000000001364</v>
      </c>
      <c r="O965">
        <f t="shared" si="46"/>
        <v>-0.10999999999998522</v>
      </c>
      <c r="P965" s="10">
        <f t="shared" si="46"/>
        <v>0.39000000000000057</v>
      </c>
    </row>
    <row r="966" spans="1:16">
      <c r="A966">
        <v>236.25</v>
      </c>
      <c r="B966">
        <v>137.78</v>
      </c>
      <c r="C966">
        <v>141.34</v>
      </c>
      <c r="D966">
        <v>142.06</v>
      </c>
      <c r="E966">
        <v>143.84</v>
      </c>
      <c r="F966">
        <v>134.72999999999999</v>
      </c>
      <c r="G966">
        <v>141.12</v>
      </c>
      <c r="H966">
        <v>106.95</v>
      </c>
      <c r="K966" s="9">
        <f t="shared" si="47"/>
        <v>-0.17000000000001592</v>
      </c>
      <c r="L966">
        <f t="shared" si="47"/>
        <v>-0.28000000000000114</v>
      </c>
      <c r="M966">
        <f t="shared" si="47"/>
        <v>-0.11000000000001364</v>
      </c>
      <c r="N966">
        <f t="shared" si="46"/>
        <v>5.0000000000011369E-2</v>
      </c>
      <c r="O966">
        <f t="shared" si="46"/>
        <v>0</v>
      </c>
      <c r="P966" s="10">
        <f t="shared" si="46"/>
        <v>0.32999999999999829</v>
      </c>
    </row>
    <row r="967" spans="1:16">
      <c r="A967">
        <v>236.5</v>
      </c>
      <c r="B967">
        <v>137.72999999999999</v>
      </c>
      <c r="C967">
        <v>141.34</v>
      </c>
      <c r="D967">
        <v>142.01</v>
      </c>
      <c r="E967">
        <v>143.84</v>
      </c>
      <c r="F967">
        <v>134.72999999999999</v>
      </c>
      <c r="G967">
        <v>141.22999999999999</v>
      </c>
      <c r="H967">
        <v>106.95</v>
      </c>
      <c r="K967" s="9">
        <f t="shared" si="47"/>
        <v>-0.28000000000000114</v>
      </c>
      <c r="L967">
        <f t="shared" si="47"/>
        <v>-0.38999999999998636</v>
      </c>
      <c r="M967">
        <f t="shared" si="47"/>
        <v>-0.17000000000001592</v>
      </c>
      <c r="N967">
        <f t="shared" si="46"/>
        <v>5.0000000000011369E-2</v>
      </c>
      <c r="O967">
        <f t="shared" si="46"/>
        <v>-0.21999999999999886</v>
      </c>
      <c r="P967" s="10">
        <f t="shared" si="46"/>
        <v>0.32999999999999829</v>
      </c>
    </row>
    <row r="968" spans="1:16">
      <c r="A968">
        <v>236.75</v>
      </c>
      <c r="B968">
        <v>137.72999999999999</v>
      </c>
      <c r="C968">
        <v>141.22999999999999</v>
      </c>
      <c r="D968">
        <v>141.84</v>
      </c>
      <c r="E968">
        <v>143.78</v>
      </c>
      <c r="F968">
        <v>134.78</v>
      </c>
      <c r="G968">
        <v>141.12</v>
      </c>
      <c r="H968">
        <v>107.12</v>
      </c>
      <c r="K968" s="80">
        <f t="shared" si="47"/>
        <v>-0.21999999999999886</v>
      </c>
      <c r="L968">
        <f t="shared" si="47"/>
        <v>-0.28000000000000114</v>
      </c>
      <c r="M968">
        <f t="shared" si="47"/>
        <v>-5.0000000000011369E-2</v>
      </c>
      <c r="N968">
        <f t="shared" si="46"/>
        <v>-5.0000000000011369E-2</v>
      </c>
      <c r="O968">
        <f t="shared" si="46"/>
        <v>-0.11000000000001364</v>
      </c>
      <c r="P968" s="10">
        <f t="shared" si="46"/>
        <v>0.21999999999999886</v>
      </c>
    </row>
    <row r="969" spans="1:16">
      <c r="A969">
        <v>237</v>
      </c>
      <c r="B969">
        <v>137.66999999999999</v>
      </c>
      <c r="C969">
        <v>141.16999999999999</v>
      </c>
      <c r="D969">
        <v>141.78</v>
      </c>
      <c r="E969">
        <v>143.72999999999999</v>
      </c>
      <c r="F969">
        <v>134.78</v>
      </c>
      <c r="G969">
        <v>141.12</v>
      </c>
      <c r="H969">
        <v>107.28</v>
      </c>
      <c r="K969" s="9">
        <f t="shared" si="47"/>
        <v>-0.26999999999998181</v>
      </c>
      <c r="L969">
        <f t="shared" si="47"/>
        <v>-0.21999999999999886</v>
      </c>
      <c r="M969">
        <f t="shared" si="47"/>
        <v>-0.10999999999998522</v>
      </c>
      <c r="N969">
        <f t="shared" si="46"/>
        <v>-0.11000000000001364</v>
      </c>
      <c r="O969">
        <f t="shared" si="46"/>
        <v>-0.17000000000001592</v>
      </c>
      <c r="P969" s="10">
        <f t="shared" si="46"/>
        <v>0</v>
      </c>
    </row>
    <row r="970" spans="1:16">
      <c r="A970">
        <v>237.25</v>
      </c>
      <c r="B970">
        <v>137.62</v>
      </c>
      <c r="C970">
        <v>141.06</v>
      </c>
      <c r="D970">
        <v>141.62</v>
      </c>
      <c r="E970">
        <v>143.66999999999999</v>
      </c>
      <c r="F970">
        <v>134.78</v>
      </c>
      <c r="G970">
        <v>141.01</v>
      </c>
      <c r="H970">
        <v>107.28</v>
      </c>
      <c r="K970" s="9">
        <f t="shared" si="47"/>
        <v>-0.39000000000001478</v>
      </c>
      <c r="L970">
        <f t="shared" si="47"/>
        <v>0</v>
      </c>
      <c r="M970">
        <f t="shared" si="47"/>
        <v>-4.9999999999982947E-2</v>
      </c>
      <c r="N970">
        <f t="shared" si="46"/>
        <v>-0.11000000000001364</v>
      </c>
      <c r="O970">
        <f t="shared" si="46"/>
        <v>-0.10999999999998522</v>
      </c>
      <c r="P970" s="10">
        <f t="shared" si="46"/>
        <v>6.0000000000002274E-2</v>
      </c>
    </row>
    <row r="971" spans="1:16">
      <c r="A971">
        <v>237.5</v>
      </c>
      <c r="B971">
        <v>137.56</v>
      </c>
      <c r="C971">
        <v>141.01</v>
      </c>
      <c r="D971">
        <v>141.56</v>
      </c>
      <c r="E971">
        <v>143.72999999999999</v>
      </c>
      <c r="F971">
        <v>134.72999999999999</v>
      </c>
      <c r="G971">
        <v>141.01</v>
      </c>
      <c r="H971">
        <v>107.34</v>
      </c>
      <c r="K971" s="9">
        <f t="shared" si="47"/>
        <v>-0.44999999999998863</v>
      </c>
      <c r="L971">
        <f t="shared" si="47"/>
        <v>-0.15999999999999659</v>
      </c>
      <c r="M971">
        <f t="shared" si="47"/>
        <v>-0.16999999999998749</v>
      </c>
      <c r="N971">
        <f t="shared" si="46"/>
        <v>-0.10999999999998522</v>
      </c>
      <c r="O971">
        <f t="shared" si="46"/>
        <v>-0.16999999999998749</v>
      </c>
      <c r="P971" s="10">
        <f t="shared" si="46"/>
        <v>0</v>
      </c>
    </row>
    <row r="972" spans="1:16">
      <c r="A972">
        <v>237.75</v>
      </c>
      <c r="B972">
        <v>137.51</v>
      </c>
      <c r="C972">
        <v>140.9</v>
      </c>
      <c r="D972">
        <v>141.56</v>
      </c>
      <c r="E972">
        <v>143.62</v>
      </c>
      <c r="F972">
        <v>134.66999999999999</v>
      </c>
      <c r="G972">
        <v>140.94999999999999</v>
      </c>
      <c r="H972">
        <v>107.28</v>
      </c>
      <c r="K972" s="9">
        <f t="shared" si="47"/>
        <v>-0.5</v>
      </c>
      <c r="L972">
        <f t="shared" si="47"/>
        <v>-0.33000000000001251</v>
      </c>
      <c r="M972">
        <f t="shared" si="47"/>
        <v>-6.0000000000002274E-2</v>
      </c>
      <c r="N972">
        <f t="shared" si="46"/>
        <v>-4.9999999999982947E-2</v>
      </c>
      <c r="O972">
        <f t="shared" si="46"/>
        <v>-0.10999999999998522</v>
      </c>
      <c r="P972" s="10">
        <f t="shared" si="46"/>
        <v>0.12000000000000455</v>
      </c>
    </row>
    <row r="973" spans="1:16">
      <c r="A973">
        <v>238</v>
      </c>
      <c r="B973">
        <v>137.44999999999999</v>
      </c>
      <c r="C973">
        <v>140.66999999999999</v>
      </c>
      <c r="D973">
        <v>141.62</v>
      </c>
      <c r="E973">
        <v>143.62</v>
      </c>
      <c r="F973">
        <v>134.66999999999999</v>
      </c>
      <c r="G973">
        <v>140.9</v>
      </c>
      <c r="H973">
        <v>107.34</v>
      </c>
      <c r="K973" s="9">
        <f t="shared" si="47"/>
        <v>-0.38999999999998636</v>
      </c>
      <c r="L973">
        <f t="shared" si="47"/>
        <v>-0.34000000000000341</v>
      </c>
      <c r="M973">
        <f t="shared" si="47"/>
        <v>-0.17000000000001592</v>
      </c>
      <c r="N973">
        <f t="shared" si="46"/>
        <v>-4.9999999999982947E-2</v>
      </c>
      <c r="O973">
        <f t="shared" si="46"/>
        <v>-0.12000000000000455</v>
      </c>
      <c r="P973" s="10">
        <f t="shared" si="46"/>
        <v>6.0000000000002274E-2</v>
      </c>
    </row>
    <row r="974" spans="1:16">
      <c r="A974">
        <v>238.25</v>
      </c>
      <c r="B974">
        <v>137.34</v>
      </c>
      <c r="C974">
        <v>140.56</v>
      </c>
      <c r="D974">
        <v>141.4</v>
      </c>
      <c r="E974">
        <v>143.56</v>
      </c>
      <c r="F974">
        <v>134.62</v>
      </c>
      <c r="G974">
        <v>140.84</v>
      </c>
      <c r="H974">
        <v>107.34</v>
      </c>
      <c r="K974" s="9">
        <f t="shared" si="47"/>
        <v>-0.33000000000001251</v>
      </c>
      <c r="L974">
        <f t="shared" si="47"/>
        <v>-6.0000000000002274E-2</v>
      </c>
      <c r="M974">
        <f t="shared" si="47"/>
        <v>-5.0000000000011369E-2</v>
      </c>
      <c r="N974">
        <f t="shared" si="46"/>
        <v>0</v>
      </c>
      <c r="O974">
        <f t="shared" si="46"/>
        <v>-6.0000000000002274E-2</v>
      </c>
      <c r="P974" s="10">
        <f t="shared" si="46"/>
        <v>0.28000000000000114</v>
      </c>
    </row>
    <row r="975" spans="1:16">
      <c r="A975">
        <v>238.5</v>
      </c>
      <c r="B975">
        <v>137.4</v>
      </c>
      <c r="C975">
        <v>140.4</v>
      </c>
      <c r="D975">
        <v>141.22999999999999</v>
      </c>
      <c r="E975">
        <v>143.56</v>
      </c>
      <c r="F975">
        <v>134.62</v>
      </c>
      <c r="G975">
        <v>140.84</v>
      </c>
      <c r="H975">
        <v>107.4</v>
      </c>
      <c r="K975" s="34">
        <f t="shared" si="47"/>
        <v>-0.17000000000001592</v>
      </c>
      <c r="L975">
        <f t="shared" si="47"/>
        <v>0.11000000000001364</v>
      </c>
      <c r="M975">
        <f t="shared" si="47"/>
        <v>0</v>
      </c>
      <c r="N975">
        <f t="shared" si="46"/>
        <v>-6.0000000000002274E-2</v>
      </c>
      <c r="O975">
        <f t="shared" si="46"/>
        <v>-0.11000000000001364</v>
      </c>
      <c r="P975" s="10">
        <f t="shared" si="46"/>
        <v>0.21999999999999886</v>
      </c>
    </row>
    <row r="976" spans="1:16">
      <c r="A976">
        <v>238.75</v>
      </c>
      <c r="B976">
        <v>137.34</v>
      </c>
      <c r="C976">
        <v>140.28</v>
      </c>
      <c r="D976">
        <v>141.28</v>
      </c>
      <c r="E976">
        <v>143.44999999999999</v>
      </c>
      <c r="F976">
        <v>134.62</v>
      </c>
      <c r="G976">
        <v>140.78</v>
      </c>
      <c r="H976">
        <v>107.4</v>
      </c>
      <c r="K976" s="9">
        <f t="shared" si="47"/>
        <v>-0.11000000000001364</v>
      </c>
      <c r="L976">
        <f t="shared" si="47"/>
        <v>6.0000000000002274E-2</v>
      </c>
      <c r="M976">
        <f t="shared" si="47"/>
        <v>-4.9999999999982947E-2</v>
      </c>
      <c r="N976">
        <f t="shared" si="46"/>
        <v>0</v>
      </c>
      <c r="O976">
        <f t="shared" si="46"/>
        <v>-0.11000000000001364</v>
      </c>
      <c r="P976" s="10">
        <f t="shared" si="46"/>
        <v>0.37999999999999545</v>
      </c>
    </row>
    <row r="977" spans="1:16">
      <c r="A977">
        <v>239</v>
      </c>
      <c r="B977">
        <v>137.22999999999999</v>
      </c>
      <c r="C977">
        <v>140.22999999999999</v>
      </c>
      <c r="D977">
        <v>141.34</v>
      </c>
      <c r="E977">
        <v>143.51</v>
      </c>
      <c r="F977">
        <v>134.62</v>
      </c>
      <c r="G977">
        <v>140.78</v>
      </c>
      <c r="H977">
        <v>107.62</v>
      </c>
      <c r="K977" s="9">
        <f t="shared" si="47"/>
        <v>-6.0000000000002274E-2</v>
      </c>
      <c r="L977">
        <f t="shared" si="47"/>
        <v>-6.0000000000002274E-2</v>
      </c>
      <c r="M977">
        <f t="shared" si="47"/>
        <v>-0.10999999999998522</v>
      </c>
      <c r="N977">
        <f t="shared" si="46"/>
        <v>0</v>
      </c>
      <c r="O977">
        <f t="shared" si="46"/>
        <v>-0.11000000000001364</v>
      </c>
      <c r="P977" s="10">
        <f t="shared" si="46"/>
        <v>0.28000000000000114</v>
      </c>
    </row>
    <row r="978" spans="1:16">
      <c r="A978">
        <v>239.25</v>
      </c>
      <c r="B978">
        <v>137.12</v>
      </c>
      <c r="C978">
        <v>140.22999999999999</v>
      </c>
      <c r="D978">
        <v>141.34</v>
      </c>
      <c r="E978">
        <v>143.56</v>
      </c>
      <c r="F978">
        <v>134.56</v>
      </c>
      <c r="G978">
        <v>140.72999999999999</v>
      </c>
      <c r="H978">
        <v>107.62</v>
      </c>
      <c r="K978" s="9">
        <f t="shared" si="47"/>
        <v>-0.16999999999998749</v>
      </c>
      <c r="L978">
        <f t="shared" si="47"/>
        <v>-0.11000000000001364</v>
      </c>
      <c r="M978">
        <f t="shared" si="47"/>
        <v>-0.21999999999999886</v>
      </c>
      <c r="N978">
        <f t="shared" si="46"/>
        <v>6.0000000000002274E-2</v>
      </c>
      <c r="O978">
        <f t="shared" si="46"/>
        <v>-0.10999999999998522</v>
      </c>
      <c r="P978" s="10">
        <f t="shared" si="46"/>
        <v>0.21999999999999886</v>
      </c>
    </row>
    <row r="979" spans="1:16">
      <c r="A979">
        <v>239.5</v>
      </c>
      <c r="B979">
        <v>137.06</v>
      </c>
      <c r="C979">
        <v>140.16999999999999</v>
      </c>
      <c r="D979">
        <v>141.34</v>
      </c>
      <c r="E979">
        <v>143.4</v>
      </c>
      <c r="F979">
        <v>134.62</v>
      </c>
      <c r="G979">
        <v>140.66999999999999</v>
      </c>
      <c r="H979">
        <v>107.78</v>
      </c>
      <c r="K979" s="9">
        <f t="shared" si="47"/>
        <v>-0.15999999999999659</v>
      </c>
      <c r="L979">
        <f t="shared" si="47"/>
        <v>-0.21999999999999886</v>
      </c>
      <c r="M979">
        <f t="shared" si="47"/>
        <v>-6.0000000000002274E-2</v>
      </c>
      <c r="N979">
        <f t="shared" si="46"/>
        <v>-0.11000000000001364</v>
      </c>
      <c r="O979">
        <f t="shared" si="46"/>
        <v>-0.10999999999998522</v>
      </c>
      <c r="P979" s="10">
        <f t="shared" si="46"/>
        <v>0.23000000000000398</v>
      </c>
    </row>
    <row r="980" spans="1:16">
      <c r="A980">
        <v>239.75</v>
      </c>
      <c r="B980">
        <v>137.06</v>
      </c>
      <c r="C980">
        <v>140.16999999999999</v>
      </c>
      <c r="D980">
        <v>141.28</v>
      </c>
      <c r="E980">
        <v>143.4</v>
      </c>
      <c r="F980">
        <v>134.62</v>
      </c>
      <c r="G980">
        <v>140.66999999999999</v>
      </c>
      <c r="H980">
        <v>107.9</v>
      </c>
      <c r="K980" s="9">
        <f t="shared" si="47"/>
        <v>-0.15999999999999659</v>
      </c>
      <c r="L980">
        <f t="shared" si="47"/>
        <v>-0.15999999999999659</v>
      </c>
      <c r="M980">
        <f t="shared" si="47"/>
        <v>-0.12000000000000455</v>
      </c>
      <c r="N980">
        <f t="shared" si="46"/>
        <v>-0.11000000000001364</v>
      </c>
      <c r="O980">
        <f t="shared" si="46"/>
        <v>-4.9999999999982947E-2</v>
      </c>
      <c r="P980" s="10">
        <f t="shared" si="46"/>
        <v>0.21999999999999886</v>
      </c>
    </row>
    <row r="981" spans="1:16">
      <c r="A981">
        <v>240</v>
      </c>
      <c r="B981">
        <v>137.06</v>
      </c>
      <c r="C981">
        <v>140.06</v>
      </c>
      <c r="D981">
        <v>141.22999999999999</v>
      </c>
      <c r="E981">
        <v>143.34</v>
      </c>
      <c r="F981">
        <v>134.62</v>
      </c>
      <c r="G981">
        <v>140.62</v>
      </c>
      <c r="H981">
        <v>107.84</v>
      </c>
      <c r="K981" s="9">
        <f t="shared" si="47"/>
        <v>-5.0000000000011369E-2</v>
      </c>
      <c r="L981">
        <f t="shared" si="47"/>
        <v>-0.21999999999999886</v>
      </c>
      <c r="M981">
        <f t="shared" si="47"/>
        <v>-0.17000000000001592</v>
      </c>
      <c r="N981">
        <f t="shared" si="47"/>
        <v>-0.11000000000001364</v>
      </c>
      <c r="O981">
        <f t="shared" si="47"/>
        <v>-0.17000000000001592</v>
      </c>
      <c r="P981" s="10">
        <f t="shared" si="47"/>
        <v>0.32999999999999829</v>
      </c>
    </row>
    <row r="982" spans="1:16">
      <c r="A982">
        <v>240.25</v>
      </c>
      <c r="B982">
        <v>136.94999999999999</v>
      </c>
      <c r="C982">
        <v>140.01</v>
      </c>
      <c r="D982">
        <v>141.12</v>
      </c>
      <c r="E982">
        <v>143.34</v>
      </c>
      <c r="F982">
        <v>134.51</v>
      </c>
      <c r="G982">
        <v>140.56</v>
      </c>
      <c r="H982">
        <v>108.01</v>
      </c>
      <c r="K982" s="9">
        <f t="shared" ref="K982:N1045" si="48">C985-C982</f>
        <v>0</v>
      </c>
      <c r="L982">
        <f t="shared" si="48"/>
        <v>-0.21999999999999886</v>
      </c>
      <c r="M982">
        <f t="shared" si="48"/>
        <v>-0.11000000000001364</v>
      </c>
      <c r="N982">
        <f t="shared" si="48"/>
        <v>0</v>
      </c>
      <c r="O982">
        <f t="shared" ref="O982:P1045" si="49">G985-G982</f>
        <v>-0.11000000000001364</v>
      </c>
      <c r="P982" s="10">
        <f t="shared" si="49"/>
        <v>0.32999999999999829</v>
      </c>
    </row>
    <row r="983" spans="1:16">
      <c r="A983">
        <v>240.5</v>
      </c>
      <c r="B983">
        <v>136.9</v>
      </c>
      <c r="C983">
        <v>140.01</v>
      </c>
      <c r="D983">
        <v>141.12</v>
      </c>
      <c r="E983">
        <v>143.28</v>
      </c>
      <c r="F983">
        <v>134.51</v>
      </c>
      <c r="G983">
        <v>140.62</v>
      </c>
      <c r="H983">
        <v>108.12</v>
      </c>
      <c r="K983" s="9">
        <f t="shared" si="48"/>
        <v>-0.10999999999998522</v>
      </c>
      <c r="L983">
        <f t="shared" si="48"/>
        <v>-0.21999999999999886</v>
      </c>
      <c r="M983">
        <f t="shared" si="48"/>
        <v>-0.21999999999999886</v>
      </c>
      <c r="N983">
        <f t="shared" si="48"/>
        <v>0</v>
      </c>
      <c r="O983">
        <f t="shared" si="49"/>
        <v>-0.17000000000001592</v>
      </c>
      <c r="P983" s="10">
        <f t="shared" si="49"/>
        <v>0.28000000000000114</v>
      </c>
    </row>
    <row r="984" spans="1:16">
      <c r="A984">
        <v>240.75</v>
      </c>
      <c r="B984">
        <v>136.9</v>
      </c>
      <c r="C984">
        <v>140.01</v>
      </c>
      <c r="D984">
        <v>141.01</v>
      </c>
      <c r="E984">
        <v>143.16999999999999</v>
      </c>
      <c r="F984">
        <v>134.51</v>
      </c>
      <c r="G984">
        <v>140.44999999999999</v>
      </c>
      <c r="H984">
        <v>108.17</v>
      </c>
      <c r="K984" s="9">
        <f t="shared" si="48"/>
        <v>-6.0000000000002274E-2</v>
      </c>
      <c r="L984">
        <f t="shared" si="48"/>
        <v>-0.10999999999998522</v>
      </c>
      <c r="M984">
        <f t="shared" si="48"/>
        <v>-0.10999999999998522</v>
      </c>
      <c r="N984">
        <f t="shared" si="48"/>
        <v>-6.0000000000002274E-2</v>
      </c>
      <c r="O984">
        <f t="shared" si="49"/>
        <v>-0.10999999999998522</v>
      </c>
      <c r="P984" s="10">
        <f t="shared" si="49"/>
        <v>0.45000000000000284</v>
      </c>
    </row>
    <row r="985" spans="1:16">
      <c r="A985">
        <v>241</v>
      </c>
      <c r="B985">
        <v>136.84</v>
      </c>
      <c r="C985">
        <v>140.01</v>
      </c>
      <c r="D985">
        <v>140.9</v>
      </c>
      <c r="E985">
        <v>143.22999999999999</v>
      </c>
      <c r="F985">
        <v>134.51</v>
      </c>
      <c r="G985">
        <v>140.44999999999999</v>
      </c>
      <c r="H985">
        <v>108.34</v>
      </c>
      <c r="K985" s="9">
        <f t="shared" si="48"/>
        <v>-6.0000000000002274E-2</v>
      </c>
      <c r="L985">
        <f t="shared" si="48"/>
        <v>-6.0000000000002274E-2</v>
      </c>
      <c r="M985">
        <f t="shared" si="48"/>
        <v>-0.16999999999998749</v>
      </c>
      <c r="N985">
        <f t="shared" si="48"/>
        <v>-0.10999999999998522</v>
      </c>
      <c r="O985">
        <f t="shared" si="49"/>
        <v>-0.16999999999998749</v>
      </c>
      <c r="P985" s="10">
        <f t="shared" si="49"/>
        <v>0.28000000000000114</v>
      </c>
    </row>
    <row r="986" spans="1:16">
      <c r="A986">
        <v>241.25</v>
      </c>
      <c r="B986">
        <v>136.78</v>
      </c>
      <c r="C986">
        <v>139.9</v>
      </c>
      <c r="D986">
        <v>140.9</v>
      </c>
      <c r="E986">
        <v>143.06</v>
      </c>
      <c r="F986">
        <v>134.51</v>
      </c>
      <c r="G986">
        <v>140.44999999999999</v>
      </c>
      <c r="H986">
        <v>108.4</v>
      </c>
      <c r="K986" s="9">
        <f t="shared" si="48"/>
        <v>4.9999999999982947E-2</v>
      </c>
      <c r="L986">
        <f t="shared" si="48"/>
        <v>-0.45000000000001705</v>
      </c>
      <c r="M986">
        <f t="shared" si="48"/>
        <v>6.0000000000002274E-2</v>
      </c>
      <c r="N986">
        <f t="shared" si="48"/>
        <v>-6.0000000000002274E-2</v>
      </c>
      <c r="O986">
        <f t="shared" si="49"/>
        <v>-0.16999999999998749</v>
      </c>
      <c r="P986" s="10">
        <f t="shared" si="49"/>
        <v>0.32999999999999829</v>
      </c>
    </row>
    <row r="987" spans="1:16">
      <c r="A987">
        <v>241.5</v>
      </c>
      <c r="B987">
        <v>136.66999999999999</v>
      </c>
      <c r="C987">
        <v>139.94999999999999</v>
      </c>
      <c r="D987">
        <v>140.9</v>
      </c>
      <c r="E987">
        <v>143.06</v>
      </c>
      <c r="F987">
        <v>134.44999999999999</v>
      </c>
      <c r="G987">
        <v>140.34</v>
      </c>
      <c r="H987">
        <v>108.62</v>
      </c>
      <c r="K987" s="9">
        <f t="shared" si="48"/>
        <v>0</v>
      </c>
      <c r="L987">
        <f t="shared" si="48"/>
        <v>-0.5</v>
      </c>
      <c r="M987">
        <f t="shared" si="48"/>
        <v>-5.0000000000011369E-2</v>
      </c>
      <c r="N987">
        <f t="shared" si="48"/>
        <v>-4.9999999999982947E-2</v>
      </c>
      <c r="O987">
        <f t="shared" si="49"/>
        <v>0</v>
      </c>
      <c r="P987" s="10">
        <f t="shared" si="49"/>
        <v>0.10999999999999943</v>
      </c>
    </row>
    <row r="988" spans="1:16">
      <c r="A988">
        <v>241.75</v>
      </c>
      <c r="B988">
        <v>136.62</v>
      </c>
      <c r="C988">
        <v>139.94999999999999</v>
      </c>
      <c r="D988">
        <v>140.84</v>
      </c>
      <c r="E988">
        <v>143.06</v>
      </c>
      <c r="F988">
        <v>134.4</v>
      </c>
      <c r="G988">
        <v>140.28</v>
      </c>
      <c r="H988">
        <v>108.62</v>
      </c>
      <c r="K988" s="9">
        <f t="shared" si="48"/>
        <v>-0.16999999999998749</v>
      </c>
      <c r="L988">
        <f t="shared" si="48"/>
        <v>-0.61000000000001364</v>
      </c>
      <c r="M988">
        <f t="shared" si="48"/>
        <v>-0.15999999999999659</v>
      </c>
      <c r="N988">
        <f t="shared" si="48"/>
        <v>-6.0000000000002274E-2</v>
      </c>
      <c r="O988">
        <f t="shared" si="49"/>
        <v>-5.0000000000011369E-2</v>
      </c>
      <c r="P988" s="10">
        <f t="shared" si="49"/>
        <v>0.10999999999999943</v>
      </c>
    </row>
    <row r="989" spans="1:16">
      <c r="A989">
        <v>242</v>
      </c>
      <c r="B989">
        <v>136.56</v>
      </c>
      <c r="C989">
        <v>139.94999999999999</v>
      </c>
      <c r="D989">
        <v>140.44999999999999</v>
      </c>
      <c r="E989">
        <v>143.12</v>
      </c>
      <c r="F989">
        <v>134.44999999999999</v>
      </c>
      <c r="G989">
        <v>140.28</v>
      </c>
      <c r="H989">
        <v>108.73</v>
      </c>
      <c r="K989" s="9">
        <f t="shared" si="48"/>
        <v>-0.16999999999998749</v>
      </c>
      <c r="L989">
        <f t="shared" si="48"/>
        <v>-0.21999999999999886</v>
      </c>
      <c r="M989">
        <f t="shared" si="48"/>
        <v>-0.21999999999999886</v>
      </c>
      <c r="N989">
        <f t="shared" si="48"/>
        <v>-0.16999999999998749</v>
      </c>
      <c r="O989">
        <f t="shared" si="49"/>
        <v>-0.11000000000001364</v>
      </c>
      <c r="P989" s="10">
        <f t="shared" si="49"/>
        <v>0.21999999999999886</v>
      </c>
    </row>
    <row r="990" spans="1:16">
      <c r="A990">
        <v>242.25</v>
      </c>
      <c r="B990">
        <v>136.56</v>
      </c>
      <c r="C990">
        <v>139.94999999999999</v>
      </c>
      <c r="D990">
        <v>140.4</v>
      </c>
      <c r="E990">
        <v>143.01</v>
      </c>
      <c r="F990">
        <v>134.4</v>
      </c>
      <c r="G990">
        <v>140.34</v>
      </c>
      <c r="H990">
        <v>108.73</v>
      </c>
      <c r="K990" s="9">
        <f t="shared" si="48"/>
        <v>-0.21999999999999886</v>
      </c>
      <c r="L990">
        <f t="shared" si="48"/>
        <v>-0.12000000000000455</v>
      </c>
      <c r="M990">
        <f t="shared" si="48"/>
        <v>-0.10999999999998522</v>
      </c>
      <c r="N990">
        <f t="shared" si="48"/>
        <v>-0.17000000000001592</v>
      </c>
      <c r="O990">
        <f t="shared" si="49"/>
        <v>-0.17000000000001592</v>
      </c>
      <c r="P990" s="10">
        <f t="shared" si="49"/>
        <v>0.10999999999999943</v>
      </c>
    </row>
    <row r="991" spans="1:16">
      <c r="A991">
        <v>242.5</v>
      </c>
      <c r="B991">
        <v>136.56</v>
      </c>
      <c r="C991">
        <v>139.78</v>
      </c>
      <c r="D991">
        <v>140.22999999999999</v>
      </c>
      <c r="E991">
        <v>142.9</v>
      </c>
      <c r="F991">
        <v>134.34</v>
      </c>
      <c r="G991">
        <v>140.22999999999999</v>
      </c>
      <c r="H991">
        <v>108.73</v>
      </c>
      <c r="K991" s="9">
        <f t="shared" si="48"/>
        <v>-0.21999999999999886</v>
      </c>
      <c r="L991">
        <f t="shared" si="48"/>
        <v>0</v>
      </c>
      <c r="M991">
        <f t="shared" si="48"/>
        <v>-6.0000000000002274E-2</v>
      </c>
      <c r="N991">
        <f t="shared" si="48"/>
        <v>-0.11000000000001364</v>
      </c>
      <c r="O991">
        <f t="shared" si="49"/>
        <v>-0.10999999999998522</v>
      </c>
      <c r="P991" s="10">
        <f t="shared" si="49"/>
        <v>0.17000000000000171</v>
      </c>
    </row>
    <row r="992" spans="1:16">
      <c r="A992">
        <v>242.75</v>
      </c>
      <c r="B992">
        <v>136.44999999999999</v>
      </c>
      <c r="C992">
        <v>139.78</v>
      </c>
      <c r="D992">
        <v>140.22999999999999</v>
      </c>
      <c r="E992">
        <v>142.9</v>
      </c>
      <c r="F992">
        <v>134.28</v>
      </c>
      <c r="G992">
        <v>140.16999999999999</v>
      </c>
      <c r="H992">
        <v>108.95</v>
      </c>
      <c r="K992" s="9">
        <f t="shared" si="48"/>
        <v>-0.33000000000001251</v>
      </c>
      <c r="L992">
        <f t="shared" si="48"/>
        <v>-0.28000000000000114</v>
      </c>
      <c r="M992">
        <f t="shared" si="48"/>
        <v>-0.17000000000001592</v>
      </c>
      <c r="N992">
        <f t="shared" si="48"/>
        <v>-0.11000000000001364</v>
      </c>
      <c r="O992">
        <f t="shared" si="49"/>
        <v>-0.15999999999999659</v>
      </c>
      <c r="P992" s="10">
        <f t="shared" si="49"/>
        <v>0</v>
      </c>
    </row>
    <row r="993" spans="1:16">
      <c r="A993">
        <v>243</v>
      </c>
      <c r="B993">
        <v>136.44999999999999</v>
      </c>
      <c r="C993">
        <v>139.72999999999999</v>
      </c>
      <c r="D993">
        <v>140.28</v>
      </c>
      <c r="E993">
        <v>142.9</v>
      </c>
      <c r="F993">
        <v>134.22999999999999</v>
      </c>
      <c r="G993">
        <v>140.16999999999999</v>
      </c>
      <c r="H993">
        <v>108.84</v>
      </c>
      <c r="K993" s="9">
        <f t="shared" si="48"/>
        <v>-0.44999999999998863</v>
      </c>
      <c r="L993">
        <f t="shared" si="48"/>
        <v>-0.5</v>
      </c>
      <c r="M993">
        <f t="shared" si="48"/>
        <v>-0.17000000000001592</v>
      </c>
      <c r="N993">
        <f t="shared" si="48"/>
        <v>-0.10999999999998522</v>
      </c>
      <c r="O993">
        <f t="shared" si="49"/>
        <v>-0.10999999999998522</v>
      </c>
      <c r="P993" s="10">
        <f t="shared" si="49"/>
        <v>0.21999999999999886</v>
      </c>
    </row>
    <row r="994" spans="1:16">
      <c r="A994">
        <v>243.25</v>
      </c>
      <c r="B994">
        <v>136.34</v>
      </c>
      <c r="C994">
        <v>139.56</v>
      </c>
      <c r="D994">
        <v>140.22999999999999</v>
      </c>
      <c r="E994">
        <v>142.84</v>
      </c>
      <c r="F994">
        <v>134.22999999999999</v>
      </c>
      <c r="G994">
        <v>140.12</v>
      </c>
      <c r="H994">
        <v>108.9</v>
      </c>
      <c r="K994" s="9">
        <f t="shared" si="48"/>
        <v>-0.39000000000001478</v>
      </c>
      <c r="L994">
        <f t="shared" si="48"/>
        <v>-0.44999999999998863</v>
      </c>
      <c r="M994">
        <f t="shared" si="48"/>
        <v>-0.17000000000001592</v>
      </c>
      <c r="N994">
        <f t="shared" si="48"/>
        <v>-0.16999999999998749</v>
      </c>
      <c r="O994">
        <f t="shared" si="49"/>
        <v>-0.21999999999999886</v>
      </c>
      <c r="P994" s="10">
        <f t="shared" si="49"/>
        <v>0.26999999999999602</v>
      </c>
    </row>
    <row r="995" spans="1:16">
      <c r="A995">
        <v>243.5</v>
      </c>
      <c r="B995">
        <v>136.34</v>
      </c>
      <c r="C995">
        <v>139.44999999999999</v>
      </c>
      <c r="D995">
        <v>139.94999999999999</v>
      </c>
      <c r="E995">
        <v>142.72999999999999</v>
      </c>
      <c r="F995">
        <v>134.16999999999999</v>
      </c>
      <c r="G995">
        <v>140.01</v>
      </c>
      <c r="H995">
        <v>108.95</v>
      </c>
      <c r="K995" s="9">
        <f t="shared" si="48"/>
        <v>-0.38999999999998636</v>
      </c>
      <c r="L995">
        <f t="shared" si="48"/>
        <v>-0.28000000000000114</v>
      </c>
      <c r="M995">
        <f t="shared" si="48"/>
        <v>-6.0000000000002274E-2</v>
      </c>
      <c r="N995">
        <f t="shared" si="48"/>
        <v>-0.10999999999998522</v>
      </c>
      <c r="O995">
        <f t="shared" si="49"/>
        <v>-0.22999999999998977</v>
      </c>
      <c r="P995" s="10">
        <f t="shared" si="49"/>
        <v>0.39000000000000057</v>
      </c>
    </row>
    <row r="996" spans="1:16">
      <c r="A996">
        <v>243.75</v>
      </c>
      <c r="B996">
        <v>136.28</v>
      </c>
      <c r="C996">
        <v>139.28</v>
      </c>
      <c r="D996">
        <v>139.78</v>
      </c>
      <c r="E996">
        <v>142.72999999999999</v>
      </c>
      <c r="F996">
        <v>134.12</v>
      </c>
      <c r="G996">
        <v>140.06</v>
      </c>
      <c r="H996">
        <v>109.06</v>
      </c>
      <c r="K996" s="9">
        <f t="shared" si="48"/>
        <v>-0.33000000000001251</v>
      </c>
      <c r="L996">
        <f t="shared" si="48"/>
        <v>-0.11000000000001364</v>
      </c>
      <c r="M996">
        <f t="shared" si="48"/>
        <v>-0.16999999999998749</v>
      </c>
      <c r="N996">
        <f t="shared" si="48"/>
        <v>-6.0000000000002274E-2</v>
      </c>
      <c r="O996">
        <f t="shared" si="49"/>
        <v>-0.21999999999999886</v>
      </c>
      <c r="P996" s="10">
        <f t="shared" si="49"/>
        <v>0.28000000000000114</v>
      </c>
    </row>
    <row r="997" spans="1:16">
      <c r="A997">
        <v>244</v>
      </c>
      <c r="B997">
        <v>136.22999999999999</v>
      </c>
      <c r="C997">
        <v>139.16999999999999</v>
      </c>
      <c r="D997">
        <v>139.78</v>
      </c>
      <c r="E997">
        <v>142.66999999999999</v>
      </c>
      <c r="F997">
        <v>134.06</v>
      </c>
      <c r="G997">
        <v>139.9</v>
      </c>
      <c r="H997">
        <v>109.17</v>
      </c>
      <c r="K997" s="9">
        <f t="shared" si="48"/>
        <v>-0.38999999999998636</v>
      </c>
      <c r="L997">
        <f t="shared" si="48"/>
        <v>-0.21999999999999886</v>
      </c>
      <c r="M997">
        <f t="shared" si="48"/>
        <v>-0.15999999999999659</v>
      </c>
      <c r="N997">
        <f t="shared" si="48"/>
        <v>0</v>
      </c>
      <c r="O997">
        <f t="shared" si="49"/>
        <v>-0.12000000000000455</v>
      </c>
      <c r="P997" s="10">
        <f t="shared" si="49"/>
        <v>0.10999999999999943</v>
      </c>
    </row>
    <row r="998" spans="1:16">
      <c r="A998">
        <v>244.25</v>
      </c>
      <c r="B998">
        <v>136.16999999999999</v>
      </c>
      <c r="C998">
        <v>139.06</v>
      </c>
      <c r="D998">
        <v>139.66999999999999</v>
      </c>
      <c r="E998">
        <v>142.66999999999999</v>
      </c>
      <c r="F998">
        <v>134.06</v>
      </c>
      <c r="G998">
        <v>139.78</v>
      </c>
      <c r="H998">
        <v>109.34</v>
      </c>
      <c r="K998" s="9">
        <f t="shared" si="48"/>
        <v>-0.39000000000001478</v>
      </c>
      <c r="L998">
        <f t="shared" si="48"/>
        <v>-0.10999999999998522</v>
      </c>
      <c r="M998">
        <f t="shared" si="48"/>
        <v>-0.15999999999999659</v>
      </c>
      <c r="N998">
        <f t="shared" si="48"/>
        <v>6.0000000000002274E-2</v>
      </c>
      <c r="O998">
        <f t="shared" si="49"/>
        <v>0</v>
      </c>
      <c r="P998" s="10">
        <f t="shared" si="49"/>
        <v>-0.21999999999999886</v>
      </c>
    </row>
    <row r="999" spans="1:16">
      <c r="A999">
        <v>244.5</v>
      </c>
      <c r="B999">
        <v>136.12</v>
      </c>
      <c r="C999">
        <v>138.94999999999999</v>
      </c>
      <c r="D999">
        <v>139.66999999999999</v>
      </c>
      <c r="E999">
        <v>142.56</v>
      </c>
      <c r="F999">
        <v>134.06</v>
      </c>
      <c r="G999">
        <v>139.84</v>
      </c>
      <c r="H999">
        <v>109.34</v>
      </c>
      <c r="K999" s="9">
        <f t="shared" si="48"/>
        <v>-0.32999999999998408</v>
      </c>
      <c r="L999">
        <f t="shared" si="48"/>
        <v>-0.10999999999998522</v>
      </c>
      <c r="M999">
        <f t="shared" si="48"/>
        <v>0</v>
      </c>
      <c r="N999">
        <f t="shared" si="48"/>
        <v>0</v>
      </c>
      <c r="O999">
        <f t="shared" si="49"/>
        <v>-6.0000000000002274E-2</v>
      </c>
      <c r="P999" s="10">
        <f t="shared" si="49"/>
        <v>-0.21999999999999886</v>
      </c>
    </row>
    <row r="1000" spans="1:16">
      <c r="A1000">
        <v>244.75</v>
      </c>
      <c r="B1000">
        <v>136.06</v>
      </c>
      <c r="C1000">
        <v>138.78</v>
      </c>
      <c r="D1000">
        <v>139.56</v>
      </c>
      <c r="E1000">
        <v>142.51</v>
      </c>
      <c r="F1000">
        <v>134.06</v>
      </c>
      <c r="G1000">
        <v>139.78</v>
      </c>
      <c r="H1000">
        <v>109.28</v>
      </c>
      <c r="K1000" s="9">
        <f t="shared" si="48"/>
        <v>-0.5</v>
      </c>
      <c r="L1000">
        <f t="shared" si="48"/>
        <v>0</v>
      </c>
      <c r="M1000">
        <f t="shared" si="48"/>
        <v>0</v>
      </c>
      <c r="N1000">
        <f t="shared" si="48"/>
        <v>-5.0000000000011369E-2</v>
      </c>
      <c r="O1000">
        <f t="shared" si="49"/>
        <v>-0.15999999999999659</v>
      </c>
      <c r="P1000" s="10">
        <f t="shared" si="49"/>
        <v>-0.26999999999999602</v>
      </c>
    </row>
    <row r="1001" spans="1:16">
      <c r="A1001">
        <v>245</v>
      </c>
      <c r="B1001">
        <v>136.01</v>
      </c>
      <c r="C1001">
        <v>138.66999999999999</v>
      </c>
      <c r="D1001">
        <v>139.56</v>
      </c>
      <c r="E1001">
        <v>142.51</v>
      </c>
      <c r="F1001">
        <v>134.12</v>
      </c>
      <c r="G1001">
        <v>139.78</v>
      </c>
      <c r="H1001">
        <v>109.12</v>
      </c>
      <c r="K1001" s="9">
        <f t="shared" si="48"/>
        <v>-0.54999999999998295</v>
      </c>
      <c r="L1001">
        <f t="shared" si="48"/>
        <v>-5.0000000000011369E-2</v>
      </c>
      <c r="M1001">
        <f t="shared" si="48"/>
        <v>-6.0000000000002274E-2</v>
      </c>
      <c r="N1001">
        <f t="shared" si="48"/>
        <v>-0.11000000000001364</v>
      </c>
      <c r="O1001">
        <f t="shared" si="49"/>
        <v>-0.11000000000001364</v>
      </c>
      <c r="P1001" s="10">
        <f t="shared" si="49"/>
        <v>-0.17000000000000171</v>
      </c>
    </row>
    <row r="1002" spans="1:16">
      <c r="A1002">
        <v>245.25</v>
      </c>
      <c r="B1002">
        <v>136.01</v>
      </c>
      <c r="C1002">
        <v>138.62</v>
      </c>
      <c r="D1002">
        <v>139.56</v>
      </c>
      <c r="E1002">
        <v>142.56</v>
      </c>
      <c r="F1002">
        <v>134.06</v>
      </c>
      <c r="G1002">
        <v>139.78</v>
      </c>
      <c r="H1002">
        <v>109.12</v>
      </c>
      <c r="K1002" s="9">
        <f t="shared" si="48"/>
        <v>-0.61000000000001364</v>
      </c>
      <c r="L1002">
        <f t="shared" si="48"/>
        <v>0</v>
      </c>
      <c r="M1002">
        <f t="shared" si="48"/>
        <v>-0.15999999999999659</v>
      </c>
      <c r="N1002">
        <f t="shared" si="48"/>
        <v>-5.0000000000011369E-2</v>
      </c>
      <c r="O1002">
        <f t="shared" si="49"/>
        <v>-0.15999999999999659</v>
      </c>
      <c r="P1002" s="10">
        <f t="shared" si="49"/>
        <v>-0.17000000000000171</v>
      </c>
    </row>
    <row r="1003" spans="1:16">
      <c r="A1003">
        <v>245.5</v>
      </c>
      <c r="B1003">
        <v>135.94999999999999</v>
      </c>
      <c r="C1003">
        <v>138.28</v>
      </c>
      <c r="D1003">
        <v>139.56</v>
      </c>
      <c r="E1003">
        <v>142.51</v>
      </c>
      <c r="F1003">
        <v>134.01</v>
      </c>
      <c r="G1003">
        <v>139.62</v>
      </c>
      <c r="H1003">
        <v>109.01</v>
      </c>
      <c r="K1003" s="9">
        <f t="shared" si="48"/>
        <v>-0.37999999999999545</v>
      </c>
      <c r="L1003">
        <f t="shared" si="48"/>
        <v>0</v>
      </c>
      <c r="M1003">
        <f t="shared" si="48"/>
        <v>-0.10999999999998522</v>
      </c>
      <c r="N1003">
        <f t="shared" si="48"/>
        <v>-6.0000000000002274E-2</v>
      </c>
      <c r="O1003">
        <f t="shared" si="49"/>
        <v>4.9999999999982947E-2</v>
      </c>
      <c r="P1003" s="10">
        <f t="shared" si="49"/>
        <v>0.15999999999999659</v>
      </c>
    </row>
    <row r="1004" spans="1:16">
      <c r="A1004">
        <v>245.75</v>
      </c>
      <c r="B1004">
        <v>135.9</v>
      </c>
      <c r="C1004">
        <v>138.12</v>
      </c>
      <c r="D1004">
        <v>139.51</v>
      </c>
      <c r="E1004">
        <v>142.44999999999999</v>
      </c>
      <c r="F1004">
        <v>134.01</v>
      </c>
      <c r="G1004">
        <v>139.66999999999999</v>
      </c>
      <c r="H1004">
        <v>108.95</v>
      </c>
      <c r="K1004" s="9">
        <f t="shared" si="48"/>
        <v>-0.34000000000000341</v>
      </c>
      <c r="L1004">
        <f t="shared" si="48"/>
        <v>0.11000000000001364</v>
      </c>
      <c r="M1004">
        <f t="shared" si="48"/>
        <v>-0.16999999999998749</v>
      </c>
      <c r="N1004">
        <f t="shared" si="48"/>
        <v>-0.10999999999998522</v>
      </c>
      <c r="O1004">
        <f t="shared" si="49"/>
        <v>-0.15999999999999659</v>
      </c>
      <c r="P1004" s="10">
        <f t="shared" si="49"/>
        <v>0.28000000000000114</v>
      </c>
    </row>
    <row r="1005" spans="1:16">
      <c r="A1005">
        <v>246</v>
      </c>
      <c r="B1005">
        <v>135.9</v>
      </c>
      <c r="C1005">
        <v>138.01</v>
      </c>
      <c r="D1005">
        <v>139.56</v>
      </c>
      <c r="E1005">
        <v>142.4</v>
      </c>
      <c r="F1005">
        <v>134.01</v>
      </c>
      <c r="G1005">
        <v>139.62</v>
      </c>
      <c r="H1005">
        <v>108.95</v>
      </c>
      <c r="K1005" s="9">
        <f t="shared" si="48"/>
        <v>-0.34000000000000341</v>
      </c>
      <c r="L1005">
        <f t="shared" si="48"/>
        <v>-0.11000000000001364</v>
      </c>
      <c r="M1005">
        <f t="shared" si="48"/>
        <v>-0.12000000000000455</v>
      </c>
      <c r="N1005">
        <f t="shared" si="48"/>
        <v>-0.10999999999998522</v>
      </c>
      <c r="O1005">
        <f t="shared" si="49"/>
        <v>-6.0000000000002274E-2</v>
      </c>
      <c r="P1005" s="10">
        <f t="shared" si="49"/>
        <v>0.32999999999999829</v>
      </c>
    </row>
    <row r="1006" spans="1:16">
      <c r="A1006">
        <v>246.25</v>
      </c>
      <c r="B1006">
        <v>135.84</v>
      </c>
      <c r="C1006">
        <v>137.9</v>
      </c>
      <c r="D1006">
        <v>139.56</v>
      </c>
      <c r="E1006">
        <v>142.4</v>
      </c>
      <c r="F1006">
        <v>133.94999999999999</v>
      </c>
      <c r="G1006">
        <v>139.66999999999999</v>
      </c>
      <c r="H1006">
        <v>109.17</v>
      </c>
      <c r="K1006" s="9">
        <f t="shared" si="48"/>
        <v>-0.28000000000000114</v>
      </c>
      <c r="L1006">
        <f t="shared" si="48"/>
        <v>-0.71999999999999886</v>
      </c>
      <c r="M1006">
        <f t="shared" si="48"/>
        <v>-0.12000000000000455</v>
      </c>
      <c r="N1006">
        <f t="shared" si="48"/>
        <v>-0.10999999999998522</v>
      </c>
      <c r="O1006">
        <f t="shared" si="49"/>
        <v>-0.21999999999999886</v>
      </c>
      <c r="P1006" s="10">
        <f t="shared" si="49"/>
        <v>0.34000000000000341</v>
      </c>
    </row>
    <row r="1007" spans="1:16">
      <c r="A1007">
        <v>246.5</v>
      </c>
      <c r="B1007">
        <v>135.78</v>
      </c>
      <c r="C1007">
        <v>137.78</v>
      </c>
      <c r="D1007">
        <v>139.62</v>
      </c>
      <c r="E1007">
        <v>142.28</v>
      </c>
      <c r="F1007">
        <v>133.9</v>
      </c>
      <c r="G1007">
        <v>139.51</v>
      </c>
      <c r="H1007">
        <v>109.23</v>
      </c>
      <c r="K1007" s="9">
        <f t="shared" si="48"/>
        <v>-0.21999999999999886</v>
      </c>
      <c r="L1007">
        <f t="shared" si="48"/>
        <v>-1</v>
      </c>
      <c r="M1007">
        <f t="shared" si="48"/>
        <v>-0.15999999999999659</v>
      </c>
      <c r="N1007">
        <f t="shared" si="48"/>
        <v>-6.0000000000002274E-2</v>
      </c>
      <c r="O1007">
        <f t="shared" si="49"/>
        <v>-0.16999999999998749</v>
      </c>
      <c r="P1007" s="10">
        <f t="shared" si="49"/>
        <v>0.28000000000000114</v>
      </c>
    </row>
    <row r="1008" spans="1:16">
      <c r="A1008">
        <v>246.75</v>
      </c>
      <c r="B1008">
        <v>135.66999999999999</v>
      </c>
      <c r="C1008">
        <v>137.66999999999999</v>
      </c>
      <c r="D1008">
        <v>139.44999999999999</v>
      </c>
      <c r="E1008">
        <v>142.28</v>
      </c>
      <c r="F1008">
        <v>133.9</v>
      </c>
      <c r="G1008">
        <v>139.56</v>
      </c>
      <c r="H1008">
        <v>109.28</v>
      </c>
      <c r="K1008" s="9">
        <f t="shared" si="48"/>
        <v>-4.9999999999982947E-2</v>
      </c>
      <c r="L1008">
        <f t="shared" si="48"/>
        <v>-0.78000000000000114</v>
      </c>
      <c r="M1008">
        <f t="shared" si="48"/>
        <v>-0.15999999999999659</v>
      </c>
      <c r="N1008">
        <f t="shared" si="48"/>
        <v>-0.12000000000000455</v>
      </c>
      <c r="O1008">
        <f t="shared" si="49"/>
        <v>-0.15999999999999659</v>
      </c>
      <c r="P1008" s="10">
        <f t="shared" si="49"/>
        <v>0.23000000000000398</v>
      </c>
    </row>
    <row r="1009" spans="1:16">
      <c r="A1009">
        <v>247</v>
      </c>
      <c r="B1009">
        <v>135.66999999999999</v>
      </c>
      <c r="C1009">
        <v>137.62</v>
      </c>
      <c r="D1009">
        <v>138.84</v>
      </c>
      <c r="E1009">
        <v>142.28</v>
      </c>
      <c r="F1009">
        <v>133.84</v>
      </c>
      <c r="G1009">
        <v>139.44999999999999</v>
      </c>
      <c r="H1009">
        <v>109.51</v>
      </c>
      <c r="K1009" s="9">
        <f t="shared" si="48"/>
        <v>-6.0000000000002274E-2</v>
      </c>
      <c r="L1009">
        <f t="shared" si="48"/>
        <v>-0.17000000000001592</v>
      </c>
      <c r="M1009">
        <f t="shared" si="48"/>
        <v>-0.21999999999999886</v>
      </c>
      <c r="N1009">
        <f t="shared" si="48"/>
        <v>0</v>
      </c>
      <c r="O1009">
        <f t="shared" si="49"/>
        <v>-0.10999999999998522</v>
      </c>
      <c r="P1009" s="10">
        <f t="shared" si="49"/>
        <v>0.15999999999999659</v>
      </c>
    </row>
    <row r="1010" spans="1:16">
      <c r="A1010">
        <v>247.25</v>
      </c>
      <c r="B1010">
        <v>135.62</v>
      </c>
      <c r="C1010">
        <v>137.56</v>
      </c>
      <c r="D1010">
        <v>138.62</v>
      </c>
      <c r="E1010">
        <v>142.12</v>
      </c>
      <c r="F1010">
        <v>133.84</v>
      </c>
      <c r="G1010">
        <v>139.34</v>
      </c>
      <c r="H1010">
        <v>109.51</v>
      </c>
      <c r="K1010" s="9">
        <f t="shared" si="48"/>
        <v>6.0000000000002274E-2</v>
      </c>
      <c r="L1010">
        <f t="shared" si="48"/>
        <v>4.9999999999982947E-2</v>
      </c>
      <c r="M1010">
        <f t="shared" si="48"/>
        <v>0</v>
      </c>
      <c r="N1010">
        <f t="shared" si="48"/>
        <v>0</v>
      </c>
      <c r="O1010">
        <f t="shared" si="49"/>
        <v>0</v>
      </c>
      <c r="P1010" s="10">
        <f t="shared" si="49"/>
        <v>0.39000000000000057</v>
      </c>
    </row>
    <row r="1011" spans="1:16">
      <c r="A1011">
        <v>247.5</v>
      </c>
      <c r="B1011">
        <v>135.62</v>
      </c>
      <c r="C1011">
        <v>137.62</v>
      </c>
      <c r="D1011">
        <v>138.66999999999999</v>
      </c>
      <c r="E1011">
        <v>142.12</v>
      </c>
      <c r="F1011">
        <v>133.78</v>
      </c>
      <c r="G1011">
        <v>139.4</v>
      </c>
      <c r="H1011">
        <v>109.51</v>
      </c>
      <c r="K1011" s="9">
        <f t="shared" si="48"/>
        <v>-6.0000000000002274E-2</v>
      </c>
      <c r="L1011">
        <f t="shared" si="48"/>
        <v>0.11000000000001364</v>
      </c>
      <c r="M1011">
        <f t="shared" si="48"/>
        <v>-6.0000000000002274E-2</v>
      </c>
      <c r="N1011">
        <f t="shared" si="48"/>
        <v>0</v>
      </c>
      <c r="O1011">
        <f t="shared" si="49"/>
        <v>-0.12000000000000455</v>
      </c>
      <c r="P1011" s="10">
        <f t="shared" si="49"/>
        <v>0.43999999999999773</v>
      </c>
    </row>
    <row r="1012" spans="1:16">
      <c r="A1012">
        <v>247.75</v>
      </c>
      <c r="B1012">
        <v>135.51</v>
      </c>
      <c r="C1012">
        <v>137.56</v>
      </c>
      <c r="D1012">
        <v>138.66999999999999</v>
      </c>
      <c r="E1012">
        <v>142.06</v>
      </c>
      <c r="F1012">
        <v>133.84</v>
      </c>
      <c r="G1012">
        <v>139.34</v>
      </c>
      <c r="H1012">
        <v>109.67</v>
      </c>
      <c r="K1012" s="9">
        <f t="shared" si="48"/>
        <v>6.0000000000002274E-2</v>
      </c>
      <c r="L1012">
        <f t="shared" si="48"/>
        <v>0.11000000000001364</v>
      </c>
      <c r="M1012">
        <f t="shared" si="48"/>
        <v>-5.0000000000011369E-2</v>
      </c>
      <c r="N1012">
        <f t="shared" si="48"/>
        <v>-0.11000000000001364</v>
      </c>
      <c r="O1012">
        <f t="shared" si="49"/>
        <v>-0.11000000000001364</v>
      </c>
      <c r="P1012" s="10">
        <f t="shared" si="49"/>
        <v>0.39000000000000057</v>
      </c>
    </row>
    <row r="1013" spans="1:16">
      <c r="A1013">
        <v>248</v>
      </c>
      <c r="B1013">
        <v>135.51</v>
      </c>
      <c r="C1013">
        <v>137.62</v>
      </c>
      <c r="D1013">
        <v>138.66999999999999</v>
      </c>
      <c r="E1013">
        <v>142.12</v>
      </c>
      <c r="F1013">
        <v>133.84</v>
      </c>
      <c r="G1013">
        <v>139.34</v>
      </c>
      <c r="H1013">
        <v>109.9</v>
      </c>
      <c r="K1013" s="9">
        <f t="shared" si="48"/>
        <v>0</v>
      </c>
      <c r="L1013">
        <f t="shared" si="48"/>
        <v>0.17000000000001592</v>
      </c>
      <c r="M1013">
        <f t="shared" si="48"/>
        <v>-0.11000000000001364</v>
      </c>
      <c r="N1013">
        <f t="shared" si="48"/>
        <v>-6.0000000000002274E-2</v>
      </c>
      <c r="O1013">
        <f t="shared" si="49"/>
        <v>-6.0000000000002274E-2</v>
      </c>
      <c r="P1013" s="10">
        <f t="shared" si="49"/>
        <v>0.32999999999999829</v>
      </c>
    </row>
    <row r="1014" spans="1:16">
      <c r="A1014">
        <v>248.25</v>
      </c>
      <c r="B1014">
        <v>135.44999999999999</v>
      </c>
      <c r="C1014">
        <v>137.56</v>
      </c>
      <c r="D1014">
        <v>138.78</v>
      </c>
      <c r="E1014">
        <v>142.06</v>
      </c>
      <c r="F1014">
        <v>133.78</v>
      </c>
      <c r="G1014">
        <v>139.28</v>
      </c>
      <c r="H1014">
        <v>109.95</v>
      </c>
      <c r="K1014" s="9">
        <f t="shared" si="48"/>
        <v>0</v>
      </c>
      <c r="L1014">
        <f t="shared" si="48"/>
        <v>0.12000000000000455</v>
      </c>
      <c r="M1014">
        <f t="shared" si="48"/>
        <v>-0.11000000000001364</v>
      </c>
      <c r="N1014">
        <f t="shared" si="48"/>
        <v>-5.0000000000011369E-2</v>
      </c>
      <c r="O1014">
        <f t="shared" si="49"/>
        <v>-0.15999999999999659</v>
      </c>
      <c r="P1014" s="10">
        <f t="shared" si="49"/>
        <v>0.32999999999999829</v>
      </c>
    </row>
    <row r="1015" spans="1:16">
      <c r="A1015">
        <v>248.5</v>
      </c>
      <c r="B1015">
        <v>135.51</v>
      </c>
      <c r="C1015">
        <v>137.62</v>
      </c>
      <c r="D1015">
        <v>138.78</v>
      </c>
      <c r="E1015">
        <v>142.01</v>
      </c>
      <c r="F1015">
        <v>133.72999999999999</v>
      </c>
      <c r="G1015">
        <v>139.22999999999999</v>
      </c>
      <c r="H1015">
        <v>110.06</v>
      </c>
      <c r="K1015" s="9">
        <f t="shared" si="48"/>
        <v>-6.0000000000002274E-2</v>
      </c>
      <c r="L1015">
        <f t="shared" si="48"/>
        <v>0.16999999999998749</v>
      </c>
      <c r="M1015">
        <f t="shared" si="48"/>
        <v>-6.0000000000002274E-2</v>
      </c>
      <c r="N1015">
        <f t="shared" si="48"/>
        <v>-0.10999999999998522</v>
      </c>
      <c r="O1015">
        <f t="shared" si="49"/>
        <v>-0.10999999999998522</v>
      </c>
      <c r="P1015" s="10">
        <f t="shared" si="49"/>
        <v>0.34000000000000341</v>
      </c>
    </row>
    <row r="1016" spans="1:16">
      <c r="A1016">
        <v>248.75</v>
      </c>
      <c r="B1016">
        <v>135.4</v>
      </c>
      <c r="C1016">
        <v>137.62</v>
      </c>
      <c r="D1016">
        <v>138.84</v>
      </c>
      <c r="E1016">
        <v>142.01</v>
      </c>
      <c r="F1016">
        <v>133.78</v>
      </c>
      <c r="G1016">
        <v>139.28</v>
      </c>
      <c r="H1016">
        <v>110.23</v>
      </c>
      <c r="K1016" s="9">
        <f t="shared" si="48"/>
        <v>-6.0000000000002274E-2</v>
      </c>
      <c r="L1016">
        <f t="shared" si="48"/>
        <v>6.0000000000002274E-2</v>
      </c>
      <c r="M1016">
        <f t="shared" si="48"/>
        <v>-0.16999999999998749</v>
      </c>
      <c r="N1016">
        <f t="shared" si="48"/>
        <v>-0.11000000000001364</v>
      </c>
      <c r="O1016">
        <f t="shared" si="49"/>
        <v>-0.21999999999999886</v>
      </c>
      <c r="P1016" s="10">
        <f t="shared" si="49"/>
        <v>0.21999999999999886</v>
      </c>
    </row>
    <row r="1017" spans="1:16">
      <c r="A1017">
        <v>249</v>
      </c>
      <c r="B1017">
        <v>135.4</v>
      </c>
      <c r="C1017">
        <v>137.56</v>
      </c>
      <c r="D1017">
        <v>138.9</v>
      </c>
      <c r="E1017">
        <v>141.94999999999999</v>
      </c>
      <c r="F1017">
        <v>133.72999999999999</v>
      </c>
      <c r="G1017">
        <v>139.12</v>
      </c>
      <c r="H1017">
        <v>110.28</v>
      </c>
      <c r="K1017" s="9">
        <f t="shared" si="48"/>
        <v>0</v>
      </c>
      <c r="L1017">
        <f t="shared" si="48"/>
        <v>0.10999999999998522</v>
      </c>
      <c r="M1017">
        <f t="shared" si="48"/>
        <v>-0.16999999999998749</v>
      </c>
      <c r="N1017">
        <f t="shared" si="48"/>
        <v>-0.10999999999998522</v>
      </c>
      <c r="O1017">
        <f t="shared" si="49"/>
        <v>0</v>
      </c>
      <c r="P1017" s="10">
        <f t="shared" si="49"/>
        <v>0.28000000000000114</v>
      </c>
    </row>
    <row r="1018" spans="1:16">
      <c r="A1018">
        <v>249.25</v>
      </c>
      <c r="B1018">
        <v>135.34</v>
      </c>
      <c r="C1018">
        <v>137.56</v>
      </c>
      <c r="D1018">
        <v>138.94999999999999</v>
      </c>
      <c r="E1018">
        <v>141.94999999999999</v>
      </c>
      <c r="F1018">
        <v>133.62</v>
      </c>
      <c r="G1018">
        <v>139.12</v>
      </c>
      <c r="H1018">
        <v>110.4</v>
      </c>
      <c r="K1018" s="9">
        <f t="shared" si="48"/>
        <v>0</v>
      </c>
      <c r="L1018">
        <f t="shared" si="48"/>
        <v>0.17000000000001592</v>
      </c>
      <c r="M1018">
        <f t="shared" si="48"/>
        <v>-0.10999999999998522</v>
      </c>
      <c r="N1018">
        <f t="shared" si="48"/>
        <v>0</v>
      </c>
      <c r="O1018">
        <f t="shared" si="49"/>
        <v>-6.0000000000002274E-2</v>
      </c>
      <c r="P1018" s="10">
        <f t="shared" si="49"/>
        <v>0.32999999999999829</v>
      </c>
    </row>
    <row r="1019" spans="1:16">
      <c r="A1019">
        <v>249.5</v>
      </c>
      <c r="B1019">
        <v>135.22999999999999</v>
      </c>
      <c r="C1019">
        <v>137.56</v>
      </c>
      <c r="D1019">
        <v>138.9</v>
      </c>
      <c r="E1019">
        <v>141.84</v>
      </c>
      <c r="F1019">
        <v>133.66999999999999</v>
      </c>
      <c r="G1019">
        <v>139.06</v>
      </c>
      <c r="H1019">
        <v>110.45</v>
      </c>
      <c r="K1019" s="9">
        <f t="shared" si="48"/>
        <v>-5.0000000000011369E-2</v>
      </c>
      <c r="L1019">
        <f t="shared" si="48"/>
        <v>4.9999999999982947E-2</v>
      </c>
      <c r="M1019">
        <f t="shared" si="48"/>
        <v>-0.17000000000001592</v>
      </c>
      <c r="N1019">
        <f t="shared" si="48"/>
        <v>-0.10999999999998522</v>
      </c>
      <c r="O1019">
        <f t="shared" si="49"/>
        <v>-5.0000000000011369E-2</v>
      </c>
      <c r="P1019" s="10">
        <f t="shared" si="49"/>
        <v>0.39000000000000057</v>
      </c>
    </row>
    <row r="1020" spans="1:16">
      <c r="A1020">
        <v>249.75</v>
      </c>
      <c r="B1020">
        <v>135.16999999999999</v>
      </c>
      <c r="C1020">
        <v>137.56</v>
      </c>
      <c r="D1020">
        <v>139.01</v>
      </c>
      <c r="E1020">
        <v>141.78</v>
      </c>
      <c r="F1020">
        <v>133.62</v>
      </c>
      <c r="G1020">
        <v>139.12</v>
      </c>
      <c r="H1020">
        <v>110.56</v>
      </c>
      <c r="K1020" s="9">
        <f t="shared" si="48"/>
        <v>0</v>
      </c>
      <c r="L1020">
        <f t="shared" si="48"/>
        <v>0</v>
      </c>
      <c r="M1020">
        <f t="shared" si="48"/>
        <v>-0.11000000000001364</v>
      </c>
      <c r="N1020">
        <f t="shared" si="48"/>
        <v>0</v>
      </c>
      <c r="O1020">
        <f t="shared" si="49"/>
        <v>-6.0000000000002274E-2</v>
      </c>
      <c r="P1020" s="10">
        <f t="shared" si="49"/>
        <v>0.34000000000000341</v>
      </c>
    </row>
    <row r="1021" spans="1:16">
      <c r="A1021">
        <v>250</v>
      </c>
      <c r="B1021">
        <v>135.16999999999999</v>
      </c>
      <c r="C1021">
        <v>137.56</v>
      </c>
      <c r="D1021">
        <v>139.12</v>
      </c>
      <c r="E1021">
        <v>141.84</v>
      </c>
      <c r="F1021">
        <v>133.62</v>
      </c>
      <c r="G1021">
        <v>139.06</v>
      </c>
      <c r="H1021">
        <v>110.73</v>
      </c>
      <c r="K1021" s="9">
        <f t="shared" si="48"/>
        <v>-5.0000000000011369E-2</v>
      </c>
      <c r="L1021">
        <f t="shared" si="48"/>
        <v>-6.0000000000002274E-2</v>
      </c>
      <c r="M1021">
        <f t="shared" si="48"/>
        <v>-6.0000000000002274E-2</v>
      </c>
      <c r="N1021">
        <f t="shared" si="48"/>
        <v>-6.0000000000002274E-2</v>
      </c>
      <c r="O1021">
        <f t="shared" si="49"/>
        <v>-0.11000000000001364</v>
      </c>
      <c r="P1021" s="10">
        <f t="shared" si="49"/>
        <v>0.10999999999999943</v>
      </c>
    </row>
    <row r="1022" spans="1:16">
      <c r="A1022">
        <v>250.25</v>
      </c>
      <c r="B1022">
        <v>135.12</v>
      </c>
      <c r="C1022">
        <v>137.51</v>
      </c>
      <c r="D1022">
        <v>138.94999999999999</v>
      </c>
      <c r="E1022">
        <v>141.66999999999999</v>
      </c>
      <c r="F1022">
        <v>133.56</v>
      </c>
      <c r="G1022">
        <v>139.01</v>
      </c>
      <c r="H1022">
        <v>110.84</v>
      </c>
      <c r="K1022" s="9">
        <f t="shared" si="48"/>
        <v>5.0000000000011369E-2</v>
      </c>
      <c r="L1022">
        <f t="shared" si="48"/>
        <v>0.11000000000001364</v>
      </c>
      <c r="M1022">
        <f t="shared" si="48"/>
        <v>0</v>
      </c>
      <c r="N1022">
        <f t="shared" si="48"/>
        <v>6.0000000000002274E-2</v>
      </c>
      <c r="O1022">
        <f t="shared" si="49"/>
        <v>-6.0000000000002274E-2</v>
      </c>
      <c r="P1022" s="10">
        <f t="shared" si="49"/>
        <v>0.17000000000000171</v>
      </c>
    </row>
    <row r="1023" spans="1:16">
      <c r="A1023">
        <v>250.5</v>
      </c>
      <c r="B1023">
        <v>135.01</v>
      </c>
      <c r="C1023">
        <v>137.56</v>
      </c>
      <c r="D1023">
        <v>139.01</v>
      </c>
      <c r="E1023">
        <v>141.66999999999999</v>
      </c>
      <c r="F1023">
        <v>133.62</v>
      </c>
      <c r="G1023">
        <v>139.06</v>
      </c>
      <c r="H1023">
        <v>110.9</v>
      </c>
      <c r="K1023" s="9">
        <f t="shared" si="48"/>
        <v>-5.0000000000011369E-2</v>
      </c>
      <c r="L1023">
        <f t="shared" si="48"/>
        <v>0</v>
      </c>
      <c r="M1023">
        <f t="shared" si="48"/>
        <v>-4.9999999999982947E-2</v>
      </c>
      <c r="N1023">
        <f t="shared" si="48"/>
        <v>-6.0000000000002274E-2</v>
      </c>
      <c r="O1023">
        <f t="shared" si="49"/>
        <v>-0.21999999999999886</v>
      </c>
      <c r="P1023" s="10">
        <f t="shared" si="49"/>
        <v>0.15999999999999659</v>
      </c>
    </row>
    <row r="1024" spans="1:16">
      <c r="A1024">
        <v>250.75</v>
      </c>
      <c r="B1024">
        <v>135.12</v>
      </c>
      <c r="C1024">
        <v>137.51</v>
      </c>
      <c r="D1024">
        <v>139.06</v>
      </c>
      <c r="E1024">
        <v>141.78</v>
      </c>
      <c r="F1024">
        <v>133.56</v>
      </c>
      <c r="G1024">
        <v>138.94999999999999</v>
      </c>
      <c r="H1024">
        <v>110.84</v>
      </c>
      <c r="K1024" s="9">
        <f t="shared" si="48"/>
        <v>-0.16999999999998749</v>
      </c>
      <c r="L1024">
        <f t="shared" si="48"/>
        <v>-0.15999999999999659</v>
      </c>
      <c r="M1024">
        <f t="shared" si="48"/>
        <v>-0.21999999999999886</v>
      </c>
      <c r="N1024">
        <f t="shared" si="48"/>
        <v>0</v>
      </c>
      <c r="O1024">
        <f t="shared" si="49"/>
        <v>-0.16999999999998749</v>
      </c>
      <c r="P1024" s="10">
        <f t="shared" si="49"/>
        <v>0.21999999999999886</v>
      </c>
    </row>
    <row r="1025" spans="1:16">
      <c r="A1025">
        <v>251</v>
      </c>
      <c r="B1025">
        <v>135.06</v>
      </c>
      <c r="C1025">
        <v>137.56</v>
      </c>
      <c r="D1025">
        <v>139.06</v>
      </c>
      <c r="E1025">
        <v>141.66999999999999</v>
      </c>
      <c r="F1025">
        <v>133.62</v>
      </c>
      <c r="G1025">
        <v>138.94999999999999</v>
      </c>
      <c r="H1025">
        <v>111.01</v>
      </c>
      <c r="K1025" s="9">
        <f t="shared" si="48"/>
        <v>-0.28000000000000114</v>
      </c>
      <c r="L1025">
        <f t="shared" si="48"/>
        <v>-0.39000000000001478</v>
      </c>
      <c r="M1025">
        <f t="shared" si="48"/>
        <v>-0.10999999999998522</v>
      </c>
      <c r="N1025">
        <f t="shared" si="48"/>
        <v>0</v>
      </c>
      <c r="O1025">
        <f t="shared" si="49"/>
        <v>-0.10999999999998522</v>
      </c>
      <c r="P1025" s="10">
        <f t="shared" si="49"/>
        <v>0.10999999999999943</v>
      </c>
    </row>
    <row r="1026" spans="1:16">
      <c r="A1026">
        <v>251.25</v>
      </c>
      <c r="B1026">
        <v>135.12</v>
      </c>
      <c r="C1026">
        <v>137.51</v>
      </c>
      <c r="D1026">
        <v>139.01</v>
      </c>
      <c r="E1026">
        <v>141.62</v>
      </c>
      <c r="F1026">
        <v>133.56</v>
      </c>
      <c r="G1026">
        <v>138.84</v>
      </c>
      <c r="H1026">
        <v>111.06</v>
      </c>
      <c r="K1026" s="9">
        <f t="shared" si="48"/>
        <v>-0.38999999999998636</v>
      </c>
      <c r="L1026">
        <f t="shared" si="48"/>
        <v>-0.44999999999998863</v>
      </c>
      <c r="M1026">
        <f t="shared" si="48"/>
        <v>-0.21999999999999886</v>
      </c>
      <c r="N1026">
        <f t="shared" si="48"/>
        <v>-0.11000000000001364</v>
      </c>
      <c r="O1026">
        <f t="shared" si="49"/>
        <v>-6.0000000000002274E-2</v>
      </c>
      <c r="P1026" s="10">
        <f t="shared" si="49"/>
        <v>0.21999999999999886</v>
      </c>
    </row>
    <row r="1027" spans="1:16">
      <c r="A1027">
        <v>251.5</v>
      </c>
      <c r="B1027">
        <v>134.94999999999999</v>
      </c>
      <c r="C1027">
        <v>137.34</v>
      </c>
      <c r="D1027">
        <v>138.9</v>
      </c>
      <c r="E1027">
        <v>141.56</v>
      </c>
      <c r="F1027">
        <v>133.56</v>
      </c>
      <c r="G1027">
        <v>138.78</v>
      </c>
      <c r="H1027">
        <v>111.06</v>
      </c>
      <c r="K1027" s="9">
        <f t="shared" si="48"/>
        <v>-0.33000000000001251</v>
      </c>
      <c r="L1027">
        <f t="shared" si="48"/>
        <v>-0.28000000000000114</v>
      </c>
      <c r="M1027">
        <f t="shared" si="48"/>
        <v>-5.0000000000011369E-2</v>
      </c>
      <c r="N1027">
        <f t="shared" si="48"/>
        <v>-0.11000000000001364</v>
      </c>
      <c r="O1027">
        <f t="shared" si="49"/>
        <v>-5.0000000000011369E-2</v>
      </c>
      <c r="P1027" s="10">
        <f t="shared" si="49"/>
        <v>0.39000000000000057</v>
      </c>
    </row>
    <row r="1028" spans="1:16">
      <c r="A1028">
        <v>251.75</v>
      </c>
      <c r="B1028">
        <v>134.94999999999999</v>
      </c>
      <c r="C1028">
        <v>137.28</v>
      </c>
      <c r="D1028">
        <v>138.66999999999999</v>
      </c>
      <c r="E1028">
        <v>141.56</v>
      </c>
      <c r="F1028">
        <v>133.62</v>
      </c>
      <c r="G1028">
        <v>138.84</v>
      </c>
      <c r="H1028">
        <v>111.12</v>
      </c>
      <c r="K1028" s="9">
        <f t="shared" si="48"/>
        <v>-0.37999999999999545</v>
      </c>
      <c r="L1028">
        <f t="shared" si="48"/>
        <v>-4.9999999999982947E-2</v>
      </c>
      <c r="M1028">
        <f t="shared" si="48"/>
        <v>-0.21999999999999886</v>
      </c>
      <c r="N1028">
        <f t="shared" si="48"/>
        <v>-0.17000000000001592</v>
      </c>
      <c r="O1028">
        <f t="shared" si="49"/>
        <v>-0.17000000000001592</v>
      </c>
      <c r="P1028" s="10">
        <f t="shared" si="49"/>
        <v>0.43999999999999773</v>
      </c>
    </row>
    <row r="1029" spans="1:16">
      <c r="A1029">
        <v>252</v>
      </c>
      <c r="B1029">
        <v>134.84</v>
      </c>
      <c r="C1029">
        <v>137.12</v>
      </c>
      <c r="D1029">
        <v>138.56</v>
      </c>
      <c r="E1029">
        <v>141.4</v>
      </c>
      <c r="F1029">
        <v>133.44999999999999</v>
      </c>
      <c r="G1029">
        <v>138.78</v>
      </c>
      <c r="H1029">
        <v>111.28</v>
      </c>
      <c r="K1029" s="9">
        <f t="shared" si="48"/>
        <v>-0.39000000000001478</v>
      </c>
      <c r="L1029">
        <f t="shared" si="48"/>
        <v>0.10999999999998522</v>
      </c>
      <c r="M1029">
        <f t="shared" si="48"/>
        <v>-6.0000000000002274E-2</v>
      </c>
      <c r="N1029">
        <f t="shared" si="48"/>
        <v>-4.9999999999982947E-2</v>
      </c>
      <c r="O1029">
        <f t="shared" si="49"/>
        <v>-0.11000000000001364</v>
      </c>
      <c r="P1029" s="10">
        <f t="shared" si="49"/>
        <v>0.34000000000000341</v>
      </c>
    </row>
    <row r="1030" spans="1:16">
      <c r="A1030">
        <v>252.25</v>
      </c>
      <c r="B1030">
        <v>134.9</v>
      </c>
      <c r="C1030">
        <v>137.01</v>
      </c>
      <c r="D1030">
        <v>138.62</v>
      </c>
      <c r="E1030">
        <v>141.51</v>
      </c>
      <c r="F1030">
        <v>133.44999999999999</v>
      </c>
      <c r="G1030">
        <v>138.72999999999999</v>
      </c>
      <c r="H1030">
        <v>111.45</v>
      </c>
      <c r="K1030" s="9">
        <f t="shared" si="48"/>
        <v>-0.44999999999998863</v>
      </c>
      <c r="L1030">
        <f t="shared" si="48"/>
        <v>0.10999999999998522</v>
      </c>
      <c r="M1030">
        <f t="shared" si="48"/>
        <v>-0.16999999999998749</v>
      </c>
      <c r="N1030">
        <f t="shared" si="48"/>
        <v>0</v>
      </c>
      <c r="O1030">
        <f t="shared" si="49"/>
        <v>-6.0000000000002274E-2</v>
      </c>
      <c r="P1030" s="10">
        <f t="shared" si="49"/>
        <v>0.21999999999999886</v>
      </c>
    </row>
    <row r="1031" spans="1:16">
      <c r="A1031">
        <v>252.5</v>
      </c>
      <c r="B1031">
        <v>134.78</v>
      </c>
      <c r="C1031">
        <v>136.9</v>
      </c>
      <c r="D1031">
        <v>138.62</v>
      </c>
      <c r="E1031">
        <v>141.34</v>
      </c>
      <c r="F1031">
        <v>133.44999999999999</v>
      </c>
      <c r="G1031">
        <v>138.66999999999999</v>
      </c>
      <c r="H1031">
        <v>111.56</v>
      </c>
      <c r="K1031" s="9">
        <f t="shared" si="48"/>
        <v>-0.45000000000001705</v>
      </c>
      <c r="L1031">
        <f t="shared" si="48"/>
        <v>4.9999999999982947E-2</v>
      </c>
      <c r="M1031">
        <f t="shared" si="48"/>
        <v>0</v>
      </c>
      <c r="N1031">
        <f t="shared" si="48"/>
        <v>-4.9999999999982947E-2</v>
      </c>
      <c r="O1031">
        <f t="shared" si="49"/>
        <v>0</v>
      </c>
      <c r="P1031" s="10">
        <f t="shared" si="49"/>
        <v>0.21999999999999886</v>
      </c>
    </row>
    <row r="1032" spans="1:16">
      <c r="A1032">
        <v>252.75</v>
      </c>
      <c r="B1032">
        <v>134.78</v>
      </c>
      <c r="C1032">
        <v>136.72999999999999</v>
      </c>
      <c r="D1032">
        <v>138.66999999999999</v>
      </c>
      <c r="E1032">
        <v>141.34</v>
      </c>
      <c r="F1032">
        <v>133.4</v>
      </c>
      <c r="G1032">
        <v>138.66999999999999</v>
      </c>
      <c r="H1032">
        <v>111.62</v>
      </c>
      <c r="K1032" s="9">
        <f t="shared" si="48"/>
        <v>-0.44999999999998863</v>
      </c>
      <c r="L1032">
        <f t="shared" si="48"/>
        <v>0</v>
      </c>
      <c r="M1032">
        <f t="shared" si="48"/>
        <v>-6.0000000000002274E-2</v>
      </c>
      <c r="N1032">
        <f t="shared" si="48"/>
        <v>0</v>
      </c>
      <c r="O1032">
        <f t="shared" si="49"/>
        <v>-4.9999999999982947E-2</v>
      </c>
      <c r="P1032" s="10">
        <f t="shared" si="49"/>
        <v>0.32999999999999829</v>
      </c>
    </row>
    <row r="1033" spans="1:16">
      <c r="A1033">
        <v>253</v>
      </c>
      <c r="B1033">
        <v>134.66999999999999</v>
      </c>
      <c r="C1033">
        <v>136.56</v>
      </c>
      <c r="D1033">
        <v>138.72999999999999</v>
      </c>
      <c r="E1033">
        <v>141.34</v>
      </c>
      <c r="F1033">
        <v>133.44999999999999</v>
      </c>
      <c r="G1033">
        <v>138.66999999999999</v>
      </c>
      <c r="H1033">
        <v>111.67</v>
      </c>
      <c r="K1033" s="9">
        <f t="shared" si="48"/>
        <v>-0.15999999999999659</v>
      </c>
      <c r="L1033">
        <f t="shared" si="48"/>
        <v>5.0000000000011369E-2</v>
      </c>
      <c r="M1033">
        <f t="shared" si="48"/>
        <v>-6.0000000000002274E-2</v>
      </c>
      <c r="N1033">
        <f t="shared" si="48"/>
        <v>0</v>
      </c>
      <c r="O1033">
        <f t="shared" si="49"/>
        <v>-4.9999999999982947E-2</v>
      </c>
      <c r="P1033" s="10">
        <f t="shared" si="49"/>
        <v>0.34000000000000341</v>
      </c>
    </row>
    <row r="1034" spans="1:16">
      <c r="A1034">
        <v>253.25</v>
      </c>
      <c r="B1034">
        <v>134.66999999999999</v>
      </c>
      <c r="C1034">
        <v>136.44999999999999</v>
      </c>
      <c r="D1034">
        <v>138.66999999999999</v>
      </c>
      <c r="E1034">
        <v>141.34</v>
      </c>
      <c r="F1034">
        <v>133.4</v>
      </c>
      <c r="G1034">
        <v>138.66999999999999</v>
      </c>
      <c r="H1034">
        <v>111.78</v>
      </c>
      <c r="K1034" s="9">
        <f t="shared" si="48"/>
        <v>-0.16999999999998749</v>
      </c>
      <c r="L1034">
        <f t="shared" si="48"/>
        <v>0.11000000000001364</v>
      </c>
      <c r="M1034">
        <f t="shared" si="48"/>
        <v>-6.0000000000002274E-2</v>
      </c>
      <c r="N1034">
        <f t="shared" si="48"/>
        <v>4.9999999999982947E-2</v>
      </c>
      <c r="O1034">
        <f t="shared" si="49"/>
        <v>-0.10999999999998522</v>
      </c>
      <c r="P1034" s="10">
        <f t="shared" si="49"/>
        <v>0.39000000000000057</v>
      </c>
    </row>
    <row r="1035" spans="1:16">
      <c r="A1035">
        <v>253.5</v>
      </c>
      <c r="B1035">
        <v>134.62</v>
      </c>
      <c r="C1035">
        <v>136.28</v>
      </c>
      <c r="D1035">
        <v>138.66999999999999</v>
      </c>
      <c r="E1035">
        <v>141.28</v>
      </c>
      <c r="F1035">
        <v>133.4</v>
      </c>
      <c r="G1035">
        <v>138.62</v>
      </c>
      <c r="H1035">
        <v>111.95</v>
      </c>
      <c r="K1035" s="9">
        <f t="shared" si="48"/>
        <v>-0.11000000000001364</v>
      </c>
      <c r="L1035">
        <f t="shared" si="48"/>
        <v>0.17000000000001592</v>
      </c>
      <c r="M1035">
        <f t="shared" si="48"/>
        <v>-5.0000000000011369E-2</v>
      </c>
      <c r="N1035">
        <f t="shared" si="48"/>
        <v>0</v>
      </c>
      <c r="O1035">
        <f t="shared" si="49"/>
        <v>-0.11000000000001364</v>
      </c>
      <c r="P1035" s="10">
        <f t="shared" si="49"/>
        <v>0.21999999999999886</v>
      </c>
    </row>
    <row r="1036" spans="1:16">
      <c r="A1036">
        <v>253.75</v>
      </c>
      <c r="B1036">
        <v>134.62</v>
      </c>
      <c r="C1036">
        <v>136.4</v>
      </c>
      <c r="D1036">
        <v>138.78</v>
      </c>
      <c r="E1036">
        <v>141.28</v>
      </c>
      <c r="F1036">
        <v>133.44999999999999</v>
      </c>
      <c r="G1036">
        <v>138.62</v>
      </c>
      <c r="H1036">
        <v>112.01</v>
      </c>
      <c r="K1036" s="9">
        <f t="shared" si="48"/>
        <v>-0.23000000000001819</v>
      </c>
      <c r="L1036">
        <f t="shared" si="48"/>
        <v>0.12000000000000455</v>
      </c>
      <c r="M1036">
        <f t="shared" si="48"/>
        <v>-0.11000000000001364</v>
      </c>
      <c r="N1036">
        <f t="shared" si="48"/>
        <v>-4.9999999999982947E-2</v>
      </c>
      <c r="O1036">
        <f t="shared" si="49"/>
        <v>-0.11000000000001364</v>
      </c>
      <c r="P1036" s="10">
        <f t="shared" si="49"/>
        <v>0.21999999999999886</v>
      </c>
    </row>
    <row r="1037" spans="1:16">
      <c r="A1037">
        <v>254</v>
      </c>
      <c r="B1037">
        <v>134.62</v>
      </c>
      <c r="C1037">
        <v>136.28</v>
      </c>
      <c r="D1037">
        <v>138.78</v>
      </c>
      <c r="E1037">
        <v>141.28</v>
      </c>
      <c r="F1037">
        <v>133.44999999999999</v>
      </c>
      <c r="G1037">
        <v>138.56</v>
      </c>
      <c r="H1037">
        <v>112.17</v>
      </c>
      <c r="K1037" s="9">
        <f t="shared" si="48"/>
        <v>-0.11000000000001364</v>
      </c>
      <c r="L1037">
        <f t="shared" si="48"/>
        <v>0.16999999999998749</v>
      </c>
      <c r="M1037">
        <f t="shared" si="48"/>
        <v>-0.11000000000001364</v>
      </c>
      <c r="N1037">
        <f t="shared" si="48"/>
        <v>-4.9999999999982947E-2</v>
      </c>
      <c r="O1037">
        <f t="shared" si="49"/>
        <v>-0.15999999999999659</v>
      </c>
      <c r="P1037" s="10">
        <f t="shared" si="49"/>
        <v>0.23000000000000398</v>
      </c>
    </row>
    <row r="1038" spans="1:16">
      <c r="A1038">
        <v>254.25</v>
      </c>
      <c r="B1038">
        <v>134.56</v>
      </c>
      <c r="C1038">
        <v>136.16999999999999</v>
      </c>
      <c r="D1038">
        <v>138.84</v>
      </c>
      <c r="E1038">
        <v>141.22999999999999</v>
      </c>
      <c r="F1038">
        <v>133.4</v>
      </c>
      <c r="G1038">
        <v>138.51</v>
      </c>
      <c r="H1038">
        <v>112.17</v>
      </c>
      <c r="K1038" s="9">
        <f t="shared" si="48"/>
        <v>-0.10999999999998522</v>
      </c>
      <c r="L1038">
        <f t="shared" si="48"/>
        <v>0.10999999999998522</v>
      </c>
      <c r="M1038">
        <f t="shared" si="48"/>
        <v>-0.10999999999998522</v>
      </c>
      <c r="N1038">
        <f t="shared" si="48"/>
        <v>0</v>
      </c>
      <c r="O1038">
        <f t="shared" si="49"/>
        <v>-6.0000000000002274E-2</v>
      </c>
      <c r="P1038" s="10">
        <f t="shared" si="49"/>
        <v>0.23000000000000398</v>
      </c>
    </row>
    <row r="1039" spans="1:16">
      <c r="A1039">
        <v>254.5</v>
      </c>
      <c r="B1039">
        <v>134.51</v>
      </c>
      <c r="C1039">
        <v>136.16999999999999</v>
      </c>
      <c r="D1039">
        <v>138.9</v>
      </c>
      <c r="E1039">
        <v>141.16999999999999</v>
      </c>
      <c r="F1039">
        <v>133.4</v>
      </c>
      <c r="G1039">
        <v>138.51</v>
      </c>
      <c r="H1039">
        <v>112.23</v>
      </c>
      <c r="K1039" s="9">
        <f t="shared" si="48"/>
        <v>-0.10999999999998522</v>
      </c>
      <c r="L1039">
        <f t="shared" si="48"/>
        <v>4.9999999999982947E-2</v>
      </c>
      <c r="M1039">
        <f t="shared" si="48"/>
        <v>-0.10999999999998522</v>
      </c>
      <c r="N1039">
        <f t="shared" si="48"/>
        <v>-6.0000000000002274E-2</v>
      </c>
      <c r="O1039">
        <f t="shared" si="49"/>
        <v>-0.16999999999998749</v>
      </c>
      <c r="P1039" s="10">
        <f t="shared" si="49"/>
        <v>0.28000000000000114</v>
      </c>
    </row>
    <row r="1040" spans="1:16">
      <c r="A1040">
        <v>254.75</v>
      </c>
      <c r="B1040">
        <v>134.44999999999999</v>
      </c>
      <c r="C1040">
        <v>136.16999999999999</v>
      </c>
      <c r="D1040">
        <v>138.94999999999999</v>
      </c>
      <c r="E1040">
        <v>141.16999999999999</v>
      </c>
      <c r="F1040">
        <v>133.4</v>
      </c>
      <c r="G1040">
        <v>138.4</v>
      </c>
      <c r="H1040">
        <v>112.4</v>
      </c>
      <c r="K1040" s="9">
        <f t="shared" si="48"/>
        <v>-0.10999999999998522</v>
      </c>
      <c r="L1040">
        <f t="shared" si="48"/>
        <v>6.0000000000002274E-2</v>
      </c>
      <c r="M1040">
        <f t="shared" si="48"/>
        <v>-0.15999999999999659</v>
      </c>
      <c r="N1040">
        <f t="shared" si="48"/>
        <v>-0.12000000000000455</v>
      </c>
      <c r="O1040">
        <f t="shared" si="49"/>
        <v>-6.0000000000002274E-2</v>
      </c>
      <c r="P1040" s="10">
        <f t="shared" si="49"/>
        <v>0.21999999999999886</v>
      </c>
    </row>
    <row r="1041" spans="1:16">
      <c r="A1041">
        <v>255</v>
      </c>
      <c r="B1041">
        <v>134.4</v>
      </c>
      <c r="C1041">
        <v>136.06</v>
      </c>
      <c r="D1041">
        <v>138.94999999999999</v>
      </c>
      <c r="E1041">
        <v>141.12</v>
      </c>
      <c r="F1041">
        <v>133.4</v>
      </c>
      <c r="G1041">
        <v>138.44999999999999</v>
      </c>
      <c r="H1041">
        <v>112.4</v>
      </c>
      <c r="K1041" s="9">
        <f t="shared" si="48"/>
        <v>0</v>
      </c>
      <c r="L1041">
        <f t="shared" si="48"/>
        <v>6.0000000000002274E-2</v>
      </c>
      <c r="M1041">
        <f t="shared" si="48"/>
        <v>-6.0000000000002274E-2</v>
      </c>
      <c r="N1041">
        <f t="shared" si="48"/>
        <v>-6.0000000000002274E-2</v>
      </c>
      <c r="O1041">
        <f t="shared" si="49"/>
        <v>-0.10999999999998522</v>
      </c>
      <c r="P1041" s="10">
        <f t="shared" si="49"/>
        <v>0.32999999999999829</v>
      </c>
    </row>
    <row r="1042" spans="1:16">
      <c r="A1042">
        <v>255.25</v>
      </c>
      <c r="B1042">
        <v>134.4</v>
      </c>
      <c r="C1042">
        <v>136.06</v>
      </c>
      <c r="D1042">
        <v>138.94999999999999</v>
      </c>
      <c r="E1042">
        <v>141.06</v>
      </c>
      <c r="F1042">
        <v>133.34</v>
      </c>
      <c r="G1042">
        <v>138.34</v>
      </c>
      <c r="H1042">
        <v>112.51</v>
      </c>
      <c r="K1042" s="9">
        <f t="shared" si="48"/>
        <v>0</v>
      </c>
      <c r="L1042">
        <f t="shared" si="48"/>
        <v>0.11000000000001364</v>
      </c>
      <c r="M1042">
        <f t="shared" si="48"/>
        <v>-5.0000000000011369E-2</v>
      </c>
      <c r="N1042">
        <f t="shared" si="48"/>
        <v>-6.0000000000002274E-2</v>
      </c>
      <c r="O1042">
        <f t="shared" si="49"/>
        <v>-6.0000000000002274E-2</v>
      </c>
      <c r="P1042" s="10">
        <f t="shared" si="49"/>
        <v>0.26999999999999602</v>
      </c>
    </row>
    <row r="1043" spans="1:16">
      <c r="A1043">
        <v>255.5</v>
      </c>
      <c r="B1043">
        <v>134.28</v>
      </c>
      <c r="C1043">
        <v>136.06</v>
      </c>
      <c r="D1043">
        <v>139.01</v>
      </c>
      <c r="E1043">
        <v>141.01</v>
      </c>
      <c r="F1043">
        <v>133.28</v>
      </c>
      <c r="G1043">
        <v>138.34</v>
      </c>
      <c r="H1043">
        <v>112.62</v>
      </c>
      <c r="K1043" s="9">
        <f t="shared" si="48"/>
        <v>0</v>
      </c>
      <c r="L1043">
        <f t="shared" si="48"/>
        <v>0.11000000000001364</v>
      </c>
      <c r="M1043">
        <f t="shared" si="48"/>
        <v>5.0000000000011369E-2</v>
      </c>
      <c r="N1043">
        <f t="shared" si="48"/>
        <v>6.0000000000002274E-2</v>
      </c>
      <c r="O1043">
        <f t="shared" si="49"/>
        <v>-0.11000000000001364</v>
      </c>
      <c r="P1043" s="10">
        <f t="shared" si="49"/>
        <v>0.28000000000000114</v>
      </c>
    </row>
    <row r="1044" spans="1:16">
      <c r="A1044">
        <v>255.75</v>
      </c>
      <c r="B1044">
        <v>134.28</v>
      </c>
      <c r="C1044">
        <v>136.06</v>
      </c>
      <c r="D1044">
        <v>139.01</v>
      </c>
      <c r="E1044">
        <v>141.06</v>
      </c>
      <c r="F1044">
        <v>133.34</v>
      </c>
      <c r="G1044">
        <v>138.34</v>
      </c>
      <c r="H1044">
        <v>112.73</v>
      </c>
      <c r="K1044" s="9">
        <f t="shared" si="48"/>
        <v>0</v>
      </c>
      <c r="L1044">
        <f t="shared" si="48"/>
        <v>0.11000000000001364</v>
      </c>
      <c r="M1044">
        <f t="shared" si="48"/>
        <v>0</v>
      </c>
      <c r="N1044">
        <f t="shared" si="48"/>
        <v>-6.0000000000002274E-2</v>
      </c>
      <c r="O1044">
        <f t="shared" si="49"/>
        <v>-0.11000000000001364</v>
      </c>
      <c r="P1044" s="10">
        <f t="shared" si="49"/>
        <v>0.21999999999999886</v>
      </c>
    </row>
    <row r="1045" spans="1:16">
      <c r="A1045">
        <v>256</v>
      </c>
      <c r="B1045">
        <v>134.28</v>
      </c>
      <c r="C1045">
        <v>136.06</v>
      </c>
      <c r="D1045">
        <v>139.06</v>
      </c>
      <c r="E1045">
        <v>141.01</v>
      </c>
      <c r="F1045">
        <v>133.28</v>
      </c>
      <c r="G1045">
        <v>138.28</v>
      </c>
      <c r="H1045">
        <v>112.78</v>
      </c>
      <c r="K1045" s="9">
        <f t="shared" si="48"/>
        <v>-0.11000000000001364</v>
      </c>
      <c r="L1045">
        <f t="shared" si="48"/>
        <v>6.0000000000002274E-2</v>
      </c>
      <c r="M1045">
        <f t="shared" si="48"/>
        <v>-6.0000000000002274E-2</v>
      </c>
      <c r="N1045">
        <f t="shared" ref="N1045:P1097" si="50">F1048-F1045</f>
        <v>-5.0000000000011369E-2</v>
      </c>
      <c r="O1045">
        <f t="shared" si="49"/>
        <v>-5.0000000000011369E-2</v>
      </c>
      <c r="P1045" s="10">
        <f t="shared" si="49"/>
        <v>0.17000000000000171</v>
      </c>
    </row>
    <row r="1046" spans="1:16">
      <c r="A1046">
        <v>256.25</v>
      </c>
      <c r="B1046">
        <v>134.22999999999999</v>
      </c>
      <c r="C1046">
        <v>136.06</v>
      </c>
      <c r="D1046">
        <v>139.12</v>
      </c>
      <c r="E1046">
        <v>141.06</v>
      </c>
      <c r="F1046">
        <v>133.34</v>
      </c>
      <c r="G1046">
        <v>138.22999999999999</v>
      </c>
      <c r="H1046">
        <v>112.9</v>
      </c>
      <c r="K1046" s="9">
        <f t="shared" ref="K1046:M1064" si="51">C1049-C1046</f>
        <v>0</v>
      </c>
      <c r="L1046">
        <f t="shared" si="51"/>
        <v>0</v>
      </c>
      <c r="M1046">
        <f t="shared" si="51"/>
        <v>-5.0000000000011369E-2</v>
      </c>
      <c r="N1046">
        <f t="shared" si="50"/>
        <v>-6.0000000000002274E-2</v>
      </c>
      <c r="O1046">
        <f t="shared" si="50"/>
        <v>0</v>
      </c>
      <c r="P1046" s="10">
        <f t="shared" si="50"/>
        <v>0.21999999999999886</v>
      </c>
    </row>
    <row r="1047" spans="1:16">
      <c r="A1047">
        <v>256.5</v>
      </c>
      <c r="B1047">
        <v>134.16999999999999</v>
      </c>
      <c r="C1047">
        <v>136.06</v>
      </c>
      <c r="D1047">
        <v>139.12</v>
      </c>
      <c r="E1047">
        <v>141.06</v>
      </c>
      <c r="F1047">
        <v>133.28</v>
      </c>
      <c r="G1047">
        <v>138.22999999999999</v>
      </c>
      <c r="H1047">
        <v>112.95</v>
      </c>
      <c r="K1047" s="9">
        <f t="shared" si="51"/>
        <v>-5.0000000000011369E-2</v>
      </c>
      <c r="L1047">
        <f t="shared" si="51"/>
        <v>0</v>
      </c>
      <c r="M1047">
        <f t="shared" si="51"/>
        <v>-5.0000000000011369E-2</v>
      </c>
      <c r="N1047">
        <f t="shared" si="50"/>
        <v>6.0000000000002274E-2</v>
      </c>
      <c r="O1047">
        <f t="shared" si="50"/>
        <v>0</v>
      </c>
      <c r="P1047" s="10">
        <f t="shared" si="50"/>
        <v>0.21999999999999886</v>
      </c>
    </row>
    <row r="1048" spans="1:16">
      <c r="A1048">
        <v>256.75</v>
      </c>
      <c r="B1048">
        <v>134.16999999999999</v>
      </c>
      <c r="C1048">
        <v>135.94999999999999</v>
      </c>
      <c r="D1048">
        <v>139.12</v>
      </c>
      <c r="E1048">
        <v>140.94999999999999</v>
      </c>
      <c r="F1048">
        <v>133.22999999999999</v>
      </c>
      <c r="G1048">
        <v>138.22999999999999</v>
      </c>
      <c r="H1048">
        <v>112.95</v>
      </c>
      <c r="K1048" s="9">
        <f t="shared" si="51"/>
        <v>-0.10999999999998522</v>
      </c>
      <c r="L1048">
        <f t="shared" si="51"/>
        <v>0</v>
      </c>
      <c r="M1048">
        <f t="shared" si="51"/>
        <v>-4.9999999999982947E-2</v>
      </c>
      <c r="N1048">
        <f t="shared" si="50"/>
        <v>-6.0000000000002274E-2</v>
      </c>
      <c r="O1048">
        <f t="shared" si="50"/>
        <v>-6.0000000000002274E-2</v>
      </c>
      <c r="P1048" s="10">
        <f t="shared" si="50"/>
        <v>0.17000000000000171</v>
      </c>
    </row>
    <row r="1049" spans="1:16">
      <c r="A1049">
        <v>257</v>
      </c>
      <c r="B1049">
        <v>134.22999999999999</v>
      </c>
      <c r="C1049">
        <v>136.06</v>
      </c>
      <c r="D1049">
        <v>139.12</v>
      </c>
      <c r="E1049">
        <v>141.01</v>
      </c>
      <c r="F1049">
        <v>133.28</v>
      </c>
      <c r="G1049">
        <v>138.22999999999999</v>
      </c>
      <c r="H1049">
        <v>113.12</v>
      </c>
      <c r="K1049" s="9">
        <f t="shared" si="51"/>
        <v>-0.11000000000001364</v>
      </c>
      <c r="L1049">
        <f t="shared" si="51"/>
        <v>4.9999999999982947E-2</v>
      </c>
      <c r="M1049">
        <f t="shared" si="51"/>
        <v>-0.10999999999998522</v>
      </c>
      <c r="N1049">
        <f t="shared" si="50"/>
        <v>0</v>
      </c>
      <c r="O1049">
        <f t="shared" si="50"/>
        <v>-0.16999999999998749</v>
      </c>
      <c r="P1049" s="10">
        <f t="shared" si="50"/>
        <v>0.10999999999999943</v>
      </c>
    </row>
    <row r="1050" spans="1:16">
      <c r="A1050">
        <v>257.25</v>
      </c>
      <c r="B1050">
        <v>134.12</v>
      </c>
      <c r="C1050">
        <v>136.01</v>
      </c>
      <c r="D1050">
        <v>139.12</v>
      </c>
      <c r="E1050">
        <v>141.01</v>
      </c>
      <c r="F1050">
        <v>133.34</v>
      </c>
      <c r="G1050">
        <v>138.22999999999999</v>
      </c>
      <c r="H1050">
        <v>113.17</v>
      </c>
      <c r="K1050" s="9">
        <f t="shared" si="51"/>
        <v>-0.16999999999998749</v>
      </c>
      <c r="L1050">
        <f t="shared" si="51"/>
        <v>4.9999999999982947E-2</v>
      </c>
      <c r="M1050">
        <f t="shared" si="51"/>
        <v>-0.10999999999998522</v>
      </c>
      <c r="N1050">
        <f t="shared" si="50"/>
        <v>-0.17000000000001592</v>
      </c>
      <c r="O1050">
        <f t="shared" si="50"/>
        <v>-0.21999999999999886</v>
      </c>
      <c r="P1050" s="10">
        <f t="shared" si="50"/>
        <v>0.10999999999999943</v>
      </c>
    </row>
    <row r="1051" spans="1:16">
      <c r="A1051">
        <v>257.5</v>
      </c>
      <c r="B1051">
        <v>134.01</v>
      </c>
      <c r="C1051">
        <v>135.84</v>
      </c>
      <c r="D1051">
        <v>139.12</v>
      </c>
      <c r="E1051">
        <v>140.9</v>
      </c>
      <c r="F1051">
        <v>133.16999999999999</v>
      </c>
      <c r="G1051">
        <v>138.16999999999999</v>
      </c>
      <c r="H1051">
        <v>113.12</v>
      </c>
      <c r="K1051" s="9">
        <f t="shared" si="51"/>
        <v>6.0000000000002274E-2</v>
      </c>
      <c r="L1051">
        <f t="shared" si="51"/>
        <v>0.10999999999998522</v>
      </c>
      <c r="M1051">
        <f t="shared" si="51"/>
        <v>-0.12000000000000455</v>
      </c>
      <c r="N1051">
        <f t="shared" si="50"/>
        <v>0.11000000000001364</v>
      </c>
      <c r="O1051">
        <f t="shared" si="50"/>
        <v>-0.15999999999999659</v>
      </c>
      <c r="P1051" s="10">
        <f t="shared" si="50"/>
        <v>0.21999999999999886</v>
      </c>
    </row>
    <row r="1052" spans="1:16">
      <c r="A1052">
        <v>257.75</v>
      </c>
      <c r="B1052">
        <v>134.06</v>
      </c>
      <c r="C1052">
        <v>135.94999999999999</v>
      </c>
      <c r="D1052">
        <v>139.16999999999999</v>
      </c>
      <c r="E1052">
        <v>140.9</v>
      </c>
      <c r="F1052">
        <v>133.28</v>
      </c>
      <c r="G1052">
        <v>138.06</v>
      </c>
      <c r="H1052">
        <v>113.23</v>
      </c>
      <c r="K1052" s="9">
        <f t="shared" si="51"/>
        <v>-4.9999999999982947E-2</v>
      </c>
      <c r="L1052">
        <f t="shared" si="51"/>
        <v>6.0000000000002274E-2</v>
      </c>
      <c r="M1052">
        <f t="shared" si="51"/>
        <v>-0.12000000000000455</v>
      </c>
      <c r="N1052">
        <f t="shared" si="50"/>
        <v>-5.0000000000011369E-2</v>
      </c>
      <c r="O1052">
        <f t="shared" si="50"/>
        <v>0</v>
      </c>
      <c r="P1052" s="10">
        <f t="shared" si="50"/>
        <v>0.17000000000000171</v>
      </c>
    </row>
    <row r="1053" spans="1:16">
      <c r="A1053">
        <v>258</v>
      </c>
      <c r="B1053">
        <v>133.9</v>
      </c>
      <c r="C1053">
        <v>135.84</v>
      </c>
      <c r="D1053">
        <v>139.16999999999999</v>
      </c>
      <c r="E1053">
        <v>140.9</v>
      </c>
      <c r="F1053">
        <v>133.16999999999999</v>
      </c>
      <c r="G1053">
        <v>138.01</v>
      </c>
      <c r="H1053">
        <v>113.28</v>
      </c>
      <c r="K1053" s="9">
        <f t="shared" si="51"/>
        <v>-6.0000000000002274E-2</v>
      </c>
      <c r="L1053">
        <f t="shared" si="51"/>
        <v>0</v>
      </c>
      <c r="M1053">
        <f t="shared" si="51"/>
        <v>0</v>
      </c>
      <c r="N1053">
        <f t="shared" si="50"/>
        <v>0</v>
      </c>
      <c r="O1053">
        <f t="shared" si="50"/>
        <v>0</v>
      </c>
      <c r="P1053" s="10">
        <f t="shared" si="50"/>
        <v>0.17000000000000171</v>
      </c>
    </row>
    <row r="1054" spans="1:16">
      <c r="A1054">
        <v>258.25</v>
      </c>
      <c r="B1054">
        <v>133.94999999999999</v>
      </c>
      <c r="C1054">
        <v>135.9</v>
      </c>
      <c r="D1054">
        <v>139.22999999999999</v>
      </c>
      <c r="E1054">
        <v>140.78</v>
      </c>
      <c r="F1054">
        <v>133.28</v>
      </c>
      <c r="G1054">
        <v>138.01</v>
      </c>
      <c r="H1054">
        <v>113.34</v>
      </c>
      <c r="K1054" s="9">
        <f t="shared" si="51"/>
        <v>-0.12000000000000455</v>
      </c>
      <c r="L1054">
        <f t="shared" si="51"/>
        <v>-6.0000000000002274E-2</v>
      </c>
      <c r="M1054">
        <f t="shared" si="51"/>
        <v>-0.11000000000001364</v>
      </c>
      <c r="N1054">
        <f t="shared" si="50"/>
        <v>-0.21999999999999886</v>
      </c>
      <c r="O1054">
        <f t="shared" si="50"/>
        <v>-0.10999999999998522</v>
      </c>
      <c r="P1054" s="10">
        <f t="shared" si="50"/>
        <v>0.28000000000000114</v>
      </c>
    </row>
    <row r="1055" spans="1:16">
      <c r="A1055">
        <v>258.5</v>
      </c>
      <c r="B1055">
        <v>134.01</v>
      </c>
      <c r="C1055">
        <v>135.9</v>
      </c>
      <c r="D1055">
        <v>139.22999999999999</v>
      </c>
      <c r="E1055">
        <v>140.78</v>
      </c>
      <c r="F1055">
        <v>133.22999999999999</v>
      </c>
      <c r="G1055">
        <v>138.06</v>
      </c>
      <c r="H1055">
        <v>113.4</v>
      </c>
      <c r="K1055" s="9">
        <f t="shared" si="51"/>
        <v>-6.0000000000002274E-2</v>
      </c>
      <c r="L1055">
        <f t="shared" si="51"/>
        <v>0</v>
      </c>
      <c r="M1055">
        <f t="shared" si="51"/>
        <v>-0.11000000000001364</v>
      </c>
      <c r="N1055">
        <f t="shared" si="50"/>
        <v>-0.10999999999998522</v>
      </c>
      <c r="O1055">
        <f t="shared" si="50"/>
        <v>-5.0000000000011369E-2</v>
      </c>
      <c r="P1055" s="10">
        <f t="shared" si="50"/>
        <v>0.10999999999999943</v>
      </c>
    </row>
    <row r="1056" spans="1:16">
      <c r="A1056">
        <v>258.75</v>
      </c>
      <c r="B1056">
        <v>133.94999999999999</v>
      </c>
      <c r="C1056">
        <v>135.78</v>
      </c>
      <c r="D1056">
        <v>139.16999999999999</v>
      </c>
      <c r="E1056">
        <v>140.9</v>
      </c>
      <c r="F1056">
        <v>133.16999999999999</v>
      </c>
      <c r="G1056">
        <v>138.01</v>
      </c>
      <c r="H1056">
        <v>113.45</v>
      </c>
      <c r="K1056" s="9">
        <f t="shared" si="51"/>
        <v>6.0000000000002274E-2</v>
      </c>
      <c r="L1056">
        <f t="shared" si="51"/>
        <v>6.0000000000002274E-2</v>
      </c>
      <c r="M1056">
        <f t="shared" si="51"/>
        <v>-0.12000000000000455</v>
      </c>
      <c r="N1056">
        <f t="shared" si="50"/>
        <v>-4.9999999999982947E-2</v>
      </c>
      <c r="O1056">
        <f t="shared" si="50"/>
        <v>-6.0000000000002274E-2</v>
      </c>
      <c r="P1056" s="10">
        <f t="shared" si="50"/>
        <v>0.10999999999999943</v>
      </c>
    </row>
    <row r="1057" spans="1:16">
      <c r="A1057">
        <v>259</v>
      </c>
      <c r="B1057">
        <v>133.94999999999999</v>
      </c>
      <c r="C1057">
        <v>135.78</v>
      </c>
      <c r="D1057">
        <v>139.16999999999999</v>
      </c>
      <c r="E1057">
        <v>140.66999999999999</v>
      </c>
      <c r="F1057">
        <v>133.06</v>
      </c>
      <c r="G1057">
        <v>137.9</v>
      </c>
      <c r="H1057">
        <v>113.62</v>
      </c>
      <c r="K1057" s="9">
        <f t="shared" si="51"/>
        <v>0</v>
      </c>
      <c r="L1057">
        <f t="shared" si="51"/>
        <v>0</v>
      </c>
      <c r="M1057">
        <f t="shared" si="51"/>
        <v>6.0000000000002274E-2</v>
      </c>
      <c r="N1057">
        <f t="shared" si="50"/>
        <v>0</v>
      </c>
      <c r="O1057">
        <f t="shared" si="50"/>
        <v>0</v>
      </c>
      <c r="P1057" s="10">
        <f t="shared" si="50"/>
        <v>0</v>
      </c>
    </row>
    <row r="1058" spans="1:16">
      <c r="A1058">
        <v>259.25</v>
      </c>
      <c r="B1058">
        <v>133.9</v>
      </c>
      <c r="C1058">
        <v>135.84</v>
      </c>
      <c r="D1058">
        <v>139.22999999999999</v>
      </c>
      <c r="E1058">
        <v>140.66999999999999</v>
      </c>
      <c r="F1058">
        <v>133.12</v>
      </c>
      <c r="G1058">
        <v>138.01</v>
      </c>
      <c r="H1058">
        <v>113.51</v>
      </c>
      <c r="K1058" s="9">
        <f t="shared" si="51"/>
        <v>-0.17000000000001592</v>
      </c>
      <c r="L1058">
        <f t="shared" si="51"/>
        <v>-0.10999999999998522</v>
      </c>
      <c r="M1058">
        <f t="shared" si="51"/>
        <v>0</v>
      </c>
      <c r="N1058">
        <f t="shared" si="50"/>
        <v>-6.0000000000002274E-2</v>
      </c>
      <c r="O1058">
        <f t="shared" si="50"/>
        <v>-6.0000000000002274E-2</v>
      </c>
      <c r="P1058" s="10">
        <f t="shared" si="50"/>
        <v>0.21999999999999886</v>
      </c>
    </row>
    <row r="1059" spans="1:16">
      <c r="A1059">
        <v>259.5</v>
      </c>
      <c r="B1059">
        <v>133.84</v>
      </c>
      <c r="C1059">
        <v>135.84</v>
      </c>
      <c r="D1059">
        <v>139.22999999999999</v>
      </c>
      <c r="E1059">
        <v>140.78</v>
      </c>
      <c r="F1059">
        <v>133.12</v>
      </c>
      <c r="G1059">
        <v>137.94999999999999</v>
      </c>
      <c r="H1059">
        <v>113.56</v>
      </c>
      <c r="K1059" s="9">
        <f t="shared" si="51"/>
        <v>-0.17000000000001592</v>
      </c>
      <c r="L1059">
        <f t="shared" si="51"/>
        <v>-0.10999999999998522</v>
      </c>
      <c r="M1059">
        <f t="shared" si="51"/>
        <v>-0.11000000000001364</v>
      </c>
      <c r="N1059">
        <f t="shared" si="50"/>
        <v>-6.0000000000002274E-2</v>
      </c>
      <c r="O1059">
        <f t="shared" si="50"/>
        <v>-0.10999999999998522</v>
      </c>
      <c r="P1059" s="10">
        <f t="shared" si="50"/>
        <v>0.21999999999999886</v>
      </c>
    </row>
    <row r="1060" spans="1:16">
      <c r="A1060">
        <v>259.75</v>
      </c>
      <c r="B1060">
        <v>133.72999999999999</v>
      </c>
      <c r="C1060">
        <v>135.78</v>
      </c>
      <c r="D1060">
        <v>139.16999999999999</v>
      </c>
      <c r="E1060">
        <v>140.72999999999999</v>
      </c>
      <c r="F1060">
        <v>133.06</v>
      </c>
      <c r="G1060">
        <v>137.9</v>
      </c>
      <c r="H1060">
        <v>113.62</v>
      </c>
      <c r="K1060" s="9">
        <f t="shared" si="51"/>
        <v>-5.0000000000011369E-2</v>
      </c>
      <c r="L1060">
        <f t="shared" si="51"/>
        <v>-4.9999999999982947E-2</v>
      </c>
      <c r="M1060">
        <f t="shared" si="51"/>
        <v>-0.10999999999998522</v>
      </c>
      <c r="N1060">
        <f t="shared" si="50"/>
        <v>0</v>
      </c>
      <c r="O1060">
        <f t="shared" si="50"/>
        <v>-0.12000000000000455</v>
      </c>
      <c r="P1060" s="10">
        <f t="shared" si="50"/>
        <v>0.32999999999999829</v>
      </c>
    </row>
    <row r="1061" spans="1:16">
      <c r="A1061">
        <v>260</v>
      </c>
      <c r="B1061">
        <v>133.78</v>
      </c>
      <c r="C1061">
        <v>135.66999999999999</v>
      </c>
      <c r="D1061">
        <v>139.12</v>
      </c>
      <c r="E1061">
        <v>140.66999999999999</v>
      </c>
      <c r="F1061">
        <v>133.06</v>
      </c>
      <c r="G1061">
        <v>137.94999999999999</v>
      </c>
      <c r="H1061">
        <v>113.73</v>
      </c>
      <c r="K1061" s="9">
        <f t="shared" si="51"/>
        <v>6.0000000000002274E-2</v>
      </c>
      <c r="L1061">
        <f t="shared" si="51"/>
        <v>0.10999999999998522</v>
      </c>
      <c r="M1061">
        <f t="shared" si="51"/>
        <v>-0.15999999999999659</v>
      </c>
      <c r="N1061">
        <f t="shared" si="50"/>
        <v>0</v>
      </c>
      <c r="O1061">
        <f t="shared" si="50"/>
        <v>-0.21999999999999886</v>
      </c>
      <c r="P1061" s="10">
        <f t="shared" si="50"/>
        <v>0.28000000000000114</v>
      </c>
    </row>
    <row r="1062" spans="1:16">
      <c r="A1062">
        <v>260.25</v>
      </c>
      <c r="B1062">
        <v>133.66999999999999</v>
      </c>
      <c r="C1062">
        <v>135.66999999999999</v>
      </c>
      <c r="D1062">
        <v>139.12</v>
      </c>
      <c r="E1062">
        <v>140.66999999999999</v>
      </c>
      <c r="F1062">
        <v>133.06</v>
      </c>
      <c r="G1062">
        <v>137.84</v>
      </c>
      <c r="H1062">
        <v>113.78</v>
      </c>
      <c r="K1062" s="9">
        <f t="shared" si="51"/>
        <v>-4.9999999999982947E-2</v>
      </c>
      <c r="L1062">
        <f t="shared" si="51"/>
        <v>4.9999999999982947E-2</v>
      </c>
      <c r="M1062">
        <f t="shared" si="51"/>
        <v>-4.9999999999982947E-2</v>
      </c>
      <c r="N1062">
        <f t="shared" si="50"/>
        <v>6.0000000000002274E-2</v>
      </c>
      <c r="O1062">
        <f t="shared" si="50"/>
        <v>-0.11000000000001364</v>
      </c>
      <c r="P1062" s="10">
        <f t="shared" si="50"/>
        <v>0.23000000000000398</v>
      </c>
    </row>
    <row r="1063" spans="1:16">
      <c r="A1063">
        <v>260.5</v>
      </c>
      <c r="B1063">
        <v>133.62</v>
      </c>
      <c r="C1063">
        <v>135.72999999999999</v>
      </c>
      <c r="D1063">
        <v>139.12</v>
      </c>
      <c r="E1063">
        <v>140.62</v>
      </c>
      <c r="F1063">
        <v>133.06</v>
      </c>
      <c r="G1063">
        <v>137.78</v>
      </c>
      <c r="H1063">
        <v>113.95</v>
      </c>
      <c r="K1063" s="9">
        <f t="shared" si="51"/>
        <v>-0.10999999999998522</v>
      </c>
      <c r="L1063">
        <f t="shared" si="51"/>
        <v>4.9999999999982947E-2</v>
      </c>
      <c r="M1063">
        <f t="shared" si="51"/>
        <v>-0.11000000000001364</v>
      </c>
      <c r="N1063">
        <f t="shared" si="50"/>
        <v>0</v>
      </c>
      <c r="O1063">
        <f t="shared" si="50"/>
        <v>-5.0000000000011369E-2</v>
      </c>
      <c r="P1063" s="10">
        <f t="shared" si="50"/>
        <v>0.10999999999999943</v>
      </c>
    </row>
    <row r="1064" spans="1:16">
      <c r="A1064">
        <v>260.75</v>
      </c>
      <c r="B1064">
        <v>133.62</v>
      </c>
      <c r="C1064">
        <v>135.72999999999999</v>
      </c>
      <c r="D1064">
        <v>139.22999999999999</v>
      </c>
      <c r="E1064">
        <v>140.51</v>
      </c>
      <c r="F1064">
        <v>133.06</v>
      </c>
      <c r="G1064">
        <v>137.72999999999999</v>
      </c>
      <c r="H1064">
        <v>114.01</v>
      </c>
      <c r="K1064" s="9">
        <f t="shared" si="51"/>
        <v>-0.16999999999998749</v>
      </c>
      <c r="L1064">
        <f t="shared" si="51"/>
        <v>-0.16999999999998749</v>
      </c>
      <c r="M1064">
        <f t="shared" si="51"/>
        <v>0</v>
      </c>
      <c r="N1064">
        <f t="shared" si="50"/>
        <v>-5.0000000000011369E-2</v>
      </c>
      <c r="O1064">
        <f t="shared" si="50"/>
        <v>5.0000000000011369E-2</v>
      </c>
      <c r="P1064" s="10">
        <f t="shared" si="50"/>
        <v>0.15999999999999659</v>
      </c>
    </row>
    <row r="1065" spans="1:16">
      <c r="A1065">
        <v>261</v>
      </c>
      <c r="B1065">
        <v>133.62</v>
      </c>
      <c r="C1065">
        <v>135.62</v>
      </c>
      <c r="D1065">
        <v>139.16999999999999</v>
      </c>
      <c r="E1065">
        <v>140.62</v>
      </c>
      <c r="F1065">
        <v>133.12</v>
      </c>
      <c r="G1065">
        <v>137.72999999999999</v>
      </c>
      <c r="H1065">
        <v>114.01</v>
      </c>
      <c r="K1065" s="9">
        <f t="shared" ref="K1065:M1098" si="52">C1068-C1065</f>
        <v>4.9999999999982947E-2</v>
      </c>
      <c r="L1065">
        <f t="shared" si="52"/>
        <v>-4.9999999999982947E-2</v>
      </c>
      <c r="M1065">
        <f t="shared" si="52"/>
        <v>-0.11000000000001364</v>
      </c>
      <c r="N1065">
        <f t="shared" si="50"/>
        <v>-0.11000000000001364</v>
      </c>
      <c r="O1065">
        <f t="shared" si="50"/>
        <v>0</v>
      </c>
      <c r="P1065" s="10">
        <f t="shared" si="50"/>
        <v>0.15999999999999659</v>
      </c>
    </row>
    <row r="1066" spans="1:16">
      <c r="A1066">
        <v>261.25</v>
      </c>
      <c r="B1066">
        <v>133.56</v>
      </c>
      <c r="C1066">
        <v>135.62</v>
      </c>
      <c r="D1066">
        <v>139.16999999999999</v>
      </c>
      <c r="E1066">
        <v>140.51</v>
      </c>
      <c r="F1066">
        <v>133.06</v>
      </c>
      <c r="G1066">
        <v>137.72999999999999</v>
      </c>
      <c r="H1066">
        <v>114.06</v>
      </c>
      <c r="K1066" s="9">
        <f t="shared" si="52"/>
        <v>-6.0000000000002274E-2</v>
      </c>
      <c r="L1066">
        <f t="shared" si="52"/>
        <v>-0.21999999999999886</v>
      </c>
      <c r="M1066">
        <f t="shared" si="52"/>
        <v>-6.0000000000002274E-2</v>
      </c>
      <c r="N1066">
        <f t="shared" si="50"/>
        <v>-5.0000000000011369E-2</v>
      </c>
      <c r="O1066">
        <f t="shared" si="50"/>
        <v>-6.0000000000002274E-2</v>
      </c>
      <c r="P1066" s="10">
        <f t="shared" si="50"/>
        <v>0.21999999999999886</v>
      </c>
    </row>
    <row r="1067" spans="1:16">
      <c r="A1067">
        <v>261.5</v>
      </c>
      <c r="B1067">
        <v>133.56</v>
      </c>
      <c r="C1067">
        <v>135.56</v>
      </c>
      <c r="D1067">
        <v>139.06</v>
      </c>
      <c r="E1067">
        <v>140.51</v>
      </c>
      <c r="F1067">
        <v>133.01</v>
      </c>
      <c r="G1067">
        <v>137.78</v>
      </c>
      <c r="H1067">
        <v>114.17</v>
      </c>
      <c r="K1067" s="9">
        <f t="shared" si="52"/>
        <v>-5.0000000000011369E-2</v>
      </c>
      <c r="L1067">
        <f t="shared" si="52"/>
        <v>-5.0000000000011369E-2</v>
      </c>
      <c r="M1067">
        <f t="shared" si="52"/>
        <v>-6.0000000000002274E-2</v>
      </c>
      <c r="N1067">
        <f t="shared" si="50"/>
        <v>0</v>
      </c>
      <c r="O1067">
        <f t="shared" si="50"/>
        <v>-0.11000000000001364</v>
      </c>
      <c r="P1067" s="10">
        <f t="shared" si="50"/>
        <v>0.17000000000000171</v>
      </c>
    </row>
    <row r="1068" spans="1:16">
      <c r="A1068">
        <v>261.75</v>
      </c>
      <c r="B1068">
        <v>133.51</v>
      </c>
      <c r="C1068">
        <v>135.66999999999999</v>
      </c>
      <c r="D1068">
        <v>139.12</v>
      </c>
      <c r="E1068">
        <v>140.51</v>
      </c>
      <c r="F1068">
        <v>133.01</v>
      </c>
      <c r="G1068">
        <v>137.72999999999999</v>
      </c>
      <c r="H1068">
        <v>114.17</v>
      </c>
      <c r="K1068" s="9">
        <f t="shared" si="52"/>
        <v>-0.15999999999999659</v>
      </c>
      <c r="L1068">
        <f t="shared" si="52"/>
        <v>-0.17000000000001592</v>
      </c>
      <c r="M1068">
        <f t="shared" si="52"/>
        <v>-0.10999999999998522</v>
      </c>
      <c r="N1068">
        <f t="shared" si="50"/>
        <v>-6.0000000000002274E-2</v>
      </c>
      <c r="O1068">
        <f t="shared" si="50"/>
        <v>-0.10999999999998522</v>
      </c>
      <c r="P1068" s="10">
        <f t="shared" si="50"/>
        <v>0.23000000000000398</v>
      </c>
    </row>
    <row r="1069" spans="1:16">
      <c r="A1069">
        <v>262</v>
      </c>
      <c r="B1069">
        <v>133.44999999999999</v>
      </c>
      <c r="C1069">
        <v>135.56</v>
      </c>
      <c r="D1069">
        <v>138.94999999999999</v>
      </c>
      <c r="E1069">
        <v>140.44999999999999</v>
      </c>
      <c r="F1069">
        <v>133.01</v>
      </c>
      <c r="G1069">
        <v>137.66999999999999</v>
      </c>
      <c r="H1069">
        <v>114.28</v>
      </c>
      <c r="K1069" s="9">
        <f t="shared" si="52"/>
        <v>-5.0000000000011369E-2</v>
      </c>
      <c r="L1069">
        <f t="shared" si="52"/>
        <v>-4.9999999999982947E-2</v>
      </c>
      <c r="M1069">
        <f t="shared" si="52"/>
        <v>-4.9999999999982947E-2</v>
      </c>
      <c r="N1069">
        <f t="shared" si="50"/>
        <v>-6.0000000000002274E-2</v>
      </c>
      <c r="O1069">
        <f t="shared" si="50"/>
        <v>-0.10999999999998522</v>
      </c>
      <c r="P1069" s="10">
        <f t="shared" si="50"/>
        <v>0.23000000000000398</v>
      </c>
    </row>
    <row r="1070" spans="1:16">
      <c r="A1070">
        <v>262.25</v>
      </c>
      <c r="B1070">
        <v>133.44999999999999</v>
      </c>
      <c r="C1070">
        <v>135.51</v>
      </c>
      <c r="D1070">
        <v>139.01</v>
      </c>
      <c r="E1070">
        <v>140.44999999999999</v>
      </c>
      <c r="F1070">
        <v>133.01</v>
      </c>
      <c r="G1070">
        <v>137.66999999999999</v>
      </c>
      <c r="H1070">
        <v>114.34</v>
      </c>
      <c r="K1070" s="9">
        <f t="shared" si="52"/>
        <v>-6.0000000000002274E-2</v>
      </c>
      <c r="L1070">
        <f t="shared" si="52"/>
        <v>-6.0000000000002274E-2</v>
      </c>
      <c r="M1070">
        <f t="shared" si="52"/>
        <v>-4.9999999999982947E-2</v>
      </c>
      <c r="N1070">
        <f t="shared" si="50"/>
        <v>-6.0000000000002274E-2</v>
      </c>
      <c r="O1070">
        <f t="shared" si="50"/>
        <v>-0.15999999999999659</v>
      </c>
      <c r="P1070" s="10">
        <f t="shared" si="50"/>
        <v>0.21999999999999886</v>
      </c>
    </row>
    <row r="1071" spans="1:16">
      <c r="A1071">
        <v>262.5</v>
      </c>
      <c r="B1071">
        <v>133.44999999999999</v>
      </c>
      <c r="C1071">
        <v>135.51</v>
      </c>
      <c r="D1071">
        <v>138.94999999999999</v>
      </c>
      <c r="E1071">
        <v>140.4</v>
      </c>
      <c r="F1071">
        <v>132.94999999999999</v>
      </c>
      <c r="G1071">
        <v>137.62</v>
      </c>
      <c r="H1071">
        <v>114.4</v>
      </c>
      <c r="K1071" s="9">
        <f t="shared" si="52"/>
        <v>-0.10999999999998522</v>
      </c>
      <c r="L1071">
        <f t="shared" si="52"/>
        <v>-4.9999999999982947E-2</v>
      </c>
      <c r="M1071">
        <f t="shared" si="52"/>
        <v>0</v>
      </c>
      <c r="N1071">
        <f t="shared" si="50"/>
        <v>0</v>
      </c>
      <c r="O1071">
        <f t="shared" si="50"/>
        <v>-6.0000000000002274E-2</v>
      </c>
      <c r="P1071" s="10">
        <f t="shared" si="50"/>
        <v>0.15999999999999659</v>
      </c>
    </row>
    <row r="1072" spans="1:16">
      <c r="A1072">
        <v>262.75</v>
      </c>
      <c r="B1072">
        <v>133.4</v>
      </c>
      <c r="C1072">
        <v>135.51</v>
      </c>
      <c r="D1072">
        <v>138.9</v>
      </c>
      <c r="E1072">
        <v>140.4</v>
      </c>
      <c r="F1072">
        <v>132.94999999999999</v>
      </c>
      <c r="G1072">
        <v>137.56</v>
      </c>
      <c r="H1072">
        <v>114.51</v>
      </c>
      <c r="K1072" s="9">
        <f t="shared" si="52"/>
        <v>-0.10999999999998522</v>
      </c>
      <c r="L1072">
        <f t="shared" si="52"/>
        <v>0</v>
      </c>
      <c r="M1072">
        <f t="shared" si="52"/>
        <v>-0.17000000000001592</v>
      </c>
      <c r="N1072">
        <f t="shared" si="50"/>
        <v>-0.10999999999998522</v>
      </c>
      <c r="O1072">
        <f t="shared" si="50"/>
        <v>-5.0000000000011369E-2</v>
      </c>
      <c r="P1072" s="10">
        <f t="shared" si="50"/>
        <v>4.9999999999997158E-2</v>
      </c>
    </row>
    <row r="1073" spans="1:16">
      <c r="A1073">
        <v>263</v>
      </c>
      <c r="B1073">
        <v>133.4</v>
      </c>
      <c r="C1073">
        <v>135.44999999999999</v>
      </c>
      <c r="D1073">
        <v>138.94999999999999</v>
      </c>
      <c r="E1073">
        <v>140.4</v>
      </c>
      <c r="F1073">
        <v>132.94999999999999</v>
      </c>
      <c r="G1073">
        <v>137.51</v>
      </c>
      <c r="H1073">
        <v>114.56</v>
      </c>
      <c r="K1073" s="9">
        <f t="shared" si="52"/>
        <v>-4.9999999999982947E-2</v>
      </c>
      <c r="L1073">
        <f t="shared" si="52"/>
        <v>-4.9999999999982947E-2</v>
      </c>
      <c r="M1073">
        <f t="shared" si="52"/>
        <v>-0.17000000000001592</v>
      </c>
      <c r="N1073">
        <f t="shared" si="50"/>
        <v>-0.10999999999998522</v>
      </c>
      <c r="O1073">
        <f t="shared" si="50"/>
        <v>-6.0000000000002274E-2</v>
      </c>
      <c r="P1073" s="10">
        <f t="shared" si="50"/>
        <v>6.0000000000002274E-2</v>
      </c>
    </row>
    <row r="1074" spans="1:16">
      <c r="A1074">
        <v>263.25</v>
      </c>
      <c r="B1074">
        <v>133.4</v>
      </c>
      <c r="C1074">
        <v>135.4</v>
      </c>
      <c r="D1074">
        <v>138.9</v>
      </c>
      <c r="E1074">
        <v>140.4</v>
      </c>
      <c r="F1074">
        <v>132.94999999999999</v>
      </c>
      <c r="G1074">
        <v>137.56</v>
      </c>
      <c r="H1074">
        <v>114.56</v>
      </c>
      <c r="K1074" s="9">
        <f t="shared" si="52"/>
        <v>4.9999999999982947E-2</v>
      </c>
      <c r="L1074">
        <f t="shared" si="52"/>
        <v>0</v>
      </c>
      <c r="M1074">
        <f t="shared" si="52"/>
        <v>-0.23000000000001819</v>
      </c>
      <c r="N1074">
        <f t="shared" si="50"/>
        <v>-4.9999999999982947E-2</v>
      </c>
      <c r="O1074">
        <f t="shared" si="50"/>
        <v>-0.11000000000001364</v>
      </c>
      <c r="P1074" s="10">
        <f t="shared" si="50"/>
        <v>6.0000000000002274E-2</v>
      </c>
    </row>
    <row r="1075" spans="1:16">
      <c r="A1075">
        <v>263.5</v>
      </c>
      <c r="B1075">
        <v>133.34</v>
      </c>
      <c r="C1075">
        <v>135.4</v>
      </c>
      <c r="D1075">
        <v>138.9</v>
      </c>
      <c r="E1075">
        <v>140.22999999999999</v>
      </c>
      <c r="F1075">
        <v>132.84</v>
      </c>
      <c r="G1075">
        <v>137.51</v>
      </c>
      <c r="H1075">
        <v>114.56</v>
      </c>
      <c r="K1075" s="9">
        <f t="shared" si="52"/>
        <v>-6.0000000000002274E-2</v>
      </c>
      <c r="L1075">
        <f t="shared" si="52"/>
        <v>0</v>
      </c>
      <c r="M1075">
        <f t="shared" si="52"/>
        <v>-0.16999999999998749</v>
      </c>
      <c r="N1075">
        <f t="shared" si="50"/>
        <v>-6.0000000000002274E-2</v>
      </c>
      <c r="O1075">
        <f t="shared" si="50"/>
        <v>-0.16999999999998749</v>
      </c>
      <c r="P1075" s="10">
        <f t="shared" si="50"/>
        <v>6.0000000000002274E-2</v>
      </c>
    </row>
    <row r="1076" spans="1:16">
      <c r="A1076">
        <v>263.75</v>
      </c>
      <c r="B1076">
        <v>133.34</v>
      </c>
      <c r="C1076">
        <v>135.4</v>
      </c>
      <c r="D1076">
        <v>138.9</v>
      </c>
      <c r="E1076">
        <v>140.22999999999999</v>
      </c>
      <c r="F1076">
        <v>132.84</v>
      </c>
      <c r="G1076">
        <v>137.44999999999999</v>
      </c>
      <c r="H1076">
        <v>114.62</v>
      </c>
      <c r="K1076" s="9">
        <f t="shared" si="52"/>
        <v>-6.0000000000002274E-2</v>
      </c>
      <c r="L1076">
        <f t="shared" si="52"/>
        <v>0</v>
      </c>
      <c r="M1076">
        <f t="shared" si="52"/>
        <v>-6.0000000000002274E-2</v>
      </c>
      <c r="N1076">
        <f t="shared" si="50"/>
        <v>0</v>
      </c>
      <c r="O1076">
        <f t="shared" si="50"/>
        <v>-0.10999999999998522</v>
      </c>
      <c r="P1076" s="10">
        <f t="shared" si="50"/>
        <v>4.9999999999997158E-2</v>
      </c>
    </row>
    <row r="1077" spans="1:16">
      <c r="A1077">
        <v>264</v>
      </c>
      <c r="B1077">
        <v>133.28</v>
      </c>
      <c r="C1077">
        <v>135.44999999999999</v>
      </c>
      <c r="D1077">
        <v>138.9</v>
      </c>
      <c r="E1077">
        <v>140.16999999999999</v>
      </c>
      <c r="F1077">
        <v>132.9</v>
      </c>
      <c r="G1077">
        <v>137.44999999999999</v>
      </c>
      <c r="H1077">
        <v>114.62</v>
      </c>
      <c r="K1077" s="9">
        <f t="shared" si="52"/>
        <v>-0.16999999999998749</v>
      </c>
      <c r="L1077">
        <f t="shared" si="52"/>
        <v>0</v>
      </c>
      <c r="M1077">
        <f t="shared" si="52"/>
        <v>0</v>
      </c>
      <c r="N1077">
        <f t="shared" si="50"/>
        <v>-6.0000000000002274E-2</v>
      </c>
      <c r="O1077">
        <f t="shared" si="50"/>
        <v>0</v>
      </c>
      <c r="P1077" s="10">
        <f t="shared" si="50"/>
        <v>0.15999999999999659</v>
      </c>
    </row>
    <row r="1078" spans="1:16">
      <c r="A1078">
        <v>264.25</v>
      </c>
      <c r="B1078">
        <v>133.22999999999999</v>
      </c>
      <c r="C1078">
        <v>135.34</v>
      </c>
      <c r="D1078">
        <v>138.9</v>
      </c>
      <c r="E1078">
        <v>140.06</v>
      </c>
      <c r="F1078">
        <v>132.78</v>
      </c>
      <c r="G1078">
        <v>137.34</v>
      </c>
      <c r="H1078">
        <v>114.62</v>
      </c>
      <c r="K1078" s="9">
        <f t="shared" si="52"/>
        <v>0</v>
      </c>
      <c r="L1078">
        <f t="shared" si="52"/>
        <v>-0.12000000000000455</v>
      </c>
      <c r="M1078">
        <f t="shared" si="52"/>
        <v>6.0000000000002274E-2</v>
      </c>
      <c r="N1078">
        <f t="shared" si="50"/>
        <v>0</v>
      </c>
      <c r="O1078">
        <f t="shared" si="50"/>
        <v>6.0000000000002274E-2</v>
      </c>
      <c r="P1078" s="10">
        <f t="shared" si="50"/>
        <v>0.21999999999999886</v>
      </c>
    </row>
    <row r="1079" spans="1:16">
      <c r="A1079">
        <v>264.5</v>
      </c>
      <c r="B1079">
        <v>133.28</v>
      </c>
      <c r="C1079">
        <v>135.34</v>
      </c>
      <c r="D1079">
        <v>138.9</v>
      </c>
      <c r="E1079">
        <v>140.16999999999999</v>
      </c>
      <c r="F1079">
        <v>132.84</v>
      </c>
      <c r="G1079">
        <v>137.34</v>
      </c>
      <c r="H1079">
        <v>114.67</v>
      </c>
      <c r="K1079" s="9">
        <f t="shared" si="52"/>
        <v>-0.11000000000001364</v>
      </c>
      <c r="L1079">
        <f t="shared" si="52"/>
        <v>-6.0000000000002274E-2</v>
      </c>
      <c r="M1079">
        <f t="shared" si="52"/>
        <v>-0.10999999999998522</v>
      </c>
      <c r="N1079">
        <f t="shared" si="50"/>
        <v>-6.0000000000002274E-2</v>
      </c>
      <c r="O1079">
        <f t="shared" si="50"/>
        <v>-6.0000000000002274E-2</v>
      </c>
      <c r="P1079" s="10">
        <f t="shared" si="50"/>
        <v>0.23000000000000398</v>
      </c>
    </row>
    <row r="1080" spans="1:16">
      <c r="A1080">
        <v>264.75</v>
      </c>
      <c r="B1080">
        <v>133.28</v>
      </c>
      <c r="C1080">
        <v>135.28</v>
      </c>
      <c r="D1080">
        <v>138.9</v>
      </c>
      <c r="E1080">
        <v>140.16999999999999</v>
      </c>
      <c r="F1080">
        <v>132.84</v>
      </c>
      <c r="G1080">
        <v>137.44999999999999</v>
      </c>
      <c r="H1080">
        <v>114.78</v>
      </c>
      <c r="K1080" s="9">
        <f t="shared" si="52"/>
        <v>-0.11000000000001364</v>
      </c>
      <c r="L1080">
        <f t="shared" si="52"/>
        <v>-0.12000000000000455</v>
      </c>
      <c r="M1080">
        <f t="shared" si="52"/>
        <v>-0.15999999999999659</v>
      </c>
      <c r="N1080">
        <f t="shared" si="50"/>
        <v>-6.0000000000002274E-2</v>
      </c>
      <c r="O1080">
        <f t="shared" si="50"/>
        <v>-0.21999999999999886</v>
      </c>
      <c r="P1080" s="10">
        <f t="shared" si="50"/>
        <v>0.12000000000000455</v>
      </c>
    </row>
    <row r="1081" spans="1:16">
      <c r="A1081">
        <v>265</v>
      </c>
      <c r="B1081">
        <v>133.16999999999999</v>
      </c>
      <c r="C1081">
        <v>135.34</v>
      </c>
      <c r="D1081">
        <v>138.78</v>
      </c>
      <c r="E1081">
        <v>140.12</v>
      </c>
      <c r="F1081">
        <v>132.78</v>
      </c>
      <c r="G1081">
        <v>137.4</v>
      </c>
      <c r="H1081">
        <v>114.84</v>
      </c>
      <c r="K1081" s="9">
        <f t="shared" si="52"/>
        <v>-0.21999999999999886</v>
      </c>
      <c r="L1081">
        <f t="shared" si="52"/>
        <v>-5.0000000000011369E-2</v>
      </c>
      <c r="M1081">
        <f t="shared" si="52"/>
        <v>-6.0000000000002274E-2</v>
      </c>
      <c r="N1081">
        <f t="shared" si="50"/>
        <v>0</v>
      </c>
      <c r="O1081">
        <f t="shared" si="50"/>
        <v>-0.17000000000001592</v>
      </c>
      <c r="P1081" s="10">
        <f t="shared" si="50"/>
        <v>0.10999999999999943</v>
      </c>
    </row>
    <row r="1082" spans="1:16">
      <c r="A1082">
        <v>265.25</v>
      </c>
      <c r="B1082">
        <v>133.12</v>
      </c>
      <c r="C1082">
        <v>135.22999999999999</v>
      </c>
      <c r="D1082">
        <v>138.84</v>
      </c>
      <c r="E1082">
        <v>140.06</v>
      </c>
      <c r="F1082">
        <v>132.78</v>
      </c>
      <c r="G1082">
        <v>137.28</v>
      </c>
      <c r="H1082">
        <v>114.9</v>
      </c>
      <c r="K1082" s="9">
        <f t="shared" si="52"/>
        <v>-0.16999999999998749</v>
      </c>
      <c r="L1082">
        <f t="shared" si="52"/>
        <v>-0.17000000000001592</v>
      </c>
      <c r="M1082">
        <f t="shared" si="52"/>
        <v>-5.0000000000011369E-2</v>
      </c>
      <c r="N1082">
        <f t="shared" si="50"/>
        <v>-5.0000000000011369E-2</v>
      </c>
      <c r="O1082">
        <f t="shared" si="50"/>
        <v>-0.15999999999999659</v>
      </c>
      <c r="P1082" s="10">
        <f t="shared" si="50"/>
        <v>4.9999999999997158E-2</v>
      </c>
    </row>
    <row r="1083" spans="1:16">
      <c r="A1083">
        <v>265.5</v>
      </c>
      <c r="B1083">
        <v>133.22999999999999</v>
      </c>
      <c r="C1083">
        <v>135.16999999999999</v>
      </c>
      <c r="D1083">
        <v>138.78</v>
      </c>
      <c r="E1083">
        <v>140.01</v>
      </c>
      <c r="F1083">
        <v>132.78</v>
      </c>
      <c r="G1083">
        <v>137.22999999999999</v>
      </c>
      <c r="H1083">
        <v>114.9</v>
      </c>
      <c r="K1083" s="9">
        <f t="shared" si="52"/>
        <v>-0.10999999999998522</v>
      </c>
      <c r="L1083">
        <f t="shared" si="52"/>
        <v>-0.15999999999999659</v>
      </c>
      <c r="M1083">
        <f t="shared" si="52"/>
        <v>0</v>
      </c>
      <c r="N1083">
        <f t="shared" si="50"/>
        <v>0</v>
      </c>
      <c r="O1083">
        <f t="shared" si="50"/>
        <v>-6.0000000000002274E-2</v>
      </c>
      <c r="P1083" s="10">
        <f t="shared" si="50"/>
        <v>0.10999999999999943</v>
      </c>
    </row>
    <row r="1084" spans="1:16">
      <c r="A1084">
        <v>265.75</v>
      </c>
      <c r="B1084">
        <v>133.16999999999999</v>
      </c>
      <c r="C1084">
        <v>135.12</v>
      </c>
      <c r="D1084">
        <v>138.72999999999999</v>
      </c>
      <c r="E1084">
        <v>140.06</v>
      </c>
      <c r="F1084">
        <v>132.78</v>
      </c>
      <c r="G1084">
        <v>137.22999999999999</v>
      </c>
      <c r="H1084">
        <v>114.95</v>
      </c>
      <c r="K1084" s="9">
        <f t="shared" si="52"/>
        <v>-0.11000000000001364</v>
      </c>
      <c r="L1084">
        <f t="shared" si="52"/>
        <v>-0.16999999999998749</v>
      </c>
      <c r="M1084">
        <f t="shared" si="52"/>
        <v>-0.15999999999999659</v>
      </c>
      <c r="N1084">
        <f t="shared" si="50"/>
        <v>-0.11000000000001364</v>
      </c>
      <c r="O1084">
        <f t="shared" si="50"/>
        <v>-0.10999999999998522</v>
      </c>
      <c r="P1084" s="10">
        <f t="shared" si="50"/>
        <v>0.10999999999999943</v>
      </c>
    </row>
    <row r="1085" spans="1:16">
      <c r="A1085">
        <v>266</v>
      </c>
      <c r="B1085">
        <v>133.06</v>
      </c>
      <c r="C1085">
        <v>135.06</v>
      </c>
      <c r="D1085">
        <v>138.66999999999999</v>
      </c>
      <c r="E1085">
        <v>140.01</v>
      </c>
      <c r="F1085">
        <v>132.72999999999999</v>
      </c>
      <c r="G1085">
        <v>137.12</v>
      </c>
      <c r="H1085">
        <v>114.95</v>
      </c>
      <c r="K1085" s="9">
        <f t="shared" si="52"/>
        <v>-5.0000000000011369E-2</v>
      </c>
      <c r="L1085">
        <f t="shared" si="52"/>
        <v>-0.10999999999998522</v>
      </c>
      <c r="M1085">
        <f t="shared" si="52"/>
        <v>-0.10999999999998522</v>
      </c>
      <c r="N1085">
        <f t="shared" si="50"/>
        <v>-6.0000000000002274E-2</v>
      </c>
      <c r="O1085">
        <f t="shared" si="50"/>
        <v>0</v>
      </c>
      <c r="P1085" s="10">
        <f t="shared" si="50"/>
        <v>0.21999999999999886</v>
      </c>
    </row>
    <row r="1086" spans="1:16">
      <c r="A1086">
        <v>266.25</v>
      </c>
      <c r="B1086">
        <v>133.12</v>
      </c>
      <c r="C1086">
        <v>135.06</v>
      </c>
      <c r="D1086">
        <v>138.62</v>
      </c>
      <c r="E1086">
        <v>140.01</v>
      </c>
      <c r="F1086">
        <v>132.78</v>
      </c>
      <c r="G1086">
        <v>137.16999999999999</v>
      </c>
      <c r="H1086">
        <v>115.01</v>
      </c>
      <c r="K1086" s="9">
        <f t="shared" si="52"/>
        <v>-0.15999999999999659</v>
      </c>
      <c r="L1086">
        <f t="shared" si="52"/>
        <v>-0.11000000000001364</v>
      </c>
      <c r="M1086">
        <f t="shared" si="52"/>
        <v>-0.10999999999998522</v>
      </c>
      <c r="N1086">
        <f t="shared" si="50"/>
        <v>-0.11000000000001364</v>
      </c>
      <c r="O1086">
        <f t="shared" si="50"/>
        <v>-0.10999999999998522</v>
      </c>
      <c r="P1086" s="10">
        <f t="shared" si="50"/>
        <v>0.15999999999999659</v>
      </c>
    </row>
    <row r="1087" spans="1:16">
      <c r="A1087">
        <v>266.5</v>
      </c>
      <c r="B1087">
        <v>133.01</v>
      </c>
      <c r="C1087">
        <v>135.01</v>
      </c>
      <c r="D1087">
        <v>138.56</v>
      </c>
      <c r="E1087">
        <v>139.9</v>
      </c>
      <c r="F1087">
        <v>132.66999999999999</v>
      </c>
      <c r="G1087">
        <v>137.12</v>
      </c>
      <c r="H1087">
        <v>115.06</v>
      </c>
      <c r="K1087" s="9">
        <f t="shared" si="52"/>
        <v>0</v>
      </c>
      <c r="L1087">
        <f t="shared" si="52"/>
        <v>-0.11000000000001364</v>
      </c>
      <c r="M1087">
        <f t="shared" si="52"/>
        <v>4.9999999999982947E-2</v>
      </c>
      <c r="N1087">
        <f t="shared" si="50"/>
        <v>6.0000000000002274E-2</v>
      </c>
      <c r="O1087">
        <f t="shared" si="50"/>
        <v>4.9999999999982947E-2</v>
      </c>
      <c r="P1087" s="10">
        <f t="shared" si="50"/>
        <v>0.10999999999999943</v>
      </c>
    </row>
    <row r="1088" spans="1:16">
      <c r="A1088">
        <v>266.75</v>
      </c>
      <c r="B1088">
        <v>133.06</v>
      </c>
      <c r="C1088">
        <v>135.01</v>
      </c>
      <c r="D1088">
        <v>138.56</v>
      </c>
      <c r="E1088">
        <v>139.9</v>
      </c>
      <c r="F1088">
        <v>132.66999999999999</v>
      </c>
      <c r="G1088">
        <v>137.12</v>
      </c>
      <c r="H1088">
        <v>115.17</v>
      </c>
      <c r="K1088" s="9">
        <f t="shared" si="52"/>
        <v>-0.10999999999998522</v>
      </c>
      <c r="L1088">
        <f t="shared" si="52"/>
        <v>-0.11000000000001364</v>
      </c>
      <c r="M1088">
        <f t="shared" si="52"/>
        <v>0.10999999999998522</v>
      </c>
      <c r="N1088">
        <f t="shared" si="50"/>
        <v>6.0000000000002274E-2</v>
      </c>
      <c r="O1088">
        <f t="shared" si="50"/>
        <v>4.9999999999982947E-2</v>
      </c>
      <c r="P1088" s="10">
        <f t="shared" si="50"/>
        <v>0.10999999999999943</v>
      </c>
    </row>
    <row r="1089" spans="1:16">
      <c r="A1089">
        <v>267</v>
      </c>
      <c r="B1089">
        <v>133.01</v>
      </c>
      <c r="C1089">
        <v>134.9</v>
      </c>
      <c r="D1089">
        <v>138.51</v>
      </c>
      <c r="E1089">
        <v>139.9</v>
      </c>
      <c r="F1089">
        <v>132.66999999999999</v>
      </c>
      <c r="G1089">
        <v>137.06</v>
      </c>
      <c r="H1089">
        <v>115.17</v>
      </c>
      <c r="K1089" s="9">
        <f t="shared" si="52"/>
        <v>0</v>
      </c>
      <c r="L1089">
        <f t="shared" si="52"/>
        <v>-0.10999999999998522</v>
      </c>
      <c r="M1089">
        <f t="shared" si="52"/>
        <v>0</v>
      </c>
      <c r="N1089">
        <f t="shared" si="50"/>
        <v>0</v>
      </c>
      <c r="O1089">
        <f t="shared" si="50"/>
        <v>6.0000000000002274E-2</v>
      </c>
      <c r="P1089" s="10">
        <f t="shared" si="50"/>
        <v>0.10999999999999943</v>
      </c>
    </row>
    <row r="1090" spans="1:16">
      <c r="A1090">
        <v>267.25</v>
      </c>
      <c r="B1090">
        <v>133.01</v>
      </c>
      <c r="C1090">
        <v>135.01</v>
      </c>
      <c r="D1090">
        <v>138.44999999999999</v>
      </c>
      <c r="E1090">
        <v>139.94999999999999</v>
      </c>
      <c r="F1090">
        <v>132.72999999999999</v>
      </c>
      <c r="G1090">
        <v>137.16999999999999</v>
      </c>
      <c r="H1090">
        <v>115.17</v>
      </c>
      <c r="K1090" s="9">
        <f t="shared" si="52"/>
        <v>-0.16999999999998749</v>
      </c>
      <c r="L1090">
        <f t="shared" si="52"/>
        <v>-4.9999999999982947E-2</v>
      </c>
      <c r="M1090">
        <f t="shared" si="52"/>
        <v>-0.10999999999998522</v>
      </c>
      <c r="N1090">
        <f t="shared" si="50"/>
        <v>-6.0000000000002274E-2</v>
      </c>
      <c r="O1090">
        <f t="shared" si="50"/>
        <v>-0.15999999999999659</v>
      </c>
      <c r="P1090" s="10">
        <f t="shared" si="50"/>
        <v>0.10999999999999943</v>
      </c>
    </row>
    <row r="1091" spans="1:16">
      <c r="A1091">
        <v>267.5</v>
      </c>
      <c r="B1091">
        <v>132.94999999999999</v>
      </c>
      <c r="C1091">
        <v>134.9</v>
      </c>
      <c r="D1091">
        <v>138.44999999999999</v>
      </c>
      <c r="E1091">
        <v>140.01</v>
      </c>
      <c r="F1091">
        <v>132.72999999999999</v>
      </c>
      <c r="G1091">
        <v>137.16999999999999</v>
      </c>
      <c r="H1091">
        <v>115.28</v>
      </c>
      <c r="K1091" s="9">
        <f t="shared" si="52"/>
        <v>-6.0000000000002274E-2</v>
      </c>
      <c r="L1091">
        <f t="shared" si="52"/>
        <v>-0.10999999999998522</v>
      </c>
      <c r="M1091">
        <f t="shared" si="52"/>
        <v>-0.16999999999998749</v>
      </c>
      <c r="N1091">
        <f t="shared" si="50"/>
        <v>-6.0000000000002274E-2</v>
      </c>
      <c r="O1091">
        <f t="shared" si="50"/>
        <v>-0.21999999999999886</v>
      </c>
      <c r="P1091" s="10">
        <f t="shared" si="50"/>
        <v>0.12000000000000455</v>
      </c>
    </row>
    <row r="1092" spans="1:16">
      <c r="A1092">
        <v>267.75</v>
      </c>
      <c r="B1092">
        <v>132.94999999999999</v>
      </c>
      <c r="C1092">
        <v>134.9</v>
      </c>
      <c r="D1092">
        <v>138.4</v>
      </c>
      <c r="E1092">
        <v>139.9</v>
      </c>
      <c r="F1092">
        <v>132.66999999999999</v>
      </c>
      <c r="G1092">
        <v>137.12</v>
      </c>
      <c r="H1092">
        <v>115.28</v>
      </c>
      <c r="K1092" s="9">
        <f t="shared" si="52"/>
        <v>-0.12000000000000455</v>
      </c>
      <c r="L1092">
        <f t="shared" si="52"/>
        <v>-0.12000000000000455</v>
      </c>
      <c r="M1092">
        <f t="shared" si="52"/>
        <v>-0.12000000000000455</v>
      </c>
      <c r="N1092">
        <f t="shared" si="50"/>
        <v>-0.10999999999998522</v>
      </c>
      <c r="O1092">
        <f t="shared" si="50"/>
        <v>-0.17000000000001592</v>
      </c>
      <c r="P1092" s="10">
        <f t="shared" si="50"/>
        <v>0.23000000000000398</v>
      </c>
    </row>
    <row r="1093" spans="1:16">
      <c r="A1093">
        <v>268</v>
      </c>
      <c r="B1093">
        <v>132.9</v>
      </c>
      <c r="C1093">
        <v>134.84</v>
      </c>
      <c r="D1093">
        <v>138.4</v>
      </c>
      <c r="E1093">
        <v>139.84</v>
      </c>
      <c r="F1093">
        <v>132.66999999999999</v>
      </c>
      <c r="G1093">
        <v>137.01</v>
      </c>
      <c r="H1093">
        <v>115.28</v>
      </c>
      <c r="K1093" s="9">
        <f t="shared" si="52"/>
        <v>-0.11000000000001364</v>
      </c>
      <c r="L1093">
        <f t="shared" si="52"/>
        <v>-0.17000000000001592</v>
      </c>
      <c r="M1093">
        <f t="shared" si="52"/>
        <v>-0.11000000000001364</v>
      </c>
      <c r="N1093">
        <f t="shared" si="50"/>
        <v>0</v>
      </c>
      <c r="O1093">
        <f t="shared" si="50"/>
        <v>-6.0000000000002274E-2</v>
      </c>
      <c r="P1093" s="10">
        <f t="shared" si="50"/>
        <v>0.28000000000000114</v>
      </c>
    </row>
    <row r="1094" spans="1:16">
      <c r="A1094">
        <v>268.25</v>
      </c>
      <c r="B1094">
        <v>132.9</v>
      </c>
      <c r="C1094">
        <v>134.84</v>
      </c>
      <c r="D1094">
        <v>138.34</v>
      </c>
      <c r="E1094">
        <v>139.84</v>
      </c>
      <c r="F1094">
        <v>132.66999999999999</v>
      </c>
      <c r="G1094">
        <v>136.94999999999999</v>
      </c>
      <c r="H1094">
        <v>115.4</v>
      </c>
      <c r="K1094" s="9">
        <f t="shared" si="52"/>
        <v>-0.17000000000001592</v>
      </c>
      <c r="L1094">
        <f t="shared" si="52"/>
        <v>-0.11000000000001364</v>
      </c>
      <c r="M1094">
        <f t="shared" si="52"/>
        <v>-0.17000000000001592</v>
      </c>
      <c r="N1094">
        <f t="shared" si="50"/>
        <v>-0.10999999999998522</v>
      </c>
      <c r="O1094">
        <f t="shared" si="50"/>
        <v>0</v>
      </c>
      <c r="P1094" s="10">
        <f t="shared" si="50"/>
        <v>4.9999999999997158E-2</v>
      </c>
    </row>
    <row r="1095" spans="1:16">
      <c r="A1095">
        <v>268.5</v>
      </c>
      <c r="B1095">
        <v>132.78</v>
      </c>
      <c r="C1095">
        <v>134.78</v>
      </c>
      <c r="D1095">
        <v>138.28</v>
      </c>
      <c r="E1095">
        <v>139.78</v>
      </c>
      <c r="F1095">
        <v>132.56</v>
      </c>
      <c r="G1095">
        <v>136.94999999999999</v>
      </c>
      <c r="H1095">
        <v>115.51</v>
      </c>
      <c r="K1095" s="9">
        <f t="shared" si="52"/>
        <v>-0.15999999999999659</v>
      </c>
      <c r="L1095">
        <f t="shared" si="52"/>
        <v>-0.15999999999999659</v>
      </c>
      <c r="M1095">
        <f t="shared" si="52"/>
        <v>0</v>
      </c>
      <c r="N1095">
        <f t="shared" si="50"/>
        <v>6.0000000000002274E-2</v>
      </c>
      <c r="O1095">
        <f t="shared" si="50"/>
        <v>0</v>
      </c>
      <c r="P1095" s="10">
        <f t="shared" si="50"/>
        <v>0</v>
      </c>
    </row>
    <row r="1096" spans="1:16">
      <c r="A1096">
        <v>268.75</v>
      </c>
      <c r="B1096">
        <v>132.78</v>
      </c>
      <c r="C1096">
        <v>134.72999999999999</v>
      </c>
      <c r="D1096">
        <v>138.22999999999999</v>
      </c>
      <c r="E1096">
        <v>139.72999999999999</v>
      </c>
      <c r="F1096">
        <v>132.66999999999999</v>
      </c>
      <c r="G1096">
        <v>136.94999999999999</v>
      </c>
      <c r="H1096">
        <v>115.56</v>
      </c>
      <c r="K1096" s="9">
        <f t="shared" si="52"/>
        <v>-0.10999999999998522</v>
      </c>
      <c r="L1096">
        <f t="shared" si="52"/>
        <v>-6.0000000000002274E-2</v>
      </c>
      <c r="M1096">
        <f t="shared" si="52"/>
        <v>-6.0000000000002274E-2</v>
      </c>
      <c r="N1096">
        <f t="shared" si="50"/>
        <v>-0.10999999999998522</v>
      </c>
      <c r="O1096">
        <f t="shared" si="50"/>
        <v>-0.10999999999998522</v>
      </c>
      <c r="P1096" s="10">
        <f t="shared" si="50"/>
        <v>-4.9999999999997158E-2</v>
      </c>
    </row>
    <row r="1097" spans="1:16">
      <c r="A1097">
        <v>269</v>
      </c>
      <c r="B1097">
        <v>132.62</v>
      </c>
      <c r="C1097">
        <v>134.66999999999999</v>
      </c>
      <c r="D1097">
        <v>138.22999999999999</v>
      </c>
      <c r="E1097">
        <v>139.66999999999999</v>
      </c>
      <c r="F1097">
        <v>132.56</v>
      </c>
      <c r="G1097">
        <v>136.94999999999999</v>
      </c>
      <c r="H1097">
        <v>115.45</v>
      </c>
      <c r="K1097" s="9">
        <f t="shared" si="52"/>
        <v>-0.10999999999998522</v>
      </c>
      <c r="L1097">
        <f t="shared" si="52"/>
        <v>-0.16999999999998749</v>
      </c>
      <c r="M1097">
        <f t="shared" si="52"/>
        <v>-0.10999999999998522</v>
      </c>
      <c r="N1097">
        <f t="shared" si="50"/>
        <v>0</v>
      </c>
      <c r="O1097">
        <f t="shared" si="50"/>
        <v>-0.10999999999998522</v>
      </c>
      <c r="P1097" s="10">
        <f t="shared" si="50"/>
        <v>0.21999999999999886</v>
      </c>
    </row>
    <row r="1098" spans="1:16">
      <c r="A1098">
        <v>269.25</v>
      </c>
      <c r="B1098">
        <v>132.66999999999999</v>
      </c>
      <c r="C1098">
        <v>134.62</v>
      </c>
      <c r="D1098">
        <v>138.12</v>
      </c>
      <c r="E1098">
        <v>139.78</v>
      </c>
      <c r="F1098">
        <v>132.62</v>
      </c>
      <c r="G1098">
        <v>136.94999999999999</v>
      </c>
      <c r="H1098">
        <v>115.51</v>
      </c>
      <c r="K1098" s="9">
        <f t="shared" si="52"/>
        <v>-6.0000000000002274E-2</v>
      </c>
      <c r="L1098">
        <f t="shared" ref="L1098:L1161" si="53">D1101-D1098</f>
        <v>-6.0000000000002274E-2</v>
      </c>
      <c r="M1098">
        <f t="shared" ref="M1098:M1161" si="54">E1101-E1098</f>
        <v>-0.11000000000001364</v>
      </c>
      <c r="N1098">
        <f t="shared" ref="N1098:N1161" si="55">F1101-F1098</f>
        <v>4.9999999999982947E-2</v>
      </c>
      <c r="O1098">
        <f t="shared" ref="O1098:O1161" si="56">G1101-G1098</f>
        <v>-0.10999999999998522</v>
      </c>
      <c r="P1098" s="10">
        <f t="shared" ref="P1098:P1161" si="57">H1101-H1098</f>
        <v>0.21999999999999886</v>
      </c>
    </row>
    <row r="1099" spans="1:16">
      <c r="A1099">
        <v>269.5</v>
      </c>
      <c r="B1099">
        <v>132.56</v>
      </c>
      <c r="C1099">
        <v>134.62</v>
      </c>
      <c r="D1099">
        <v>138.16999999999999</v>
      </c>
      <c r="E1099">
        <v>139.66999999999999</v>
      </c>
      <c r="F1099">
        <v>132.56</v>
      </c>
      <c r="G1099">
        <v>136.84</v>
      </c>
      <c r="H1099">
        <v>115.51</v>
      </c>
      <c r="K1099" s="9">
        <f t="shared" ref="K1099:K1162" si="58">C1102-C1099</f>
        <v>-0.21999999999999886</v>
      </c>
      <c r="L1099">
        <f t="shared" si="53"/>
        <v>-0.21999999999999886</v>
      </c>
      <c r="M1099">
        <f t="shared" si="54"/>
        <v>-0.10999999999998522</v>
      </c>
      <c r="N1099">
        <f t="shared" si="55"/>
        <v>6.0000000000002274E-2</v>
      </c>
      <c r="O1099">
        <f t="shared" si="56"/>
        <v>6.0000000000002274E-2</v>
      </c>
      <c r="P1099" s="10">
        <f t="shared" si="57"/>
        <v>0.21999999999999886</v>
      </c>
    </row>
    <row r="1100" spans="1:16">
      <c r="A1100">
        <v>269.75</v>
      </c>
      <c r="B1100">
        <v>132.56</v>
      </c>
      <c r="C1100">
        <v>134.56</v>
      </c>
      <c r="D1100">
        <v>138.06</v>
      </c>
      <c r="E1100">
        <v>139.56</v>
      </c>
      <c r="F1100">
        <v>132.56</v>
      </c>
      <c r="G1100">
        <v>136.84</v>
      </c>
      <c r="H1100">
        <v>115.67</v>
      </c>
      <c r="K1100" s="9">
        <f t="shared" si="58"/>
        <v>-0.15999999999999659</v>
      </c>
      <c r="L1100">
        <f t="shared" si="53"/>
        <v>-0.15999999999999659</v>
      </c>
      <c r="M1100">
        <f t="shared" si="54"/>
        <v>0</v>
      </c>
      <c r="N1100">
        <f t="shared" si="55"/>
        <v>-5.0000000000011369E-2</v>
      </c>
      <c r="O1100">
        <f t="shared" si="56"/>
        <v>0</v>
      </c>
      <c r="P1100" s="10">
        <f t="shared" si="57"/>
        <v>0</v>
      </c>
    </row>
    <row r="1101" spans="1:16">
      <c r="A1101">
        <v>270</v>
      </c>
      <c r="B1101">
        <v>132.51</v>
      </c>
      <c r="C1101">
        <v>134.56</v>
      </c>
      <c r="D1101">
        <v>138.06</v>
      </c>
      <c r="E1101">
        <v>139.66999999999999</v>
      </c>
      <c r="F1101">
        <v>132.66999999999999</v>
      </c>
      <c r="G1101">
        <v>136.84</v>
      </c>
      <c r="H1101">
        <v>115.73</v>
      </c>
      <c r="K1101" s="9">
        <f t="shared" si="58"/>
        <v>-0.21999999999999886</v>
      </c>
      <c r="L1101">
        <f t="shared" si="53"/>
        <v>-0.33000000000001251</v>
      </c>
      <c r="M1101">
        <f t="shared" si="54"/>
        <v>-0.10999999999998522</v>
      </c>
      <c r="N1101">
        <f t="shared" si="55"/>
        <v>-0.15999999999999659</v>
      </c>
      <c r="O1101">
        <f t="shared" si="56"/>
        <v>-6.0000000000002274E-2</v>
      </c>
      <c r="P1101" s="10">
        <f t="shared" si="57"/>
        <v>0.17000000000000171</v>
      </c>
    </row>
    <row r="1102" spans="1:16">
      <c r="A1102">
        <v>270.25</v>
      </c>
      <c r="B1102">
        <v>132.4</v>
      </c>
      <c r="C1102">
        <v>134.4</v>
      </c>
      <c r="D1102">
        <v>137.94999999999999</v>
      </c>
      <c r="E1102">
        <v>139.56</v>
      </c>
      <c r="F1102">
        <v>132.62</v>
      </c>
      <c r="G1102">
        <v>136.9</v>
      </c>
      <c r="H1102">
        <v>115.73</v>
      </c>
      <c r="K1102" s="9">
        <f t="shared" si="58"/>
        <v>0</v>
      </c>
      <c r="L1102">
        <f t="shared" si="53"/>
        <v>-0.21999999999999886</v>
      </c>
      <c r="M1102">
        <f t="shared" si="54"/>
        <v>-0.11000000000001364</v>
      </c>
      <c r="N1102">
        <f t="shared" si="55"/>
        <v>-0.11000000000001364</v>
      </c>
      <c r="O1102">
        <f t="shared" si="56"/>
        <v>-0.23000000000001819</v>
      </c>
      <c r="P1102" s="10">
        <f t="shared" si="57"/>
        <v>0.17000000000000171</v>
      </c>
    </row>
    <row r="1103" spans="1:16">
      <c r="A1103">
        <v>270.5</v>
      </c>
      <c r="B1103">
        <v>132.4</v>
      </c>
      <c r="C1103">
        <v>134.4</v>
      </c>
      <c r="D1103">
        <v>137.9</v>
      </c>
      <c r="E1103">
        <v>139.56</v>
      </c>
      <c r="F1103">
        <v>132.51</v>
      </c>
      <c r="G1103">
        <v>136.84</v>
      </c>
      <c r="H1103">
        <v>115.67</v>
      </c>
      <c r="K1103" s="9">
        <f t="shared" si="58"/>
        <v>-0.12000000000000455</v>
      </c>
      <c r="L1103">
        <f t="shared" si="53"/>
        <v>-0.23000000000001819</v>
      </c>
      <c r="M1103">
        <f t="shared" si="54"/>
        <v>-0.15999999999999659</v>
      </c>
      <c r="N1103">
        <f t="shared" si="55"/>
        <v>-0.10999999999998522</v>
      </c>
      <c r="O1103">
        <f t="shared" si="56"/>
        <v>-0.17000000000001592</v>
      </c>
      <c r="P1103" s="10">
        <f t="shared" si="57"/>
        <v>0.23000000000000398</v>
      </c>
    </row>
    <row r="1104" spans="1:16">
      <c r="A1104">
        <v>270.75</v>
      </c>
      <c r="B1104">
        <v>132.34</v>
      </c>
      <c r="C1104">
        <v>134.34</v>
      </c>
      <c r="D1104">
        <v>137.72999999999999</v>
      </c>
      <c r="E1104">
        <v>139.56</v>
      </c>
      <c r="F1104">
        <v>132.51</v>
      </c>
      <c r="G1104">
        <v>136.78</v>
      </c>
      <c r="H1104">
        <v>115.9</v>
      </c>
      <c r="K1104" s="9">
        <f t="shared" si="58"/>
        <v>-0.17000000000001592</v>
      </c>
      <c r="L1104">
        <f t="shared" si="53"/>
        <v>-6.0000000000002274E-2</v>
      </c>
      <c r="M1104">
        <f t="shared" si="54"/>
        <v>-0.11000000000001364</v>
      </c>
      <c r="N1104">
        <f t="shared" si="55"/>
        <v>-6.0000000000002274E-2</v>
      </c>
      <c r="O1104">
        <f t="shared" si="56"/>
        <v>-0.11000000000001364</v>
      </c>
      <c r="P1104" s="10">
        <f t="shared" si="57"/>
        <v>0.21999999999999886</v>
      </c>
    </row>
    <row r="1105" spans="1:16">
      <c r="A1105">
        <v>271</v>
      </c>
      <c r="B1105">
        <v>132.28</v>
      </c>
      <c r="C1105">
        <v>134.4</v>
      </c>
      <c r="D1105">
        <v>137.72999999999999</v>
      </c>
      <c r="E1105">
        <v>139.44999999999999</v>
      </c>
      <c r="F1105">
        <v>132.51</v>
      </c>
      <c r="G1105">
        <v>136.66999999999999</v>
      </c>
      <c r="H1105">
        <v>115.9</v>
      </c>
      <c r="K1105" s="9">
        <f t="shared" si="58"/>
        <v>-0.23000000000001819</v>
      </c>
      <c r="L1105">
        <f t="shared" si="53"/>
        <v>-0.21999999999999886</v>
      </c>
      <c r="M1105">
        <f t="shared" si="54"/>
        <v>0</v>
      </c>
      <c r="N1105">
        <f t="shared" si="55"/>
        <v>-0.10999999999998522</v>
      </c>
      <c r="O1105">
        <f t="shared" si="56"/>
        <v>0</v>
      </c>
      <c r="P1105" s="10">
        <f t="shared" si="57"/>
        <v>0.32999999999999829</v>
      </c>
    </row>
    <row r="1106" spans="1:16">
      <c r="A1106">
        <v>271.25</v>
      </c>
      <c r="B1106">
        <v>132.28</v>
      </c>
      <c r="C1106">
        <v>134.28</v>
      </c>
      <c r="D1106">
        <v>137.66999999999999</v>
      </c>
      <c r="E1106">
        <v>139.4</v>
      </c>
      <c r="F1106">
        <v>132.4</v>
      </c>
      <c r="G1106">
        <v>136.66999999999999</v>
      </c>
      <c r="H1106">
        <v>115.9</v>
      </c>
      <c r="K1106" s="9">
        <f t="shared" si="58"/>
        <v>-0.11000000000001364</v>
      </c>
      <c r="L1106">
        <f t="shared" si="53"/>
        <v>-0.21999999999999886</v>
      </c>
      <c r="M1106">
        <f t="shared" si="54"/>
        <v>-6.0000000000002274E-2</v>
      </c>
      <c r="N1106">
        <f t="shared" si="55"/>
        <v>0</v>
      </c>
      <c r="O1106">
        <f t="shared" si="56"/>
        <v>0</v>
      </c>
      <c r="P1106" s="10">
        <f t="shared" si="57"/>
        <v>0.37999999999999545</v>
      </c>
    </row>
    <row r="1107" spans="1:16">
      <c r="A1107">
        <v>271.5</v>
      </c>
      <c r="B1107">
        <v>132.22999999999999</v>
      </c>
      <c r="C1107">
        <v>134.16999999999999</v>
      </c>
      <c r="D1107">
        <v>137.66999999999999</v>
      </c>
      <c r="E1107">
        <v>139.44999999999999</v>
      </c>
      <c r="F1107">
        <v>132.44999999999999</v>
      </c>
      <c r="G1107">
        <v>136.66999999999999</v>
      </c>
      <c r="H1107">
        <v>116.12</v>
      </c>
      <c r="K1107" s="9">
        <f t="shared" si="58"/>
        <v>-0.10999999999998522</v>
      </c>
      <c r="L1107">
        <f t="shared" si="53"/>
        <v>-0.32999999999998408</v>
      </c>
      <c r="M1107">
        <f t="shared" si="54"/>
        <v>6.0000000000002274E-2</v>
      </c>
      <c r="N1107">
        <f t="shared" si="55"/>
        <v>-4.9999999999982947E-2</v>
      </c>
      <c r="O1107">
        <f t="shared" si="56"/>
        <v>0</v>
      </c>
      <c r="P1107" s="10">
        <f t="shared" si="57"/>
        <v>0.15999999999999659</v>
      </c>
    </row>
    <row r="1108" spans="1:16">
      <c r="A1108">
        <v>271.75</v>
      </c>
      <c r="B1108">
        <v>132.12</v>
      </c>
      <c r="C1108">
        <v>134.16999999999999</v>
      </c>
      <c r="D1108">
        <v>137.51</v>
      </c>
      <c r="E1108">
        <v>139.44999999999999</v>
      </c>
      <c r="F1108">
        <v>132.4</v>
      </c>
      <c r="G1108">
        <v>136.66999999999999</v>
      </c>
      <c r="H1108">
        <v>116.23</v>
      </c>
      <c r="K1108" s="9">
        <f t="shared" si="58"/>
        <v>-0.15999999999999659</v>
      </c>
      <c r="L1108">
        <f t="shared" si="53"/>
        <v>-0.16999999999998749</v>
      </c>
      <c r="M1108">
        <f t="shared" si="54"/>
        <v>0</v>
      </c>
      <c r="N1108">
        <f t="shared" si="55"/>
        <v>0</v>
      </c>
      <c r="O1108">
        <f t="shared" si="56"/>
        <v>-4.9999999999982947E-2</v>
      </c>
      <c r="P1108" s="10">
        <f t="shared" si="57"/>
        <v>0.21999999999999886</v>
      </c>
    </row>
    <row r="1109" spans="1:16">
      <c r="A1109">
        <v>272</v>
      </c>
      <c r="B1109">
        <v>132.12</v>
      </c>
      <c r="C1109">
        <v>134.16999999999999</v>
      </c>
      <c r="D1109">
        <v>137.44999999999999</v>
      </c>
      <c r="E1109">
        <v>139.34</v>
      </c>
      <c r="F1109">
        <v>132.4</v>
      </c>
      <c r="G1109">
        <v>136.66999999999999</v>
      </c>
      <c r="H1109">
        <v>116.28</v>
      </c>
      <c r="K1109" s="9">
        <f t="shared" si="58"/>
        <v>-0.10999999999998522</v>
      </c>
      <c r="L1109">
        <f t="shared" si="53"/>
        <v>-0.10999999999998522</v>
      </c>
      <c r="M1109">
        <f t="shared" si="54"/>
        <v>0</v>
      </c>
      <c r="N1109">
        <f t="shared" si="55"/>
        <v>-6.0000000000002274E-2</v>
      </c>
      <c r="O1109">
        <f t="shared" si="56"/>
        <v>-0.10999999999998522</v>
      </c>
      <c r="P1109" s="10">
        <f t="shared" si="57"/>
        <v>0.17000000000000171</v>
      </c>
    </row>
    <row r="1110" spans="1:16">
      <c r="A1110">
        <v>272.25</v>
      </c>
      <c r="B1110">
        <v>132.06</v>
      </c>
      <c r="C1110">
        <v>134.06</v>
      </c>
      <c r="D1110">
        <v>137.34</v>
      </c>
      <c r="E1110">
        <v>139.51</v>
      </c>
      <c r="F1110">
        <v>132.4</v>
      </c>
      <c r="G1110">
        <v>136.66999999999999</v>
      </c>
      <c r="H1110">
        <v>116.28</v>
      </c>
      <c r="K1110" s="9">
        <f t="shared" si="58"/>
        <v>-5.0000000000011369E-2</v>
      </c>
      <c r="L1110">
        <f t="shared" si="53"/>
        <v>6.0000000000002274E-2</v>
      </c>
      <c r="M1110">
        <f t="shared" si="54"/>
        <v>-0.22999999999998977</v>
      </c>
      <c r="N1110">
        <f t="shared" si="55"/>
        <v>-6.0000000000002274E-2</v>
      </c>
      <c r="O1110">
        <f t="shared" si="56"/>
        <v>-0.15999999999999659</v>
      </c>
      <c r="P1110" s="10">
        <f t="shared" si="57"/>
        <v>0.28000000000000114</v>
      </c>
    </row>
    <row r="1111" spans="1:16">
      <c r="A1111">
        <v>272.5</v>
      </c>
      <c r="B1111">
        <v>131.94999999999999</v>
      </c>
      <c r="C1111">
        <v>134.01</v>
      </c>
      <c r="D1111">
        <v>137.34</v>
      </c>
      <c r="E1111">
        <v>139.44999999999999</v>
      </c>
      <c r="F1111">
        <v>132.4</v>
      </c>
      <c r="G1111">
        <v>136.62</v>
      </c>
      <c r="H1111">
        <v>116.45</v>
      </c>
      <c r="K1111" s="9">
        <f t="shared" si="58"/>
        <v>-6.0000000000002274E-2</v>
      </c>
      <c r="L1111">
        <f t="shared" si="53"/>
        <v>0</v>
      </c>
      <c r="M1111">
        <f t="shared" si="54"/>
        <v>-0.21999999999999886</v>
      </c>
      <c r="N1111">
        <f t="shared" si="55"/>
        <v>-6.0000000000002274E-2</v>
      </c>
      <c r="O1111">
        <f t="shared" si="56"/>
        <v>-0.17000000000001592</v>
      </c>
      <c r="P1111" s="10">
        <f t="shared" si="57"/>
        <v>0.10999999999999943</v>
      </c>
    </row>
    <row r="1112" spans="1:16">
      <c r="A1112">
        <v>272.75</v>
      </c>
      <c r="B1112">
        <v>132.01</v>
      </c>
      <c r="C1112">
        <v>134.06</v>
      </c>
      <c r="D1112">
        <v>137.34</v>
      </c>
      <c r="E1112">
        <v>139.34</v>
      </c>
      <c r="F1112">
        <v>132.34</v>
      </c>
      <c r="G1112">
        <v>136.56</v>
      </c>
      <c r="H1112">
        <v>116.45</v>
      </c>
      <c r="K1112" s="9">
        <f t="shared" si="58"/>
        <v>-0.21999999999999886</v>
      </c>
      <c r="L1112">
        <f t="shared" si="53"/>
        <v>0</v>
      </c>
      <c r="M1112">
        <f t="shared" si="54"/>
        <v>-0.11000000000001364</v>
      </c>
      <c r="N1112">
        <f t="shared" si="55"/>
        <v>-0.17000000000001592</v>
      </c>
      <c r="O1112">
        <f t="shared" si="56"/>
        <v>-5.0000000000011369E-2</v>
      </c>
      <c r="P1112" s="10">
        <f t="shared" si="57"/>
        <v>0.10999999999999943</v>
      </c>
    </row>
    <row r="1113" spans="1:16">
      <c r="A1113">
        <v>273</v>
      </c>
      <c r="B1113">
        <v>131.94999999999999</v>
      </c>
      <c r="C1113">
        <v>134.01</v>
      </c>
      <c r="D1113">
        <v>137.4</v>
      </c>
      <c r="E1113">
        <v>139.28</v>
      </c>
      <c r="F1113">
        <v>132.34</v>
      </c>
      <c r="G1113">
        <v>136.51</v>
      </c>
      <c r="H1113">
        <v>116.56</v>
      </c>
      <c r="K1113" s="9">
        <f t="shared" si="58"/>
        <v>-0.16999999999998749</v>
      </c>
      <c r="L1113">
        <f t="shared" si="53"/>
        <v>-0.17000000000001592</v>
      </c>
      <c r="M1113">
        <f t="shared" si="54"/>
        <v>-0.15999999999999659</v>
      </c>
      <c r="N1113">
        <f t="shared" si="55"/>
        <v>-0.11000000000001364</v>
      </c>
      <c r="O1113">
        <f t="shared" si="56"/>
        <v>-0.10999999999998522</v>
      </c>
      <c r="P1113" s="10">
        <f t="shared" si="57"/>
        <v>6.0000000000002274E-2</v>
      </c>
    </row>
    <row r="1114" spans="1:16">
      <c r="A1114">
        <v>273.25</v>
      </c>
      <c r="B1114">
        <v>131.94999999999999</v>
      </c>
      <c r="C1114">
        <v>133.94999999999999</v>
      </c>
      <c r="D1114">
        <v>137.34</v>
      </c>
      <c r="E1114">
        <v>139.22999999999999</v>
      </c>
      <c r="F1114">
        <v>132.34</v>
      </c>
      <c r="G1114">
        <v>136.44999999999999</v>
      </c>
      <c r="H1114">
        <v>116.56</v>
      </c>
      <c r="K1114" s="9">
        <f t="shared" si="58"/>
        <v>-0.16999999999998749</v>
      </c>
      <c r="L1114">
        <f t="shared" si="53"/>
        <v>-0.17000000000001592</v>
      </c>
      <c r="M1114">
        <f t="shared" si="54"/>
        <v>-0.10999999999998522</v>
      </c>
      <c r="N1114">
        <f t="shared" si="55"/>
        <v>-6.0000000000002274E-2</v>
      </c>
      <c r="O1114">
        <f t="shared" si="56"/>
        <v>-0.10999999999998522</v>
      </c>
      <c r="P1114" s="10">
        <f t="shared" si="57"/>
        <v>0</v>
      </c>
    </row>
    <row r="1115" spans="1:16">
      <c r="A1115">
        <v>273.5</v>
      </c>
      <c r="B1115">
        <v>131.94999999999999</v>
      </c>
      <c r="C1115">
        <v>133.84</v>
      </c>
      <c r="D1115">
        <v>137.34</v>
      </c>
      <c r="E1115">
        <v>139.22999999999999</v>
      </c>
      <c r="F1115">
        <v>132.16999999999999</v>
      </c>
      <c r="G1115">
        <v>136.51</v>
      </c>
      <c r="H1115">
        <v>116.56</v>
      </c>
      <c r="K1115" s="9">
        <f t="shared" si="58"/>
        <v>-0.21999999999999886</v>
      </c>
      <c r="L1115">
        <f t="shared" si="53"/>
        <v>-0.28000000000000114</v>
      </c>
      <c r="M1115">
        <f t="shared" si="54"/>
        <v>-0.16999999999998749</v>
      </c>
      <c r="N1115">
        <f t="shared" si="55"/>
        <v>0</v>
      </c>
      <c r="O1115">
        <f t="shared" si="56"/>
        <v>-0.16999999999998749</v>
      </c>
      <c r="P1115" s="10">
        <f t="shared" si="57"/>
        <v>6.0000000000002274E-2</v>
      </c>
    </row>
    <row r="1116" spans="1:16">
      <c r="A1116">
        <v>273.75</v>
      </c>
      <c r="B1116">
        <v>131.9</v>
      </c>
      <c r="C1116">
        <v>133.84</v>
      </c>
      <c r="D1116">
        <v>137.22999999999999</v>
      </c>
      <c r="E1116">
        <v>139.12</v>
      </c>
      <c r="F1116">
        <v>132.22999999999999</v>
      </c>
      <c r="G1116">
        <v>136.4</v>
      </c>
      <c r="H1116">
        <v>116.62</v>
      </c>
      <c r="K1116" s="9">
        <f t="shared" si="58"/>
        <v>-0.21999999999999886</v>
      </c>
      <c r="L1116">
        <f t="shared" si="53"/>
        <v>-0.21999999999999886</v>
      </c>
      <c r="M1116">
        <f t="shared" si="54"/>
        <v>0</v>
      </c>
      <c r="N1116">
        <f t="shared" si="55"/>
        <v>-6.0000000000002274E-2</v>
      </c>
      <c r="O1116">
        <f t="shared" si="56"/>
        <v>-0.12000000000000455</v>
      </c>
      <c r="P1116" s="10">
        <f t="shared" si="57"/>
        <v>0</v>
      </c>
    </row>
    <row r="1117" spans="1:16">
      <c r="A1117">
        <v>274</v>
      </c>
      <c r="B1117">
        <v>131.78</v>
      </c>
      <c r="C1117">
        <v>133.78</v>
      </c>
      <c r="D1117">
        <v>137.16999999999999</v>
      </c>
      <c r="E1117">
        <v>139.12</v>
      </c>
      <c r="F1117">
        <v>132.28</v>
      </c>
      <c r="G1117">
        <v>136.34</v>
      </c>
      <c r="H1117">
        <v>116.56</v>
      </c>
      <c r="K1117" s="9">
        <f t="shared" si="58"/>
        <v>-0.21999999999999886</v>
      </c>
      <c r="L1117">
        <f t="shared" si="53"/>
        <v>-0.21999999999999886</v>
      </c>
      <c r="M1117">
        <f t="shared" si="54"/>
        <v>-0.11000000000001364</v>
      </c>
      <c r="N1117">
        <f t="shared" si="55"/>
        <v>-0.11000000000001364</v>
      </c>
      <c r="O1117">
        <f t="shared" si="56"/>
        <v>-0.11000000000001364</v>
      </c>
      <c r="P1117" s="10">
        <f t="shared" si="57"/>
        <v>0.10999999999999943</v>
      </c>
    </row>
    <row r="1118" spans="1:16">
      <c r="A1118">
        <v>274.25</v>
      </c>
      <c r="B1118">
        <v>131.78</v>
      </c>
      <c r="C1118">
        <v>133.62</v>
      </c>
      <c r="D1118">
        <v>137.06</v>
      </c>
      <c r="E1118">
        <v>139.06</v>
      </c>
      <c r="F1118">
        <v>132.16999999999999</v>
      </c>
      <c r="G1118">
        <v>136.34</v>
      </c>
      <c r="H1118">
        <v>116.62</v>
      </c>
      <c r="K1118" s="9">
        <f t="shared" si="58"/>
        <v>0</v>
      </c>
      <c r="L1118">
        <f t="shared" si="53"/>
        <v>-0.15999999999999659</v>
      </c>
      <c r="M1118">
        <f t="shared" si="54"/>
        <v>-5.0000000000011369E-2</v>
      </c>
      <c r="N1118">
        <f t="shared" si="55"/>
        <v>-4.9999999999982947E-2</v>
      </c>
      <c r="O1118">
        <f t="shared" si="56"/>
        <v>-0.11000000000001364</v>
      </c>
      <c r="P1118" s="10">
        <f t="shared" si="57"/>
        <v>0.15999999999999659</v>
      </c>
    </row>
    <row r="1119" spans="1:16">
      <c r="A1119">
        <v>274.5</v>
      </c>
      <c r="B1119">
        <v>131.78</v>
      </c>
      <c r="C1119">
        <v>133.62</v>
      </c>
      <c r="D1119">
        <v>137.01</v>
      </c>
      <c r="E1119">
        <v>139.12</v>
      </c>
      <c r="F1119">
        <v>132.16999999999999</v>
      </c>
      <c r="G1119">
        <v>136.28</v>
      </c>
      <c r="H1119">
        <v>116.62</v>
      </c>
      <c r="K1119" s="9">
        <f t="shared" si="58"/>
        <v>-0.17000000000001592</v>
      </c>
      <c r="L1119">
        <f t="shared" si="53"/>
        <v>-0.10999999999998522</v>
      </c>
      <c r="M1119">
        <f t="shared" si="54"/>
        <v>-0.11000000000001364</v>
      </c>
      <c r="N1119">
        <f t="shared" si="55"/>
        <v>0</v>
      </c>
      <c r="O1119">
        <f t="shared" si="56"/>
        <v>-5.0000000000011369E-2</v>
      </c>
      <c r="P1119" s="10">
        <f t="shared" si="57"/>
        <v>0.21999999999999886</v>
      </c>
    </row>
    <row r="1120" spans="1:16">
      <c r="A1120">
        <v>274.75</v>
      </c>
      <c r="B1120">
        <v>131.78</v>
      </c>
      <c r="C1120">
        <v>133.56</v>
      </c>
      <c r="D1120">
        <v>136.94999999999999</v>
      </c>
      <c r="E1120">
        <v>139.01</v>
      </c>
      <c r="F1120">
        <v>132.16999999999999</v>
      </c>
      <c r="G1120">
        <v>136.22999999999999</v>
      </c>
      <c r="H1120">
        <v>116.67</v>
      </c>
      <c r="K1120" s="9">
        <f t="shared" si="58"/>
        <v>-0.11000000000001364</v>
      </c>
      <c r="L1120">
        <f t="shared" si="53"/>
        <v>-0.10999999999998522</v>
      </c>
      <c r="M1120">
        <f t="shared" si="54"/>
        <v>-6.0000000000002274E-2</v>
      </c>
      <c r="N1120">
        <f t="shared" si="55"/>
        <v>0</v>
      </c>
      <c r="O1120">
        <f t="shared" si="56"/>
        <v>5.0000000000011369E-2</v>
      </c>
      <c r="P1120" s="10">
        <f t="shared" si="57"/>
        <v>0.17000000000000171</v>
      </c>
    </row>
    <row r="1121" spans="1:16">
      <c r="A1121">
        <v>275</v>
      </c>
      <c r="B1121">
        <v>131.62</v>
      </c>
      <c r="C1121">
        <v>133.62</v>
      </c>
      <c r="D1121">
        <v>136.9</v>
      </c>
      <c r="E1121">
        <v>139.01</v>
      </c>
      <c r="F1121">
        <v>132.12</v>
      </c>
      <c r="G1121">
        <v>136.22999999999999</v>
      </c>
      <c r="H1121">
        <v>116.78</v>
      </c>
      <c r="K1121" s="9">
        <f t="shared" si="58"/>
        <v>-0.17000000000001592</v>
      </c>
      <c r="L1121">
        <f t="shared" si="53"/>
        <v>0</v>
      </c>
      <c r="M1121">
        <f t="shared" si="54"/>
        <v>-6.0000000000002274E-2</v>
      </c>
      <c r="N1121">
        <f t="shared" si="55"/>
        <v>-6.0000000000002274E-2</v>
      </c>
      <c r="O1121">
        <f t="shared" si="56"/>
        <v>0</v>
      </c>
      <c r="P1121" s="10">
        <f t="shared" si="57"/>
        <v>6.0000000000002274E-2</v>
      </c>
    </row>
    <row r="1122" spans="1:16">
      <c r="A1122">
        <v>275.25</v>
      </c>
      <c r="B1122">
        <v>131.62</v>
      </c>
      <c r="C1122">
        <v>133.44999999999999</v>
      </c>
      <c r="D1122">
        <v>136.9</v>
      </c>
      <c r="E1122">
        <v>139.01</v>
      </c>
      <c r="F1122">
        <v>132.16999999999999</v>
      </c>
      <c r="G1122">
        <v>136.22999999999999</v>
      </c>
      <c r="H1122">
        <v>116.84</v>
      </c>
      <c r="K1122" s="9">
        <f t="shared" si="58"/>
        <v>-4.9999999999982947E-2</v>
      </c>
      <c r="L1122">
        <f t="shared" si="53"/>
        <v>0</v>
      </c>
      <c r="M1122">
        <f t="shared" si="54"/>
        <v>-0.10999999999998522</v>
      </c>
      <c r="N1122">
        <f t="shared" si="55"/>
        <v>-4.9999999999982947E-2</v>
      </c>
      <c r="O1122">
        <f t="shared" si="56"/>
        <v>-6.0000000000002274E-2</v>
      </c>
      <c r="P1122" s="10">
        <f t="shared" si="57"/>
        <v>0.17000000000000171</v>
      </c>
    </row>
    <row r="1123" spans="1:16">
      <c r="A1123">
        <v>275.5</v>
      </c>
      <c r="B1123">
        <v>131.62</v>
      </c>
      <c r="C1123">
        <v>133.44999999999999</v>
      </c>
      <c r="D1123">
        <v>136.84</v>
      </c>
      <c r="E1123">
        <v>138.94999999999999</v>
      </c>
      <c r="F1123">
        <v>132.16999999999999</v>
      </c>
      <c r="G1123">
        <v>136.28</v>
      </c>
      <c r="H1123">
        <v>116.84</v>
      </c>
      <c r="K1123" s="9">
        <f t="shared" si="58"/>
        <v>-0.16999999999998749</v>
      </c>
      <c r="L1123">
        <f t="shared" si="53"/>
        <v>6.0000000000002274E-2</v>
      </c>
      <c r="M1123">
        <f t="shared" si="54"/>
        <v>-0.10999999999998522</v>
      </c>
      <c r="N1123">
        <f t="shared" si="55"/>
        <v>-0.10999999999998522</v>
      </c>
      <c r="O1123">
        <f t="shared" si="56"/>
        <v>-0.11000000000001364</v>
      </c>
      <c r="P1123" s="10">
        <f t="shared" si="57"/>
        <v>0.21999999999999886</v>
      </c>
    </row>
    <row r="1124" spans="1:16">
      <c r="A1124">
        <v>275.75</v>
      </c>
      <c r="B1124">
        <v>131.72999999999999</v>
      </c>
      <c r="C1124">
        <v>133.44999999999999</v>
      </c>
      <c r="D1124">
        <v>136.9</v>
      </c>
      <c r="E1124">
        <v>138.94999999999999</v>
      </c>
      <c r="F1124">
        <v>132.06</v>
      </c>
      <c r="G1124">
        <v>136.22999999999999</v>
      </c>
      <c r="H1124">
        <v>116.84</v>
      </c>
      <c r="K1124" s="9">
        <f t="shared" si="58"/>
        <v>-0.16999999999998749</v>
      </c>
      <c r="L1124">
        <f t="shared" si="53"/>
        <v>-0.12000000000000455</v>
      </c>
      <c r="M1124">
        <f t="shared" si="54"/>
        <v>-4.9999999999982947E-2</v>
      </c>
      <c r="N1124">
        <f t="shared" si="55"/>
        <v>-0.11000000000001364</v>
      </c>
      <c r="O1124">
        <f t="shared" si="56"/>
        <v>-0.16999999999998749</v>
      </c>
      <c r="P1124" s="10">
        <f t="shared" si="57"/>
        <v>0.32999999999999829</v>
      </c>
    </row>
    <row r="1125" spans="1:16">
      <c r="A1125">
        <v>276</v>
      </c>
      <c r="B1125">
        <v>131.62</v>
      </c>
      <c r="C1125">
        <v>133.4</v>
      </c>
      <c r="D1125">
        <v>136.9</v>
      </c>
      <c r="E1125">
        <v>138.9</v>
      </c>
      <c r="F1125">
        <v>132.12</v>
      </c>
      <c r="G1125">
        <v>136.16999999999999</v>
      </c>
      <c r="H1125">
        <v>117.01</v>
      </c>
      <c r="K1125" s="9">
        <f t="shared" si="58"/>
        <v>-0.12000000000000455</v>
      </c>
      <c r="L1125">
        <f t="shared" si="53"/>
        <v>-0.17000000000001592</v>
      </c>
      <c r="M1125">
        <f t="shared" si="54"/>
        <v>-0.12000000000000455</v>
      </c>
      <c r="N1125">
        <f t="shared" si="55"/>
        <v>-0.11000000000001364</v>
      </c>
      <c r="O1125">
        <f t="shared" si="56"/>
        <v>-0.10999999999998522</v>
      </c>
      <c r="P1125" s="10">
        <f t="shared" si="57"/>
        <v>0.21999999999999886</v>
      </c>
    </row>
    <row r="1126" spans="1:16">
      <c r="A1126">
        <v>276.25</v>
      </c>
      <c r="B1126">
        <v>131.66999999999999</v>
      </c>
      <c r="C1126">
        <v>133.28</v>
      </c>
      <c r="D1126">
        <v>136.9</v>
      </c>
      <c r="E1126">
        <v>138.84</v>
      </c>
      <c r="F1126">
        <v>132.06</v>
      </c>
      <c r="G1126">
        <v>136.16999999999999</v>
      </c>
      <c r="H1126">
        <v>117.06</v>
      </c>
      <c r="K1126" s="9">
        <f t="shared" si="58"/>
        <v>-5.0000000000011369E-2</v>
      </c>
      <c r="L1126">
        <f t="shared" si="53"/>
        <v>-0.23000000000001819</v>
      </c>
      <c r="M1126">
        <f t="shared" si="54"/>
        <v>-0.11000000000001364</v>
      </c>
      <c r="N1126">
        <f t="shared" si="55"/>
        <v>-5.0000000000011369E-2</v>
      </c>
      <c r="O1126">
        <f t="shared" si="56"/>
        <v>-0.10999999999998522</v>
      </c>
      <c r="P1126" s="10">
        <f t="shared" si="57"/>
        <v>0.21999999999999886</v>
      </c>
    </row>
    <row r="1127" spans="1:16">
      <c r="A1127">
        <v>276.5</v>
      </c>
      <c r="B1127">
        <v>131.62</v>
      </c>
      <c r="C1127">
        <v>133.28</v>
      </c>
      <c r="D1127">
        <v>136.78</v>
      </c>
      <c r="E1127">
        <v>138.9</v>
      </c>
      <c r="F1127">
        <v>131.94999999999999</v>
      </c>
      <c r="G1127">
        <v>136.06</v>
      </c>
      <c r="H1127">
        <v>117.17</v>
      </c>
      <c r="K1127" s="9">
        <f t="shared" si="58"/>
        <v>-5.0000000000011369E-2</v>
      </c>
      <c r="L1127">
        <f t="shared" si="53"/>
        <v>-0.11000000000001364</v>
      </c>
      <c r="M1127">
        <f t="shared" si="54"/>
        <v>-0.12000000000000455</v>
      </c>
      <c r="N1127">
        <f t="shared" si="55"/>
        <v>0.11000000000001364</v>
      </c>
      <c r="O1127">
        <f t="shared" si="56"/>
        <v>0</v>
      </c>
      <c r="P1127" s="10">
        <f t="shared" si="57"/>
        <v>0.17000000000000171</v>
      </c>
    </row>
    <row r="1128" spans="1:16">
      <c r="A1128">
        <v>276.75</v>
      </c>
      <c r="B1128">
        <v>131.51</v>
      </c>
      <c r="C1128">
        <v>133.28</v>
      </c>
      <c r="D1128">
        <v>136.72999999999999</v>
      </c>
      <c r="E1128">
        <v>138.78</v>
      </c>
      <c r="F1128">
        <v>132.01</v>
      </c>
      <c r="G1128">
        <v>136.06</v>
      </c>
      <c r="H1128">
        <v>117.23</v>
      </c>
      <c r="K1128" s="9">
        <f t="shared" si="58"/>
        <v>-0.11000000000001364</v>
      </c>
      <c r="L1128">
        <f t="shared" si="53"/>
        <v>-0.10999999999998522</v>
      </c>
      <c r="M1128">
        <f t="shared" si="54"/>
        <v>-0.15999999999999659</v>
      </c>
      <c r="N1128">
        <f t="shared" si="55"/>
        <v>-6.0000000000002274E-2</v>
      </c>
      <c r="O1128">
        <f t="shared" si="56"/>
        <v>-5.0000000000011369E-2</v>
      </c>
      <c r="P1128" s="10">
        <f t="shared" si="57"/>
        <v>0.17000000000000171</v>
      </c>
    </row>
    <row r="1129" spans="1:16">
      <c r="A1129">
        <v>277</v>
      </c>
      <c r="B1129">
        <v>131.56</v>
      </c>
      <c r="C1129">
        <v>133.22999999999999</v>
      </c>
      <c r="D1129">
        <v>136.66999999999999</v>
      </c>
      <c r="E1129">
        <v>138.72999999999999</v>
      </c>
      <c r="F1129">
        <v>132.01</v>
      </c>
      <c r="G1129">
        <v>136.06</v>
      </c>
      <c r="H1129">
        <v>117.28</v>
      </c>
      <c r="K1129" s="9">
        <f t="shared" si="58"/>
        <v>-6.0000000000002274E-2</v>
      </c>
      <c r="L1129">
        <f t="shared" si="53"/>
        <v>-0.10999999999998522</v>
      </c>
      <c r="M1129">
        <f t="shared" si="54"/>
        <v>-6.0000000000002274E-2</v>
      </c>
      <c r="N1129">
        <f t="shared" si="55"/>
        <v>0</v>
      </c>
      <c r="O1129">
        <f t="shared" si="56"/>
        <v>-5.0000000000011369E-2</v>
      </c>
      <c r="P1129" s="10">
        <f t="shared" si="57"/>
        <v>0.17000000000000171</v>
      </c>
    </row>
    <row r="1130" spans="1:16">
      <c r="A1130">
        <v>277.25</v>
      </c>
      <c r="B1130">
        <v>131.56</v>
      </c>
      <c r="C1130">
        <v>133.22999999999999</v>
      </c>
      <c r="D1130">
        <v>136.66999999999999</v>
      </c>
      <c r="E1130">
        <v>138.78</v>
      </c>
      <c r="F1130">
        <v>132.06</v>
      </c>
      <c r="G1130">
        <v>136.06</v>
      </c>
      <c r="H1130">
        <v>117.34</v>
      </c>
      <c r="K1130" s="9">
        <f t="shared" si="58"/>
        <v>-6.0000000000002274E-2</v>
      </c>
      <c r="L1130">
        <f t="shared" si="53"/>
        <v>-4.9999999999982947E-2</v>
      </c>
      <c r="M1130">
        <f t="shared" si="54"/>
        <v>-0.11000000000001364</v>
      </c>
      <c r="N1130">
        <f t="shared" si="55"/>
        <v>0</v>
      </c>
      <c r="O1130">
        <f t="shared" si="56"/>
        <v>-0.11000000000001364</v>
      </c>
      <c r="P1130" s="10">
        <f t="shared" si="57"/>
        <v>0.17000000000000171</v>
      </c>
    </row>
    <row r="1131" spans="1:16">
      <c r="A1131">
        <v>277.5</v>
      </c>
      <c r="B1131">
        <v>131.51</v>
      </c>
      <c r="C1131">
        <v>133.16999999999999</v>
      </c>
      <c r="D1131">
        <v>136.62</v>
      </c>
      <c r="E1131">
        <v>138.62</v>
      </c>
      <c r="F1131">
        <v>131.94999999999999</v>
      </c>
      <c r="G1131">
        <v>136.01</v>
      </c>
      <c r="H1131">
        <v>117.4</v>
      </c>
      <c r="K1131" s="9">
        <f t="shared" si="58"/>
        <v>-4.9999999999982947E-2</v>
      </c>
      <c r="L1131">
        <f t="shared" si="53"/>
        <v>-6.0000000000002274E-2</v>
      </c>
      <c r="M1131">
        <f t="shared" si="54"/>
        <v>0.10999999999998522</v>
      </c>
      <c r="N1131">
        <f t="shared" si="55"/>
        <v>6.0000000000002274E-2</v>
      </c>
      <c r="O1131">
        <f t="shared" si="56"/>
        <v>-6.0000000000002274E-2</v>
      </c>
      <c r="P1131" s="10">
        <f t="shared" si="57"/>
        <v>0.10999999999999943</v>
      </c>
    </row>
    <row r="1132" spans="1:16">
      <c r="A1132">
        <v>277.75</v>
      </c>
      <c r="B1132">
        <v>131.4</v>
      </c>
      <c r="C1132">
        <v>133.16999999999999</v>
      </c>
      <c r="D1132">
        <v>136.56</v>
      </c>
      <c r="E1132">
        <v>138.66999999999999</v>
      </c>
      <c r="F1132">
        <v>132.01</v>
      </c>
      <c r="G1132">
        <v>136.01</v>
      </c>
      <c r="H1132">
        <v>117.45</v>
      </c>
      <c r="K1132" s="9">
        <f t="shared" si="58"/>
        <v>-0.10999999999998522</v>
      </c>
      <c r="L1132">
        <f t="shared" si="53"/>
        <v>0</v>
      </c>
      <c r="M1132">
        <f t="shared" si="54"/>
        <v>6.0000000000002274E-2</v>
      </c>
      <c r="N1132">
        <f t="shared" si="55"/>
        <v>-0.10999999999998522</v>
      </c>
      <c r="O1132">
        <f t="shared" si="56"/>
        <v>-6.0000000000002274E-2</v>
      </c>
      <c r="P1132" s="10">
        <f t="shared" si="57"/>
        <v>0.17000000000000171</v>
      </c>
    </row>
    <row r="1133" spans="1:16">
      <c r="A1133">
        <v>278</v>
      </c>
      <c r="B1133">
        <v>131.51</v>
      </c>
      <c r="C1133">
        <v>133.16999999999999</v>
      </c>
      <c r="D1133">
        <v>136.62</v>
      </c>
      <c r="E1133">
        <v>138.66999999999999</v>
      </c>
      <c r="F1133">
        <v>132.06</v>
      </c>
      <c r="G1133">
        <v>135.94999999999999</v>
      </c>
      <c r="H1133">
        <v>117.51</v>
      </c>
      <c r="K1133" s="9">
        <f t="shared" si="58"/>
        <v>-0.15999999999999659</v>
      </c>
      <c r="L1133">
        <f t="shared" si="53"/>
        <v>-0.11000000000001364</v>
      </c>
      <c r="M1133">
        <f t="shared" si="54"/>
        <v>-4.9999999999982947E-2</v>
      </c>
      <c r="N1133">
        <f t="shared" si="55"/>
        <v>-5.0000000000011369E-2</v>
      </c>
      <c r="O1133">
        <f t="shared" si="56"/>
        <v>-4.9999999999982947E-2</v>
      </c>
      <c r="P1133" s="10">
        <f t="shared" si="57"/>
        <v>0.21999999999999886</v>
      </c>
    </row>
    <row r="1134" spans="1:16">
      <c r="A1134">
        <v>278.25</v>
      </c>
      <c r="B1134">
        <v>131.51</v>
      </c>
      <c r="C1134">
        <v>133.12</v>
      </c>
      <c r="D1134">
        <v>136.56</v>
      </c>
      <c r="E1134">
        <v>138.72999999999999</v>
      </c>
      <c r="F1134">
        <v>132.01</v>
      </c>
      <c r="G1134">
        <v>135.94999999999999</v>
      </c>
      <c r="H1134">
        <v>117.51</v>
      </c>
      <c r="K1134" s="9">
        <f t="shared" si="58"/>
        <v>-0.17000000000001592</v>
      </c>
      <c r="L1134">
        <f t="shared" si="53"/>
        <v>-0.11000000000001364</v>
      </c>
      <c r="M1134">
        <f t="shared" si="54"/>
        <v>-0.16999999999998749</v>
      </c>
      <c r="N1134">
        <f t="shared" si="55"/>
        <v>-6.0000000000002274E-2</v>
      </c>
      <c r="O1134">
        <f t="shared" si="56"/>
        <v>-4.9999999999982947E-2</v>
      </c>
      <c r="P1134" s="10">
        <f t="shared" si="57"/>
        <v>0.26999999999999602</v>
      </c>
    </row>
    <row r="1135" spans="1:16">
      <c r="A1135">
        <v>278.5</v>
      </c>
      <c r="B1135">
        <v>131.4</v>
      </c>
      <c r="C1135">
        <v>133.06</v>
      </c>
      <c r="D1135">
        <v>136.56</v>
      </c>
      <c r="E1135">
        <v>138.72999999999999</v>
      </c>
      <c r="F1135">
        <v>131.9</v>
      </c>
      <c r="G1135">
        <v>135.94999999999999</v>
      </c>
      <c r="H1135">
        <v>117.62</v>
      </c>
      <c r="K1135" s="9">
        <f t="shared" si="58"/>
        <v>-0.11000000000001364</v>
      </c>
      <c r="L1135">
        <f t="shared" si="53"/>
        <v>-5.0000000000011369E-2</v>
      </c>
      <c r="M1135">
        <f t="shared" si="54"/>
        <v>-0.21999999999999886</v>
      </c>
      <c r="N1135">
        <f t="shared" si="55"/>
        <v>4.9999999999982947E-2</v>
      </c>
      <c r="O1135">
        <f t="shared" si="56"/>
        <v>-4.9999999999982947E-2</v>
      </c>
      <c r="P1135" s="10">
        <f t="shared" si="57"/>
        <v>0.21999999999999886</v>
      </c>
    </row>
    <row r="1136" spans="1:16">
      <c r="A1136">
        <v>278.75</v>
      </c>
      <c r="B1136">
        <v>131.4</v>
      </c>
      <c r="C1136">
        <v>133.01</v>
      </c>
      <c r="D1136">
        <v>136.51</v>
      </c>
      <c r="E1136">
        <v>138.62</v>
      </c>
      <c r="F1136">
        <v>132.01</v>
      </c>
      <c r="G1136">
        <v>135.9</v>
      </c>
      <c r="H1136">
        <v>117.73</v>
      </c>
      <c r="K1136" s="9">
        <f t="shared" si="58"/>
        <v>-0.16999999999998749</v>
      </c>
      <c r="L1136">
        <f t="shared" si="53"/>
        <v>-0.16999999999998749</v>
      </c>
      <c r="M1136">
        <f t="shared" si="54"/>
        <v>-0.17000000000001592</v>
      </c>
      <c r="N1136">
        <f t="shared" si="55"/>
        <v>-0.16999999999998749</v>
      </c>
      <c r="O1136">
        <f t="shared" si="56"/>
        <v>-6.0000000000002274E-2</v>
      </c>
      <c r="P1136" s="10">
        <f t="shared" si="57"/>
        <v>0.21999999999999886</v>
      </c>
    </row>
    <row r="1137" spans="1:16">
      <c r="A1137">
        <v>279</v>
      </c>
      <c r="B1137">
        <v>131.34</v>
      </c>
      <c r="C1137">
        <v>132.94999999999999</v>
      </c>
      <c r="D1137">
        <v>136.44999999999999</v>
      </c>
      <c r="E1137">
        <v>138.56</v>
      </c>
      <c r="F1137">
        <v>131.94999999999999</v>
      </c>
      <c r="G1137">
        <v>135.9</v>
      </c>
      <c r="H1137">
        <v>117.78</v>
      </c>
      <c r="K1137" s="9">
        <f t="shared" si="58"/>
        <v>-0.16999999999998749</v>
      </c>
      <c r="L1137">
        <f t="shared" si="53"/>
        <v>-4.9999999999982947E-2</v>
      </c>
      <c r="M1137">
        <f t="shared" si="54"/>
        <v>-0.11000000000001364</v>
      </c>
      <c r="N1137">
        <f t="shared" si="55"/>
        <v>-0.10999999999998522</v>
      </c>
      <c r="O1137">
        <f t="shared" si="56"/>
        <v>-6.0000000000002274E-2</v>
      </c>
      <c r="P1137" s="10">
        <f t="shared" si="57"/>
        <v>0.23000000000000398</v>
      </c>
    </row>
    <row r="1138" spans="1:16">
      <c r="A1138">
        <v>279.25</v>
      </c>
      <c r="B1138">
        <v>131.28</v>
      </c>
      <c r="C1138">
        <v>132.94999999999999</v>
      </c>
      <c r="D1138">
        <v>136.51</v>
      </c>
      <c r="E1138">
        <v>138.51</v>
      </c>
      <c r="F1138">
        <v>131.94999999999999</v>
      </c>
      <c r="G1138">
        <v>135.9</v>
      </c>
      <c r="H1138">
        <v>117.84</v>
      </c>
      <c r="K1138" s="9">
        <f t="shared" si="58"/>
        <v>-0.21999999999999886</v>
      </c>
      <c r="L1138">
        <f t="shared" si="53"/>
        <v>-0.22999999999998977</v>
      </c>
      <c r="M1138">
        <f t="shared" si="54"/>
        <v>-0.10999999999998522</v>
      </c>
      <c r="N1138">
        <f t="shared" si="55"/>
        <v>-0.10999999999998522</v>
      </c>
      <c r="O1138">
        <f t="shared" si="56"/>
        <v>-0.17000000000001592</v>
      </c>
      <c r="P1138" s="10">
        <f t="shared" si="57"/>
        <v>0.21999999999999886</v>
      </c>
    </row>
    <row r="1139" spans="1:16">
      <c r="A1139">
        <v>279.5</v>
      </c>
      <c r="B1139">
        <v>131.16999999999999</v>
      </c>
      <c r="C1139">
        <v>132.84</v>
      </c>
      <c r="D1139">
        <v>136.34</v>
      </c>
      <c r="E1139">
        <v>138.44999999999999</v>
      </c>
      <c r="F1139">
        <v>131.84</v>
      </c>
      <c r="G1139">
        <v>135.84</v>
      </c>
      <c r="H1139">
        <v>117.95</v>
      </c>
      <c r="K1139" s="9">
        <f t="shared" si="58"/>
        <v>-0.17000000000001592</v>
      </c>
      <c r="L1139">
        <f t="shared" si="53"/>
        <v>6.0000000000002274E-2</v>
      </c>
      <c r="M1139">
        <f t="shared" si="54"/>
        <v>-0.10999999999998522</v>
      </c>
      <c r="N1139">
        <f t="shared" si="55"/>
        <v>-6.0000000000002274E-2</v>
      </c>
      <c r="O1139">
        <f t="shared" si="56"/>
        <v>-0.11000000000001364</v>
      </c>
      <c r="P1139" s="10">
        <f t="shared" si="57"/>
        <v>6.0000000000002274E-2</v>
      </c>
    </row>
    <row r="1140" spans="1:16">
      <c r="A1140">
        <v>279.75</v>
      </c>
      <c r="B1140">
        <v>131.16999999999999</v>
      </c>
      <c r="C1140">
        <v>132.78</v>
      </c>
      <c r="D1140">
        <v>136.4</v>
      </c>
      <c r="E1140">
        <v>138.44999999999999</v>
      </c>
      <c r="F1140">
        <v>131.84</v>
      </c>
      <c r="G1140">
        <v>135.84</v>
      </c>
      <c r="H1140">
        <v>118.01</v>
      </c>
      <c r="K1140" s="9">
        <f t="shared" si="58"/>
        <v>-0.21999999999999886</v>
      </c>
      <c r="L1140">
        <f t="shared" si="53"/>
        <v>-0.12000000000000455</v>
      </c>
      <c r="M1140">
        <f t="shared" si="54"/>
        <v>-0.10999999999998522</v>
      </c>
      <c r="N1140">
        <f t="shared" si="55"/>
        <v>-6.0000000000002274E-2</v>
      </c>
      <c r="O1140">
        <f t="shared" si="56"/>
        <v>-0.11000000000001364</v>
      </c>
      <c r="P1140" s="10">
        <f t="shared" si="57"/>
        <v>0.10999999999999943</v>
      </c>
    </row>
    <row r="1141" spans="1:16">
      <c r="A1141">
        <v>280</v>
      </c>
      <c r="B1141">
        <v>131.06</v>
      </c>
      <c r="C1141">
        <v>132.72999999999999</v>
      </c>
      <c r="D1141">
        <v>136.28</v>
      </c>
      <c r="E1141">
        <v>138.4</v>
      </c>
      <c r="F1141">
        <v>131.84</v>
      </c>
      <c r="G1141">
        <v>135.72999999999999</v>
      </c>
      <c r="H1141">
        <v>118.06</v>
      </c>
      <c r="K1141" s="9">
        <f t="shared" si="58"/>
        <v>-0.16999999999998749</v>
      </c>
      <c r="L1141">
        <f t="shared" si="53"/>
        <v>0</v>
      </c>
      <c r="M1141">
        <f t="shared" si="54"/>
        <v>-6.0000000000002274E-2</v>
      </c>
      <c r="N1141">
        <f t="shared" si="55"/>
        <v>6.0000000000002274E-2</v>
      </c>
      <c r="O1141">
        <f t="shared" si="56"/>
        <v>-6.0000000000002274E-2</v>
      </c>
      <c r="P1141" s="10">
        <f t="shared" si="57"/>
        <v>6.0000000000002274E-2</v>
      </c>
    </row>
    <row r="1142" spans="1:16">
      <c r="A1142">
        <v>280.25</v>
      </c>
      <c r="B1142">
        <v>131.06</v>
      </c>
      <c r="C1142">
        <v>132.66999999999999</v>
      </c>
      <c r="D1142">
        <v>136.4</v>
      </c>
      <c r="E1142">
        <v>138.34</v>
      </c>
      <c r="F1142">
        <v>131.78</v>
      </c>
      <c r="G1142">
        <v>135.72999999999999</v>
      </c>
      <c r="H1142">
        <v>118.01</v>
      </c>
      <c r="K1142" s="9">
        <f t="shared" si="58"/>
        <v>-0.10999999999998522</v>
      </c>
      <c r="L1142">
        <f t="shared" si="53"/>
        <v>-6.0000000000002274E-2</v>
      </c>
      <c r="M1142">
        <f t="shared" si="54"/>
        <v>6.0000000000002274E-2</v>
      </c>
      <c r="N1142">
        <f t="shared" si="55"/>
        <v>0</v>
      </c>
      <c r="O1142">
        <f t="shared" si="56"/>
        <v>-6.0000000000002274E-2</v>
      </c>
      <c r="P1142" s="10">
        <f t="shared" si="57"/>
        <v>0.26999999999999602</v>
      </c>
    </row>
    <row r="1143" spans="1:16">
      <c r="A1143">
        <v>280.5</v>
      </c>
      <c r="B1143">
        <v>130.94999999999999</v>
      </c>
      <c r="C1143">
        <v>132.56</v>
      </c>
      <c r="D1143">
        <v>136.28</v>
      </c>
      <c r="E1143">
        <v>138.34</v>
      </c>
      <c r="F1143">
        <v>131.78</v>
      </c>
      <c r="G1143">
        <v>135.72999999999999</v>
      </c>
      <c r="H1143">
        <v>118.12</v>
      </c>
      <c r="K1143" s="9">
        <f t="shared" si="58"/>
        <v>-5.0000000000011369E-2</v>
      </c>
      <c r="L1143">
        <f t="shared" si="53"/>
        <v>0</v>
      </c>
      <c r="M1143">
        <f t="shared" si="54"/>
        <v>-6.0000000000002274E-2</v>
      </c>
      <c r="N1143">
        <f t="shared" si="55"/>
        <v>0</v>
      </c>
      <c r="O1143">
        <f t="shared" si="56"/>
        <v>-0.10999999999998522</v>
      </c>
      <c r="P1143" s="10">
        <f t="shared" si="57"/>
        <v>0.10999999999999943</v>
      </c>
    </row>
    <row r="1144" spans="1:16">
      <c r="A1144">
        <v>280.75</v>
      </c>
      <c r="B1144">
        <v>130.9</v>
      </c>
      <c r="C1144">
        <v>132.56</v>
      </c>
      <c r="D1144">
        <v>136.28</v>
      </c>
      <c r="E1144">
        <v>138.34</v>
      </c>
      <c r="F1144">
        <v>131.9</v>
      </c>
      <c r="G1144">
        <v>135.66999999999999</v>
      </c>
      <c r="H1144">
        <v>118.12</v>
      </c>
      <c r="K1144" s="9">
        <f t="shared" si="58"/>
        <v>0</v>
      </c>
      <c r="L1144">
        <f t="shared" si="53"/>
        <v>0</v>
      </c>
      <c r="M1144">
        <f t="shared" si="54"/>
        <v>-6.0000000000002274E-2</v>
      </c>
      <c r="N1144">
        <f t="shared" si="55"/>
        <v>-0.17000000000001592</v>
      </c>
      <c r="O1144">
        <f t="shared" si="56"/>
        <v>-4.9999999999982947E-2</v>
      </c>
      <c r="P1144" s="10">
        <f t="shared" si="57"/>
        <v>4.9999999999997158E-2</v>
      </c>
    </row>
    <row r="1145" spans="1:16">
      <c r="A1145">
        <v>281</v>
      </c>
      <c r="B1145">
        <v>130.9</v>
      </c>
      <c r="C1145">
        <v>132.56</v>
      </c>
      <c r="D1145">
        <v>136.34</v>
      </c>
      <c r="E1145">
        <v>138.4</v>
      </c>
      <c r="F1145">
        <v>131.78</v>
      </c>
      <c r="G1145">
        <v>135.66999999999999</v>
      </c>
      <c r="H1145">
        <v>118.28</v>
      </c>
      <c r="K1145" s="9">
        <f t="shared" si="58"/>
        <v>-0.11000000000001364</v>
      </c>
      <c r="L1145">
        <f t="shared" si="53"/>
        <v>-6.0000000000002274E-2</v>
      </c>
      <c r="M1145">
        <f t="shared" si="54"/>
        <v>-0.17000000000001592</v>
      </c>
      <c r="N1145">
        <f t="shared" si="55"/>
        <v>0</v>
      </c>
      <c r="O1145">
        <f t="shared" si="56"/>
        <v>-4.9999999999982947E-2</v>
      </c>
      <c r="P1145" s="10">
        <f t="shared" si="57"/>
        <v>0</v>
      </c>
    </row>
    <row r="1146" spans="1:16">
      <c r="A1146">
        <v>281.25</v>
      </c>
      <c r="B1146">
        <v>130.84</v>
      </c>
      <c r="C1146">
        <v>132.51</v>
      </c>
      <c r="D1146">
        <v>136.28</v>
      </c>
      <c r="E1146">
        <v>138.28</v>
      </c>
      <c r="F1146">
        <v>131.78</v>
      </c>
      <c r="G1146">
        <v>135.62</v>
      </c>
      <c r="H1146">
        <v>118.23</v>
      </c>
      <c r="K1146" s="9">
        <f t="shared" si="58"/>
        <v>-0.10999999999998522</v>
      </c>
      <c r="L1146">
        <f t="shared" si="53"/>
        <v>-5.0000000000011369E-2</v>
      </c>
      <c r="M1146">
        <f t="shared" si="54"/>
        <v>-0.11000000000001364</v>
      </c>
      <c r="N1146">
        <f t="shared" si="55"/>
        <v>-0.11000000000001364</v>
      </c>
      <c r="O1146">
        <f t="shared" si="56"/>
        <v>-0.11000000000001364</v>
      </c>
      <c r="P1146" s="10">
        <f t="shared" si="57"/>
        <v>4.9999999999997158E-2</v>
      </c>
    </row>
    <row r="1147" spans="1:16">
      <c r="A1147">
        <v>281.5</v>
      </c>
      <c r="B1147">
        <v>130.9</v>
      </c>
      <c r="C1147">
        <v>132.56</v>
      </c>
      <c r="D1147">
        <v>136.28</v>
      </c>
      <c r="E1147">
        <v>138.28</v>
      </c>
      <c r="F1147">
        <v>131.72999999999999</v>
      </c>
      <c r="G1147">
        <v>135.62</v>
      </c>
      <c r="H1147">
        <v>118.17</v>
      </c>
      <c r="K1147" s="9">
        <f t="shared" si="58"/>
        <v>-0.15999999999999659</v>
      </c>
      <c r="L1147">
        <f t="shared" si="53"/>
        <v>-5.0000000000011369E-2</v>
      </c>
      <c r="M1147">
        <f t="shared" si="54"/>
        <v>-0.11000000000001364</v>
      </c>
      <c r="N1147">
        <f t="shared" si="55"/>
        <v>-6.0000000000002274E-2</v>
      </c>
      <c r="O1147">
        <f t="shared" si="56"/>
        <v>-6.0000000000002274E-2</v>
      </c>
      <c r="P1147" s="10">
        <f t="shared" si="57"/>
        <v>0.28000000000000114</v>
      </c>
    </row>
    <row r="1148" spans="1:16">
      <c r="A1148">
        <v>281.75</v>
      </c>
      <c r="B1148">
        <v>130.84</v>
      </c>
      <c r="C1148">
        <v>132.44999999999999</v>
      </c>
      <c r="D1148">
        <v>136.28</v>
      </c>
      <c r="E1148">
        <v>138.22999999999999</v>
      </c>
      <c r="F1148">
        <v>131.78</v>
      </c>
      <c r="G1148">
        <v>135.62</v>
      </c>
      <c r="H1148">
        <v>118.28</v>
      </c>
      <c r="K1148" s="9">
        <f t="shared" si="58"/>
        <v>-0.10999999999998522</v>
      </c>
      <c r="L1148">
        <f t="shared" si="53"/>
        <v>-5.0000000000011369E-2</v>
      </c>
      <c r="M1148">
        <f t="shared" si="54"/>
        <v>-0.10999999999998522</v>
      </c>
      <c r="N1148">
        <f t="shared" si="55"/>
        <v>-0.11000000000001364</v>
      </c>
      <c r="O1148">
        <f t="shared" si="56"/>
        <v>-0.17000000000001592</v>
      </c>
      <c r="P1148" s="10">
        <f t="shared" si="57"/>
        <v>0.12000000000000455</v>
      </c>
    </row>
    <row r="1149" spans="1:16">
      <c r="A1149">
        <v>282</v>
      </c>
      <c r="B1149">
        <v>130.78</v>
      </c>
      <c r="C1149">
        <v>132.4</v>
      </c>
      <c r="D1149">
        <v>136.22999999999999</v>
      </c>
      <c r="E1149">
        <v>138.16999999999999</v>
      </c>
      <c r="F1149">
        <v>131.66999999999999</v>
      </c>
      <c r="G1149">
        <v>135.51</v>
      </c>
      <c r="H1149">
        <v>118.28</v>
      </c>
      <c r="K1149" s="9">
        <f t="shared" si="58"/>
        <v>-0.12000000000000455</v>
      </c>
      <c r="L1149">
        <f t="shared" si="53"/>
        <v>0</v>
      </c>
      <c r="M1149">
        <f t="shared" si="54"/>
        <v>-4.9999999999982947E-2</v>
      </c>
      <c r="N1149">
        <f t="shared" si="55"/>
        <v>-4.9999999999982947E-2</v>
      </c>
      <c r="O1149">
        <f t="shared" si="56"/>
        <v>-0.10999999999998522</v>
      </c>
      <c r="P1149" s="10">
        <f t="shared" si="57"/>
        <v>0.12000000000000455</v>
      </c>
    </row>
    <row r="1150" spans="1:16">
      <c r="A1150">
        <v>282.25</v>
      </c>
      <c r="B1150">
        <v>130.62</v>
      </c>
      <c r="C1150">
        <v>132.4</v>
      </c>
      <c r="D1150">
        <v>136.22999999999999</v>
      </c>
      <c r="E1150">
        <v>138.16999999999999</v>
      </c>
      <c r="F1150">
        <v>131.66999999999999</v>
      </c>
      <c r="G1150">
        <v>135.56</v>
      </c>
      <c r="H1150">
        <v>118.45</v>
      </c>
      <c r="K1150" s="9">
        <f t="shared" si="58"/>
        <v>-0.23000000000001819</v>
      </c>
      <c r="L1150">
        <f t="shared" si="53"/>
        <v>-0.10999999999998522</v>
      </c>
      <c r="M1150">
        <f t="shared" si="54"/>
        <v>-4.9999999999982947E-2</v>
      </c>
      <c r="N1150">
        <f t="shared" si="55"/>
        <v>6.0000000000002274E-2</v>
      </c>
      <c r="O1150">
        <f t="shared" si="56"/>
        <v>0</v>
      </c>
      <c r="P1150" s="10">
        <f t="shared" si="57"/>
        <v>0</v>
      </c>
    </row>
    <row r="1151" spans="1:16">
      <c r="A1151">
        <v>282.5</v>
      </c>
      <c r="B1151">
        <v>130.62</v>
      </c>
      <c r="C1151">
        <v>132.34</v>
      </c>
      <c r="D1151">
        <v>136.22999999999999</v>
      </c>
      <c r="E1151">
        <v>138.12</v>
      </c>
      <c r="F1151">
        <v>131.66999999999999</v>
      </c>
      <c r="G1151">
        <v>135.44999999999999</v>
      </c>
      <c r="H1151">
        <v>118.4</v>
      </c>
      <c r="K1151" s="9">
        <f t="shared" si="58"/>
        <v>-0.11000000000001364</v>
      </c>
      <c r="L1151">
        <f t="shared" si="53"/>
        <v>-6.0000000000002274E-2</v>
      </c>
      <c r="M1151">
        <f t="shared" si="54"/>
        <v>-0.11000000000001364</v>
      </c>
      <c r="N1151">
        <f t="shared" si="55"/>
        <v>-0.10999999999998522</v>
      </c>
      <c r="O1151">
        <f t="shared" si="56"/>
        <v>-4.9999999999982947E-2</v>
      </c>
      <c r="P1151" s="10">
        <f t="shared" si="57"/>
        <v>4.9999999999997158E-2</v>
      </c>
    </row>
    <row r="1152" spans="1:16">
      <c r="A1152">
        <v>282.75</v>
      </c>
      <c r="B1152">
        <v>130.62</v>
      </c>
      <c r="C1152">
        <v>132.28</v>
      </c>
      <c r="D1152">
        <v>136.22999999999999</v>
      </c>
      <c r="E1152">
        <v>138.12</v>
      </c>
      <c r="F1152">
        <v>131.62</v>
      </c>
      <c r="G1152">
        <v>135.4</v>
      </c>
      <c r="H1152">
        <v>118.4</v>
      </c>
      <c r="K1152" s="9">
        <f t="shared" si="58"/>
        <v>-0.15999999999999659</v>
      </c>
      <c r="L1152">
        <f t="shared" si="53"/>
        <v>-0.16999999999998749</v>
      </c>
      <c r="M1152">
        <f t="shared" si="54"/>
        <v>-6.0000000000002274E-2</v>
      </c>
      <c r="N1152">
        <f t="shared" si="55"/>
        <v>-6.0000000000002274E-2</v>
      </c>
      <c r="O1152">
        <f t="shared" si="56"/>
        <v>0</v>
      </c>
      <c r="P1152" s="10">
        <f t="shared" si="57"/>
        <v>-6.0000000000002274E-2</v>
      </c>
    </row>
    <row r="1153" spans="1:16">
      <c r="A1153">
        <v>283</v>
      </c>
      <c r="B1153">
        <v>130.56</v>
      </c>
      <c r="C1153">
        <v>132.16999999999999</v>
      </c>
      <c r="D1153">
        <v>136.12</v>
      </c>
      <c r="E1153">
        <v>138.12</v>
      </c>
      <c r="F1153">
        <v>131.72999999999999</v>
      </c>
      <c r="G1153">
        <v>135.56</v>
      </c>
      <c r="H1153">
        <v>118.45</v>
      </c>
      <c r="K1153" s="9">
        <f t="shared" si="58"/>
        <v>6.0000000000002274E-2</v>
      </c>
      <c r="L1153">
        <f t="shared" si="53"/>
        <v>0</v>
      </c>
      <c r="M1153">
        <f t="shared" si="54"/>
        <v>-0.11000000000001364</v>
      </c>
      <c r="N1153">
        <f t="shared" si="55"/>
        <v>-0.21999999999999886</v>
      </c>
      <c r="O1153">
        <f t="shared" si="56"/>
        <v>-0.11000000000001364</v>
      </c>
      <c r="P1153" s="10">
        <f t="shared" si="57"/>
        <v>6.0000000000002274E-2</v>
      </c>
    </row>
    <row r="1154" spans="1:16">
      <c r="A1154">
        <v>283.25</v>
      </c>
      <c r="B1154">
        <v>130.56</v>
      </c>
      <c r="C1154">
        <v>132.22999999999999</v>
      </c>
      <c r="D1154">
        <v>136.16999999999999</v>
      </c>
      <c r="E1154">
        <v>138.01</v>
      </c>
      <c r="F1154">
        <v>131.56</v>
      </c>
      <c r="G1154">
        <v>135.4</v>
      </c>
      <c r="H1154">
        <v>118.45</v>
      </c>
      <c r="K1154" s="9">
        <f t="shared" si="58"/>
        <v>-6.0000000000002274E-2</v>
      </c>
      <c r="L1154">
        <f t="shared" si="53"/>
        <v>-4.9999999999982947E-2</v>
      </c>
      <c r="M1154">
        <f t="shared" si="54"/>
        <v>-6.0000000000002274E-2</v>
      </c>
      <c r="N1154">
        <f t="shared" si="55"/>
        <v>0</v>
      </c>
      <c r="O1154">
        <f t="shared" si="56"/>
        <v>-6.0000000000002274E-2</v>
      </c>
      <c r="P1154" s="10">
        <f t="shared" si="57"/>
        <v>0.10999999999999943</v>
      </c>
    </row>
    <row r="1155" spans="1:16">
      <c r="A1155">
        <v>283.5</v>
      </c>
      <c r="B1155">
        <v>130.51</v>
      </c>
      <c r="C1155">
        <v>132.12</v>
      </c>
      <c r="D1155">
        <v>136.06</v>
      </c>
      <c r="E1155">
        <v>138.06</v>
      </c>
      <c r="F1155">
        <v>131.56</v>
      </c>
      <c r="G1155">
        <v>135.4</v>
      </c>
      <c r="H1155">
        <v>118.34</v>
      </c>
      <c r="K1155" s="9">
        <f t="shared" si="58"/>
        <v>0</v>
      </c>
      <c r="L1155">
        <f t="shared" si="53"/>
        <v>0</v>
      </c>
      <c r="M1155">
        <f t="shared" si="54"/>
        <v>-0.11000000000001364</v>
      </c>
      <c r="N1155">
        <f t="shared" si="55"/>
        <v>-5.0000000000011369E-2</v>
      </c>
      <c r="O1155">
        <f t="shared" si="56"/>
        <v>-0.12000000000000455</v>
      </c>
      <c r="P1155" s="10">
        <f t="shared" si="57"/>
        <v>0.21999999999999886</v>
      </c>
    </row>
    <row r="1156" spans="1:16">
      <c r="A1156">
        <v>283.75</v>
      </c>
      <c r="B1156">
        <v>130.56</v>
      </c>
      <c r="C1156">
        <v>132.22999999999999</v>
      </c>
      <c r="D1156">
        <v>136.12</v>
      </c>
      <c r="E1156">
        <v>138.01</v>
      </c>
      <c r="F1156">
        <v>131.51</v>
      </c>
      <c r="G1156">
        <v>135.44999999999999</v>
      </c>
      <c r="H1156">
        <v>118.51</v>
      </c>
      <c r="K1156" s="9">
        <f t="shared" si="58"/>
        <v>-0.10999999999998522</v>
      </c>
      <c r="L1156">
        <f t="shared" si="53"/>
        <v>-6.0000000000002274E-2</v>
      </c>
      <c r="M1156">
        <f t="shared" si="54"/>
        <v>-6.0000000000002274E-2</v>
      </c>
      <c r="N1156">
        <f t="shared" si="55"/>
        <v>0</v>
      </c>
      <c r="O1156">
        <f t="shared" si="56"/>
        <v>-0.16999999999998749</v>
      </c>
      <c r="P1156" s="10">
        <f t="shared" si="57"/>
        <v>0.15999999999999659</v>
      </c>
    </row>
    <row r="1157" spans="1:16">
      <c r="A1157">
        <v>284</v>
      </c>
      <c r="B1157">
        <v>130.44999999999999</v>
      </c>
      <c r="C1157">
        <v>132.16999999999999</v>
      </c>
      <c r="D1157">
        <v>136.12</v>
      </c>
      <c r="E1157">
        <v>137.94999999999999</v>
      </c>
      <c r="F1157">
        <v>131.56</v>
      </c>
      <c r="G1157">
        <v>135.34</v>
      </c>
      <c r="H1157">
        <v>118.56</v>
      </c>
      <c r="K1157" s="9">
        <f t="shared" si="58"/>
        <v>-0.10999999999998522</v>
      </c>
      <c r="L1157">
        <f t="shared" si="53"/>
        <v>-6.0000000000002274E-2</v>
      </c>
      <c r="M1157">
        <f t="shared" si="54"/>
        <v>-0.10999999999998522</v>
      </c>
      <c r="N1157">
        <f t="shared" si="55"/>
        <v>-0.15999999999999659</v>
      </c>
      <c r="O1157">
        <f t="shared" si="56"/>
        <v>-6.0000000000002274E-2</v>
      </c>
      <c r="P1157" s="10">
        <f t="shared" si="57"/>
        <v>0.17000000000000171</v>
      </c>
    </row>
    <row r="1158" spans="1:16">
      <c r="A1158">
        <v>284.25</v>
      </c>
      <c r="B1158">
        <v>130.4</v>
      </c>
      <c r="C1158">
        <v>132.12</v>
      </c>
      <c r="D1158">
        <v>136.06</v>
      </c>
      <c r="E1158">
        <v>137.94999999999999</v>
      </c>
      <c r="F1158">
        <v>131.51</v>
      </c>
      <c r="G1158">
        <v>135.28</v>
      </c>
      <c r="H1158">
        <v>118.56</v>
      </c>
      <c r="K1158" s="9">
        <f t="shared" si="58"/>
        <v>0</v>
      </c>
      <c r="L1158">
        <f t="shared" si="53"/>
        <v>-5.0000000000011369E-2</v>
      </c>
      <c r="M1158">
        <f t="shared" si="54"/>
        <v>-0.10999999999998522</v>
      </c>
      <c r="N1158">
        <f t="shared" si="55"/>
        <v>-6.0000000000002274E-2</v>
      </c>
      <c r="O1158">
        <f t="shared" si="56"/>
        <v>-5.0000000000011369E-2</v>
      </c>
      <c r="P1158" s="10">
        <f t="shared" si="57"/>
        <v>0.21999999999999886</v>
      </c>
    </row>
    <row r="1159" spans="1:16">
      <c r="A1159">
        <v>284.5</v>
      </c>
      <c r="B1159">
        <v>130.4</v>
      </c>
      <c r="C1159">
        <v>132.12</v>
      </c>
      <c r="D1159">
        <v>136.06</v>
      </c>
      <c r="E1159">
        <v>137.94999999999999</v>
      </c>
      <c r="F1159">
        <v>131.51</v>
      </c>
      <c r="G1159">
        <v>135.28</v>
      </c>
      <c r="H1159">
        <v>118.67</v>
      </c>
      <c r="K1159" s="9">
        <f t="shared" si="58"/>
        <v>0</v>
      </c>
      <c r="L1159">
        <f t="shared" si="53"/>
        <v>-5.0000000000011369E-2</v>
      </c>
      <c r="M1159">
        <f t="shared" si="54"/>
        <v>-0.16999999999998749</v>
      </c>
      <c r="N1159">
        <f t="shared" si="55"/>
        <v>-0.10999999999998522</v>
      </c>
      <c r="O1159">
        <f t="shared" si="56"/>
        <v>-0.11000000000001364</v>
      </c>
      <c r="P1159" s="10">
        <f t="shared" si="57"/>
        <v>0.17000000000000171</v>
      </c>
    </row>
    <row r="1160" spans="1:16">
      <c r="A1160">
        <v>284.75</v>
      </c>
      <c r="B1160">
        <v>130.22999999999999</v>
      </c>
      <c r="C1160">
        <v>132.06</v>
      </c>
      <c r="D1160">
        <v>136.06</v>
      </c>
      <c r="E1160">
        <v>137.84</v>
      </c>
      <c r="F1160">
        <v>131.4</v>
      </c>
      <c r="G1160">
        <v>135.28</v>
      </c>
      <c r="H1160">
        <v>118.73</v>
      </c>
      <c r="K1160" s="9">
        <f t="shared" si="58"/>
        <v>-5.0000000000011369E-2</v>
      </c>
      <c r="L1160">
        <f t="shared" si="53"/>
        <v>-0.11000000000001364</v>
      </c>
      <c r="M1160">
        <f t="shared" si="54"/>
        <v>-6.0000000000002274E-2</v>
      </c>
      <c r="N1160">
        <f t="shared" si="55"/>
        <v>0</v>
      </c>
      <c r="O1160">
        <f t="shared" si="56"/>
        <v>-0.11000000000001364</v>
      </c>
      <c r="P1160" s="10">
        <f t="shared" si="57"/>
        <v>0.21999999999999886</v>
      </c>
    </row>
    <row r="1161" spans="1:16">
      <c r="A1161">
        <v>285</v>
      </c>
      <c r="B1161">
        <v>130.22999999999999</v>
      </c>
      <c r="C1161">
        <v>132.12</v>
      </c>
      <c r="D1161">
        <v>136.01</v>
      </c>
      <c r="E1161">
        <v>137.84</v>
      </c>
      <c r="F1161">
        <v>131.44999999999999</v>
      </c>
      <c r="G1161">
        <v>135.22999999999999</v>
      </c>
      <c r="H1161">
        <v>118.78</v>
      </c>
      <c r="K1161" s="9">
        <f t="shared" si="58"/>
        <v>-0.17000000000001592</v>
      </c>
      <c r="L1161">
        <f t="shared" si="53"/>
        <v>-0.16999999999998749</v>
      </c>
      <c r="M1161">
        <f t="shared" si="54"/>
        <v>-0.11000000000001364</v>
      </c>
      <c r="N1161">
        <f t="shared" si="55"/>
        <v>-4.9999999999982947E-2</v>
      </c>
      <c r="O1161">
        <f t="shared" si="56"/>
        <v>-0.10999999999998522</v>
      </c>
      <c r="P1161" s="10">
        <f t="shared" si="57"/>
        <v>0.17000000000000171</v>
      </c>
    </row>
    <row r="1162" spans="1:16">
      <c r="A1162">
        <v>285.25</v>
      </c>
      <c r="B1162">
        <v>130.22999999999999</v>
      </c>
      <c r="C1162">
        <v>132.12</v>
      </c>
      <c r="D1162">
        <v>136.01</v>
      </c>
      <c r="E1162">
        <v>137.78</v>
      </c>
      <c r="F1162">
        <v>131.4</v>
      </c>
      <c r="G1162">
        <v>135.16999999999999</v>
      </c>
      <c r="H1162">
        <v>118.84</v>
      </c>
      <c r="K1162" s="9">
        <f t="shared" si="58"/>
        <v>-0.11000000000001364</v>
      </c>
      <c r="L1162">
        <f t="shared" ref="L1162:L1225" si="59">D1165-D1162</f>
        <v>-0.16999999999998749</v>
      </c>
      <c r="M1162">
        <f t="shared" ref="M1162:M1225" si="60">E1165-E1162</f>
        <v>0</v>
      </c>
      <c r="N1162">
        <f t="shared" ref="N1162:N1225" si="61">F1165-F1162</f>
        <v>0</v>
      </c>
      <c r="O1162">
        <f t="shared" ref="O1162:O1225" si="62">G1165-G1162</f>
        <v>-4.9999999999982947E-2</v>
      </c>
      <c r="P1162" s="10">
        <f t="shared" ref="P1162:P1225" si="63">H1165-H1162</f>
        <v>0.17000000000000171</v>
      </c>
    </row>
    <row r="1163" spans="1:16">
      <c r="A1163">
        <v>285.5</v>
      </c>
      <c r="B1163">
        <v>130.16999999999999</v>
      </c>
      <c r="C1163">
        <v>132.01</v>
      </c>
      <c r="D1163">
        <v>135.94999999999999</v>
      </c>
      <c r="E1163">
        <v>137.78</v>
      </c>
      <c r="F1163">
        <v>131.4</v>
      </c>
      <c r="G1163">
        <v>135.16999999999999</v>
      </c>
      <c r="H1163">
        <v>118.95</v>
      </c>
      <c r="K1163" s="9">
        <f t="shared" ref="K1163:K1226" si="64">C1166-C1163</f>
        <v>-0.10999999999998522</v>
      </c>
      <c r="L1163">
        <f t="shared" si="59"/>
        <v>-0.10999999999998522</v>
      </c>
      <c r="M1163">
        <f t="shared" si="60"/>
        <v>-0.11000000000001364</v>
      </c>
      <c r="N1163">
        <f t="shared" si="61"/>
        <v>4.9999999999982947E-2</v>
      </c>
      <c r="O1163">
        <f t="shared" si="62"/>
        <v>-0.10999999999998522</v>
      </c>
      <c r="P1163" s="10">
        <f t="shared" si="63"/>
        <v>0.10999999999999943</v>
      </c>
    </row>
    <row r="1164" spans="1:16">
      <c r="A1164">
        <v>285.75</v>
      </c>
      <c r="B1164">
        <v>130.16999999999999</v>
      </c>
      <c r="C1164">
        <v>131.94999999999999</v>
      </c>
      <c r="D1164">
        <v>135.84</v>
      </c>
      <c r="E1164">
        <v>137.72999999999999</v>
      </c>
      <c r="F1164">
        <v>131.4</v>
      </c>
      <c r="G1164">
        <v>135.12</v>
      </c>
      <c r="H1164">
        <v>118.95</v>
      </c>
      <c r="K1164" s="9">
        <f t="shared" si="64"/>
        <v>-0.10999999999998522</v>
      </c>
      <c r="L1164">
        <f t="shared" si="59"/>
        <v>-0.11000000000001364</v>
      </c>
      <c r="M1164">
        <f t="shared" si="60"/>
        <v>-6.0000000000002274E-2</v>
      </c>
      <c r="N1164">
        <f t="shared" si="61"/>
        <v>-0.12000000000000455</v>
      </c>
      <c r="O1164">
        <f t="shared" si="62"/>
        <v>-0.11000000000001364</v>
      </c>
      <c r="P1164" s="10">
        <f t="shared" si="63"/>
        <v>0.17000000000000171</v>
      </c>
    </row>
    <row r="1165" spans="1:16">
      <c r="A1165">
        <v>286</v>
      </c>
      <c r="B1165">
        <v>130.22999999999999</v>
      </c>
      <c r="C1165">
        <v>132.01</v>
      </c>
      <c r="D1165">
        <v>135.84</v>
      </c>
      <c r="E1165">
        <v>137.78</v>
      </c>
      <c r="F1165">
        <v>131.4</v>
      </c>
      <c r="G1165">
        <v>135.12</v>
      </c>
      <c r="H1165">
        <v>119.01</v>
      </c>
      <c r="K1165" s="9">
        <f t="shared" si="64"/>
        <v>-0.10999999999998522</v>
      </c>
      <c r="L1165">
        <f t="shared" si="59"/>
        <v>-0.11000000000001364</v>
      </c>
      <c r="M1165">
        <f t="shared" si="60"/>
        <v>-0.15999999999999659</v>
      </c>
      <c r="N1165">
        <f t="shared" si="61"/>
        <v>-0.12000000000000455</v>
      </c>
      <c r="O1165">
        <f t="shared" si="62"/>
        <v>-0.11000000000001364</v>
      </c>
      <c r="P1165" s="10">
        <f t="shared" si="63"/>
        <v>0.15999999999999659</v>
      </c>
    </row>
    <row r="1166" spans="1:16">
      <c r="A1166">
        <v>286.25</v>
      </c>
      <c r="B1166">
        <v>130.22999999999999</v>
      </c>
      <c r="C1166">
        <v>131.9</v>
      </c>
      <c r="D1166">
        <v>135.84</v>
      </c>
      <c r="E1166">
        <v>137.66999999999999</v>
      </c>
      <c r="F1166">
        <v>131.44999999999999</v>
      </c>
      <c r="G1166">
        <v>135.06</v>
      </c>
      <c r="H1166">
        <v>119.06</v>
      </c>
      <c r="K1166" s="9">
        <f t="shared" si="64"/>
        <v>-0.12000000000000455</v>
      </c>
      <c r="L1166">
        <f t="shared" si="59"/>
        <v>-0.11000000000001364</v>
      </c>
      <c r="M1166">
        <f t="shared" si="60"/>
        <v>-4.9999999999982947E-2</v>
      </c>
      <c r="N1166">
        <f t="shared" si="61"/>
        <v>-0.10999999999998522</v>
      </c>
      <c r="O1166">
        <f t="shared" si="62"/>
        <v>-5.0000000000011369E-2</v>
      </c>
      <c r="P1166" s="10">
        <f t="shared" si="63"/>
        <v>0.21999999999999886</v>
      </c>
    </row>
    <row r="1167" spans="1:16">
      <c r="A1167">
        <v>286.5</v>
      </c>
      <c r="B1167">
        <v>130.16999999999999</v>
      </c>
      <c r="C1167">
        <v>131.84</v>
      </c>
      <c r="D1167">
        <v>135.72999999999999</v>
      </c>
      <c r="E1167">
        <v>137.66999999999999</v>
      </c>
      <c r="F1167">
        <v>131.28</v>
      </c>
      <c r="G1167">
        <v>135.01</v>
      </c>
      <c r="H1167">
        <v>119.12</v>
      </c>
      <c r="K1167" s="9">
        <f t="shared" si="64"/>
        <v>-6.0000000000002274E-2</v>
      </c>
      <c r="L1167">
        <f t="shared" si="59"/>
        <v>-0.10999999999998522</v>
      </c>
      <c r="M1167">
        <f t="shared" si="60"/>
        <v>-0.10999999999998522</v>
      </c>
      <c r="N1167">
        <f t="shared" si="61"/>
        <v>0</v>
      </c>
      <c r="O1167">
        <f t="shared" si="62"/>
        <v>0</v>
      </c>
      <c r="P1167" s="10">
        <f t="shared" si="63"/>
        <v>0.10999999999999943</v>
      </c>
    </row>
    <row r="1168" spans="1:16">
      <c r="A1168">
        <v>286.75</v>
      </c>
      <c r="B1168">
        <v>130.22999999999999</v>
      </c>
      <c r="C1168">
        <v>131.9</v>
      </c>
      <c r="D1168">
        <v>135.72999999999999</v>
      </c>
      <c r="E1168">
        <v>137.62</v>
      </c>
      <c r="F1168">
        <v>131.28</v>
      </c>
      <c r="G1168">
        <v>135.01</v>
      </c>
      <c r="H1168">
        <v>119.17</v>
      </c>
      <c r="K1168" s="9">
        <f t="shared" si="64"/>
        <v>-0.17000000000001592</v>
      </c>
      <c r="L1168">
        <f t="shared" si="59"/>
        <v>-0.16999999999998749</v>
      </c>
      <c r="M1168">
        <f t="shared" si="60"/>
        <v>-6.0000000000002274E-2</v>
      </c>
      <c r="N1168">
        <f t="shared" si="61"/>
        <v>-5.0000000000011369E-2</v>
      </c>
      <c r="O1168">
        <f t="shared" si="62"/>
        <v>-0.16999999999998749</v>
      </c>
      <c r="P1168" s="10">
        <f t="shared" si="63"/>
        <v>0.17000000000000171</v>
      </c>
    </row>
    <row r="1169" spans="1:16">
      <c r="A1169">
        <v>287</v>
      </c>
      <c r="B1169">
        <v>130.16999999999999</v>
      </c>
      <c r="C1169">
        <v>131.78</v>
      </c>
      <c r="D1169">
        <v>135.72999999999999</v>
      </c>
      <c r="E1169">
        <v>137.62</v>
      </c>
      <c r="F1169">
        <v>131.34</v>
      </c>
      <c r="G1169">
        <v>135.01</v>
      </c>
      <c r="H1169">
        <v>119.28</v>
      </c>
      <c r="K1169" s="9">
        <f t="shared" si="64"/>
        <v>-5.0000000000011369E-2</v>
      </c>
      <c r="L1169">
        <f t="shared" si="59"/>
        <v>-0.16999999999998749</v>
      </c>
      <c r="M1169">
        <f t="shared" si="60"/>
        <v>-0.11000000000001364</v>
      </c>
      <c r="N1169">
        <f t="shared" si="61"/>
        <v>-6.0000000000002274E-2</v>
      </c>
      <c r="O1169">
        <f t="shared" si="62"/>
        <v>-0.16999999999998749</v>
      </c>
      <c r="P1169" s="10">
        <f t="shared" si="63"/>
        <v>0.12000000000000455</v>
      </c>
    </row>
    <row r="1170" spans="1:16">
      <c r="A1170">
        <v>287.25</v>
      </c>
      <c r="B1170">
        <v>130.16999999999999</v>
      </c>
      <c r="C1170">
        <v>131.78</v>
      </c>
      <c r="D1170">
        <v>135.62</v>
      </c>
      <c r="E1170">
        <v>137.56</v>
      </c>
      <c r="F1170">
        <v>131.28</v>
      </c>
      <c r="G1170">
        <v>135.01</v>
      </c>
      <c r="H1170">
        <v>119.23</v>
      </c>
      <c r="K1170" s="9">
        <f t="shared" si="64"/>
        <v>-0.11000000000001364</v>
      </c>
      <c r="L1170">
        <f t="shared" si="59"/>
        <v>-0.17000000000001592</v>
      </c>
      <c r="M1170">
        <f t="shared" si="60"/>
        <v>-5.0000000000011369E-2</v>
      </c>
      <c r="N1170">
        <f t="shared" si="61"/>
        <v>-5.0000000000011369E-2</v>
      </c>
      <c r="O1170">
        <f t="shared" si="62"/>
        <v>-0.10999999999998522</v>
      </c>
      <c r="P1170" s="10">
        <f t="shared" si="63"/>
        <v>4.9999999999997158E-2</v>
      </c>
    </row>
    <row r="1171" spans="1:16">
      <c r="A1171">
        <v>287.5</v>
      </c>
      <c r="B1171">
        <v>130.06</v>
      </c>
      <c r="C1171">
        <v>131.72999999999999</v>
      </c>
      <c r="D1171">
        <v>135.56</v>
      </c>
      <c r="E1171">
        <v>137.56</v>
      </c>
      <c r="F1171">
        <v>131.22999999999999</v>
      </c>
      <c r="G1171">
        <v>134.84</v>
      </c>
      <c r="H1171">
        <v>119.34</v>
      </c>
      <c r="K1171" s="9">
        <f t="shared" si="64"/>
        <v>-0.10999999999998522</v>
      </c>
      <c r="L1171">
        <f t="shared" si="59"/>
        <v>-0.15999999999999659</v>
      </c>
      <c r="M1171">
        <f t="shared" si="60"/>
        <v>-0.11000000000001364</v>
      </c>
      <c r="N1171">
        <f t="shared" si="61"/>
        <v>-6.0000000000002274E-2</v>
      </c>
      <c r="O1171">
        <f t="shared" si="62"/>
        <v>0</v>
      </c>
      <c r="P1171" s="10">
        <f t="shared" si="63"/>
        <v>0.10999999999999943</v>
      </c>
    </row>
    <row r="1172" spans="1:16">
      <c r="A1172">
        <v>287.75</v>
      </c>
      <c r="B1172">
        <v>130.16999999999999</v>
      </c>
      <c r="C1172">
        <v>131.72999999999999</v>
      </c>
      <c r="D1172">
        <v>135.56</v>
      </c>
      <c r="E1172">
        <v>137.51</v>
      </c>
      <c r="F1172">
        <v>131.28</v>
      </c>
      <c r="G1172">
        <v>134.84</v>
      </c>
      <c r="H1172">
        <v>119.4</v>
      </c>
      <c r="K1172" s="9">
        <f t="shared" si="64"/>
        <v>0</v>
      </c>
      <c r="L1172">
        <f t="shared" si="59"/>
        <v>-5.0000000000011369E-2</v>
      </c>
      <c r="M1172">
        <f t="shared" si="60"/>
        <v>-0.10999999999998522</v>
      </c>
      <c r="N1172">
        <f t="shared" si="61"/>
        <v>-5.0000000000011369E-2</v>
      </c>
      <c r="O1172">
        <f t="shared" si="62"/>
        <v>-0.11000000000001364</v>
      </c>
      <c r="P1172" s="10">
        <f t="shared" si="63"/>
        <v>0</v>
      </c>
    </row>
    <row r="1173" spans="1:16">
      <c r="A1173">
        <v>288</v>
      </c>
      <c r="B1173">
        <v>130.12</v>
      </c>
      <c r="C1173">
        <v>131.66999999999999</v>
      </c>
      <c r="D1173">
        <v>135.44999999999999</v>
      </c>
      <c r="E1173">
        <v>137.51</v>
      </c>
      <c r="F1173">
        <v>131.22999999999999</v>
      </c>
      <c r="G1173">
        <v>134.9</v>
      </c>
      <c r="H1173">
        <v>119.28</v>
      </c>
      <c r="K1173" s="9">
        <f t="shared" si="64"/>
        <v>0</v>
      </c>
      <c r="L1173">
        <f t="shared" si="59"/>
        <v>-4.9999999999982947E-2</v>
      </c>
      <c r="M1173">
        <f t="shared" si="60"/>
        <v>-0.10999999999998522</v>
      </c>
      <c r="N1173">
        <f t="shared" si="61"/>
        <v>0</v>
      </c>
      <c r="O1173">
        <f t="shared" si="62"/>
        <v>-0.17000000000001592</v>
      </c>
      <c r="P1173" s="10">
        <f t="shared" si="63"/>
        <v>0.17000000000000171</v>
      </c>
    </row>
    <row r="1174" spans="1:16">
      <c r="A1174">
        <v>288.25</v>
      </c>
      <c r="B1174">
        <v>130.01</v>
      </c>
      <c r="C1174">
        <v>131.62</v>
      </c>
      <c r="D1174">
        <v>135.4</v>
      </c>
      <c r="E1174">
        <v>137.44999999999999</v>
      </c>
      <c r="F1174">
        <v>131.16999999999999</v>
      </c>
      <c r="G1174">
        <v>134.84</v>
      </c>
      <c r="H1174">
        <v>119.45</v>
      </c>
      <c r="K1174" s="9">
        <f t="shared" si="64"/>
        <v>-6.0000000000002274E-2</v>
      </c>
      <c r="L1174">
        <f t="shared" si="59"/>
        <v>-0.12000000000000455</v>
      </c>
      <c r="M1174">
        <f t="shared" si="60"/>
        <v>6.0000000000002274E-2</v>
      </c>
      <c r="N1174">
        <f t="shared" si="61"/>
        <v>-4.9999999999982947E-2</v>
      </c>
      <c r="O1174">
        <f t="shared" si="62"/>
        <v>-6.0000000000002274E-2</v>
      </c>
      <c r="P1174" s="10">
        <f t="shared" si="63"/>
        <v>6.0000000000002274E-2</v>
      </c>
    </row>
    <row r="1175" spans="1:16">
      <c r="A1175">
        <v>288.5</v>
      </c>
      <c r="B1175">
        <v>130.12</v>
      </c>
      <c r="C1175">
        <v>131.72999999999999</v>
      </c>
      <c r="D1175">
        <v>135.51</v>
      </c>
      <c r="E1175">
        <v>137.4</v>
      </c>
      <c r="F1175">
        <v>131.22999999999999</v>
      </c>
      <c r="G1175">
        <v>134.72999999999999</v>
      </c>
      <c r="H1175">
        <v>119.4</v>
      </c>
      <c r="K1175" s="9">
        <f t="shared" si="64"/>
        <v>-0.21999999999999886</v>
      </c>
      <c r="L1175">
        <f t="shared" si="59"/>
        <v>-0.28000000000000114</v>
      </c>
      <c r="M1175">
        <f t="shared" si="60"/>
        <v>0</v>
      </c>
      <c r="N1175">
        <f t="shared" si="61"/>
        <v>-6.0000000000002274E-2</v>
      </c>
      <c r="O1175">
        <f t="shared" si="62"/>
        <v>5.0000000000011369E-2</v>
      </c>
      <c r="P1175" s="10">
        <f t="shared" si="63"/>
        <v>0.15999999999999659</v>
      </c>
    </row>
    <row r="1176" spans="1:16">
      <c r="A1176">
        <v>288.75</v>
      </c>
      <c r="B1176">
        <v>130.06</v>
      </c>
      <c r="C1176">
        <v>131.66999999999999</v>
      </c>
      <c r="D1176">
        <v>135.4</v>
      </c>
      <c r="E1176">
        <v>137.4</v>
      </c>
      <c r="F1176">
        <v>131.22999999999999</v>
      </c>
      <c r="G1176">
        <v>134.72999999999999</v>
      </c>
      <c r="H1176">
        <v>119.45</v>
      </c>
      <c r="K1176" s="9">
        <f t="shared" si="64"/>
        <v>-0.10999999999998522</v>
      </c>
      <c r="L1176">
        <f t="shared" si="59"/>
        <v>-0.17000000000001592</v>
      </c>
      <c r="M1176">
        <f t="shared" si="60"/>
        <v>-6.0000000000002274E-2</v>
      </c>
      <c r="N1176">
        <f t="shared" si="61"/>
        <v>-6.0000000000002274E-2</v>
      </c>
      <c r="O1176">
        <f t="shared" si="62"/>
        <v>0</v>
      </c>
      <c r="P1176" s="10">
        <f t="shared" si="63"/>
        <v>0.21999999999999886</v>
      </c>
    </row>
    <row r="1177" spans="1:16">
      <c r="A1177">
        <v>289</v>
      </c>
      <c r="B1177">
        <v>129.94999999999999</v>
      </c>
      <c r="C1177">
        <v>131.56</v>
      </c>
      <c r="D1177">
        <v>135.28</v>
      </c>
      <c r="E1177">
        <v>137.51</v>
      </c>
      <c r="F1177">
        <v>131.12</v>
      </c>
      <c r="G1177">
        <v>134.78</v>
      </c>
      <c r="H1177">
        <v>119.51</v>
      </c>
      <c r="K1177" s="9">
        <f t="shared" si="64"/>
        <v>-0.11000000000001364</v>
      </c>
      <c r="L1177">
        <f t="shared" si="59"/>
        <v>-0.15999999999999659</v>
      </c>
      <c r="M1177">
        <f t="shared" si="60"/>
        <v>-0.28000000000000114</v>
      </c>
      <c r="N1177">
        <f t="shared" si="61"/>
        <v>0</v>
      </c>
      <c r="O1177">
        <f t="shared" si="62"/>
        <v>-0.11000000000001364</v>
      </c>
      <c r="P1177" s="10">
        <f t="shared" si="63"/>
        <v>0.15999999999999659</v>
      </c>
    </row>
    <row r="1178" spans="1:16">
      <c r="A1178">
        <v>289.25</v>
      </c>
      <c r="B1178">
        <v>129.9</v>
      </c>
      <c r="C1178">
        <v>131.51</v>
      </c>
      <c r="D1178">
        <v>135.22999999999999</v>
      </c>
      <c r="E1178">
        <v>137.4</v>
      </c>
      <c r="F1178">
        <v>131.16999999999999</v>
      </c>
      <c r="G1178">
        <v>134.78</v>
      </c>
      <c r="H1178">
        <v>119.56</v>
      </c>
      <c r="K1178" s="9">
        <f t="shared" si="64"/>
        <v>-0.10999999999998522</v>
      </c>
      <c r="L1178">
        <f t="shared" si="59"/>
        <v>-0.16999999999998749</v>
      </c>
      <c r="M1178">
        <f t="shared" si="60"/>
        <v>-0.12000000000000455</v>
      </c>
      <c r="N1178">
        <f t="shared" si="61"/>
        <v>-4.9999999999982947E-2</v>
      </c>
      <c r="O1178">
        <f t="shared" si="62"/>
        <v>-0.15999999999999659</v>
      </c>
      <c r="P1178" s="10">
        <f t="shared" si="63"/>
        <v>0.21999999999999886</v>
      </c>
    </row>
    <row r="1179" spans="1:16">
      <c r="A1179">
        <v>289.5</v>
      </c>
      <c r="B1179">
        <v>129.9</v>
      </c>
      <c r="C1179">
        <v>131.56</v>
      </c>
      <c r="D1179">
        <v>135.22999999999999</v>
      </c>
      <c r="E1179">
        <v>137.34</v>
      </c>
      <c r="F1179">
        <v>131.16999999999999</v>
      </c>
      <c r="G1179">
        <v>134.72999999999999</v>
      </c>
      <c r="H1179">
        <v>119.67</v>
      </c>
      <c r="K1179" s="9">
        <f t="shared" si="64"/>
        <v>-0.15999999999999659</v>
      </c>
      <c r="L1179">
        <f t="shared" si="59"/>
        <v>-0.16999999999998749</v>
      </c>
      <c r="M1179">
        <f t="shared" si="60"/>
        <v>-0.11000000000001364</v>
      </c>
      <c r="N1179">
        <f t="shared" si="61"/>
        <v>-0.10999999999998522</v>
      </c>
      <c r="O1179">
        <f t="shared" si="62"/>
        <v>-0.10999999999998522</v>
      </c>
      <c r="P1179" s="10">
        <f t="shared" si="63"/>
        <v>6.0000000000002274E-2</v>
      </c>
    </row>
    <row r="1180" spans="1:16">
      <c r="A1180">
        <v>289.75</v>
      </c>
      <c r="B1180">
        <v>129.72999999999999</v>
      </c>
      <c r="C1180">
        <v>131.44999999999999</v>
      </c>
      <c r="D1180">
        <v>135.12</v>
      </c>
      <c r="E1180">
        <v>137.22999999999999</v>
      </c>
      <c r="F1180">
        <v>131.12</v>
      </c>
      <c r="G1180">
        <v>134.66999999999999</v>
      </c>
      <c r="H1180">
        <v>119.67</v>
      </c>
      <c r="K1180" s="9">
        <f t="shared" si="64"/>
        <v>-4.9999999999982947E-2</v>
      </c>
      <c r="L1180">
        <f t="shared" si="59"/>
        <v>-0.11000000000001364</v>
      </c>
      <c r="M1180">
        <f t="shared" si="60"/>
        <v>0</v>
      </c>
      <c r="N1180">
        <f t="shared" si="61"/>
        <v>-6.0000000000002274E-2</v>
      </c>
      <c r="O1180">
        <f t="shared" si="62"/>
        <v>-4.9999999999982947E-2</v>
      </c>
      <c r="P1180" s="10">
        <f t="shared" si="63"/>
        <v>0.10999999999999943</v>
      </c>
    </row>
    <row r="1181" spans="1:16">
      <c r="A1181">
        <v>290</v>
      </c>
      <c r="B1181">
        <v>129.72999999999999</v>
      </c>
      <c r="C1181">
        <v>131.4</v>
      </c>
      <c r="D1181">
        <v>135.06</v>
      </c>
      <c r="E1181">
        <v>137.28</v>
      </c>
      <c r="F1181">
        <v>131.12</v>
      </c>
      <c r="G1181">
        <v>134.62</v>
      </c>
      <c r="H1181">
        <v>119.78</v>
      </c>
      <c r="K1181" s="9">
        <f t="shared" si="64"/>
        <v>-0.12000000000000455</v>
      </c>
      <c r="L1181">
        <f t="shared" si="59"/>
        <v>-0.11000000000001364</v>
      </c>
      <c r="M1181">
        <f t="shared" si="60"/>
        <v>-5.0000000000011369E-2</v>
      </c>
      <c r="N1181">
        <f t="shared" si="61"/>
        <v>-6.0000000000002274E-2</v>
      </c>
      <c r="O1181">
        <f t="shared" si="62"/>
        <v>-0.11000000000001364</v>
      </c>
      <c r="P1181" s="10">
        <f t="shared" si="63"/>
        <v>0.12000000000000455</v>
      </c>
    </row>
    <row r="1182" spans="1:16">
      <c r="A1182">
        <v>290.25</v>
      </c>
      <c r="B1182">
        <v>129.66999999999999</v>
      </c>
      <c r="C1182">
        <v>131.4</v>
      </c>
      <c r="D1182">
        <v>135.06</v>
      </c>
      <c r="E1182">
        <v>137.22999999999999</v>
      </c>
      <c r="F1182">
        <v>131.06</v>
      </c>
      <c r="G1182">
        <v>134.62</v>
      </c>
      <c r="H1182">
        <v>119.73</v>
      </c>
      <c r="K1182" s="9">
        <f t="shared" si="64"/>
        <v>-0.12000000000000455</v>
      </c>
      <c r="L1182">
        <f t="shared" si="59"/>
        <v>-0.21999999999999886</v>
      </c>
      <c r="M1182">
        <f t="shared" si="60"/>
        <v>0</v>
      </c>
      <c r="N1182">
        <f t="shared" si="61"/>
        <v>6.0000000000002274E-2</v>
      </c>
      <c r="O1182">
        <f t="shared" si="62"/>
        <v>-6.0000000000002274E-2</v>
      </c>
      <c r="P1182" s="10">
        <f t="shared" si="63"/>
        <v>0.10999999999999943</v>
      </c>
    </row>
    <row r="1183" spans="1:16">
      <c r="A1183">
        <v>290.5</v>
      </c>
      <c r="B1183">
        <v>129.51</v>
      </c>
      <c r="C1183">
        <v>131.4</v>
      </c>
      <c r="D1183">
        <v>135.01</v>
      </c>
      <c r="E1183">
        <v>137.22999999999999</v>
      </c>
      <c r="F1183">
        <v>131.06</v>
      </c>
      <c r="G1183">
        <v>134.62</v>
      </c>
      <c r="H1183">
        <v>119.78</v>
      </c>
      <c r="K1183" s="9">
        <f t="shared" si="64"/>
        <v>-0.17000000000001592</v>
      </c>
      <c r="L1183">
        <f t="shared" si="59"/>
        <v>-0.16999999999998749</v>
      </c>
      <c r="M1183">
        <f t="shared" si="60"/>
        <v>-0.16999999999998749</v>
      </c>
      <c r="N1183">
        <f t="shared" si="61"/>
        <v>-5.0000000000011369E-2</v>
      </c>
      <c r="O1183">
        <f t="shared" si="62"/>
        <v>-0.11000000000001364</v>
      </c>
      <c r="P1183" s="10">
        <f t="shared" si="63"/>
        <v>0</v>
      </c>
    </row>
    <row r="1184" spans="1:16">
      <c r="A1184">
        <v>290.75</v>
      </c>
      <c r="B1184">
        <v>129.44999999999999</v>
      </c>
      <c r="C1184">
        <v>131.28</v>
      </c>
      <c r="D1184">
        <v>134.94999999999999</v>
      </c>
      <c r="E1184">
        <v>137.22999999999999</v>
      </c>
      <c r="F1184">
        <v>131.06</v>
      </c>
      <c r="G1184">
        <v>134.51</v>
      </c>
      <c r="H1184">
        <v>119.9</v>
      </c>
      <c r="K1184" s="9">
        <f t="shared" si="64"/>
        <v>0</v>
      </c>
      <c r="L1184">
        <f t="shared" si="59"/>
        <v>-0.10999999999998522</v>
      </c>
      <c r="M1184">
        <f t="shared" si="60"/>
        <v>-0.10999999999998522</v>
      </c>
      <c r="N1184">
        <f t="shared" si="61"/>
        <v>0</v>
      </c>
      <c r="O1184">
        <f t="shared" si="62"/>
        <v>0</v>
      </c>
      <c r="P1184" s="10">
        <f t="shared" si="63"/>
        <v>-6.0000000000002274E-2</v>
      </c>
    </row>
    <row r="1185" spans="1:16">
      <c r="A1185">
        <v>291</v>
      </c>
      <c r="B1185">
        <v>129.4</v>
      </c>
      <c r="C1185">
        <v>131.28</v>
      </c>
      <c r="D1185">
        <v>134.84</v>
      </c>
      <c r="E1185">
        <v>137.22999999999999</v>
      </c>
      <c r="F1185">
        <v>131.12</v>
      </c>
      <c r="G1185">
        <v>134.56</v>
      </c>
      <c r="H1185">
        <v>119.84</v>
      </c>
      <c r="K1185" s="9">
        <f t="shared" si="64"/>
        <v>-0.11000000000001364</v>
      </c>
      <c r="L1185">
        <f t="shared" si="59"/>
        <v>-0.11000000000001364</v>
      </c>
      <c r="M1185">
        <f t="shared" si="60"/>
        <v>-0.10999999999998522</v>
      </c>
      <c r="N1185">
        <f t="shared" si="61"/>
        <v>-0.17000000000001592</v>
      </c>
      <c r="O1185">
        <f t="shared" si="62"/>
        <v>-0.15999999999999659</v>
      </c>
      <c r="P1185" s="10">
        <f t="shared" si="63"/>
        <v>0</v>
      </c>
    </row>
    <row r="1186" spans="1:16">
      <c r="A1186">
        <v>291.25</v>
      </c>
      <c r="B1186">
        <v>129.34</v>
      </c>
      <c r="C1186">
        <v>131.22999999999999</v>
      </c>
      <c r="D1186">
        <v>134.84</v>
      </c>
      <c r="E1186">
        <v>137.06</v>
      </c>
      <c r="F1186">
        <v>131.01</v>
      </c>
      <c r="G1186">
        <v>134.51</v>
      </c>
      <c r="H1186">
        <v>119.78</v>
      </c>
      <c r="K1186" s="9">
        <f t="shared" si="64"/>
        <v>0</v>
      </c>
      <c r="L1186">
        <f t="shared" si="59"/>
        <v>-0.17000000000001592</v>
      </c>
      <c r="M1186">
        <f t="shared" si="60"/>
        <v>-5.0000000000011369E-2</v>
      </c>
      <c r="N1186">
        <f t="shared" si="61"/>
        <v>5.0000000000011369E-2</v>
      </c>
      <c r="O1186">
        <f t="shared" si="62"/>
        <v>-6.0000000000002274E-2</v>
      </c>
      <c r="P1186" s="10">
        <f t="shared" si="63"/>
        <v>6.0000000000002274E-2</v>
      </c>
    </row>
    <row r="1187" spans="1:16">
      <c r="A1187">
        <v>291.5</v>
      </c>
      <c r="B1187">
        <v>129.4</v>
      </c>
      <c r="C1187">
        <v>131.28</v>
      </c>
      <c r="D1187">
        <v>134.84</v>
      </c>
      <c r="E1187">
        <v>137.12</v>
      </c>
      <c r="F1187">
        <v>131.06</v>
      </c>
      <c r="G1187">
        <v>134.51</v>
      </c>
      <c r="H1187">
        <v>119.84</v>
      </c>
      <c r="K1187" s="9">
        <f t="shared" si="64"/>
        <v>-0.15999999999999659</v>
      </c>
      <c r="L1187">
        <f t="shared" si="59"/>
        <v>-0.21999999999999886</v>
      </c>
      <c r="M1187">
        <f t="shared" si="60"/>
        <v>-6.0000000000002274E-2</v>
      </c>
      <c r="N1187">
        <f t="shared" si="61"/>
        <v>-0.15999999999999659</v>
      </c>
      <c r="O1187">
        <f t="shared" si="62"/>
        <v>-0.10999999999998522</v>
      </c>
      <c r="P1187" s="10">
        <f t="shared" si="63"/>
        <v>0.10999999999999943</v>
      </c>
    </row>
    <row r="1188" spans="1:16">
      <c r="A1188">
        <v>291.75</v>
      </c>
      <c r="B1188">
        <v>129.28</v>
      </c>
      <c r="C1188">
        <v>131.16999999999999</v>
      </c>
      <c r="D1188">
        <v>134.72999999999999</v>
      </c>
      <c r="E1188">
        <v>137.12</v>
      </c>
      <c r="F1188">
        <v>130.94999999999999</v>
      </c>
      <c r="G1188">
        <v>134.4</v>
      </c>
      <c r="H1188">
        <v>119.84</v>
      </c>
      <c r="K1188" s="9">
        <f t="shared" si="64"/>
        <v>-0.10999999999998522</v>
      </c>
      <c r="L1188">
        <f t="shared" si="59"/>
        <v>-0.16999999999998749</v>
      </c>
      <c r="M1188">
        <f t="shared" si="60"/>
        <v>-0.17000000000001592</v>
      </c>
      <c r="N1188">
        <f t="shared" si="61"/>
        <v>6.0000000000002274E-2</v>
      </c>
      <c r="O1188">
        <f t="shared" si="62"/>
        <v>0</v>
      </c>
      <c r="P1188" s="10">
        <f t="shared" si="63"/>
        <v>0.28000000000000114</v>
      </c>
    </row>
    <row r="1189" spans="1:16">
      <c r="A1189">
        <v>292</v>
      </c>
      <c r="B1189">
        <v>129.28</v>
      </c>
      <c r="C1189">
        <v>131.22999999999999</v>
      </c>
      <c r="D1189">
        <v>134.66999999999999</v>
      </c>
      <c r="E1189">
        <v>137.01</v>
      </c>
      <c r="F1189">
        <v>131.06</v>
      </c>
      <c r="G1189">
        <v>134.44999999999999</v>
      </c>
      <c r="H1189">
        <v>119.84</v>
      </c>
      <c r="K1189" s="9">
        <f t="shared" si="64"/>
        <v>-0.21999999999999886</v>
      </c>
      <c r="L1189">
        <f t="shared" si="59"/>
        <v>-0.15999999999999659</v>
      </c>
      <c r="M1189">
        <f t="shared" si="60"/>
        <v>-0.10999999999998522</v>
      </c>
      <c r="N1189">
        <f t="shared" si="61"/>
        <v>-0.21999999999999886</v>
      </c>
      <c r="O1189">
        <f t="shared" si="62"/>
        <v>-0.10999999999998522</v>
      </c>
      <c r="P1189" s="10">
        <f t="shared" si="63"/>
        <v>0.28000000000000114</v>
      </c>
    </row>
    <row r="1190" spans="1:16">
      <c r="A1190">
        <v>292.25</v>
      </c>
      <c r="B1190">
        <v>129.16999999999999</v>
      </c>
      <c r="C1190">
        <v>131.12</v>
      </c>
      <c r="D1190">
        <v>134.62</v>
      </c>
      <c r="E1190">
        <v>137.06</v>
      </c>
      <c r="F1190">
        <v>130.9</v>
      </c>
      <c r="G1190">
        <v>134.4</v>
      </c>
      <c r="H1190">
        <v>119.95</v>
      </c>
      <c r="K1190" s="9">
        <f t="shared" si="64"/>
        <v>-0.28000000000000114</v>
      </c>
      <c r="L1190">
        <f t="shared" si="59"/>
        <v>-0.28000000000000114</v>
      </c>
      <c r="M1190">
        <f t="shared" si="60"/>
        <v>-0.15999999999999659</v>
      </c>
      <c r="N1190">
        <f t="shared" si="61"/>
        <v>-6.0000000000002274E-2</v>
      </c>
      <c r="O1190">
        <f t="shared" si="62"/>
        <v>-0.12000000000000455</v>
      </c>
      <c r="P1190" s="10">
        <f t="shared" si="63"/>
        <v>0.17000000000000171</v>
      </c>
    </row>
    <row r="1191" spans="1:16">
      <c r="A1191">
        <v>292.5</v>
      </c>
      <c r="B1191">
        <v>129.12</v>
      </c>
      <c r="C1191">
        <v>131.06</v>
      </c>
      <c r="D1191">
        <v>134.56</v>
      </c>
      <c r="E1191">
        <v>136.94999999999999</v>
      </c>
      <c r="F1191">
        <v>131.01</v>
      </c>
      <c r="G1191">
        <v>134.4</v>
      </c>
      <c r="H1191">
        <v>120.12</v>
      </c>
      <c r="K1191" s="9">
        <f t="shared" si="64"/>
        <v>-0.21999999999999886</v>
      </c>
      <c r="L1191">
        <f t="shared" si="59"/>
        <v>-0.21999999999999886</v>
      </c>
      <c r="M1191">
        <f t="shared" si="60"/>
        <v>-4.9999999999982947E-2</v>
      </c>
      <c r="N1191">
        <f t="shared" si="61"/>
        <v>-0.16999999999998749</v>
      </c>
      <c r="O1191">
        <f t="shared" si="62"/>
        <v>-0.17000000000001592</v>
      </c>
      <c r="P1191" s="10">
        <f t="shared" si="63"/>
        <v>-6.0000000000002274E-2</v>
      </c>
    </row>
    <row r="1192" spans="1:16">
      <c r="A1192">
        <v>292.75</v>
      </c>
      <c r="B1192">
        <v>129.12</v>
      </c>
      <c r="C1192">
        <v>131.01</v>
      </c>
      <c r="D1192">
        <v>134.51</v>
      </c>
      <c r="E1192">
        <v>136.9</v>
      </c>
      <c r="F1192">
        <v>130.84</v>
      </c>
      <c r="G1192">
        <v>134.34</v>
      </c>
      <c r="H1192">
        <v>120.12</v>
      </c>
      <c r="K1192" s="9">
        <f t="shared" si="64"/>
        <v>-0.28000000000000114</v>
      </c>
      <c r="L1192">
        <f t="shared" si="59"/>
        <v>-0.22999999999998977</v>
      </c>
      <c r="M1192">
        <f t="shared" si="60"/>
        <v>-6.0000000000002274E-2</v>
      </c>
      <c r="N1192">
        <f t="shared" si="61"/>
        <v>0</v>
      </c>
      <c r="O1192">
        <f t="shared" si="62"/>
        <v>-0.11000000000001364</v>
      </c>
      <c r="P1192" s="10">
        <f t="shared" si="63"/>
        <v>-6.0000000000002274E-2</v>
      </c>
    </row>
    <row r="1193" spans="1:16">
      <c r="A1193">
        <v>293</v>
      </c>
      <c r="B1193">
        <v>129.06</v>
      </c>
      <c r="C1193">
        <v>130.84</v>
      </c>
      <c r="D1193">
        <v>134.34</v>
      </c>
      <c r="E1193">
        <v>136.9</v>
      </c>
      <c r="F1193">
        <v>130.84</v>
      </c>
      <c r="G1193">
        <v>134.28</v>
      </c>
      <c r="H1193">
        <v>120.12</v>
      </c>
      <c r="K1193" s="9">
        <f t="shared" si="64"/>
        <v>-0.11000000000001364</v>
      </c>
      <c r="L1193">
        <f t="shared" si="59"/>
        <v>-6.0000000000002274E-2</v>
      </c>
      <c r="M1193">
        <f t="shared" si="60"/>
        <v>-0.12000000000000455</v>
      </c>
      <c r="N1193">
        <f t="shared" si="61"/>
        <v>-0.11000000000001364</v>
      </c>
      <c r="O1193">
        <f t="shared" si="62"/>
        <v>-5.0000000000011369E-2</v>
      </c>
      <c r="P1193" s="10">
        <f t="shared" si="63"/>
        <v>-0.10999999999999943</v>
      </c>
    </row>
    <row r="1194" spans="1:16">
      <c r="A1194">
        <v>293.25</v>
      </c>
      <c r="B1194">
        <v>129.01</v>
      </c>
      <c r="C1194">
        <v>130.84</v>
      </c>
      <c r="D1194">
        <v>134.34</v>
      </c>
      <c r="E1194">
        <v>136.9</v>
      </c>
      <c r="F1194">
        <v>130.84</v>
      </c>
      <c r="G1194">
        <v>134.22999999999999</v>
      </c>
      <c r="H1194">
        <v>120.06</v>
      </c>
      <c r="K1194" s="9">
        <f t="shared" si="64"/>
        <v>-0.21999999999999886</v>
      </c>
      <c r="L1194">
        <f t="shared" si="59"/>
        <v>-0.11000000000001364</v>
      </c>
      <c r="M1194">
        <f t="shared" si="60"/>
        <v>-0.12000000000000455</v>
      </c>
      <c r="N1194">
        <f t="shared" si="61"/>
        <v>0</v>
      </c>
      <c r="O1194">
        <f t="shared" si="62"/>
        <v>5.0000000000011369E-2</v>
      </c>
      <c r="P1194" s="10">
        <f t="shared" si="63"/>
        <v>6.0000000000002274E-2</v>
      </c>
    </row>
    <row r="1195" spans="1:16">
      <c r="A1195">
        <v>293.5</v>
      </c>
      <c r="B1195">
        <v>129.01</v>
      </c>
      <c r="C1195">
        <v>130.72999999999999</v>
      </c>
      <c r="D1195">
        <v>134.28</v>
      </c>
      <c r="E1195">
        <v>136.84</v>
      </c>
      <c r="F1195">
        <v>130.84</v>
      </c>
      <c r="G1195">
        <v>134.22999999999999</v>
      </c>
      <c r="H1195">
        <v>120.06</v>
      </c>
      <c r="K1195" s="9">
        <f t="shared" si="64"/>
        <v>-6.0000000000002274E-2</v>
      </c>
      <c r="L1195">
        <f t="shared" si="59"/>
        <v>-5.0000000000011369E-2</v>
      </c>
      <c r="M1195">
        <f t="shared" si="60"/>
        <v>-0.11000000000001364</v>
      </c>
      <c r="N1195">
        <f t="shared" si="61"/>
        <v>-6.0000000000002274E-2</v>
      </c>
      <c r="O1195">
        <f t="shared" si="62"/>
        <v>0</v>
      </c>
      <c r="P1195" s="10">
        <f t="shared" si="63"/>
        <v>0.17000000000000171</v>
      </c>
    </row>
    <row r="1196" spans="1:16">
      <c r="A1196">
        <v>293.75</v>
      </c>
      <c r="B1196">
        <v>128.94999999999999</v>
      </c>
      <c r="C1196">
        <v>130.72999999999999</v>
      </c>
      <c r="D1196">
        <v>134.28</v>
      </c>
      <c r="E1196">
        <v>136.78</v>
      </c>
      <c r="F1196">
        <v>130.72999999999999</v>
      </c>
      <c r="G1196">
        <v>134.22999999999999</v>
      </c>
      <c r="H1196">
        <v>120.01</v>
      </c>
      <c r="K1196" s="9">
        <f t="shared" si="64"/>
        <v>-0.21999999999999886</v>
      </c>
      <c r="L1196">
        <f t="shared" si="59"/>
        <v>-0.11000000000001364</v>
      </c>
      <c r="M1196">
        <f t="shared" si="60"/>
        <v>-5.0000000000011369E-2</v>
      </c>
      <c r="N1196">
        <f t="shared" si="61"/>
        <v>0</v>
      </c>
      <c r="O1196">
        <f t="shared" si="62"/>
        <v>-0.10999999999998522</v>
      </c>
      <c r="P1196" s="10">
        <f t="shared" si="63"/>
        <v>0.26999999999999602</v>
      </c>
    </row>
    <row r="1197" spans="1:16">
      <c r="A1197">
        <v>294</v>
      </c>
      <c r="B1197">
        <v>129.01</v>
      </c>
      <c r="C1197">
        <v>130.62</v>
      </c>
      <c r="D1197">
        <v>134.22999999999999</v>
      </c>
      <c r="E1197">
        <v>136.78</v>
      </c>
      <c r="F1197">
        <v>130.84</v>
      </c>
      <c r="G1197">
        <v>134.28</v>
      </c>
      <c r="H1197">
        <v>120.12</v>
      </c>
      <c r="K1197" s="9">
        <f t="shared" si="64"/>
        <v>-0.17000000000001592</v>
      </c>
      <c r="L1197">
        <f t="shared" si="59"/>
        <v>-0.10999999999998522</v>
      </c>
      <c r="M1197">
        <f t="shared" si="60"/>
        <v>-0.15999999999999659</v>
      </c>
      <c r="N1197">
        <f t="shared" si="61"/>
        <v>-6.0000000000002274E-2</v>
      </c>
      <c r="O1197">
        <f t="shared" si="62"/>
        <v>-0.11000000000001364</v>
      </c>
      <c r="P1197" s="10">
        <f t="shared" si="63"/>
        <v>0.15999999999999659</v>
      </c>
    </row>
    <row r="1198" spans="1:16">
      <c r="A1198">
        <v>294.25</v>
      </c>
      <c r="B1198">
        <v>129.01</v>
      </c>
      <c r="C1198">
        <v>130.66999999999999</v>
      </c>
      <c r="D1198">
        <v>134.22999999999999</v>
      </c>
      <c r="E1198">
        <v>136.72999999999999</v>
      </c>
      <c r="F1198">
        <v>130.78</v>
      </c>
      <c r="G1198">
        <v>134.22999999999999</v>
      </c>
      <c r="H1198">
        <v>120.23</v>
      </c>
      <c r="K1198" s="9">
        <f t="shared" si="64"/>
        <v>-0.26999999999998181</v>
      </c>
      <c r="L1198">
        <f t="shared" si="59"/>
        <v>-0.10999999999998522</v>
      </c>
      <c r="M1198">
        <f t="shared" si="60"/>
        <v>-0.21999999999999886</v>
      </c>
      <c r="N1198">
        <f t="shared" si="61"/>
        <v>-0.11000000000001364</v>
      </c>
      <c r="O1198">
        <f t="shared" si="62"/>
        <v>-0.10999999999998522</v>
      </c>
      <c r="P1198" s="10">
        <f t="shared" si="63"/>
        <v>4.9999999999997158E-2</v>
      </c>
    </row>
    <row r="1199" spans="1:16">
      <c r="A1199">
        <v>294.5</v>
      </c>
      <c r="B1199">
        <v>128.94999999999999</v>
      </c>
      <c r="C1199">
        <v>130.51</v>
      </c>
      <c r="D1199">
        <v>134.16999999999999</v>
      </c>
      <c r="E1199">
        <v>136.72999999999999</v>
      </c>
      <c r="F1199">
        <v>130.72999999999999</v>
      </c>
      <c r="G1199">
        <v>134.12</v>
      </c>
      <c r="H1199">
        <v>120.28</v>
      </c>
      <c r="K1199" s="9">
        <f t="shared" si="64"/>
        <v>-0.10999999999998522</v>
      </c>
      <c r="L1199">
        <f t="shared" si="59"/>
        <v>-0.10999999999998522</v>
      </c>
      <c r="M1199">
        <f t="shared" si="60"/>
        <v>-0.10999999999998522</v>
      </c>
      <c r="N1199">
        <f t="shared" si="61"/>
        <v>-0.10999999999998522</v>
      </c>
      <c r="O1199">
        <f t="shared" si="62"/>
        <v>-6.0000000000002274E-2</v>
      </c>
      <c r="P1199" s="10">
        <f t="shared" si="63"/>
        <v>0</v>
      </c>
    </row>
    <row r="1200" spans="1:16">
      <c r="A1200">
        <v>294.75</v>
      </c>
      <c r="B1200">
        <v>129.01</v>
      </c>
      <c r="C1200">
        <v>130.44999999999999</v>
      </c>
      <c r="D1200">
        <v>134.12</v>
      </c>
      <c r="E1200">
        <v>136.62</v>
      </c>
      <c r="F1200">
        <v>130.78</v>
      </c>
      <c r="G1200">
        <v>134.16999999999999</v>
      </c>
      <c r="H1200">
        <v>120.28</v>
      </c>
      <c r="K1200" s="9">
        <f t="shared" si="64"/>
        <v>-0.10999999999998522</v>
      </c>
      <c r="L1200">
        <f t="shared" si="59"/>
        <v>-0.11000000000001364</v>
      </c>
      <c r="M1200">
        <f t="shared" si="60"/>
        <v>0</v>
      </c>
      <c r="N1200">
        <f t="shared" si="61"/>
        <v>-5.0000000000011369E-2</v>
      </c>
      <c r="O1200">
        <f t="shared" si="62"/>
        <v>-0.10999999999998522</v>
      </c>
      <c r="P1200" s="10">
        <f t="shared" si="63"/>
        <v>0.12000000000000455</v>
      </c>
    </row>
    <row r="1201" spans="1:16">
      <c r="A1201">
        <v>295</v>
      </c>
      <c r="B1201">
        <v>128.94999999999999</v>
      </c>
      <c r="C1201">
        <v>130.4</v>
      </c>
      <c r="D1201">
        <v>134.12</v>
      </c>
      <c r="E1201">
        <v>136.51</v>
      </c>
      <c r="F1201">
        <v>130.66999999999999</v>
      </c>
      <c r="G1201">
        <v>134.12</v>
      </c>
      <c r="H1201">
        <v>120.28</v>
      </c>
      <c r="K1201" s="9">
        <f t="shared" si="64"/>
        <v>-0.23000000000001819</v>
      </c>
      <c r="L1201">
        <f t="shared" si="59"/>
        <v>-0.17000000000001592</v>
      </c>
      <c r="M1201">
        <f t="shared" si="60"/>
        <v>5.0000000000011369E-2</v>
      </c>
      <c r="N1201">
        <f t="shared" si="61"/>
        <v>-4.9999999999982947E-2</v>
      </c>
      <c r="O1201">
        <f t="shared" si="62"/>
        <v>-0.11000000000001364</v>
      </c>
      <c r="P1201" s="10">
        <f t="shared" si="63"/>
        <v>6.0000000000002274E-2</v>
      </c>
    </row>
    <row r="1202" spans="1:16">
      <c r="A1202">
        <v>295.25</v>
      </c>
      <c r="B1202">
        <v>128.9</v>
      </c>
      <c r="C1202">
        <v>130.4</v>
      </c>
      <c r="D1202">
        <v>134.06</v>
      </c>
      <c r="E1202">
        <v>136.62</v>
      </c>
      <c r="F1202">
        <v>130.62</v>
      </c>
      <c r="G1202">
        <v>134.06</v>
      </c>
      <c r="H1202">
        <v>120.28</v>
      </c>
      <c r="K1202" s="9">
        <f t="shared" si="64"/>
        <v>-0.23000000000001819</v>
      </c>
      <c r="L1202">
        <f t="shared" si="59"/>
        <v>-0.21999999999999886</v>
      </c>
      <c r="M1202">
        <f t="shared" si="60"/>
        <v>-0.17000000000001592</v>
      </c>
      <c r="N1202">
        <f t="shared" si="61"/>
        <v>4.9999999999982947E-2</v>
      </c>
      <c r="O1202">
        <f t="shared" si="62"/>
        <v>-5.0000000000011369E-2</v>
      </c>
      <c r="P1202" s="10">
        <f t="shared" si="63"/>
        <v>0.12000000000000455</v>
      </c>
    </row>
    <row r="1203" spans="1:16">
      <c r="A1203">
        <v>295.5</v>
      </c>
      <c r="B1203">
        <v>128.9</v>
      </c>
      <c r="C1203">
        <v>130.34</v>
      </c>
      <c r="D1203">
        <v>134.01</v>
      </c>
      <c r="E1203">
        <v>136.62</v>
      </c>
      <c r="F1203">
        <v>130.72999999999999</v>
      </c>
      <c r="G1203">
        <v>134.06</v>
      </c>
      <c r="H1203">
        <v>120.4</v>
      </c>
      <c r="K1203" s="9">
        <f t="shared" si="64"/>
        <v>-0.17000000000001592</v>
      </c>
      <c r="L1203">
        <f t="shared" si="59"/>
        <v>-0.16999999999998749</v>
      </c>
      <c r="M1203">
        <f t="shared" si="60"/>
        <v>-0.21999999999999886</v>
      </c>
      <c r="N1203">
        <f t="shared" si="61"/>
        <v>-0.21999999999999886</v>
      </c>
      <c r="O1203">
        <f t="shared" si="62"/>
        <v>-0.15999999999999659</v>
      </c>
      <c r="P1203" s="10">
        <f t="shared" si="63"/>
        <v>0</v>
      </c>
    </row>
    <row r="1204" spans="1:16">
      <c r="A1204">
        <v>295.75</v>
      </c>
      <c r="B1204">
        <v>128.84</v>
      </c>
      <c r="C1204">
        <v>130.16999999999999</v>
      </c>
      <c r="D1204">
        <v>133.94999999999999</v>
      </c>
      <c r="E1204">
        <v>136.56</v>
      </c>
      <c r="F1204">
        <v>130.62</v>
      </c>
      <c r="G1204">
        <v>134.01</v>
      </c>
      <c r="H1204">
        <v>120.34</v>
      </c>
      <c r="K1204" s="9">
        <f t="shared" si="64"/>
        <v>-4.9999999999982947E-2</v>
      </c>
      <c r="L1204">
        <f t="shared" si="59"/>
        <v>-0.16999999999998749</v>
      </c>
      <c r="M1204">
        <f t="shared" si="60"/>
        <v>-0.21999999999999886</v>
      </c>
      <c r="N1204">
        <f t="shared" si="61"/>
        <v>-0.11000000000001364</v>
      </c>
      <c r="O1204">
        <f t="shared" si="62"/>
        <v>-0.16999999999998749</v>
      </c>
      <c r="P1204" s="10">
        <f t="shared" si="63"/>
        <v>0</v>
      </c>
    </row>
    <row r="1205" spans="1:16">
      <c r="A1205">
        <v>296</v>
      </c>
      <c r="B1205">
        <v>128.72999999999999</v>
      </c>
      <c r="C1205">
        <v>130.16999999999999</v>
      </c>
      <c r="D1205">
        <v>133.84</v>
      </c>
      <c r="E1205">
        <v>136.44999999999999</v>
      </c>
      <c r="F1205">
        <v>130.66999999999999</v>
      </c>
      <c r="G1205">
        <v>134.01</v>
      </c>
      <c r="H1205">
        <v>120.4</v>
      </c>
      <c r="K1205" s="9">
        <f t="shared" si="64"/>
        <v>-0.10999999999998522</v>
      </c>
      <c r="L1205">
        <f t="shared" si="59"/>
        <v>-6.0000000000002274E-2</v>
      </c>
      <c r="M1205">
        <f t="shared" si="60"/>
        <v>-4.9999999999982947E-2</v>
      </c>
      <c r="N1205">
        <f t="shared" si="61"/>
        <v>-4.9999999999982947E-2</v>
      </c>
      <c r="O1205">
        <f t="shared" si="62"/>
        <v>-0.10999999999998522</v>
      </c>
      <c r="P1205" s="10">
        <f t="shared" si="63"/>
        <v>0.10999999999999943</v>
      </c>
    </row>
    <row r="1206" spans="1:16">
      <c r="A1206">
        <v>296.25</v>
      </c>
      <c r="B1206">
        <v>128.66999999999999</v>
      </c>
      <c r="C1206">
        <v>130.16999999999999</v>
      </c>
      <c r="D1206">
        <v>133.84</v>
      </c>
      <c r="E1206">
        <v>136.4</v>
      </c>
      <c r="F1206">
        <v>130.51</v>
      </c>
      <c r="G1206">
        <v>133.9</v>
      </c>
      <c r="H1206">
        <v>120.4</v>
      </c>
      <c r="K1206" s="9">
        <f t="shared" si="64"/>
        <v>-0.10999999999998522</v>
      </c>
      <c r="L1206">
        <f t="shared" si="59"/>
        <v>-6.0000000000002274E-2</v>
      </c>
      <c r="M1206">
        <f t="shared" si="60"/>
        <v>0</v>
      </c>
      <c r="N1206">
        <f t="shared" si="61"/>
        <v>0.11000000000001364</v>
      </c>
      <c r="O1206">
        <f t="shared" si="62"/>
        <v>0</v>
      </c>
      <c r="P1206" s="10">
        <f t="shared" si="63"/>
        <v>0.21999999999999886</v>
      </c>
    </row>
    <row r="1207" spans="1:16">
      <c r="A1207">
        <v>296.5</v>
      </c>
      <c r="B1207">
        <v>128.72999999999999</v>
      </c>
      <c r="C1207">
        <v>130.12</v>
      </c>
      <c r="D1207">
        <v>133.78</v>
      </c>
      <c r="E1207">
        <v>136.34</v>
      </c>
      <c r="F1207">
        <v>130.51</v>
      </c>
      <c r="G1207">
        <v>133.84</v>
      </c>
      <c r="H1207">
        <v>120.34</v>
      </c>
      <c r="K1207" s="9">
        <f t="shared" si="64"/>
        <v>-6.0000000000002274E-2</v>
      </c>
      <c r="L1207">
        <f t="shared" si="59"/>
        <v>-5.0000000000011369E-2</v>
      </c>
      <c r="M1207">
        <f t="shared" si="60"/>
        <v>0</v>
      </c>
      <c r="N1207">
        <f t="shared" si="61"/>
        <v>5.0000000000011369E-2</v>
      </c>
      <c r="O1207">
        <f t="shared" si="62"/>
        <v>0</v>
      </c>
      <c r="P1207" s="10">
        <f t="shared" si="63"/>
        <v>0.28000000000000114</v>
      </c>
    </row>
    <row r="1208" spans="1:16">
      <c r="A1208">
        <v>296.75</v>
      </c>
      <c r="B1208">
        <v>128.62</v>
      </c>
      <c r="C1208">
        <v>130.06</v>
      </c>
      <c r="D1208">
        <v>133.78</v>
      </c>
      <c r="E1208">
        <v>136.4</v>
      </c>
      <c r="F1208">
        <v>130.62</v>
      </c>
      <c r="G1208">
        <v>133.9</v>
      </c>
      <c r="H1208">
        <v>120.51</v>
      </c>
      <c r="K1208" s="9">
        <f t="shared" si="64"/>
        <v>-5.0000000000011369E-2</v>
      </c>
      <c r="L1208">
        <f t="shared" si="59"/>
        <v>-0.11000000000001364</v>
      </c>
      <c r="M1208">
        <f t="shared" si="60"/>
        <v>-0.17000000000001592</v>
      </c>
      <c r="N1208">
        <f t="shared" si="61"/>
        <v>-0.11000000000001364</v>
      </c>
      <c r="O1208">
        <f t="shared" si="62"/>
        <v>-0.12000000000000455</v>
      </c>
      <c r="P1208" s="10">
        <f t="shared" si="63"/>
        <v>0.21999999999999886</v>
      </c>
    </row>
    <row r="1209" spans="1:16">
      <c r="A1209">
        <v>297</v>
      </c>
      <c r="B1209">
        <v>128.62</v>
      </c>
      <c r="C1209">
        <v>130.06</v>
      </c>
      <c r="D1209">
        <v>133.78</v>
      </c>
      <c r="E1209">
        <v>136.4</v>
      </c>
      <c r="F1209">
        <v>130.62</v>
      </c>
      <c r="G1209">
        <v>133.9</v>
      </c>
      <c r="H1209">
        <v>120.62</v>
      </c>
      <c r="K1209" s="9">
        <f t="shared" si="64"/>
        <v>-5.0000000000011369E-2</v>
      </c>
      <c r="L1209">
        <f t="shared" si="59"/>
        <v>-5.0000000000011369E-2</v>
      </c>
      <c r="M1209">
        <f t="shared" si="60"/>
        <v>-0.17000000000001592</v>
      </c>
      <c r="N1209">
        <f t="shared" si="61"/>
        <v>-0.11000000000001364</v>
      </c>
      <c r="O1209">
        <f t="shared" si="62"/>
        <v>-6.0000000000002274E-2</v>
      </c>
      <c r="P1209" s="10">
        <f t="shared" si="63"/>
        <v>0.10999999999999943</v>
      </c>
    </row>
    <row r="1210" spans="1:16">
      <c r="A1210">
        <v>297.25</v>
      </c>
      <c r="B1210">
        <v>128.56</v>
      </c>
      <c r="C1210">
        <v>130.06</v>
      </c>
      <c r="D1210">
        <v>133.72999999999999</v>
      </c>
      <c r="E1210">
        <v>136.34</v>
      </c>
      <c r="F1210">
        <v>130.56</v>
      </c>
      <c r="G1210">
        <v>133.84</v>
      </c>
      <c r="H1210">
        <v>120.62</v>
      </c>
      <c r="K1210" s="9">
        <f t="shared" si="64"/>
        <v>-0.15999999999999659</v>
      </c>
      <c r="L1210">
        <f t="shared" si="59"/>
        <v>-0.10999999999998522</v>
      </c>
      <c r="M1210">
        <f t="shared" si="60"/>
        <v>-0.17000000000001592</v>
      </c>
      <c r="N1210">
        <f t="shared" si="61"/>
        <v>0</v>
      </c>
      <c r="O1210">
        <f t="shared" si="62"/>
        <v>-0.11000000000001364</v>
      </c>
      <c r="P1210" s="10">
        <f t="shared" si="63"/>
        <v>0.10999999999999943</v>
      </c>
    </row>
    <row r="1211" spans="1:16">
      <c r="A1211">
        <v>297.5</v>
      </c>
      <c r="B1211">
        <v>128.51</v>
      </c>
      <c r="C1211">
        <v>130.01</v>
      </c>
      <c r="D1211">
        <v>133.66999999999999</v>
      </c>
      <c r="E1211">
        <v>136.22999999999999</v>
      </c>
      <c r="F1211">
        <v>130.51</v>
      </c>
      <c r="G1211">
        <v>133.78</v>
      </c>
      <c r="H1211">
        <v>120.73</v>
      </c>
      <c r="K1211" s="9">
        <f t="shared" si="64"/>
        <v>-0.16999999999998749</v>
      </c>
      <c r="L1211">
        <f t="shared" si="59"/>
        <v>-4.9999999999982947E-2</v>
      </c>
      <c r="M1211">
        <f t="shared" si="60"/>
        <v>-6.0000000000002274E-2</v>
      </c>
      <c r="N1211">
        <f t="shared" si="61"/>
        <v>-6.0000000000002274E-2</v>
      </c>
      <c r="O1211">
        <f t="shared" si="62"/>
        <v>-5.0000000000011369E-2</v>
      </c>
      <c r="P1211" s="10">
        <f t="shared" si="63"/>
        <v>0</v>
      </c>
    </row>
    <row r="1212" spans="1:16">
      <c r="A1212">
        <v>297.75</v>
      </c>
      <c r="B1212">
        <v>128.51</v>
      </c>
      <c r="C1212">
        <v>130.01</v>
      </c>
      <c r="D1212">
        <v>133.72999999999999</v>
      </c>
      <c r="E1212">
        <v>136.22999999999999</v>
      </c>
      <c r="F1212">
        <v>130.51</v>
      </c>
      <c r="G1212">
        <v>133.84</v>
      </c>
      <c r="H1212">
        <v>120.73</v>
      </c>
      <c r="K1212" s="9">
        <f t="shared" si="64"/>
        <v>-0.10999999999998522</v>
      </c>
      <c r="L1212">
        <f t="shared" si="59"/>
        <v>-0.10999999999998522</v>
      </c>
      <c r="M1212">
        <f t="shared" si="60"/>
        <v>-6.0000000000002274E-2</v>
      </c>
      <c r="N1212">
        <f t="shared" si="61"/>
        <v>-0.10999999999998522</v>
      </c>
      <c r="O1212">
        <f t="shared" si="62"/>
        <v>-6.0000000000002274E-2</v>
      </c>
      <c r="P1212" s="10">
        <f t="shared" si="63"/>
        <v>4.9999999999997158E-2</v>
      </c>
    </row>
    <row r="1213" spans="1:16">
      <c r="A1213">
        <v>298</v>
      </c>
      <c r="B1213">
        <v>128.44999999999999</v>
      </c>
      <c r="C1213">
        <v>129.9</v>
      </c>
      <c r="D1213">
        <v>133.62</v>
      </c>
      <c r="E1213">
        <v>136.16999999999999</v>
      </c>
      <c r="F1213">
        <v>130.56</v>
      </c>
      <c r="G1213">
        <v>133.72999999999999</v>
      </c>
      <c r="H1213">
        <v>120.73</v>
      </c>
      <c r="K1213" s="9">
        <f t="shared" si="64"/>
        <v>-0.12000000000000455</v>
      </c>
      <c r="L1213">
        <f t="shared" si="59"/>
        <v>-6.0000000000002274E-2</v>
      </c>
      <c r="M1213">
        <f t="shared" si="60"/>
        <v>-0.10999999999998522</v>
      </c>
      <c r="N1213">
        <f t="shared" si="61"/>
        <v>-0.15999999999999659</v>
      </c>
      <c r="O1213">
        <f t="shared" si="62"/>
        <v>-6.0000000000002274E-2</v>
      </c>
      <c r="P1213" s="10">
        <f t="shared" si="63"/>
        <v>0.10999999999999943</v>
      </c>
    </row>
    <row r="1214" spans="1:16">
      <c r="A1214">
        <v>298.25</v>
      </c>
      <c r="B1214">
        <v>128.51</v>
      </c>
      <c r="C1214">
        <v>129.84</v>
      </c>
      <c r="D1214">
        <v>133.62</v>
      </c>
      <c r="E1214">
        <v>136.16999999999999</v>
      </c>
      <c r="F1214">
        <v>130.44999999999999</v>
      </c>
      <c r="G1214">
        <v>133.72999999999999</v>
      </c>
      <c r="H1214">
        <v>120.73</v>
      </c>
      <c r="K1214" s="9">
        <f t="shared" si="64"/>
        <v>-0.11000000000001364</v>
      </c>
      <c r="L1214">
        <f t="shared" si="59"/>
        <v>-0.11000000000001364</v>
      </c>
      <c r="M1214">
        <f t="shared" si="60"/>
        <v>-0.10999999999998522</v>
      </c>
      <c r="N1214">
        <f t="shared" si="61"/>
        <v>-4.9999999999982947E-2</v>
      </c>
      <c r="O1214">
        <f t="shared" si="62"/>
        <v>-6.0000000000002274E-2</v>
      </c>
      <c r="P1214" s="10">
        <f t="shared" si="63"/>
        <v>0.10999999999999943</v>
      </c>
    </row>
    <row r="1215" spans="1:16">
      <c r="A1215">
        <v>298.5</v>
      </c>
      <c r="B1215">
        <v>128.51</v>
      </c>
      <c r="C1215">
        <v>129.9</v>
      </c>
      <c r="D1215">
        <v>133.62</v>
      </c>
      <c r="E1215">
        <v>136.16999999999999</v>
      </c>
      <c r="F1215">
        <v>130.4</v>
      </c>
      <c r="G1215">
        <v>133.78</v>
      </c>
      <c r="H1215">
        <v>120.78</v>
      </c>
      <c r="K1215" s="9">
        <f t="shared" si="64"/>
        <v>-0.17000000000001592</v>
      </c>
      <c r="L1215">
        <f t="shared" si="59"/>
        <v>0</v>
      </c>
      <c r="M1215">
        <f t="shared" si="60"/>
        <v>-0.10999999999998522</v>
      </c>
      <c r="N1215">
        <f t="shared" si="61"/>
        <v>0</v>
      </c>
      <c r="O1215">
        <f t="shared" si="62"/>
        <v>-0.11000000000001364</v>
      </c>
      <c r="P1215" s="10">
        <f t="shared" si="63"/>
        <v>0.12000000000000455</v>
      </c>
    </row>
    <row r="1216" spans="1:16">
      <c r="A1216">
        <v>298.75</v>
      </c>
      <c r="B1216">
        <v>128.44999999999999</v>
      </c>
      <c r="C1216">
        <v>129.78</v>
      </c>
      <c r="D1216">
        <v>133.56</v>
      </c>
      <c r="E1216">
        <v>136.06</v>
      </c>
      <c r="F1216">
        <v>130.4</v>
      </c>
      <c r="G1216">
        <v>133.66999999999999</v>
      </c>
      <c r="H1216">
        <v>120.84</v>
      </c>
      <c r="K1216" s="9">
        <f t="shared" si="64"/>
        <v>0</v>
      </c>
      <c r="L1216">
        <f t="shared" si="59"/>
        <v>0</v>
      </c>
      <c r="M1216">
        <f t="shared" si="60"/>
        <v>0</v>
      </c>
      <c r="N1216">
        <f t="shared" si="61"/>
        <v>0</v>
      </c>
      <c r="O1216">
        <f t="shared" si="62"/>
        <v>-4.9999999999982947E-2</v>
      </c>
      <c r="P1216" s="10">
        <f t="shared" si="63"/>
        <v>6.0000000000002274E-2</v>
      </c>
    </row>
    <row r="1217" spans="1:16">
      <c r="A1217">
        <v>299</v>
      </c>
      <c r="B1217">
        <v>128.4</v>
      </c>
      <c r="C1217">
        <v>129.72999999999999</v>
      </c>
      <c r="D1217">
        <v>133.51</v>
      </c>
      <c r="E1217">
        <v>136.06</v>
      </c>
      <c r="F1217">
        <v>130.4</v>
      </c>
      <c r="G1217">
        <v>133.66999999999999</v>
      </c>
      <c r="H1217">
        <v>120.84</v>
      </c>
      <c r="K1217" s="9">
        <f t="shared" si="64"/>
        <v>0</v>
      </c>
      <c r="L1217">
        <f t="shared" si="59"/>
        <v>0</v>
      </c>
      <c r="M1217">
        <f t="shared" si="60"/>
        <v>0</v>
      </c>
      <c r="N1217">
        <f t="shared" si="61"/>
        <v>0</v>
      </c>
      <c r="O1217">
        <f t="shared" si="62"/>
        <v>-4.9999999999982947E-2</v>
      </c>
      <c r="P1217" s="10">
        <f t="shared" si="63"/>
        <v>0.10999999999999943</v>
      </c>
    </row>
    <row r="1218" spans="1:16">
      <c r="A1218">
        <v>299.25</v>
      </c>
      <c r="B1218">
        <v>128.4</v>
      </c>
      <c r="C1218">
        <v>129.72999999999999</v>
      </c>
      <c r="D1218">
        <v>133.62</v>
      </c>
      <c r="E1218">
        <v>136.06</v>
      </c>
      <c r="F1218">
        <v>130.4</v>
      </c>
      <c r="G1218">
        <v>133.66999999999999</v>
      </c>
      <c r="H1218">
        <v>120.9</v>
      </c>
      <c r="K1218" s="9">
        <f t="shared" si="64"/>
        <v>-0.10999999999998522</v>
      </c>
      <c r="L1218">
        <f t="shared" si="59"/>
        <v>-0.11000000000001364</v>
      </c>
      <c r="M1218">
        <f t="shared" si="60"/>
        <v>-0.15999999999999659</v>
      </c>
      <c r="N1218">
        <f t="shared" si="61"/>
        <v>0</v>
      </c>
      <c r="O1218">
        <f t="shared" si="62"/>
        <v>-4.9999999999982947E-2</v>
      </c>
      <c r="P1218" s="10">
        <f t="shared" si="63"/>
        <v>0.15999999999999659</v>
      </c>
    </row>
    <row r="1219" spans="1:16">
      <c r="A1219">
        <v>299.5</v>
      </c>
      <c r="B1219">
        <v>128.4</v>
      </c>
      <c r="C1219">
        <v>129.78</v>
      </c>
      <c r="D1219">
        <v>133.56</v>
      </c>
      <c r="E1219">
        <v>136.06</v>
      </c>
      <c r="F1219">
        <v>130.4</v>
      </c>
      <c r="G1219">
        <v>133.62</v>
      </c>
      <c r="H1219">
        <v>120.9</v>
      </c>
      <c r="K1219" s="9">
        <f t="shared" si="64"/>
        <v>-0.21999999999999886</v>
      </c>
      <c r="L1219">
        <f t="shared" si="59"/>
        <v>-0.15999999999999659</v>
      </c>
      <c r="M1219">
        <f t="shared" si="60"/>
        <v>-0.11000000000001364</v>
      </c>
      <c r="N1219">
        <f t="shared" si="61"/>
        <v>-0.12000000000000455</v>
      </c>
      <c r="O1219">
        <f t="shared" si="62"/>
        <v>-0.17000000000001592</v>
      </c>
      <c r="P1219" s="10">
        <f t="shared" si="63"/>
        <v>0.21999999999999886</v>
      </c>
    </row>
    <row r="1220" spans="1:16">
      <c r="A1220">
        <v>299.75</v>
      </c>
      <c r="B1220">
        <v>128.4</v>
      </c>
      <c r="C1220">
        <v>129.72999999999999</v>
      </c>
      <c r="D1220">
        <v>133.51</v>
      </c>
      <c r="E1220">
        <v>136.06</v>
      </c>
      <c r="F1220">
        <v>130.4</v>
      </c>
      <c r="G1220">
        <v>133.62</v>
      </c>
      <c r="H1220">
        <v>120.95</v>
      </c>
      <c r="K1220" s="9">
        <f t="shared" si="64"/>
        <v>-0.16999999999998749</v>
      </c>
      <c r="L1220">
        <f t="shared" si="59"/>
        <v>-6.0000000000002274E-2</v>
      </c>
      <c r="M1220">
        <f t="shared" si="60"/>
        <v>-0.15999999999999659</v>
      </c>
      <c r="N1220">
        <f t="shared" si="61"/>
        <v>-0.12000000000000455</v>
      </c>
      <c r="O1220">
        <f t="shared" si="62"/>
        <v>-0.11000000000001364</v>
      </c>
      <c r="P1220" s="10">
        <f t="shared" si="63"/>
        <v>0.10999999999999943</v>
      </c>
    </row>
    <row r="1221" spans="1:16">
      <c r="A1221">
        <v>300</v>
      </c>
      <c r="B1221">
        <v>128.34</v>
      </c>
      <c r="C1221">
        <v>129.62</v>
      </c>
      <c r="D1221">
        <v>133.51</v>
      </c>
      <c r="E1221">
        <v>135.9</v>
      </c>
      <c r="F1221">
        <v>130.4</v>
      </c>
      <c r="G1221">
        <v>133.62</v>
      </c>
      <c r="H1221">
        <v>121.06</v>
      </c>
      <c r="K1221" s="9">
        <f t="shared" si="64"/>
        <v>-6.0000000000002274E-2</v>
      </c>
      <c r="L1221">
        <f t="shared" si="59"/>
        <v>-6.0000000000002274E-2</v>
      </c>
      <c r="M1221">
        <f t="shared" si="60"/>
        <v>0</v>
      </c>
      <c r="N1221">
        <f t="shared" si="61"/>
        <v>-0.17000000000001592</v>
      </c>
      <c r="O1221">
        <f t="shared" si="62"/>
        <v>-0.21999999999999886</v>
      </c>
      <c r="P1221" s="10">
        <f t="shared" si="63"/>
        <v>0.17000000000000171</v>
      </c>
    </row>
    <row r="1222" spans="1:16">
      <c r="A1222">
        <v>300.25</v>
      </c>
      <c r="B1222">
        <v>128.28</v>
      </c>
      <c r="C1222">
        <v>129.56</v>
      </c>
      <c r="D1222">
        <v>133.4</v>
      </c>
      <c r="E1222">
        <v>135.94999999999999</v>
      </c>
      <c r="F1222">
        <v>130.28</v>
      </c>
      <c r="G1222">
        <v>133.44999999999999</v>
      </c>
      <c r="H1222">
        <v>121.12</v>
      </c>
      <c r="K1222" s="9">
        <f t="shared" si="64"/>
        <v>0</v>
      </c>
      <c r="L1222">
        <f t="shared" si="59"/>
        <v>0</v>
      </c>
      <c r="M1222">
        <f t="shared" si="60"/>
        <v>-4.9999999999982947E-2</v>
      </c>
      <c r="N1222">
        <f t="shared" si="61"/>
        <v>-5.0000000000011369E-2</v>
      </c>
      <c r="O1222">
        <f t="shared" si="62"/>
        <v>0</v>
      </c>
      <c r="P1222" s="10">
        <f t="shared" si="63"/>
        <v>4.9999999999997158E-2</v>
      </c>
    </row>
    <row r="1223" spans="1:16">
      <c r="A1223">
        <v>300.5</v>
      </c>
      <c r="B1223">
        <v>128.4</v>
      </c>
      <c r="C1223">
        <v>129.56</v>
      </c>
      <c r="D1223">
        <v>133.44999999999999</v>
      </c>
      <c r="E1223">
        <v>135.9</v>
      </c>
      <c r="F1223">
        <v>130.28</v>
      </c>
      <c r="G1223">
        <v>133.51</v>
      </c>
      <c r="H1223">
        <v>121.06</v>
      </c>
      <c r="K1223" s="9">
        <f t="shared" si="64"/>
        <v>-5.0000000000011369E-2</v>
      </c>
      <c r="L1223">
        <f t="shared" si="59"/>
        <v>-0.10999999999998522</v>
      </c>
      <c r="M1223">
        <f t="shared" si="60"/>
        <v>-6.0000000000002274E-2</v>
      </c>
      <c r="N1223">
        <f t="shared" si="61"/>
        <v>-0.11000000000001364</v>
      </c>
      <c r="O1223">
        <f t="shared" si="62"/>
        <v>-0.10999999999998522</v>
      </c>
      <c r="P1223" s="10">
        <f t="shared" si="63"/>
        <v>0.28000000000000114</v>
      </c>
    </row>
    <row r="1224" spans="1:16">
      <c r="A1224">
        <v>300.75</v>
      </c>
      <c r="B1224">
        <v>128.34</v>
      </c>
      <c r="C1224">
        <v>129.56</v>
      </c>
      <c r="D1224">
        <v>133.44999999999999</v>
      </c>
      <c r="E1224">
        <v>135.9</v>
      </c>
      <c r="F1224">
        <v>130.22999999999999</v>
      </c>
      <c r="G1224">
        <v>133.4</v>
      </c>
      <c r="H1224">
        <v>121.23</v>
      </c>
      <c r="K1224" s="9">
        <f t="shared" si="64"/>
        <v>-0.15999999999999659</v>
      </c>
      <c r="L1224">
        <f t="shared" si="59"/>
        <v>-0.16999999999998749</v>
      </c>
      <c r="M1224">
        <f t="shared" si="60"/>
        <v>-0.12000000000000455</v>
      </c>
      <c r="N1224">
        <f t="shared" si="61"/>
        <v>0</v>
      </c>
      <c r="O1224">
        <f t="shared" si="62"/>
        <v>-6.0000000000002274E-2</v>
      </c>
      <c r="P1224" s="10">
        <f t="shared" si="63"/>
        <v>0</v>
      </c>
    </row>
    <row r="1225" spans="1:16">
      <c r="A1225">
        <v>301</v>
      </c>
      <c r="B1225">
        <v>128.16999999999999</v>
      </c>
      <c r="C1225">
        <v>129.56</v>
      </c>
      <c r="D1225">
        <v>133.4</v>
      </c>
      <c r="E1225">
        <v>135.9</v>
      </c>
      <c r="F1225">
        <v>130.22999999999999</v>
      </c>
      <c r="G1225">
        <v>133.44999999999999</v>
      </c>
      <c r="H1225">
        <v>121.17</v>
      </c>
      <c r="K1225" s="9">
        <f t="shared" si="64"/>
        <v>-0.15999999999999659</v>
      </c>
      <c r="L1225">
        <f t="shared" si="59"/>
        <v>-0.12000000000000455</v>
      </c>
      <c r="M1225">
        <f t="shared" si="60"/>
        <v>-0.17000000000001592</v>
      </c>
      <c r="N1225">
        <f t="shared" si="61"/>
        <v>-0.28000000000000114</v>
      </c>
      <c r="O1225">
        <f t="shared" si="62"/>
        <v>-0.16999999999998749</v>
      </c>
      <c r="P1225" s="10">
        <f t="shared" si="63"/>
        <v>6.0000000000002274E-2</v>
      </c>
    </row>
    <row r="1226" spans="1:16">
      <c r="A1226">
        <v>301.25</v>
      </c>
      <c r="B1226">
        <v>128.16999999999999</v>
      </c>
      <c r="C1226">
        <v>129.51</v>
      </c>
      <c r="D1226">
        <v>133.34</v>
      </c>
      <c r="E1226">
        <v>135.84</v>
      </c>
      <c r="F1226">
        <v>130.16999999999999</v>
      </c>
      <c r="G1226">
        <v>133.4</v>
      </c>
      <c r="H1226">
        <v>121.34</v>
      </c>
      <c r="K1226" s="9">
        <f t="shared" si="64"/>
        <v>-0.16999999999998749</v>
      </c>
      <c r="L1226">
        <f t="shared" ref="L1226:L1289" si="65">D1229-D1226</f>
        <v>-0.17000000000001592</v>
      </c>
      <c r="M1226">
        <f t="shared" ref="M1226:M1289" si="66">E1229-E1226</f>
        <v>-0.11000000000001364</v>
      </c>
      <c r="N1226">
        <f t="shared" ref="N1226:N1289" si="67">F1229-F1226</f>
        <v>-4.9999999999982947E-2</v>
      </c>
      <c r="O1226">
        <f t="shared" ref="O1226:O1289" si="68">G1229-G1226</f>
        <v>0</v>
      </c>
      <c r="P1226" s="10">
        <f t="shared" ref="P1226:P1289" si="69">H1229-H1226</f>
        <v>-6.0000000000002274E-2</v>
      </c>
    </row>
    <row r="1227" spans="1:16">
      <c r="A1227">
        <v>301.5</v>
      </c>
      <c r="B1227">
        <v>128.12</v>
      </c>
      <c r="C1227">
        <v>129.4</v>
      </c>
      <c r="D1227">
        <v>133.28</v>
      </c>
      <c r="E1227">
        <v>135.78</v>
      </c>
      <c r="F1227">
        <v>130.22999999999999</v>
      </c>
      <c r="G1227">
        <v>133.34</v>
      </c>
      <c r="H1227">
        <v>121.23</v>
      </c>
      <c r="K1227" s="9">
        <f t="shared" ref="K1227:K1290" si="70">C1230-C1227</f>
        <v>-6.0000000000002274E-2</v>
      </c>
      <c r="L1227">
        <f t="shared" si="65"/>
        <v>0</v>
      </c>
      <c r="M1227">
        <f t="shared" si="66"/>
        <v>-5.0000000000011369E-2</v>
      </c>
      <c r="N1227">
        <f t="shared" si="67"/>
        <v>-6.0000000000002274E-2</v>
      </c>
      <c r="O1227">
        <f t="shared" si="68"/>
        <v>-0.11000000000001364</v>
      </c>
      <c r="P1227" s="10">
        <f t="shared" si="69"/>
        <v>0.10999999999999943</v>
      </c>
    </row>
    <row r="1228" spans="1:16">
      <c r="A1228">
        <v>301.75</v>
      </c>
      <c r="B1228">
        <v>128.12</v>
      </c>
      <c r="C1228">
        <v>129.4</v>
      </c>
      <c r="D1228">
        <v>133.28</v>
      </c>
      <c r="E1228">
        <v>135.72999999999999</v>
      </c>
      <c r="F1228">
        <v>129.94999999999999</v>
      </c>
      <c r="G1228">
        <v>133.28</v>
      </c>
      <c r="H1228">
        <v>121.23</v>
      </c>
      <c r="K1228" s="9">
        <f t="shared" si="70"/>
        <v>-0.12000000000000455</v>
      </c>
      <c r="L1228">
        <f t="shared" si="65"/>
        <v>-0.11000000000001364</v>
      </c>
      <c r="M1228">
        <f t="shared" si="66"/>
        <v>-6.0000000000002274E-2</v>
      </c>
      <c r="N1228">
        <f t="shared" si="67"/>
        <v>0.17000000000001592</v>
      </c>
      <c r="O1228">
        <f t="shared" si="68"/>
        <v>-5.0000000000011369E-2</v>
      </c>
      <c r="P1228" s="10">
        <f t="shared" si="69"/>
        <v>0.10999999999999943</v>
      </c>
    </row>
    <row r="1229" spans="1:16">
      <c r="A1229">
        <v>302</v>
      </c>
      <c r="B1229">
        <v>128.01</v>
      </c>
      <c r="C1229">
        <v>129.34</v>
      </c>
      <c r="D1229">
        <v>133.16999999999999</v>
      </c>
      <c r="E1229">
        <v>135.72999999999999</v>
      </c>
      <c r="F1229">
        <v>130.12</v>
      </c>
      <c r="G1229">
        <v>133.4</v>
      </c>
      <c r="H1229">
        <v>121.28</v>
      </c>
      <c r="K1229" s="9">
        <f t="shared" si="70"/>
        <v>-6.0000000000002274E-2</v>
      </c>
      <c r="L1229">
        <f t="shared" si="65"/>
        <v>0</v>
      </c>
      <c r="M1229">
        <f t="shared" si="66"/>
        <v>-6.0000000000002274E-2</v>
      </c>
      <c r="N1229">
        <f t="shared" si="67"/>
        <v>-6.0000000000002274E-2</v>
      </c>
      <c r="O1229">
        <f t="shared" si="68"/>
        <v>-0.12000000000000455</v>
      </c>
      <c r="P1229" s="10">
        <f t="shared" si="69"/>
        <v>0</v>
      </c>
    </row>
    <row r="1230" spans="1:16">
      <c r="A1230">
        <v>302.25</v>
      </c>
      <c r="B1230">
        <v>128.01</v>
      </c>
      <c r="C1230">
        <v>129.34</v>
      </c>
      <c r="D1230">
        <v>133.28</v>
      </c>
      <c r="E1230">
        <v>135.72999999999999</v>
      </c>
      <c r="F1230">
        <v>130.16999999999999</v>
      </c>
      <c r="G1230">
        <v>133.22999999999999</v>
      </c>
      <c r="H1230">
        <v>121.34</v>
      </c>
      <c r="K1230" s="9">
        <f t="shared" si="70"/>
        <v>-0.11000000000001364</v>
      </c>
      <c r="L1230">
        <f t="shared" si="65"/>
        <v>-0.15999999999999659</v>
      </c>
      <c r="M1230">
        <f t="shared" si="66"/>
        <v>-0.10999999999998522</v>
      </c>
      <c r="N1230">
        <f t="shared" si="67"/>
        <v>-0.10999999999998522</v>
      </c>
      <c r="O1230">
        <f t="shared" si="68"/>
        <v>0</v>
      </c>
      <c r="P1230" s="10">
        <f t="shared" si="69"/>
        <v>6.0000000000002274E-2</v>
      </c>
    </row>
    <row r="1231" spans="1:16">
      <c r="A1231">
        <v>302.5</v>
      </c>
      <c r="B1231">
        <v>127.95</v>
      </c>
      <c r="C1231">
        <v>129.28</v>
      </c>
      <c r="D1231">
        <v>133.16999999999999</v>
      </c>
      <c r="E1231">
        <v>135.66999999999999</v>
      </c>
      <c r="F1231">
        <v>130.12</v>
      </c>
      <c r="G1231">
        <v>133.22999999999999</v>
      </c>
      <c r="H1231">
        <v>121.34</v>
      </c>
      <c r="K1231" s="9">
        <f t="shared" si="70"/>
        <v>-5.0000000000011369E-2</v>
      </c>
      <c r="L1231">
        <f t="shared" si="65"/>
        <v>0</v>
      </c>
      <c r="M1231">
        <f t="shared" si="66"/>
        <v>-0.21999999999999886</v>
      </c>
      <c r="N1231">
        <f t="shared" si="67"/>
        <v>-0.17000000000001592</v>
      </c>
      <c r="O1231">
        <f t="shared" si="68"/>
        <v>-0.16999999999998749</v>
      </c>
      <c r="P1231" s="10">
        <f t="shared" si="69"/>
        <v>0</v>
      </c>
    </row>
    <row r="1232" spans="1:16">
      <c r="A1232">
        <v>302.75</v>
      </c>
      <c r="B1232">
        <v>128.01</v>
      </c>
      <c r="C1232">
        <v>129.28</v>
      </c>
      <c r="D1232">
        <v>133.16999999999999</v>
      </c>
      <c r="E1232">
        <v>135.66999999999999</v>
      </c>
      <c r="F1232">
        <v>130.06</v>
      </c>
      <c r="G1232">
        <v>133.28</v>
      </c>
      <c r="H1232">
        <v>121.28</v>
      </c>
      <c r="K1232" s="9">
        <f t="shared" si="70"/>
        <v>-0.21999999999999886</v>
      </c>
      <c r="L1232">
        <f t="shared" si="65"/>
        <v>-0.10999999999998522</v>
      </c>
      <c r="M1232">
        <f t="shared" si="66"/>
        <v>-0.10999999999998522</v>
      </c>
      <c r="N1232">
        <f t="shared" si="67"/>
        <v>-0.11000000000001364</v>
      </c>
      <c r="O1232">
        <f t="shared" si="68"/>
        <v>-0.11000000000001364</v>
      </c>
      <c r="P1232" s="10">
        <f t="shared" si="69"/>
        <v>0.12000000000000455</v>
      </c>
    </row>
    <row r="1233" spans="1:16">
      <c r="A1233">
        <v>303</v>
      </c>
      <c r="B1233">
        <v>127.95</v>
      </c>
      <c r="C1233">
        <v>129.22999999999999</v>
      </c>
      <c r="D1233">
        <v>133.12</v>
      </c>
      <c r="E1233">
        <v>135.62</v>
      </c>
      <c r="F1233">
        <v>130.06</v>
      </c>
      <c r="G1233">
        <v>133.22999999999999</v>
      </c>
      <c r="H1233">
        <v>121.4</v>
      </c>
      <c r="K1233" s="9">
        <f t="shared" si="70"/>
        <v>-0.16999999999998749</v>
      </c>
      <c r="L1233">
        <f t="shared" si="65"/>
        <v>-0.11000000000001364</v>
      </c>
      <c r="M1233">
        <f t="shared" si="66"/>
        <v>-0.17000000000001592</v>
      </c>
      <c r="N1233">
        <f t="shared" si="67"/>
        <v>-0.11000000000001364</v>
      </c>
      <c r="O1233">
        <f t="shared" si="68"/>
        <v>-0.10999999999998522</v>
      </c>
      <c r="P1233" s="10">
        <f t="shared" si="69"/>
        <v>-0.12000000000000455</v>
      </c>
    </row>
    <row r="1234" spans="1:16">
      <c r="A1234">
        <v>303.25</v>
      </c>
      <c r="B1234">
        <v>127.84</v>
      </c>
      <c r="C1234">
        <v>129.22999999999999</v>
      </c>
      <c r="D1234">
        <v>133.16999999999999</v>
      </c>
      <c r="E1234">
        <v>135.44999999999999</v>
      </c>
      <c r="F1234">
        <v>129.94999999999999</v>
      </c>
      <c r="G1234">
        <v>133.06</v>
      </c>
      <c r="H1234">
        <v>121.34</v>
      </c>
      <c r="K1234" s="9">
        <f t="shared" si="70"/>
        <v>-0.16999999999998749</v>
      </c>
      <c r="L1234">
        <f t="shared" si="65"/>
        <v>-0.15999999999999659</v>
      </c>
      <c r="M1234">
        <f t="shared" si="66"/>
        <v>0</v>
      </c>
      <c r="N1234">
        <f t="shared" si="67"/>
        <v>0</v>
      </c>
      <c r="O1234">
        <f t="shared" si="68"/>
        <v>0</v>
      </c>
      <c r="P1234" s="10">
        <f t="shared" si="69"/>
        <v>6.0000000000002274E-2</v>
      </c>
    </row>
    <row r="1235" spans="1:16">
      <c r="A1235">
        <v>303.5</v>
      </c>
      <c r="B1235">
        <v>127.95</v>
      </c>
      <c r="C1235">
        <v>129.06</v>
      </c>
      <c r="D1235">
        <v>133.06</v>
      </c>
      <c r="E1235">
        <v>135.56</v>
      </c>
      <c r="F1235">
        <v>129.94999999999999</v>
      </c>
      <c r="G1235">
        <v>133.16999999999999</v>
      </c>
      <c r="H1235">
        <v>121.4</v>
      </c>
      <c r="K1235" s="9">
        <f t="shared" si="70"/>
        <v>-0.11000000000001364</v>
      </c>
      <c r="L1235">
        <f t="shared" si="65"/>
        <v>-0.15999999999999659</v>
      </c>
      <c r="M1235">
        <f t="shared" si="66"/>
        <v>-0.15999999999999659</v>
      </c>
      <c r="N1235">
        <f t="shared" si="67"/>
        <v>-4.9999999999982947E-2</v>
      </c>
      <c r="O1235">
        <f t="shared" si="68"/>
        <v>-0.10999999999998522</v>
      </c>
      <c r="P1235" s="10">
        <f t="shared" si="69"/>
        <v>4.9999999999997158E-2</v>
      </c>
    </row>
    <row r="1236" spans="1:16">
      <c r="A1236">
        <v>303.75</v>
      </c>
      <c r="B1236">
        <v>127.73</v>
      </c>
      <c r="C1236">
        <v>129.06</v>
      </c>
      <c r="D1236">
        <v>133.01</v>
      </c>
      <c r="E1236">
        <v>135.44999999999999</v>
      </c>
      <c r="F1236">
        <v>129.94999999999999</v>
      </c>
      <c r="G1236">
        <v>133.12</v>
      </c>
      <c r="H1236">
        <v>121.28</v>
      </c>
      <c r="K1236" s="9">
        <f t="shared" si="70"/>
        <v>-0.15999999999999659</v>
      </c>
      <c r="L1236">
        <f t="shared" si="65"/>
        <v>-0.10999999999998522</v>
      </c>
      <c r="M1236">
        <f t="shared" si="66"/>
        <v>-0.10999999999998522</v>
      </c>
      <c r="N1236">
        <f t="shared" si="67"/>
        <v>-0.10999999999998522</v>
      </c>
      <c r="O1236">
        <f t="shared" si="68"/>
        <v>-0.17000000000001592</v>
      </c>
      <c r="P1236" s="10">
        <f t="shared" si="69"/>
        <v>0.17000000000000171</v>
      </c>
    </row>
    <row r="1237" spans="1:16">
      <c r="A1237">
        <v>304</v>
      </c>
      <c r="B1237">
        <v>127.73</v>
      </c>
      <c r="C1237">
        <v>129.06</v>
      </c>
      <c r="D1237">
        <v>133.01</v>
      </c>
      <c r="E1237">
        <v>135.44999999999999</v>
      </c>
      <c r="F1237">
        <v>129.94999999999999</v>
      </c>
      <c r="G1237">
        <v>133.06</v>
      </c>
      <c r="H1237">
        <v>121.4</v>
      </c>
      <c r="K1237" s="9">
        <f t="shared" si="70"/>
        <v>-0.15999999999999659</v>
      </c>
      <c r="L1237">
        <f t="shared" si="65"/>
        <v>-0.10999999999998522</v>
      </c>
      <c r="M1237">
        <f t="shared" si="66"/>
        <v>0</v>
      </c>
      <c r="N1237">
        <f t="shared" si="67"/>
        <v>0</v>
      </c>
      <c r="O1237">
        <f t="shared" si="68"/>
        <v>-5.0000000000011369E-2</v>
      </c>
      <c r="P1237" s="10">
        <f t="shared" si="69"/>
        <v>4.9999999999997158E-2</v>
      </c>
    </row>
    <row r="1238" spans="1:16">
      <c r="A1238">
        <v>304.25</v>
      </c>
      <c r="B1238">
        <v>127.67</v>
      </c>
      <c r="C1238">
        <v>128.94999999999999</v>
      </c>
      <c r="D1238">
        <v>132.9</v>
      </c>
      <c r="E1238">
        <v>135.4</v>
      </c>
      <c r="F1238">
        <v>129.9</v>
      </c>
      <c r="G1238">
        <v>133.06</v>
      </c>
      <c r="H1238">
        <v>121.45</v>
      </c>
      <c r="K1238" s="9">
        <f t="shared" si="70"/>
        <v>-0.16999999999998749</v>
      </c>
      <c r="L1238">
        <f t="shared" si="65"/>
        <v>-0.12000000000000455</v>
      </c>
      <c r="M1238">
        <f t="shared" si="66"/>
        <v>-6.0000000000002274E-2</v>
      </c>
      <c r="N1238">
        <f t="shared" si="67"/>
        <v>4.9999999999982947E-2</v>
      </c>
      <c r="O1238">
        <f t="shared" si="68"/>
        <v>-5.0000000000011369E-2</v>
      </c>
      <c r="P1238" s="10">
        <f t="shared" si="69"/>
        <v>6.0000000000002274E-2</v>
      </c>
    </row>
    <row r="1239" spans="1:16">
      <c r="A1239">
        <v>304.5</v>
      </c>
      <c r="B1239">
        <v>127.67</v>
      </c>
      <c r="C1239">
        <v>128.9</v>
      </c>
      <c r="D1239">
        <v>132.9</v>
      </c>
      <c r="E1239">
        <v>135.34</v>
      </c>
      <c r="F1239">
        <v>129.84</v>
      </c>
      <c r="G1239">
        <v>132.94999999999999</v>
      </c>
      <c r="H1239">
        <v>121.45</v>
      </c>
      <c r="K1239" s="9">
        <f t="shared" si="70"/>
        <v>-6.0000000000002274E-2</v>
      </c>
      <c r="L1239">
        <f t="shared" si="65"/>
        <v>-6.0000000000002274E-2</v>
      </c>
      <c r="M1239">
        <f t="shared" si="66"/>
        <v>0</v>
      </c>
      <c r="N1239">
        <f t="shared" si="67"/>
        <v>0</v>
      </c>
      <c r="O1239">
        <f t="shared" si="68"/>
        <v>-4.9999999999982947E-2</v>
      </c>
      <c r="P1239" s="10">
        <f t="shared" si="69"/>
        <v>6.0000000000002274E-2</v>
      </c>
    </row>
    <row r="1240" spans="1:16">
      <c r="A1240">
        <v>304.75</v>
      </c>
      <c r="B1240">
        <v>127.56</v>
      </c>
      <c r="C1240">
        <v>128.9</v>
      </c>
      <c r="D1240">
        <v>132.9</v>
      </c>
      <c r="E1240">
        <v>135.44999999999999</v>
      </c>
      <c r="F1240">
        <v>129.94999999999999</v>
      </c>
      <c r="G1240">
        <v>133.01</v>
      </c>
      <c r="H1240">
        <v>121.45</v>
      </c>
      <c r="K1240" s="9">
        <f t="shared" si="70"/>
        <v>-0.23000000000001819</v>
      </c>
      <c r="L1240">
        <f t="shared" si="65"/>
        <v>-6.0000000000002274E-2</v>
      </c>
      <c r="M1240">
        <f t="shared" si="66"/>
        <v>-0.10999999999998522</v>
      </c>
      <c r="N1240">
        <f t="shared" si="67"/>
        <v>-0.10999999999998522</v>
      </c>
      <c r="O1240">
        <f t="shared" si="68"/>
        <v>-0.16999999999998749</v>
      </c>
      <c r="P1240" s="10">
        <f t="shared" si="69"/>
        <v>0.17000000000000171</v>
      </c>
    </row>
    <row r="1241" spans="1:16">
      <c r="A1241">
        <v>305</v>
      </c>
      <c r="B1241">
        <v>127.51</v>
      </c>
      <c r="C1241">
        <v>128.78</v>
      </c>
      <c r="D1241">
        <v>132.78</v>
      </c>
      <c r="E1241">
        <v>135.34</v>
      </c>
      <c r="F1241">
        <v>129.94999999999999</v>
      </c>
      <c r="G1241">
        <v>133.01</v>
      </c>
      <c r="H1241">
        <v>121.51</v>
      </c>
      <c r="K1241" s="9">
        <f t="shared" si="70"/>
        <v>-0.11000000000001364</v>
      </c>
      <c r="L1241">
        <f t="shared" si="65"/>
        <v>-5.0000000000011369E-2</v>
      </c>
      <c r="M1241">
        <f t="shared" si="66"/>
        <v>-0.11000000000001364</v>
      </c>
      <c r="N1241">
        <f t="shared" si="67"/>
        <v>-0.10999999999998522</v>
      </c>
      <c r="O1241">
        <f t="shared" si="68"/>
        <v>-0.16999999999998749</v>
      </c>
      <c r="P1241" s="10">
        <f t="shared" si="69"/>
        <v>0.10999999999999943</v>
      </c>
    </row>
    <row r="1242" spans="1:16">
      <c r="A1242">
        <v>305.25</v>
      </c>
      <c r="B1242">
        <v>127.51</v>
      </c>
      <c r="C1242">
        <v>128.84</v>
      </c>
      <c r="D1242">
        <v>132.84</v>
      </c>
      <c r="E1242">
        <v>135.34</v>
      </c>
      <c r="F1242">
        <v>129.84</v>
      </c>
      <c r="G1242">
        <v>132.9</v>
      </c>
      <c r="H1242">
        <v>121.51</v>
      </c>
      <c r="K1242" s="9">
        <f t="shared" si="70"/>
        <v>-0.17000000000001592</v>
      </c>
      <c r="L1242">
        <f t="shared" si="65"/>
        <v>0</v>
      </c>
      <c r="M1242">
        <f t="shared" si="66"/>
        <v>-0.11000000000001364</v>
      </c>
      <c r="N1242">
        <f t="shared" si="67"/>
        <v>-0.11000000000001364</v>
      </c>
      <c r="O1242">
        <f t="shared" si="68"/>
        <v>-0.12000000000000455</v>
      </c>
      <c r="P1242" s="10">
        <f t="shared" si="69"/>
        <v>0.15999999999999659</v>
      </c>
    </row>
    <row r="1243" spans="1:16">
      <c r="A1243">
        <v>305.5</v>
      </c>
      <c r="B1243">
        <v>127.45</v>
      </c>
      <c r="C1243">
        <v>128.66999999999999</v>
      </c>
      <c r="D1243">
        <v>132.84</v>
      </c>
      <c r="E1243">
        <v>135.34</v>
      </c>
      <c r="F1243">
        <v>129.84</v>
      </c>
      <c r="G1243">
        <v>132.84</v>
      </c>
      <c r="H1243">
        <v>121.62</v>
      </c>
      <c r="K1243" s="9">
        <f t="shared" si="70"/>
        <v>-4.9999999999982947E-2</v>
      </c>
      <c r="L1243">
        <f t="shared" si="65"/>
        <v>-0.17000000000001592</v>
      </c>
      <c r="M1243">
        <f t="shared" si="66"/>
        <v>-0.17000000000001592</v>
      </c>
      <c r="N1243">
        <f t="shared" si="67"/>
        <v>-0.11000000000001364</v>
      </c>
      <c r="O1243">
        <f t="shared" si="68"/>
        <v>-6.0000000000002274E-2</v>
      </c>
      <c r="P1243" s="10">
        <f t="shared" si="69"/>
        <v>4.9999999999997158E-2</v>
      </c>
    </row>
    <row r="1244" spans="1:16">
      <c r="A1244">
        <v>305.75</v>
      </c>
      <c r="B1244">
        <v>127.34</v>
      </c>
      <c r="C1244">
        <v>128.66999999999999</v>
      </c>
      <c r="D1244">
        <v>132.72999999999999</v>
      </c>
      <c r="E1244">
        <v>135.22999999999999</v>
      </c>
      <c r="F1244">
        <v>129.84</v>
      </c>
      <c r="G1244">
        <v>132.84</v>
      </c>
      <c r="H1244">
        <v>121.62</v>
      </c>
      <c r="K1244" s="9">
        <f t="shared" si="70"/>
        <v>-0.10999999999998522</v>
      </c>
      <c r="L1244">
        <f t="shared" si="65"/>
        <v>-6.0000000000002274E-2</v>
      </c>
      <c r="M1244">
        <f t="shared" si="66"/>
        <v>-0.10999999999998522</v>
      </c>
      <c r="N1244">
        <f t="shared" si="67"/>
        <v>-0.11000000000001364</v>
      </c>
      <c r="O1244">
        <f t="shared" si="68"/>
        <v>-6.0000000000002274E-2</v>
      </c>
      <c r="P1244" s="10">
        <f t="shared" si="69"/>
        <v>0.10999999999999943</v>
      </c>
    </row>
    <row r="1245" spans="1:16">
      <c r="A1245">
        <v>306</v>
      </c>
      <c r="B1245">
        <v>127.34</v>
      </c>
      <c r="C1245">
        <v>128.66999999999999</v>
      </c>
      <c r="D1245">
        <v>132.84</v>
      </c>
      <c r="E1245">
        <v>135.22999999999999</v>
      </c>
      <c r="F1245">
        <v>129.72999999999999</v>
      </c>
      <c r="G1245">
        <v>132.78</v>
      </c>
      <c r="H1245">
        <v>121.67</v>
      </c>
      <c r="K1245" s="9">
        <f t="shared" si="70"/>
        <v>-0.15999999999999659</v>
      </c>
      <c r="L1245">
        <f t="shared" si="65"/>
        <v>-0.21999999999999886</v>
      </c>
      <c r="M1245">
        <f t="shared" si="66"/>
        <v>-6.0000000000002274E-2</v>
      </c>
      <c r="N1245">
        <f t="shared" si="67"/>
        <v>5.0000000000011369E-2</v>
      </c>
      <c r="O1245">
        <f t="shared" si="68"/>
        <v>0</v>
      </c>
      <c r="P1245" s="10">
        <f t="shared" si="69"/>
        <v>6.0000000000002274E-2</v>
      </c>
    </row>
    <row r="1246" spans="1:16">
      <c r="A1246">
        <v>306.25</v>
      </c>
      <c r="B1246">
        <v>127.17</v>
      </c>
      <c r="C1246">
        <v>128.62</v>
      </c>
      <c r="D1246">
        <v>132.66999999999999</v>
      </c>
      <c r="E1246">
        <v>135.16999999999999</v>
      </c>
      <c r="F1246">
        <v>129.72999999999999</v>
      </c>
      <c r="G1246">
        <v>132.78</v>
      </c>
      <c r="H1246">
        <v>121.67</v>
      </c>
      <c r="K1246" s="9">
        <f t="shared" si="70"/>
        <v>0</v>
      </c>
      <c r="L1246">
        <f t="shared" si="65"/>
        <v>-4.9999999999982947E-2</v>
      </c>
      <c r="M1246">
        <f t="shared" si="66"/>
        <v>-0.15999999999999659</v>
      </c>
      <c r="N1246">
        <f t="shared" si="67"/>
        <v>0</v>
      </c>
      <c r="O1246">
        <f t="shared" si="68"/>
        <v>-5.0000000000011369E-2</v>
      </c>
      <c r="P1246" s="10">
        <f t="shared" si="69"/>
        <v>0</v>
      </c>
    </row>
    <row r="1247" spans="1:16">
      <c r="A1247">
        <v>306.5</v>
      </c>
      <c r="B1247">
        <v>127.12</v>
      </c>
      <c r="C1247">
        <v>128.56</v>
      </c>
      <c r="D1247">
        <v>132.66999999999999</v>
      </c>
      <c r="E1247">
        <v>135.12</v>
      </c>
      <c r="F1247">
        <v>129.72999999999999</v>
      </c>
      <c r="G1247">
        <v>132.78</v>
      </c>
      <c r="H1247">
        <v>121.73</v>
      </c>
      <c r="K1247" s="9">
        <f t="shared" si="70"/>
        <v>-0.11000000000001364</v>
      </c>
      <c r="L1247">
        <f t="shared" si="65"/>
        <v>-0.10999999999998522</v>
      </c>
      <c r="M1247">
        <f t="shared" si="66"/>
        <v>-0.11000000000001364</v>
      </c>
      <c r="N1247">
        <f t="shared" si="67"/>
        <v>5.0000000000011369E-2</v>
      </c>
      <c r="O1247">
        <f t="shared" si="68"/>
        <v>0</v>
      </c>
      <c r="P1247" s="10">
        <f t="shared" si="69"/>
        <v>0</v>
      </c>
    </row>
    <row r="1248" spans="1:16">
      <c r="A1248">
        <v>306.75</v>
      </c>
      <c r="B1248">
        <v>127.17</v>
      </c>
      <c r="C1248">
        <v>128.51</v>
      </c>
      <c r="D1248">
        <v>132.62</v>
      </c>
      <c r="E1248">
        <v>135.16999999999999</v>
      </c>
      <c r="F1248">
        <v>129.78</v>
      </c>
      <c r="G1248">
        <v>132.78</v>
      </c>
      <c r="H1248">
        <v>121.73</v>
      </c>
      <c r="K1248" s="9">
        <f t="shared" si="70"/>
        <v>-0.10999999999998522</v>
      </c>
      <c r="L1248">
        <f t="shared" si="65"/>
        <v>-0.17000000000001592</v>
      </c>
      <c r="M1248">
        <f t="shared" si="66"/>
        <v>-0.15999999999999659</v>
      </c>
      <c r="N1248">
        <f t="shared" si="67"/>
        <v>-5.0000000000011369E-2</v>
      </c>
      <c r="O1248">
        <f t="shared" si="68"/>
        <v>-0.11000000000001364</v>
      </c>
      <c r="P1248" s="10">
        <f t="shared" si="69"/>
        <v>-6.0000000000002274E-2</v>
      </c>
    </row>
    <row r="1249" spans="1:16">
      <c r="A1249">
        <v>307</v>
      </c>
      <c r="B1249">
        <v>127.17</v>
      </c>
      <c r="C1249">
        <v>128.62</v>
      </c>
      <c r="D1249">
        <v>132.62</v>
      </c>
      <c r="E1249">
        <v>135.01</v>
      </c>
      <c r="F1249">
        <v>129.72999999999999</v>
      </c>
      <c r="G1249">
        <v>132.72999999999999</v>
      </c>
      <c r="H1249">
        <v>121.67</v>
      </c>
      <c r="K1249" s="9">
        <f t="shared" si="70"/>
        <v>-0.11000000000001364</v>
      </c>
      <c r="L1249">
        <f t="shared" si="65"/>
        <v>-6.0000000000002274E-2</v>
      </c>
      <c r="M1249">
        <f t="shared" si="66"/>
        <v>-6.0000000000002274E-2</v>
      </c>
      <c r="N1249">
        <f t="shared" si="67"/>
        <v>-6.0000000000002274E-2</v>
      </c>
      <c r="O1249">
        <f t="shared" si="68"/>
        <v>-6.0000000000002274E-2</v>
      </c>
      <c r="P1249" s="10">
        <f t="shared" si="69"/>
        <v>0.10999999999999943</v>
      </c>
    </row>
    <row r="1250" spans="1:16">
      <c r="A1250">
        <v>307.25</v>
      </c>
      <c r="B1250">
        <v>127.06</v>
      </c>
      <c r="C1250">
        <v>128.44999999999999</v>
      </c>
      <c r="D1250">
        <v>132.56</v>
      </c>
      <c r="E1250">
        <v>135.01</v>
      </c>
      <c r="F1250">
        <v>129.78</v>
      </c>
      <c r="G1250">
        <v>132.78</v>
      </c>
      <c r="H1250">
        <v>121.73</v>
      </c>
      <c r="K1250" s="9">
        <f t="shared" si="70"/>
        <v>0</v>
      </c>
      <c r="L1250">
        <f t="shared" si="65"/>
        <v>-5.0000000000011369E-2</v>
      </c>
      <c r="M1250">
        <f t="shared" si="66"/>
        <v>-6.0000000000002274E-2</v>
      </c>
      <c r="N1250">
        <f t="shared" si="67"/>
        <v>-5.0000000000011369E-2</v>
      </c>
      <c r="O1250">
        <f t="shared" si="68"/>
        <v>-0.11000000000001364</v>
      </c>
      <c r="P1250" s="10">
        <f t="shared" si="69"/>
        <v>0</v>
      </c>
    </row>
    <row r="1251" spans="1:16">
      <c r="A1251">
        <v>307.5</v>
      </c>
      <c r="B1251">
        <v>127.01</v>
      </c>
      <c r="C1251">
        <v>128.4</v>
      </c>
      <c r="D1251">
        <v>132.44999999999999</v>
      </c>
      <c r="E1251">
        <v>135.01</v>
      </c>
      <c r="F1251">
        <v>129.72999999999999</v>
      </c>
      <c r="G1251">
        <v>132.66999999999999</v>
      </c>
      <c r="H1251">
        <v>121.67</v>
      </c>
      <c r="K1251" s="9">
        <f t="shared" si="70"/>
        <v>-6.0000000000002274E-2</v>
      </c>
      <c r="L1251">
        <f t="shared" si="65"/>
        <v>0</v>
      </c>
      <c r="M1251">
        <f t="shared" si="66"/>
        <v>-0.10999999999998522</v>
      </c>
      <c r="N1251">
        <f t="shared" si="67"/>
        <v>-0.16999999999998749</v>
      </c>
      <c r="O1251">
        <f t="shared" si="68"/>
        <v>-0.10999999999998522</v>
      </c>
      <c r="P1251" s="10">
        <f t="shared" si="69"/>
        <v>0.17000000000000171</v>
      </c>
    </row>
    <row r="1252" spans="1:16">
      <c r="A1252">
        <v>307.75</v>
      </c>
      <c r="B1252">
        <v>127.06</v>
      </c>
      <c r="C1252">
        <v>128.51</v>
      </c>
      <c r="D1252">
        <v>132.56</v>
      </c>
      <c r="E1252">
        <v>134.94999999999999</v>
      </c>
      <c r="F1252">
        <v>129.66999999999999</v>
      </c>
      <c r="G1252">
        <v>132.66999999999999</v>
      </c>
      <c r="H1252">
        <v>121.78</v>
      </c>
      <c r="K1252" s="9">
        <f t="shared" si="70"/>
        <v>-0.10999999999998522</v>
      </c>
      <c r="L1252">
        <f t="shared" si="65"/>
        <v>-0.11000000000001364</v>
      </c>
      <c r="M1252">
        <f t="shared" si="66"/>
        <v>-0.10999999999998522</v>
      </c>
      <c r="N1252">
        <f t="shared" si="67"/>
        <v>-4.9999999999982947E-2</v>
      </c>
      <c r="O1252">
        <f t="shared" si="68"/>
        <v>-0.10999999999998522</v>
      </c>
      <c r="P1252" s="10">
        <f t="shared" si="69"/>
        <v>6.0000000000002274E-2</v>
      </c>
    </row>
    <row r="1253" spans="1:16">
      <c r="A1253">
        <v>308</v>
      </c>
      <c r="B1253">
        <v>127.01</v>
      </c>
      <c r="C1253">
        <v>128.44999999999999</v>
      </c>
      <c r="D1253">
        <v>132.51</v>
      </c>
      <c r="E1253">
        <v>134.94999999999999</v>
      </c>
      <c r="F1253">
        <v>129.72999999999999</v>
      </c>
      <c r="G1253">
        <v>132.66999999999999</v>
      </c>
      <c r="H1253">
        <v>121.73</v>
      </c>
      <c r="K1253" s="9">
        <f t="shared" si="70"/>
        <v>-0.21999999999999886</v>
      </c>
      <c r="L1253">
        <f t="shared" si="65"/>
        <v>-0.10999999999998522</v>
      </c>
      <c r="M1253">
        <f t="shared" si="66"/>
        <v>-0.10999999999998522</v>
      </c>
      <c r="N1253">
        <f t="shared" si="67"/>
        <v>-0.21999999999999886</v>
      </c>
      <c r="O1253">
        <f t="shared" si="68"/>
        <v>-0.10999999999998522</v>
      </c>
      <c r="P1253" s="10">
        <f t="shared" si="69"/>
        <v>0.17000000000000171</v>
      </c>
    </row>
    <row r="1254" spans="1:16">
      <c r="A1254">
        <v>308.25</v>
      </c>
      <c r="B1254">
        <v>126.95</v>
      </c>
      <c r="C1254">
        <v>128.34</v>
      </c>
      <c r="D1254">
        <v>132.44999999999999</v>
      </c>
      <c r="E1254">
        <v>134.9</v>
      </c>
      <c r="F1254">
        <v>129.56</v>
      </c>
      <c r="G1254">
        <v>132.56</v>
      </c>
      <c r="H1254">
        <v>121.84</v>
      </c>
      <c r="K1254" s="9">
        <f t="shared" si="70"/>
        <v>-0.11000000000001364</v>
      </c>
      <c r="L1254">
        <f t="shared" si="65"/>
        <v>-0.10999999999998522</v>
      </c>
      <c r="M1254">
        <f t="shared" si="66"/>
        <v>-6.0000000000002274E-2</v>
      </c>
      <c r="N1254">
        <f t="shared" si="67"/>
        <v>0</v>
      </c>
      <c r="O1254">
        <f t="shared" si="68"/>
        <v>0</v>
      </c>
      <c r="P1254" s="10">
        <f t="shared" si="69"/>
        <v>0.10999999999999943</v>
      </c>
    </row>
    <row r="1255" spans="1:16">
      <c r="A1255">
        <v>308.5</v>
      </c>
      <c r="B1255">
        <v>126.84</v>
      </c>
      <c r="C1255">
        <v>128.4</v>
      </c>
      <c r="D1255">
        <v>132.44999999999999</v>
      </c>
      <c r="E1255">
        <v>134.84</v>
      </c>
      <c r="F1255">
        <v>129.62</v>
      </c>
      <c r="G1255">
        <v>132.56</v>
      </c>
      <c r="H1255">
        <v>121.84</v>
      </c>
      <c r="K1255" s="9">
        <f t="shared" si="70"/>
        <v>-0.17000000000001592</v>
      </c>
      <c r="L1255">
        <f t="shared" si="65"/>
        <v>-0.16999999999998749</v>
      </c>
      <c r="M1255">
        <f t="shared" si="66"/>
        <v>-6.0000000000002274E-2</v>
      </c>
      <c r="N1255">
        <f t="shared" si="67"/>
        <v>-6.0000000000002274E-2</v>
      </c>
      <c r="O1255">
        <f t="shared" si="68"/>
        <v>0</v>
      </c>
      <c r="P1255" s="10">
        <f t="shared" si="69"/>
        <v>0.10999999999999943</v>
      </c>
    </row>
    <row r="1256" spans="1:16">
      <c r="A1256">
        <v>308.75</v>
      </c>
      <c r="B1256">
        <v>126.84</v>
      </c>
      <c r="C1256">
        <v>128.22999999999999</v>
      </c>
      <c r="D1256">
        <v>132.4</v>
      </c>
      <c r="E1256">
        <v>134.84</v>
      </c>
      <c r="F1256">
        <v>129.51</v>
      </c>
      <c r="G1256">
        <v>132.56</v>
      </c>
      <c r="H1256">
        <v>121.9</v>
      </c>
      <c r="K1256" s="9">
        <f t="shared" si="70"/>
        <v>-0.10999999999998522</v>
      </c>
      <c r="L1256">
        <f t="shared" si="65"/>
        <v>-0.17000000000001592</v>
      </c>
      <c r="M1256">
        <f t="shared" si="66"/>
        <v>-6.0000000000002274E-2</v>
      </c>
      <c r="N1256">
        <f t="shared" si="67"/>
        <v>0.11000000000001364</v>
      </c>
      <c r="O1256">
        <f t="shared" si="68"/>
        <v>-5.0000000000011369E-2</v>
      </c>
      <c r="P1256" s="10">
        <f t="shared" si="69"/>
        <v>0.10999999999999943</v>
      </c>
    </row>
    <row r="1257" spans="1:16">
      <c r="A1257">
        <v>309</v>
      </c>
      <c r="B1257">
        <v>126.84</v>
      </c>
      <c r="C1257">
        <v>128.22999999999999</v>
      </c>
      <c r="D1257">
        <v>132.34</v>
      </c>
      <c r="E1257">
        <v>134.84</v>
      </c>
      <c r="F1257">
        <v>129.56</v>
      </c>
      <c r="G1257">
        <v>132.56</v>
      </c>
      <c r="H1257">
        <v>121.95</v>
      </c>
      <c r="K1257" s="9">
        <f t="shared" si="70"/>
        <v>-0.10999999999998522</v>
      </c>
      <c r="L1257">
        <f t="shared" si="65"/>
        <v>-6.0000000000002274E-2</v>
      </c>
      <c r="M1257">
        <f t="shared" si="66"/>
        <v>-6.0000000000002274E-2</v>
      </c>
      <c r="N1257">
        <f t="shared" si="67"/>
        <v>-0.11000000000001364</v>
      </c>
      <c r="O1257">
        <f t="shared" si="68"/>
        <v>-0.11000000000001364</v>
      </c>
      <c r="P1257" s="10">
        <f t="shared" si="69"/>
        <v>6.0000000000002274E-2</v>
      </c>
    </row>
    <row r="1258" spans="1:16">
      <c r="A1258">
        <v>309.25</v>
      </c>
      <c r="B1258">
        <v>126.78</v>
      </c>
      <c r="C1258">
        <v>128.22999999999999</v>
      </c>
      <c r="D1258">
        <v>132.28</v>
      </c>
      <c r="E1258">
        <v>134.78</v>
      </c>
      <c r="F1258">
        <v>129.56</v>
      </c>
      <c r="G1258">
        <v>132.56</v>
      </c>
      <c r="H1258">
        <v>121.95</v>
      </c>
      <c r="K1258" s="9">
        <f t="shared" si="70"/>
        <v>-0.16999999999998749</v>
      </c>
      <c r="L1258">
        <f t="shared" si="65"/>
        <v>-5.0000000000011369E-2</v>
      </c>
      <c r="M1258">
        <f t="shared" si="66"/>
        <v>-0.11000000000001364</v>
      </c>
      <c r="N1258">
        <f t="shared" si="67"/>
        <v>-5.0000000000011369E-2</v>
      </c>
      <c r="O1258">
        <f t="shared" si="68"/>
        <v>-0.15999999999999659</v>
      </c>
      <c r="P1258" s="10">
        <f t="shared" si="69"/>
        <v>6.0000000000002274E-2</v>
      </c>
    </row>
    <row r="1259" spans="1:16">
      <c r="A1259">
        <v>309.5</v>
      </c>
      <c r="B1259">
        <v>126.67</v>
      </c>
      <c r="C1259">
        <v>128.12</v>
      </c>
      <c r="D1259">
        <v>132.22999999999999</v>
      </c>
      <c r="E1259">
        <v>134.78</v>
      </c>
      <c r="F1259">
        <v>129.62</v>
      </c>
      <c r="G1259">
        <v>132.51</v>
      </c>
      <c r="H1259">
        <v>122.01</v>
      </c>
      <c r="K1259" s="9">
        <f t="shared" si="70"/>
        <v>-6.0000000000002274E-2</v>
      </c>
      <c r="L1259">
        <f t="shared" si="65"/>
        <v>0</v>
      </c>
      <c r="M1259">
        <f t="shared" si="66"/>
        <v>-0.15999999999999659</v>
      </c>
      <c r="N1259">
        <f t="shared" si="67"/>
        <v>-0.17000000000001592</v>
      </c>
      <c r="O1259">
        <f t="shared" si="68"/>
        <v>-6.0000000000002274E-2</v>
      </c>
      <c r="P1259" s="10">
        <f t="shared" si="69"/>
        <v>4.9999999999997158E-2</v>
      </c>
    </row>
    <row r="1260" spans="1:16">
      <c r="A1260">
        <v>309.75</v>
      </c>
      <c r="B1260">
        <v>126.62</v>
      </c>
      <c r="C1260">
        <v>128.12</v>
      </c>
      <c r="D1260">
        <v>132.28</v>
      </c>
      <c r="E1260">
        <v>134.78</v>
      </c>
      <c r="F1260">
        <v>129.44999999999999</v>
      </c>
      <c r="G1260">
        <v>132.44999999999999</v>
      </c>
      <c r="H1260">
        <v>122.01</v>
      </c>
      <c r="K1260" s="9">
        <f t="shared" si="70"/>
        <v>-0.17000000000000171</v>
      </c>
      <c r="L1260">
        <f t="shared" si="65"/>
        <v>-0.11000000000001364</v>
      </c>
      <c r="M1260">
        <f t="shared" si="66"/>
        <v>-0.15999999999999659</v>
      </c>
      <c r="N1260">
        <f t="shared" si="67"/>
        <v>6.0000000000002274E-2</v>
      </c>
      <c r="O1260">
        <f t="shared" si="68"/>
        <v>0</v>
      </c>
      <c r="P1260" s="10">
        <f t="shared" si="69"/>
        <v>0.10999999999999943</v>
      </c>
    </row>
    <row r="1261" spans="1:16">
      <c r="A1261">
        <v>310</v>
      </c>
      <c r="B1261">
        <v>126.67</v>
      </c>
      <c r="C1261">
        <v>128.06</v>
      </c>
      <c r="D1261">
        <v>132.22999999999999</v>
      </c>
      <c r="E1261">
        <v>134.66999999999999</v>
      </c>
      <c r="F1261">
        <v>129.51</v>
      </c>
      <c r="G1261">
        <v>132.4</v>
      </c>
      <c r="H1261">
        <v>122.01</v>
      </c>
      <c r="K1261" s="9">
        <f t="shared" si="70"/>
        <v>-0.10999999999999943</v>
      </c>
      <c r="L1261">
        <f t="shared" si="65"/>
        <v>-0.16999999999998749</v>
      </c>
      <c r="M1261">
        <f t="shared" si="66"/>
        <v>-0.15999999999999659</v>
      </c>
      <c r="N1261">
        <f t="shared" si="67"/>
        <v>-6.0000000000002274E-2</v>
      </c>
      <c r="O1261">
        <f t="shared" si="68"/>
        <v>0</v>
      </c>
      <c r="P1261" s="10">
        <f t="shared" si="69"/>
        <v>0</v>
      </c>
    </row>
    <row r="1262" spans="1:16">
      <c r="A1262">
        <v>310.25</v>
      </c>
      <c r="B1262">
        <v>126.67</v>
      </c>
      <c r="C1262">
        <v>128.06</v>
      </c>
      <c r="D1262">
        <v>132.22999999999999</v>
      </c>
      <c r="E1262">
        <v>134.62</v>
      </c>
      <c r="F1262">
        <v>129.44999999999999</v>
      </c>
      <c r="G1262">
        <v>132.44999999999999</v>
      </c>
      <c r="H1262">
        <v>122.06</v>
      </c>
      <c r="K1262" s="9">
        <f t="shared" si="70"/>
        <v>-0.15999999999999659</v>
      </c>
      <c r="L1262">
        <f t="shared" si="65"/>
        <v>-0.16999999999998749</v>
      </c>
      <c r="M1262">
        <f t="shared" si="66"/>
        <v>-6.0000000000002274E-2</v>
      </c>
      <c r="N1262">
        <f t="shared" si="67"/>
        <v>-4.9999999999982947E-2</v>
      </c>
      <c r="O1262">
        <f t="shared" si="68"/>
        <v>-0.21999999999999886</v>
      </c>
      <c r="P1262" s="10">
        <f t="shared" si="69"/>
        <v>-4.9999999999997158E-2</v>
      </c>
    </row>
    <row r="1263" spans="1:16">
      <c r="A1263">
        <v>310.5</v>
      </c>
      <c r="B1263">
        <v>126.62</v>
      </c>
      <c r="C1263">
        <v>127.95</v>
      </c>
      <c r="D1263">
        <v>132.16999999999999</v>
      </c>
      <c r="E1263">
        <v>134.62</v>
      </c>
      <c r="F1263">
        <v>129.51</v>
      </c>
      <c r="G1263">
        <v>132.44999999999999</v>
      </c>
      <c r="H1263">
        <v>122.12</v>
      </c>
      <c r="K1263" s="9">
        <f t="shared" si="70"/>
        <v>-0.21999999999999886</v>
      </c>
      <c r="L1263">
        <f t="shared" si="65"/>
        <v>-0.10999999999998522</v>
      </c>
      <c r="M1263">
        <f t="shared" si="66"/>
        <v>-0.11000000000001364</v>
      </c>
      <c r="N1263">
        <f t="shared" si="67"/>
        <v>-0.10999999999998522</v>
      </c>
      <c r="O1263">
        <f t="shared" si="68"/>
        <v>-0.21999999999999886</v>
      </c>
      <c r="P1263" s="10">
        <f t="shared" si="69"/>
        <v>-6.0000000000002274E-2</v>
      </c>
    </row>
    <row r="1264" spans="1:16">
      <c r="A1264">
        <v>310.75</v>
      </c>
      <c r="B1264">
        <v>126.56</v>
      </c>
      <c r="C1264">
        <v>127.95</v>
      </c>
      <c r="D1264">
        <v>132.06</v>
      </c>
      <c r="E1264">
        <v>134.51</v>
      </c>
      <c r="F1264">
        <v>129.44999999999999</v>
      </c>
      <c r="G1264">
        <v>132.4</v>
      </c>
      <c r="H1264">
        <v>122.01</v>
      </c>
      <c r="K1264" s="9">
        <f t="shared" si="70"/>
        <v>-0.17000000000000171</v>
      </c>
      <c r="L1264">
        <f t="shared" si="65"/>
        <v>0</v>
      </c>
      <c r="M1264">
        <f t="shared" si="66"/>
        <v>0</v>
      </c>
      <c r="N1264">
        <f t="shared" si="67"/>
        <v>-0.16999999999998749</v>
      </c>
      <c r="O1264">
        <f t="shared" si="68"/>
        <v>-0.17000000000001592</v>
      </c>
      <c r="P1264" s="10">
        <f t="shared" si="69"/>
        <v>0</v>
      </c>
    </row>
    <row r="1265" spans="1:16">
      <c r="A1265">
        <v>311</v>
      </c>
      <c r="B1265">
        <v>126.56</v>
      </c>
      <c r="C1265">
        <v>127.9</v>
      </c>
      <c r="D1265">
        <v>132.06</v>
      </c>
      <c r="E1265">
        <v>134.56</v>
      </c>
      <c r="F1265">
        <v>129.4</v>
      </c>
      <c r="G1265">
        <v>132.22999999999999</v>
      </c>
      <c r="H1265">
        <v>122.01</v>
      </c>
      <c r="K1265" s="9">
        <f t="shared" si="70"/>
        <v>-0.17000000000000171</v>
      </c>
      <c r="L1265">
        <f t="shared" si="65"/>
        <v>-0.11000000000001364</v>
      </c>
      <c r="M1265">
        <f t="shared" si="66"/>
        <v>-5.0000000000011369E-2</v>
      </c>
      <c r="N1265">
        <f t="shared" si="67"/>
        <v>-0.12000000000000455</v>
      </c>
      <c r="O1265">
        <f t="shared" si="68"/>
        <v>-6.0000000000002274E-2</v>
      </c>
      <c r="P1265" s="10">
        <f t="shared" si="69"/>
        <v>4.9999999999997158E-2</v>
      </c>
    </row>
    <row r="1266" spans="1:16">
      <c r="A1266">
        <v>311.25</v>
      </c>
      <c r="B1266">
        <v>126.51</v>
      </c>
      <c r="C1266">
        <v>127.73</v>
      </c>
      <c r="D1266">
        <v>132.06</v>
      </c>
      <c r="E1266">
        <v>134.51</v>
      </c>
      <c r="F1266">
        <v>129.4</v>
      </c>
      <c r="G1266">
        <v>132.22999999999999</v>
      </c>
      <c r="H1266">
        <v>122.06</v>
      </c>
      <c r="K1266" s="9">
        <f t="shared" si="70"/>
        <v>-0.10999999999999943</v>
      </c>
      <c r="L1266">
        <f t="shared" si="65"/>
        <v>-0.11000000000001364</v>
      </c>
      <c r="M1266">
        <f t="shared" si="66"/>
        <v>-0.16999999999998749</v>
      </c>
      <c r="N1266">
        <f t="shared" si="67"/>
        <v>-0.12000000000000455</v>
      </c>
      <c r="O1266">
        <f t="shared" si="68"/>
        <v>-6.0000000000002274E-2</v>
      </c>
      <c r="P1266" s="10">
        <f t="shared" si="69"/>
        <v>6.0000000000002274E-2</v>
      </c>
    </row>
    <row r="1267" spans="1:16">
      <c r="A1267">
        <v>311.5</v>
      </c>
      <c r="B1267">
        <v>126.4</v>
      </c>
      <c r="C1267">
        <v>127.78</v>
      </c>
      <c r="D1267">
        <v>132.06</v>
      </c>
      <c r="E1267">
        <v>134.51</v>
      </c>
      <c r="F1267">
        <v>129.28</v>
      </c>
      <c r="G1267">
        <v>132.22999999999999</v>
      </c>
      <c r="H1267">
        <v>122.01</v>
      </c>
      <c r="K1267" s="9">
        <f t="shared" si="70"/>
        <v>-0.10999999999999943</v>
      </c>
      <c r="L1267">
        <f t="shared" si="65"/>
        <v>-0.11000000000001364</v>
      </c>
      <c r="M1267">
        <f t="shared" si="66"/>
        <v>-0.10999999999998522</v>
      </c>
      <c r="N1267">
        <f t="shared" si="67"/>
        <v>6.0000000000002274E-2</v>
      </c>
      <c r="O1267">
        <f t="shared" si="68"/>
        <v>-6.0000000000002274E-2</v>
      </c>
      <c r="P1267" s="10">
        <f t="shared" si="69"/>
        <v>0.10999999999999943</v>
      </c>
    </row>
    <row r="1268" spans="1:16">
      <c r="A1268">
        <v>311.75</v>
      </c>
      <c r="B1268">
        <v>126.28</v>
      </c>
      <c r="C1268">
        <v>127.73</v>
      </c>
      <c r="D1268">
        <v>131.94999999999999</v>
      </c>
      <c r="E1268">
        <v>134.51</v>
      </c>
      <c r="F1268">
        <v>129.28</v>
      </c>
      <c r="G1268">
        <v>132.16999999999999</v>
      </c>
      <c r="H1268">
        <v>122.06</v>
      </c>
      <c r="K1268" s="9">
        <f t="shared" si="70"/>
        <v>0</v>
      </c>
      <c r="L1268">
        <f t="shared" si="65"/>
        <v>-0.10999999999998522</v>
      </c>
      <c r="M1268">
        <f t="shared" si="66"/>
        <v>-0.10999999999998522</v>
      </c>
      <c r="N1268">
        <f t="shared" si="67"/>
        <v>0.12000000000000455</v>
      </c>
      <c r="O1268">
        <f t="shared" si="68"/>
        <v>0</v>
      </c>
      <c r="P1268" s="10">
        <f t="shared" si="69"/>
        <v>-4.9999999999997158E-2</v>
      </c>
    </row>
    <row r="1269" spans="1:16">
      <c r="A1269">
        <v>312</v>
      </c>
      <c r="B1269">
        <v>126.34</v>
      </c>
      <c r="C1269">
        <v>127.62</v>
      </c>
      <c r="D1269">
        <v>131.94999999999999</v>
      </c>
      <c r="E1269">
        <v>134.34</v>
      </c>
      <c r="F1269">
        <v>129.28</v>
      </c>
      <c r="G1269">
        <v>132.16999999999999</v>
      </c>
      <c r="H1269">
        <v>122.12</v>
      </c>
      <c r="K1269" s="9">
        <f t="shared" si="70"/>
        <v>0.10999999999999943</v>
      </c>
      <c r="L1269">
        <f t="shared" si="65"/>
        <v>0</v>
      </c>
      <c r="M1269">
        <f t="shared" si="66"/>
        <v>0</v>
      </c>
      <c r="N1269">
        <f t="shared" si="67"/>
        <v>0</v>
      </c>
      <c r="O1269">
        <f t="shared" si="68"/>
        <v>-4.9999999999982947E-2</v>
      </c>
      <c r="P1269" s="10">
        <f t="shared" si="69"/>
        <v>0.15999999999999659</v>
      </c>
    </row>
    <row r="1270" spans="1:16">
      <c r="A1270">
        <v>312.25</v>
      </c>
      <c r="B1270">
        <v>126.28</v>
      </c>
      <c r="C1270">
        <v>127.67</v>
      </c>
      <c r="D1270">
        <v>131.94999999999999</v>
      </c>
      <c r="E1270">
        <v>134.4</v>
      </c>
      <c r="F1270">
        <v>129.34</v>
      </c>
      <c r="G1270">
        <v>132.16999999999999</v>
      </c>
      <c r="H1270">
        <v>122.12</v>
      </c>
      <c r="K1270" s="9">
        <f t="shared" si="70"/>
        <v>0</v>
      </c>
      <c r="L1270">
        <f t="shared" si="65"/>
        <v>-0.10999999999998522</v>
      </c>
      <c r="M1270">
        <f t="shared" si="66"/>
        <v>-0.12000000000000455</v>
      </c>
      <c r="N1270">
        <f t="shared" si="67"/>
        <v>0</v>
      </c>
      <c r="O1270">
        <f t="shared" si="68"/>
        <v>0</v>
      </c>
      <c r="P1270" s="10">
        <f t="shared" si="69"/>
        <v>0.15999999999999659</v>
      </c>
    </row>
    <row r="1271" spans="1:16">
      <c r="A1271">
        <v>312.5</v>
      </c>
      <c r="B1271">
        <v>126.28</v>
      </c>
      <c r="C1271">
        <v>127.73</v>
      </c>
      <c r="D1271">
        <v>131.84</v>
      </c>
      <c r="E1271">
        <v>134.4</v>
      </c>
      <c r="F1271">
        <v>129.4</v>
      </c>
      <c r="G1271">
        <v>132.16999999999999</v>
      </c>
      <c r="H1271">
        <v>122.01</v>
      </c>
      <c r="K1271" s="9">
        <f t="shared" si="70"/>
        <v>-6.0000000000002274E-2</v>
      </c>
      <c r="L1271">
        <f t="shared" si="65"/>
        <v>-6.0000000000002274E-2</v>
      </c>
      <c r="M1271">
        <f t="shared" si="66"/>
        <v>-0.17000000000001592</v>
      </c>
      <c r="N1271">
        <f t="shared" si="67"/>
        <v>-0.12000000000000455</v>
      </c>
      <c r="O1271">
        <f t="shared" si="68"/>
        <v>-0.10999999999998522</v>
      </c>
      <c r="P1271" s="10">
        <f t="shared" si="69"/>
        <v>0.32999999999999829</v>
      </c>
    </row>
    <row r="1272" spans="1:16">
      <c r="A1272">
        <v>312.75</v>
      </c>
      <c r="B1272">
        <v>126.28</v>
      </c>
      <c r="C1272">
        <v>127.73</v>
      </c>
      <c r="D1272">
        <v>131.94999999999999</v>
      </c>
      <c r="E1272">
        <v>134.34</v>
      </c>
      <c r="F1272">
        <v>129.28</v>
      </c>
      <c r="G1272">
        <v>132.12</v>
      </c>
      <c r="H1272">
        <v>122.28</v>
      </c>
      <c r="K1272" s="9">
        <f t="shared" si="70"/>
        <v>-0.21999999999999886</v>
      </c>
      <c r="L1272">
        <f t="shared" si="65"/>
        <v>-0.16999999999998749</v>
      </c>
      <c r="M1272">
        <f t="shared" si="66"/>
        <v>-0.17000000000001592</v>
      </c>
      <c r="N1272">
        <f t="shared" si="67"/>
        <v>-5.0000000000011369E-2</v>
      </c>
      <c r="O1272">
        <f t="shared" si="68"/>
        <v>-0.17000000000001592</v>
      </c>
      <c r="P1272" s="10">
        <f t="shared" si="69"/>
        <v>-0.10999999999999943</v>
      </c>
    </row>
    <row r="1273" spans="1:16">
      <c r="A1273">
        <v>313</v>
      </c>
      <c r="B1273">
        <v>126.23</v>
      </c>
      <c r="C1273">
        <v>127.67</v>
      </c>
      <c r="D1273">
        <v>131.84</v>
      </c>
      <c r="E1273">
        <v>134.28</v>
      </c>
      <c r="F1273">
        <v>129.34</v>
      </c>
      <c r="G1273">
        <v>132.16999999999999</v>
      </c>
      <c r="H1273">
        <v>122.28</v>
      </c>
      <c r="K1273" s="9">
        <f t="shared" si="70"/>
        <v>-0.10999999999999943</v>
      </c>
      <c r="L1273">
        <f t="shared" si="65"/>
        <v>-6.0000000000002274E-2</v>
      </c>
      <c r="M1273">
        <f t="shared" si="66"/>
        <v>-0.11000000000001364</v>
      </c>
      <c r="N1273">
        <f t="shared" si="67"/>
        <v>-0.17000000000001592</v>
      </c>
      <c r="O1273">
        <f t="shared" si="68"/>
        <v>-0.21999999999999886</v>
      </c>
      <c r="P1273" s="10">
        <f t="shared" si="69"/>
        <v>6.0000000000002274E-2</v>
      </c>
    </row>
    <row r="1274" spans="1:16">
      <c r="A1274">
        <v>313.25</v>
      </c>
      <c r="B1274">
        <v>126.23</v>
      </c>
      <c r="C1274">
        <v>127.67</v>
      </c>
      <c r="D1274">
        <v>131.78</v>
      </c>
      <c r="E1274">
        <v>134.22999999999999</v>
      </c>
      <c r="F1274">
        <v>129.28</v>
      </c>
      <c r="G1274">
        <v>132.06</v>
      </c>
      <c r="H1274">
        <v>122.34</v>
      </c>
      <c r="K1274" s="9">
        <f t="shared" si="70"/>
        <v>-0.15999999999999659</v>
      </c>
      <c r="L1274">
        <f t="shared" si="65"/>
        <v>0</v>
      </c>
      <c r="M1274">
        <f t="shared" si="66"/>
        <v>-6.0000000000002274E-2</v>
      </c>
      <c r="N1274">
        <f t="shared" si="67"/>
        <v>-5.0000000000011369E-2</v>
      </c>
      <c r="O1274">
        <f t="shared" si="68"/>
        <v>-0.11000000000001364</v>
      </c>
      <c r="P1274" s="10">
        <f t="shared" si="69"/>
        <v>-0.10999999999999943</v>
      </c>
    </row>
    <row r="1275" spans="1:16">
      <c r="A1275">
        <v>313.5</v>
      </c>
      <c r="B1275">
        <v>126.12</v>
      </c>
      <c r="C1275">
        <v>127.51</v>
      </c>
      <c r="D1275">
        <v>131.78</v>
      </c>
      <c r="E1275">
        <v>134.16999999999999</v>
      </c>
      <c r="F1275">
        <v>129.22999999999999</v>
      </c>
      <c r="G1275">
        <v>131.94999999999999</v>
      </c>
      <c r="H1275">
        <v>122.17</v>
      </c>
      <c r="K1275" s="9">
        <f t="shared" si="70"/>
        <v>0</v>
      </c>
      <c r="L1275">
        <f t="shared" si="65"/>
        <v>-5.0000000000011369E-2</v>
      </c>
      <c r="M1275">
        <f t="shared" si="66"/>
        <v>0</v>
      </c>
      <c r="N1275">
        <f t="shared" si="67"/>
        <v>-6.0000000000002274E-2</v>
      </c>
      <c r="O1275">
        <f t="shared" si="68"/>
        <v>0</v>
      </c>
      <c r="P1275" s="10">
        <f t="shared" si="69"/>
        <v>0.17000000000000171</v>
      </c>
    </row>
    <row r="1276" spans="1:16">
      <c r="A1276">
        <v>313.75</v>
      </c>
      <c r="B1276">
        <v>126.23</v>
      </c>
      <c r="C1276">
        <v>127.56</v>
      </c>
      <c r="D1276">
        <v>131.78</v>
      </c>
      <c r="E1276">
        <v>134.16999999999999</v>
      </c>
      <c r="F1276">
        <v>129.16999999999999</v>
      </c>
      <c r="G1276">
        <v>131.94999999999999</v>
      </c>
      <c r="H1276">
        <v>122.34</v>
      </c>
      <c r="K1276" s="9">
        <f t="shared" si="70"/>
        <v>-0.10999999999999943</v>
      </c>
      <c r="L1276">
        <f t="shared" si="65"/>
        <v>-0.11000000000001364</v>
      </c>
      <c r="M1276">
        <f t="shared" si="66"/>
        <v>-4.9999999999982947E-2</v>
      </c>
      <c r="N1276">
        <f t="shared" si="67"/>
        <v>-0.10999999999998522</v>
      </c>
      <c r="O1276">
        <f t="shared" si="68"/>
        <v>-4.9999999999982947E-2</v>
      </c>
      <c r="P1276" s="10">
        <f t="shared" si="69"/>
        <v>0</v>
      </c>
    </row>
    <row r="1277" spans="1:16">
      <c r="A1277">
        <v>314</v>
      </c>
      <c r="B1277">
        <v>126.06</v>
      </c>
      <c r="C1277">
        <v>127.51</v>
      </c>
      <c r="D1277">
        <v>131.78</v>
      </c>
      <c r="E1277">
        <v>134.16999999999999</v>
      </c>
      <c r="F1277">
        <v>129.22999999999999</v>
      </c>
      <c r="G1277">
        <v>131.94999999999999</v>
      </c>
      <c r="H1277">
        <v>122.23</v>
      </c>
      <c r="K1277" s="9">
        <f t="shared" si="70"/>
        <v>-0.17000000000000171</v>
      </c>
      <c r="L1277">
        <f t="shared" si="65"/>
        <v>-0.15999999999999659</v>
      </c>
      <c r="M1277">
        <f t="shared" si="66"/>
        <v>-0.15999999999999659</v>
      </c>
      <c r="N1277">
        <f t="shared" si="67"/>
        <v>-0.10999999999998522</v>
      </c>
      <c r="O1277">
        <f t="shared" si="68"/>
        <v>-0.10999999999998522</v>
      </c>
      <c r="P1277" s="10">
        <f t="shared" si="69"/>
        <v>0.10999999999999943</v>
      </c>
    </row>
    <row r="1278" spans="1:16">
      <c r="A1278">
        <v>314.25</v>
      </c>
      <c r="B1278">
        <v>126.06</v>
      </c>
      <c r="C1278">
        <v>127.51</v>
      </c>
      <c r="D1278">
        <v>131.72999999999999</v>
      </c>
      <c r="E1278">
        <v>134.16999999999999</v>
      </c>
      <c r="F1278">
        <v>129.16999999999999</v>
      </c>
      <c r="G1278">
        <v>131.94999999999999</v>
      </c>
      <c r="H1278">
        <v>122.34</v>
      </c>
      <c r="K1278" s="9">
        <f t="shared" si="70"/>
        <v>-0.10999999999999943</v>
      </c>
      <c r="L1278">
        <f t="shared" si="65"/>
        <v>-0.10999999999998522</v>
      </c>
      <c r="M1278">
        <f t="shared" si="66"/>
        <v>-0.10999999999998522</v>
      </c>
      <c r="N1278">
        <f t="shared" si="67"/>
        <v>-4.9999999999982947E-2</v>
      </c>
      <c r="O1278">
        <f t="shared" si="68"/>
        <v>-0.10999999999998522</v>
      </c>
      <c r="P1278" s="10">
        <f t="shared" si="69"/>
        <v>0.10999999999999943</v>
      </c>
    </row>
    <row r="1279" spans="1:16">
      <c r="A1279">
        <v>314.5</v>
      </c>
      <c r="B1279">
        <v>126.17</v>
      </c>
      <c r="C1279">
        <v>127.45</v>
      </c>
      <c r="D1279">
        <v>131.66999999999999</v>
      </c>
      <c r="E1279">
        <v>134.12</v>
      </c>
      <c r="F1279">
        <v>129.06</v>
      </c>
      <c r="G1279">
        <v>131.9</v>
      </c>
      <c r="H1279">
        <v>122.34</v>
      </c>
      <c r="K1279" s="9">
        <f t="shared" si="70"/>
        <v>0</v>
      </c>
      <c r="L1279">
        <f t="shared" si="65"/>
        <v>-0.15999999999999659</v>
      </c>
      <c r="M1279">
        <f t="shared" si="66"/>
        <v>-0.17000000000001592</v>
      </c>
      <c r="N1279">
        <f t="shared" si="67"/>
        <v>0</v>
      </c>
      <c r="O1279">
        <f t="shared" si="68"/>
        <v>4.9999999999982947E-2</v>
      </c>
      <c r="P1279" s="10">
        <f t="shared" si="69"/>
        <v>0.10999999999999943</v>
      </c>
    </row>
    <row r="1280" spans="1:16">
      <c r="A1280">
        <v>314.75</v>
      </c>
      <c r="B1280">
        <v>126.01</v>
      </c>
      <c r="C1280">
        <v>127.34</v>
      </c>
      <c r="D1280">
        <v>131.62</v>
      </c>
      <c r="E1280">
        <v>134.01</v>
      </c>
      <c r="F1280">
        <v>129.12</v>
      </c>
      <c r="G1280">
        <v>131.84</v>
      </c>
      <c r="H1280">
        <v>122.34</v>
      </c>
      <c r="K1280" s="9">
        <f t="shared" si="70"/>
        <v>0.10999999999999943</v>
      </c>
      <c r="L1280">
        <f t="shared" si="65"/>
        <v>-6.0000000000002274E-2</v>
      </c>
      <c r="M1280">
        <f t="shared" si="66"/>
        <v>-6.0000000000002274E-2</v>
      </c>
      <c r="N1280">
        <f t="shared" si="67"/>
        <v>-6.0000000000002274E-2</v>
      </c>
      <c r="O1280">
        <f t="shared" si="68"/>
        <v>0</v>
      </c>
      <c r="P1280" s="10">
        <f t="shared" si="69"/>
        <v>0.17000000000000171</v>
      </c>
    </row>
    <row r="1281" spans="1:16">
      <c r="A1281">
        <v>315</v>
      </c>
      <c r="B1281">
        <v>126.12</v>
      </c>
      <c r="C1281">
        <v>127.4</v>
      </c>
      <c r="D1281">
        <v>131.62</v>
      </c>
      <c r="E1281">
        <v>134.06</v>
      </c>
      <c r="F1281">
        <v>129.12</v>
      </c>
      <c r="G1281">
        <v>131.84</v>
      </c>
      <c r="H1281">
        <v>122.45</v>
      </c>
      <c r="K1281" s="9">
        <f t="shared" si="70"/>
        <v>-6.0000000000002274E-2</v>
      </c>
      <c r="L1281">
        <f t="shared" si="65"/>
        <v>-6.0000000000002274E-2</v>
      </c>
      <c r="M1281">
        <f t="shared" si="66"/>
        <v>-0.11000000000001364</v>
      </c>
      <c r="N1281">
        <f t="shared" si="67"/>
        <v>-6.0000000000002274E-2</v>
      </c>
      <c r="O1281">
        <f t="shared" si="68"/>
        <v>-6.0000000000002274E-2</v>
      </c>
      <c r="P1281" s="10">
        <f t="shared" si="69"/>
        <v>0</v>
      </c>
    </row>
    <row r="1282" spans="1:16">
      <c r="A1282">
        <v>315.25</v>
      </c>
      <c r="B1282">
        <v>126.01</v>
      </c>
      <c r="C1282">
        <v>127.45</v>
      </c>
      <c r="D1282">
        <v>131.51</v>
      </c>
      <c r="E1282">
        <v>133.94999999999999</v>
      </c>
      <c r="F1282">
        <v>129.06</v>
      </c>
      <c r="G1282">
        <v>131.94999999999999</v>
      </c>
      <c r="H1282">
        <v>122.45</v>
      </c>
      <c r="K1282" s="9">
        <f t="shared" si="70"/>
        <v>-0.17000000000000171</v>
      </c>
      <c r="L1282">
        <f t="shared" si="65"/>
        <v>-6.0000000000002274E-2</v>
      </c>
      <c r="M1282">
        <f t="shared" si="66"/>
        <v>-4.9999999999982947E-2</v>
      </c>
      <c r="N1282">
        <f t="shared" si="67"/>
        <v>-5.0000000000011369E-2</v>
      </c>
      <c r="O1282">
        <f t="shared" si="68"/>
        <v>-0.16999999999998749</v>
      </c>
      <c r="P1282" s="10">
        <f t="shared" si="69"/>
        <v>0.10999999999999943</v>
      </c>
    </row>
    <row r="1283" spans="1:16">
      <c r="A1283">
        <v>315.5</v>
      </c>
      <c r="B1283">
        <v>125.95</v>
      </c>
      <c r="C1283">
        <v>127.45</v>
      </c>
      <c r="D1283">
        <v>131.56</v>
      </c>
      <c r="E1283">
        <v>133.94999999999999</v>
      </c>
      <c r="F1283">
        <v>129.06</v>
      </c>
      <c r="G1283">
        <v>131.84</v>
      </c>
      <c r="H1283">
        <v>122.51</v>
      </c>
      <c r="K1283" s="9">
        <f t="shared" si="70"/>
        <v>-0.28000000000000114</v>
      </c>
      <c r="L1283">
        <f t="shared" si="65"/>
        <v>-5.0000000000011369E-2</v>
      </c>
      <c r="M1283">
        <f t="shared" si="66"/>
        <v>-0.16999999999998749</v>
      </c>
      <c r="N1283">
        <f t="shared" si="67"/>
        <v>-5.0000000000011369E-2</v>
      </c>
      <c r="O1283">
        <f t="shared" si="68"/>
        <v>-0.11000000000001364</v>
      </c>
      <c r="P1283" s="10">
        <f t="shared" si="69"/>
        <v>0</v>
      </c>
    </row>
    <row r="1284" spans="1:16">
      <c r="A1284">
        <v>315.75</v>
      </c>
      <c r="B1284">
        <v>125.84</v>
      </c>
      <c r="C1284">
        <v>127.34</v>
      </c>
      <c r="D1284">
        <v>131.56</v>
      </c>
      <c r="E1284">
        <v>133.94999999999999</v>
      </c>
      <c r="F1284">
        <v>129.06</v>
      </c>
      <c r="G1284">
        <v>131.78</v>
      </c>
      <c r="H1284">
        <v>122.45</v>
      </c>
      <c r="K1284" s="9">
        <f t="shared" si="70"/>
        <v>-0.10999999999999943</v>
      </c>
      <c r="L1284">
        <f t="shared" si="65"/>
        <v>-0.11000000000001364</v>
      </c>
      <c r="M1284">
        <f t="shared" si="66"/>
        <v>-0.10999999999998522</v>
      </c>
      <c r="N1284">
        <f t="shared" si="67"/>
        <v>-5.0000000000011369E-2</v>
      </c>
      <c r="O1284">
        <f t="shared" si="68"/>
        <v>-5.0000000000011369E-2</v>
      </c>
      <c r="P1284" s="10">
        <f t="shared" si="69"/>
        <v>0.10999999999999943</v>
      </c>
    </row>
    <row r="1285" spans="1:16">
      <c r="A1285">
        <v>316</v>
      </c>
      <c r="B1285">
        <v>125.78</v>
      </c>
      <c r="C1285">
        <v>127.28</v>
      </c>
      <c r="D1285">
        <v>131.44999999999999</v>
      </c>
      <c r="E1285">
        <v>133.9</v>
      </c>
      <c r="F1285">
        <v>129.01</v>
      </c>
      <c r="G1285">
        <v>131.78</v>
      </c>
      <c r="H1285">
        <v>122.56</v>
      </c>
      <c r="K1285" s="9">
        <f t="shared" si="70"/>
        <v>-0.15999999999999659</v>
      </c>
      <c r="L1285">
        <f t="shared" si="65"/>
        <v>6.0000000000002274E-2</v>
      </c>
      <c r="M1285">
        <f t="shared" si="66"/>
        <v>-0.12000000000000455</v>
      </c>
      <c r="N1285">
        <f t="shared" si="67"/>
        <v>-6.0000000000002274E-2</v>
      </c>
      <c r="O1285">
        <f t="shared" si="68"/>
        <v>-0.11000000000001364</v>
      </c>
      <c r="P1285" s="10">
        <f t="shared" si="69"/>
        <v>-4.9999999999997158E-2</v>
      </c>
    </row>
    <row r="1286" spans="1:16">
      <c r="A1286">
        <v>316.25</v>
      </c>
      <c r="B1286">
        <v>125.73</v>
      </c>
      <c r="C1286">
        <v>127.17</v>
      </c>
      <c r="D1286">
        <v>131.51</v>
      </c>
      <c r="E1286">
        <v>133.78</v>
      </c>
      <c r="F1286">
        <v>129.01</v>
      </c>
      <c r="G1286">
        <v>131.72999999999999</v>
      </c>
      <c r="H1286">
        <v>122.51</v>
      </c>
      <c r="K1286" s="9">
        <f t="shared" si="70"/>
        <v>-4.9999999999997158E-2</v>
      </c>
      <c r="L1286">
        <f t="shared" si="65"/>
        <v>-0.16999999999998749</v>
      </c>
      <c r="M1286">
        <f t="shared" si="66"/>
        <v>0</v>
      </c>
      <c r="N1286">
        <f t="shared" si="67"/>
        <v>-0.10999999999998522</v>
      </c>
      <c r="O1286">
        <f t="shared" si="68"/>
        <v>-0.10999999999998522</v>
      </c>
      <c r="P1286" s="10">
        <f t="shared" si="69"/>
        <v>0.10999999999999943</v>
      </c>
    </row>
    <row r="1287" spans="1:16">
      <c r="A1287">
        <v>316.5</v>
      </c>
      <c r="B1287">
        <v>125.67</v>
      </c>
      <c r="C1287">
        <v>127.23</v>
      </c>
      <c r="D1287">
        <v>131.44999999999999</v>
      </c>
      <c r="E1287">
        <v>133.84</v>
      </c>
      <c r="F1287">
        <v>129.01</v>
      </c>
      <c r="G1287">
        <v>131.72999999999999</v>
      </c>
      <c r="H1287">
        <v>122.56</v>
      </c>
      <c r="K1287" s="9">
        <f t="shared" si="70"/>
        <v>-0.17000000000000171</v>
      </c>
      <c r="L1287">
        <f t="shared" si="65"/>
        <v>-4.9999999999982947E-2</v>
      </c>
      <c r="M1287">
        <f t="shared" si="66"/>
        <v>-0.11000000000001364</v>
      </c>
      <c r="N1287">
        <f t="shared" si="67"/>
        <v>-0.22999999999998977</v>
      </c>
      <c r="O1287">
        <f t="shared" si="68"/>
        <v>-0.16999999999998749</v>
      </c>
      <c r="P1287" s="10">
        <f t="shared" si="69"/>
        <v>0.10999999999999943</v>
      </c>
    </row>
    <row r="1288" spans="1:16">
      <c r="A1288">
        <v>316.75</v>
      </c>
      <c r="B1288">
        <v>125.62</v>
      </c>
      <c r="C1288">
        <v>127.12</v>
      </c>
      <c r="D1288">
        <v>131.51</v>
      </c>
      <c r="E1288">
        <v>133.78</v>
      </c>
      <c r="F1288">
        <v>128.94999999999999</v>
      </c>
      <c r="G1288">
        <v>131.66999999999999</v>
      </c>
      <c r="H1288">
        <v>122.51</v>
      </c>
      <c r="K1288" s="9">
        <f t="shared" si="70"/>
        <v>-0.10999999999999943</v>
      </c>
      <c r="L1288">
        <f t="shared" si="65"/>
        <v>-0.16999999999998749</v>
      </c>
      <c r="M1288">
        <f t="shared" si="66"/>
        <v>-0.15999999999999659</v>
      </c>
      <c r="N1288">
        <f t="shared" si="67"/>
        <v>-0.10999999999998522</v>
      </c>
      <c r="O1288">
        <f t="shared" si="68"/>
        <v>-4.9999999999982947E-2</v>
      </c>
      <c r="P1288" s="10">
        <f t="shared" si="69"/>
        <v>0.15999999999999659</v>
      </c>
    </row>
    <row r="1289" spans="1:16">
      <c r="A1289">
        <v>317</v>
      </c>
      <c r="B1289">
        <v>125.67</v>
      </c>
      <c r="C1289">
        <v>127.12</v>
      </c>
      <c r="D1289">
        <v>131.34</v>
      </c>
      <c r="E1289">
        <v>133.78</v>
      </c>
      <c r="F1289">
        <v>128.9</v>
      </c>
      <c r="G1289">
        <v>131.62</v>
      </c>
      <c r="H1289">
        <v>122.62</v>
      </c>
      <c r="K1289" s="9">
        <f t="shared" si="70"/>
        <v>-0.10999999999999943</v>
      </c>
      <c r="L1289">
        <f t="shared" si="65"/>
        <v>6.0000000000002274E-2</v>
      </c>
      <c r="M1289">
        <f t="shared" si="66"/>
        <v>-0.15999999999999659</v>
      </c>
      <c r="N1289">
        <f t="shared" si="67"/>
        <v>0.10999999999998522</v>
      </c>
      <c r="O1289">
        <f t="shared" si="68"/>
        <v>-0.11000000000001364</v>
      </c>
      <c r="P1289" s="10">
        <f t="shared" si="69"/>
        <v>4.9999999999997158E-2</v>
      </c>
    </row>
    <row r="1290" spans="1:16">
      <c r="A1290">
        <v>317.25</v>
      </c>
      <c r="B1290">
        <v>125.73</v>
      </c>
      <c r="C1290">
        <v>127.06</v>
      </c>
      <c r="D1290">
        <v>131.4</v>
      </c>
      <c r="E1290">
        <v>133.72999999999999</v>
      </c>
      <c r="F1290">
        <v>128.78</v>
      </c>
      <c r="G1290">
        <v>131.56</v>
      </c>
      <c r="H1290">
        <v>122.67</v>
      </c>
      <c r="K1290" s="9">
        <f t="shared" si="70"/>
        <v>-0.10999999999999943</v>
      </c>
      <c r="L1290">
        <f t="shared" ref="L1290:L1353" si="71">D1293-D1290</f>
        <v>-0.12000000000000455</v>
      </c>
      <c r="M1290">
        <f t="shared" ref="M1290:M1353" si="72">E1293-E1290</f>
        <v>-0.10999999999998522</v>
      </c>
      <c r="N1290">
        <f t="shared" ref="N1290:N1353" si="73">F1293-F1290</f>
        <v>0.12000000000000455</v>
      </c>
      <c r="O1290">
        <f t="shared" ref="O1290:O1353" si="74">G1293-G1290</f>
        <v>6.0000000000002274E-2</v>
      </c>
      <c r="P1290" s="10">
        <f t="shared" ref="P1290:P1353" si="75">H1293-H1290</f>
        <v>-0.10999999999999943</v>
      </c>
    </row>
    <row r="1291" spans="1:16">
      <c r="A1291">
        <v>317.5</v>
      </c>
      <c r="B1291">
        <v>125.73</v>
      </c>
      <c r="C1291">
        <v>127.01</v>
      </c>
      <c r="D1291">
        <v>131.34</v>
      </c>
      <c r="E1291">
        <v>133.62</v>
      </c>
      <c r="F1291">
        <v>128.84</v>
      </c>
      <c r="G1291">
        <v>131.62</v>
      </c>
      <c r="H1291">
        <v>122.67</v>
      </c>
      <c r="K1291" s="9">
        <f t="shared" ref="K1291:K1354" si="76">C1294-C1291</f>
        <v>-0.10999999999999943</v>
      </c>
      <c r="L1291">
        <f t="shared" si="71"/>
        <v>-0.11000000000001364</v>
      </c>
      <c r="M1291">
        <f t="shared" si="72"/>
        <v>-6.0000000000002274E-2</v>
      </c>
      <c r="N1291">
        <f t="shared" si="73"/>
        <v>0</v>
      </c>
      <c r="O1291">
        <f t="shared" si="74"/>
        <v>0</v>
      </c>
      <c r="P1291" s="10">
        <f t="shared" si="75"/>
        <v>-0.15999999999999659</v>
      </c>
    </row>
    <row r="1292" spans="1:16">
      <c r="A1292">
        <v>317.75</v>
      </c>
      <c r="B1292">
        <v>125.62</v>
      </c>
      <c r="C1292">
        <v>127.01</v>
      </c>
      <c r="D1292">
        <v>131.4</v>
      </c>
      <c r="E1292">
        <v>133.62</v>
      </c>
      <c r="F1292">
        <v>129.01</v>
      </c>
      <c r="G1292">
        <v>131.51</v>
      </c>
      <c r="H1292">
        <v>122.67</v>
      </c>
      <c r="K1292" s="9">
        <f t="shared" si="76"/>
        <v>-0.17000000000000171</v>
      </c>
      <c r="L1292">
        <f t="shared" si="71"/>
        <v>-0.12000000000000455</v>
      </c>
      <c r="M1292">
        <f t="shared" si="72"/>
        <v>-6.0000000000002274E-2</v>
      </c>
      <c r="N1292">
        <f t="shared" si="73"/>
        <v>-0.16999999999998749</v>
      </c>
      <c r="O1292">
        <f t="shared" si="74"/>
        <v>5.0000000000011369E-2</v>
      </c>
      <c r="P1292" s="10">
        <f t="shared" si="75"/>
        <v>-0.10999999999999943</v>
      </c>
    </row>
    <row r="1293" spans="1:16">
      <c r="A1293">
        <v>318</v>
      </c>
      <c r="B1293">
        <v>125.78</v>
      </c>
      <c r="C1293">
        <v>126.95</v>
      </c>
      <c r="D1293">
        <v>131.28</v>
      </c>
      <c r="E1293">
        <v>133.62</v>
      </c>
      <c r="F1293">
        <v>128.9</v>
      </c>
      <c r="G1293">
        <v>131.62</v>
      </c>
      <c r="H1293">
        <v>122.56</v>
      </c>
      <c r="K1293" s="9">
        <f t="shared" si="76"/>
        <v>-0.17000000000000171</v>
      </c>
      <c r="L1293">
        <f t="shared" si="71"/>
        <v>-0.11000000000001364</v>
      </c>
      <c r="M1293">
        <f t="shared" si="72"/>
        <v>-0.11000000000001364</v>
      </c>
      <c r="N1293">
        <f t="shared" si="73"/>
        <v>-6.0000000000002274E-2</v>
      </c>
      <c r="O1293">
        <f t="shared" si="74"/>
        <v>-0.11000000000001364</v>
      </c>
      <c r="P1293" s="10">
        <f t="shared" si="75"/>
        <v>6.0000000000002274E-2</v>
      </c>
    </row>
    <row r="1294" spans="1:16">
      <c r="A1294">
        <v>318.25</v>
      </c>
      <c r="B1294">
        <v>125.67</v>
      </c>
      <c r="C1294">
        <v>126.9</v>
      </c>
      <c r="D1294">
        <v>131.22999999999999</v>
      </c>
      <c r="E1294">
        <v>133.56</v>
      </c>
      <c r="F1294">
        <v>128.84</v>
      </c>
      <c r="G1294">
        <v>131.62</v>
      </c>
      <c r="H1294">
        <v>122.51</v>
      </c>
      <c r="K1294" s="9">
        <f t="shared" si="76"/>
        <v>-0.17000000000000171</v>
      </c>
      <c r="L1294">
        <f t="shared" si="71"/>
        <v>-0.10999999999998522</v>
      </c>
      <c r="M1294">
        <f t="shared" si="72"/>
        <v>-0.11000000000001364</v>
      </c>
      <c r="N1294">
        <f t="shared" si="73"/>
        <v>-0.11000000000001364</v>
      </c>
      <c r="O1294">
        <f t="shared" si="74"/>
        <v>-0.17000000000001592</v>
      </c>
      <c r="P1294" s="10">
        <f t="shared" si="75"/>
        <v>4.9999999999997158E-2</v>
      </c>
    </row>
    <row r="1295" spans="1:16">
      <c r="A1295">
        <v>318.5</v>
      </c>
      <c r="B1295">
        <v>125.67</v>
      </c>
      <c r="C1295">
        <v>126.84</v>
      </c>
      <c r="D1295">
        <v>131.28</v>
      </c>
      <c r="E1295">
        <v>133.56</v>
      </c>
      <c r="F1295">
        <v>128.84</v>
      </c>
      <c r="G1295">
        <v>131.56</v>
      </c>
      <c r="H1295">
        <v>122.56</v>
      </c>
      <c r="K1295" s="9">
        <f t="shared" si="76"/>
        <v>-0.10999999999999943</v>
      </c>
      <c r="L1295">
        <f t="shared" si="71"/>
        <v>-0.21999999999999886</v>
      </c>
      <c r="M1295">
        <f t="shared" si="72"/>
        <v>-0.15999999999999659</v>
      </c>
      <c r="N1295">
        <f t="shared" si="73"/>
        <v>0</v>
      </c>
      <c r="O1295">
        <f t="shared" si="74"/>
        <v>-0.21999999999999886</v>
      </c>
      <c r="P1295" s="10">
        <f t="shared" si="75"/>
        <v>0.10999999999999943</v>
      </c>
    </row>
    <row r="1296" spans="1:16">
      <c r="A1296">
        <v>318.75</v>
      </c>
      <c r="B1296">
        <v>125.62</v>
      </c>
      <c r="C1296">
        <v>126.78</v>
      </c>
      <c r="D1296">
        <v>131.16999999999999</v>
      </c>
      <c r="E1296">
        <v>133.51</v>
      </c>
      <c r="F1296">
        <v>128.84</v>
      </c>
      <c r="G1296">
        <v>131.51</v>
      </c>
      <c r="H1296">
        <v>122.62</v>
      </c>
      <c r="K1296" s="9">
        <f t="shared" si="76"/>
        <v>-0.10999999999999943</v>
      </c>
      <c r="L1296">
        <f t="shared" si="71"/>
        <v>-0.10999999999998522</v>
      </c>
      <c r="M1296">
        <f t="shared" si="72"/>
        <v>-0.10999999999998522</v>
      </c>
      <c r="N1296">
        <f t="shared" si="73"/>
        <v>-0.17000000000001592</v>
      </c>
      <c r="O1296">
        <f t="shared" si="74"/>
        <v>-0.16999999999998749</v>
      </c>
      <c r="P1296" s="10">
        <f t="shared" si="75"/>
        <v>0</v>
      </c>
    </row>
    <row r="1297" spans="1:16">
      <c r="A1297">
        <v>319</v>
      </c>
      <c r="B1297">
        <v>125.67</v>
      </c>
      <c r="C1297">
        <v>126.73</v>
      </c>
      <c r="D1297">
        <v>131.12</v>
      </c>
      <c r="E1297">
        <v>133.44999999999999</v>
      </c>
      <c r="F1297">
        <v>128.72999999999999</v>
      </c>
      <c r="G1297">
        <v>131.44999999999999</v>
      </c>
      <c r="H1297">
        <v>122.56</v>
      </c>
      <c r="K1297" s="9">
        <f t="shared" si="76"/>
        <v>-0.10999999999999943</v>
      </c>
      <c r="L1297">
        <f t="shared" si="71"/>
        <v>-0.17000000000001592</v>
      </c>
      <c r="M1297">
        <f t="shared" si="72"/>
        <v>-0.16999999999998749</v>
      </c>
      <c r="N1297">
        <f t="shared" si="73"/>
        <v>-6.0000000000002274E-2</v>
      </c>
      <c r="O1297">
        <f t="shared" si="74"/>
        <v>-0.21999999999999886</v>
      </c>
      <c r="P1297" s="10">
        <f t="shared" si="75"/>
        <v>0</v>
      </c>
    </row>
    <row r="1298" spans="1:16">
      <c r="A1298">
        <v>319.25</v>
      </c>
      <c r="B1298">
        <v>125.56</v>
      </c>
      <c r="C1298">
        <v>126.73</v>
      </c>
      <c r="D1298">
        <v>131.06</v>
      </c>
      <c r="E1298">
        <v>133.4</v>
      </c>
      <c r="F1298">
        <v>128.84</v>
      </c>
      <c r="G1298">
        <v>131.34</v>
      </c>
      <c r="H1298">
        <v>122.67</v>
      </c>
      <c r="K1298" s="9">
        <f t="shared" si="76"/>
        <v>-0.10999999999999943</v>
      </c>
      <c r="L1298">
        <f t="shared" si="71"/>
        <v>0</v>
      </c>
      <c r="M1298">
        <f t="shared" si="72"/>
        <v>-0.12000000000000455</v>
      </c>
      <c r="N1298">
        <f t="shared" si="73"/>
        <v>-0.21999999999999886</v>
      </c>
      <c r="O1298">
        <f t="shared" si="74"/>
        <v>-6.0000000000002274E-2</v>
      </c>
      <c r="P1298" s="10">
        <f t="shared" si="75"/>
        <v>-4.9999999999997158E-2</v>
      </c>
    </row>
    <row r="1299" spans="1:16">
      <c r="A1299">
        <v>319.5</v>
      </c>
      <c r="B1299">
        <v>125.51</v>
      </c>
      <c r="C1299">
        <v>126.67</v>
      </c>
      <c r="D1299">
        <v>131.06</v>
      </c>
      <c r="E1299">
        <v>133.4</v>
      </c>
      <c r="F1299">
        <v>128.66999999999999</v>
      </c>
      <c r="G1299">
        <v>131.34</v>
      </c>
      <c r="H1299">
        <v>122.62</v>
      </c>
      <c r="K1299" s="9">
        <f t="shared" si="76"/>
        <v>-0.15999999999999659</v>
      </c>
      <c r="L1299">
        <f t="shared" si="71"/>
        <v>-0.11000000000001364</v>
      </c>
      <c r="M1299">
        <f t="shared" si="72"/>
        <v>-0.12000000000000455</v>
      </c>
      <c r="N1299">
        <f t="shared" si="73"/>
        <v>-4.9999999999982947E-2</v>
      </c>
      <c r="O1299">
        <f t="shared" si="74"/>
        <v>-6.0000000000002274E-2</v>
      </c>
      <c r="P1299" s="10">
        <f t="shared" si="75"/>
        <v>0</v>
      </c>
    </row>
    <row r="1300" spans="1:16">
      <c r="A1300">
        <v>319.75</v>
      </c>
      <c r="B1300">
        <v>125.4</v>
      </c>
      <c r="C1300">
        <v>126.62</v>
      </c>
      <c r="D1300">
        <v>130.94999999999999</v>
      </c>
      <c r="E1300">
        <v>133.28</v>
      </c>
      <c r="F1300">
        <v>128.66999999999999</v>
      </c>
      <c r="G1300">
        <v>131.22999999999999</v>
      </c>
      <c r="H1300">
        <v>122.56</v>
      </c>
      <c r="K1300" s="9">
        <f t="shared" si="76"/>
        <v>-6.0000000000002274E-2</v>
      </c>
      <c r="L1300">
        <f t="shared" si="71"/>
        <v>0</v>
      </c>
      <c r="M1300">
        <f t="shared" si="72"/>
        <v>-5.0000000000011369E-2</v>
      </c>
      <c r="N1300">
        <f t="shared" si="73"/>
        <v>-4.9999999999982947E-2</v>
      </c>
      <c r="O1300">
        <f t="shared" si="74"/>
        <v>5.0000000000011369E-2</v>
      </c>
      <c r="P1300" s="10">
        <f t="shared" si="75"/>
        <v>0.28000000000000114</v>
      </c>
    </row>
    <row r="1301" spans="1:16">
      <c r="A1301">
        <v>320</v>
      </c>
      <c r="B1301">
        <v>125.45</v>
      </c>
      <c r="C1301">
        <v>126.62</v>
      </c>
      <c r="D1301">
        <v>131.06</v>
      </c>
      <c r="E1301">
        <v>133.28</v>
      </c>
      <c r="F1301">
        <v>128.62</v>
      </c>
      <c r="G1301">
        <v>131.28</v>
      </c>
      <c r="H1301">
        <v>122.62</v>
      </c>
      <c r="K1301" s="9">
        <f t="shared" si="76"/>
        <v>-0.17000000000000171</v>
      </c>
      <c r="L1301">
        <f t="shared" si="71"/>
        <v>-0.11000000000001364</v>
      </c>
      <c r="M1301">
        <f t="shared" si="72"/>
        <v>0</v>
      </c>
      <c r="N1301">
        <f t="shared" si="73"/>
        <v>0</v>
      </c>
      <c r="O1301">
        <f t="shared" si="74"/>
        <v>-0.11000000000001364</v>
      </c>
      <c r="P1301" s="10">
        <f t="shared" si="75"/>
        <v>0.15999999999999659</v>
      </c>
    </row>
    <row r="1302" spans="1:16">
      <c r="A1302">
        <v>320.25</v>
      </c>
      <c r="B1302">
        <v>125.34</v>
      </c>
      <c r="C1302">
        <v>126.51</v>
      </c>
      <c r="D1302">
        <v>130.94999999999999</v>
      </c>
      <c r="E1302">
        <v>133.28</v>
      </c>
      <c r="F1302">
        <v>128.62</v>
      </c>
      <c r="G1302">
        <v>131.28</v>
      </c>
      <c r="H1302">
        <v>122.62</v>
      </c>
      <c r="K1302" s="9">
        <f t="shared" si="76"/>
        <v>-6.0000000000002274E-2</v>
      </c>
      <c r="L1302">
        <f t="shared" si="71"/>
        <v>-0.10999999999998522</v>
      </c>
      <c r="M1302">
        <f t="shared" si="72"/>
        <v>-5.0000000000011369E-2</v>
      </c>
      <c r="N1302">
        <f t="shared" si="73"/>
        <v>-6.0000000000002274E-2</v>
      </c>
      <c r="O1302">
        <f t="shared" si="74"/>
        <v>-0.15999999999999659</v>
      </c>
      <c r="P1302" s="10">
        <f t="shared" si="75"/>
        <v>0.15999999999999659</v>
      </c>
    </row>
    <row r="1303" spans="1:16">
      <c r="A1303">
        <v>320.5</v>
      </c>
      <c r="B1303">
        <v>125.4</v>
      </c>
      <c r="C1303">
        <v>126.56</v>
      </c>
      <c r="D1303">
        <v>130.94999999999999</v>
      </c>
      <c r="E1303">
        <v>133.22999999999999</v>
      </c>
      <c r="F1303">
        <v>128.62</v>
      </c>
      <c r="G1303">
        <v>131.28</v>
      </c>
      <c r="H1303">
        <v>122.84</v>
      </c>
      <c r="K1303" s="9">
        <f t="shared" si="76"/>
        <v>-0.21999999999999886</v>
      </c>
      <c r="L1303">
        <f t="shared" si="71"/>
        <v>0</v>
      </c>
      <c r="M1303">
        <f t="shared" si="72"/>
        <v>-0.10999999999998522</v>
      </c>
      <c r="N1303">
        <f t="shared" si="73"/>
        <v>-0.11000000000001364</v>
      </c>
      <c r="O1303">
        <f t="shared" si="74"/>
        <v>-0.21999999999999886</v>
      </c>
      <c r="P1303" s="10">
        <f t="shared" si="75"/>
        <v>-6.0000000000002274E-2</v>
      </c>
    </row>
    <row r="1304" spans="1:16">
      <c r="A1304">
        <v>320.75</v>
      </c>
      <c r="B1304">
        <v>125.34</v>
      </c>
      <c r="C1304">
        <v>126.45</v>
      </c>
      <c r="D1304">
        <v>130.94999999999999</v>
      </c>
      <c r="E1304">
        <v>133.28</v>
      </c>
      <c r="F1304">
        <v>128.62</v>
      </c>
      <c r="G1304">
        <v>131.16999999999999</v>
      </c>
      <c r="H1304">
        <v>122.78</v>
      </c>
      <c r="K1304" s="9">
        <f t="shared" si="76"/>
        <v>-4.9999999999997158E-2</v>
      </c>
      <c r="L1304">
        <f t="shared" si="71"/>
        <v>-0.10999999999998522</v>
      </c>
      <c r="M1304">
        <f t="shared" si="72"/>
        <v>-0.11000000000001364</v>
      </c>
      <c r="N1304">
        <f t="shared" si="73"/>
        <v>-0.11000000000001364</v>
      </c>
      <c r="O1304">
        <f t="shared" si="74"/>
        <v>-0.10999999999998522</v>
      </c>
      <c r="P1304" s="10">
        <f t="shared" si="75"/>
        <v>0.12000000000000455</v>
      </c>
    </row>
    <row r="1305" spans="1:16">
      <c r="A1305">
        <v>321</v>
      </c>
      <c r="B1305">
        <v>125.28</v>
      </c>
      <c r="C1305">
        <v>126.45</v>
      </c>
      <c r="D1305">
        <v>130.84</v>
      </c>
      <c r="E1305">
        <v>133.22999999999999</v>
      </c>
      <c r="F1305">
        <v>128.56</v>
      </c>
      <c r="G1305">
        <v>131.12</v>
      </c>
      <c r="H1305">
        <v>122.78</v>
      </c>
      <c r="K1305" s="9">
        <f t="shared" si="76"/>
        <v>-0.10999999999999943</v>
      </c>
      <c r="L1305">
        <f t="shared" si="71"/>
        <v>0</v>
      </c>
      <c r="M1305">
        <f t="shared" si="72"/>
        <v>-0.16999999999998749</v>
      </c>
      <c r="N1305">
        <f t="shared" si="73"/>
        <v>-5.0000000000011369E-2</v>
      </c>
      <c r="O1305">
        <f t="shared" si="74"/>
        <v>-0.11000000000001364</v>
      </c>
      <c r="P1305" s="10">
        <f t="shared" si="75"/>
        <v>0.12000000000000455</v>
      </c>
    </row>
    <row r="1306" spans="1:16">
      <c r="A1306">
        <v>321.25</v>
      </c>
      <c r="B1306">
        <v>125.23</v>
      </c>
      <c r="C1306">
        <v>126.34</v>
      </c>
      <c r="D1306">
        <v>130.94999999999999</v>
      </c>
      <c r="E1306">
        <v>133.12</v>
      </c>
      <c r="F1306">
        <v>128.51</v>
      </c>
      <c r="G1306">
        <v>131.06</v>
      </c>
      <c r="H1306">
        <v>122.78</v>
      </c>
      <c r="K1306" s="9">
        <f t="shared" si="76"/>
        <v>-6.0000000000002274E-2</v>
      </c>
      <c r="L1306">
        <f t="shared" si="71"/>
        <v>-0.21999999999999886</v>
      </c>
      <c r="M1306">
        <f t="shared" si="72"/>
        <v>-0.11000000000001364</v>
      </c>
      <c r="N1306">
        <f t="shared" si="73"/>
        <v>-6.0000000000002274E-2</v>
      </c>
      <c r="O1306">
        <f t="shared" si="74"/>
        <v>-5.0000000000011369E-2</v>
      </c>
      <c r="P1306" s="10">
        <f t="shared" si="75"/>
        <v>6.0000000000002274E-2</v>
      </c>
    </row>
    <row r="1307" spans="1:16">
      <c r="A1307">
        <v>321.5</v>
      </c>
      <c r="B1307">
        <v>125.23</v>
      </c>
      <c r="C1307">
        <v>126.4</v>
      </c>
      <c r="D1307">
        <v>130.84</v>
      </c>
      <c r="E1307">
        <v>133.16999999999999</v>
      </c>
      <c r="F1307">
        <v>128.51</v>
      </c>
      <c r="G1307">
        <v>131.06</v>
      </c>
      <c r="H1307">
        <v>122.9</v>
      </c>
      <c r="K1307" s="9">
        <f t="shared" si="76"/>
        <v>-0.17000000000000171</v>
      </c>
      <c r="L1307">
        <f t="shared" si="71"/>
        <v>-6.0000000000002274E-2</v>
      </c>
      <c r="M1307">
        <f t="shared" si="72"/>
        <v>-0.21999999999999886</v>
      </c>
      <c r="N1307">
        <f t="shared" si="73"/>
        <v>-0.16999999999998749</v>
      </c>
      <c r="O1307">
        <f t="shared" si="74"/>
        <v>-0.15999999999999659</v>
      </c>
      <c r="P1307" s="10">
        <f t="shared" si="75"/>
        <v>-0.17000000000000171</v>
      </c>
    </row>
    <row r="1308" spans="1:16">
      <c r="A1308">
        <v>321.75</v>
      </c>
      <c r="B1308">
        <v>125.17</v>
      </c>
      <c r="C1308">
        <v>126.34</v>
      </c>
      <c r="D1308">
        <v>130.84</v>
      </c>
      <c r="E1308">
        <v>133.06</v>
      </c>
      <c r="F1308">
        <v>128.51</v>
      </c>
      <c r="G1308">
        <v>131.01</v>
      </c>
      <c r="H1308">
        <v>122.9</v>
      </c>
      <c r="K1308" s="9">
        <f t="shared" si="76"/>
        <v>-0.10999999999999943</v>
      </c>
      <c r="L1308">
        <f t="shared" si="71"/>
        <v>-6.0000000000002274E-2</v>
      </c>
      <c r="M1308">
        <f t="shared" si="72"/>
        <v>-5.0000000000011369E-2</v>
      </c>
      <c r="N1308">
        <f t="shared" si="73"/>
        <v>-0.10999999999998522</v>
      </c>
      <c r="O1308">
        <f t="shared" si="74"/>
        <v>-0.16999999999998749</v>
      </c>
      <c r="P1308" s="10">
        <f t="shared" si="75"/>
        <v>-0.17000000000000171</v>
      </c>
    </row>
    <row r="1309" spans="1:16">
      <c r="A1309">
        <v>322</v>
      </c>
      <c r="B1309">
        <v>125.17</v>
      </c>
      <c r="C1309">
        <v>126.28</v>
      </c>
      <c r="D1309">
        <v>130.72999999999999</v>
      </c>
      <c r="E1309">
        <v>133.01</v>
      </c>
      <c r="F1309">
        <v>128.44999999999999</v>
      </c>
      <c r="G1309">
        <v>131.01</v>
      </c>
      <c r="H1309">
        <v>122.84</v>
      </c>
      <c r="K1309" s="9">
        <f t="shared" si="76"/>
        <v>-4.9999999999997158E-2</v>
      </c>
      <c r="L1309">
        <f t="shared" si="71"/>
        <v>5.0000000000011369E-2</v>
      </c>
      <c r="M1309">
        <f t="shared" si="72"/>
        <v>0</v>
      </c>
      <c r="N1309">
        <f t="shared" si="73"/>
        <v>-4.9999999999982947E-2</v>
      </c>
      <c r="O1309">
        <f t="shared" si="74"/>
        <v>-6.0000000000002274E-2</v>
      </c>
      <c r="P1309" s="10">
        <f t="shared" si="75"/>
        <v>-0.17000000000000171</v>
      </c>
    </row>
    <row r="1310" spans="1:16">
      <c r="A1310">
        <v>322.25</v>
      </c>
      <c r="B1310">
        <v>125.06</v>
      </c>
      <c r="C1310">
        <v>126.23</v>
      </c>
      <c r="D1310">
        <v>130.78</v>
      </c>
      <c r="E1310">
        <v>132.94999999999999</v>
      </c>
      <c r="F1310">
        <v>128.34</v>
      </c>
      <c r="G1310">
        <v>130.9</v>
      </c>
      <c r="H1310">
        <v>122.73</v>
      </c>
      <c r="K1310" s="9">
        <f t="shared" si="76"/>
        <v>4.9999999999997158E-2</v>
      </c>
      <c r="L1310">
        <f t="shared" si="71"/>
        <v>0</v>
      </c>
      <c r="M1310">
        <f t="shared" si="72"/>
        <v>-4.9999999999982947E-2</v>
      </c>
      <c r="N1310">
        <f t="shared" si="73"/>
        <v>0</v>
      </c>
      <c r="O1310">
        <f t="shared" si="74"/>
        <v>4.9999999999982947E-2</v>
      </c>
      <c r="P1310" s="10">
        <f t="shared" si="75"/>
        <v>-6.0000000000002274E-2</v>
      </c>
    </row>
    <row r="1311" spans="1:16">
      <c r="A1311">
        <v>322.5</v>
      </c>
      <c r="B1311">
        <v>125.12</v>
      </c>
      <c r="C1311">
        <v>126.23</v>
      </c>
      <c r="D1311">
        <v>130.78</v>
      </c>
      <c r="E1311">
        <v>133.01</v>
      </c>
      <c r="F1311">
        <v>128.4</v>
      </c>
      <c r="G1311">
        <v>130.84</v>
      </c>
      <c r="H1311">
        <v>122.73</v>
      </c>
      <c r="K1311" s="9">
        <f t="shared" si="76"/>
        <v>0</v>
      </c>
      <c r="L1311">
        <f t="shared" si="71"/>
        <v>0</v>
      </c>
      <c r="M1311">
        <f t="shared" si="72"/>
        <v>-0.10999999999998522</v>
      </c>
      <c r="N1311">
        <f t="shared" si="73"/>
        <v>-0.12000000000000455</v>
      </c>
      <c r="O1311">
        <f t="shared" si="74"/>
        <v>0</v>
      </c>
      <c r="P1311" s="10">
        <f t="shared" si="75"/>
        <v>0</v>
      </c>
    </row>
    <row r="1312" spans="1:16">
      <c r="A1312">
        <v>322.75</v>
      </c>
      <c r="B1312">
        <v>125.01</v>
      </c>
      <c r="C1312">
        <v>126.23</v>
      </c>
      <c r="D1312">
        <v>130.78</v>
      </c>
      <c r="E1312">
        <v>133.01</v>
      </c>
      <c r="F1312">
        <v>128.4</v>
      </c>
      <c r="G1312">
        <v>130.94999999999999</v>
      </c>
      <c r="H1312">
        <v>122.67</v>
      </c>
      <c r="K1312" s="9">
        <f t="shared" si="76"/>
        <v>-6.0000000000002274E-2</v>
      </c>
      <c r="L1312">
        <f t="shared" si="71"/>
        <v>-0.11000000000001364</v>
      </c>
      <c r="M1312">
        <f t="shared" si="72"/>
        <v>-0.10999999999998522</v>
      </c>
      <c r="N1312">
        <f t="shared" si="73"/>
        <v>-6.0000000000002274E-2</v>
      </c>
      <c r="O1312">
        <f t="shared" si="74"/>
        <v>-0.10999999999998522</v>
      </c>
      <c r="P1312" s="10">
        <f t="shared" si="75"/>
        <v>0.17000000000000171</v>
      </c>
    </row>
    <row r="1313" spans="1:16">
      <c r="A1313">
        <v>323</v>
      </c>
      <c r="B1313">
        <v>125.06</v>
      </c>
      <c r="C1313">
        <v>126.28</v>
      </c>
      <c r="D1313">
        <v>130.78</v>
      </c>
      <c r="E1313">
        <v>132.9</v>
      </c>
      <c r="F1313">
        <v>128.34</v>
      </c>
      <c r="G1313">
        <v>130.94999999999999</v>
      </c>
      <c r="H1313">
        <v>122.67</v>
      </c>
      <c r="K1313" s="9">
        <f t="shared" si="76"/>
        <v>-0.10999999999999943</v>
      </c>
      <c r="L1313">
        <f t="shared" si="71"/>
        <v>-0.11000000000001364</v>
      </c>
      <c r="M1313">
        <f t="shared" si="72"/>
        <v>-6.0000000000002274E-2</v>
      </c>
      <c r="N1313">
        <f t="shared" si="73"/>
        <v>0</v>
      </c>
      <c r="O1313">
        <f t="shared" si="74"/>
        <v>-0.21999999999999886</v>
      </c>
      <c r="P1313" s="10">
        <f t="shared" si="75"/>
        <v>0.10999999999999943</v>
      </c>
    </row>
    <row r="1314" spans="1:16">
      <c r="A1314">
        <v>323.25</v>
      </c>
      <c r="B1314">
        <v>125.12</v>
      </c>
      <c r="C1314">
        <v>126.23</v>
      </c>
      <c r="D1314">
        <v>130.78</v>
      </c>
      <c r="E1314">
        <v>132.9</v>
      </c>
      <c r="F1314">
        <v>128.28</v>
      </c>
      <c r="G1314">
        <v>130.84</v>
      </c>
      <c r="H1314">
        <v>122.73</v>
      </c>
      <c r="K1314" s="9">
        <f t="shared" si="76"/>
        <v>-6.0000000000002274E-2</v>
      </c>
      <c r="L1314">
        <f t="shared" si="71"/>
        <v>-5.0000000000011369E-2</v>
      </c>
      <c r="M1314">
        <f t="shared" si="72"/>
        <v>-0.12000000000000455</v>
      </c>
      <c r="N1314">
        <f t="shared" si="73"/>
        <v>-5.0000000000011369E-2</v>
      </c>
      <c r="O1314">
        <f t="shared" si="74"/>
        <v>-0.11000000000001364</v>
      </c>
      <c r="P1314" s="10">
        <f t="shared" si="75"/>
        <v>0</v>
      </c>
    </row>
    <row r="1315" spans="1:16">
      <c r="A1315">
        <v>323.5</v>
      </c>
      <c r="B1315">
        <v>125.01</v>
      </c>
      <c r="C1315">
        <v>126.17</v>
      </c>
      <c r="D1315">
        <v>130.66999999999999</v>
      </c>
      <c r="E1315">
        <v>132.9</v>
      </c>
      <c r="F1315">
        <v>128.34</v>
      </c>
      <c r="G1315">
        <v>130.84</v>
      </c>
      <c r="H1315">
        <v>122.84</v>
      </c>
      <c r="K1315" s="9">
        <f t="shared" si="76"/>
        <v>-0.10999999999999943</v>
      </c>
      <c r="L1315">
        <f t="shared" si="71"/>
        <v>-4.9999999999982947E-2</v>
      </c>
      <c r="M1315">
        <f t="shared" si="72"/>
        <v>-0.12000000000000455</v>
      </c>
      <c r="N1315">
        <f t="shared" si="73"/>
        <v>-0.17000000000001592</v>
      </c>
      <c r="O1315">
        <f t="shared" si="74"/>
        <v>-0.17000000000001592</v>
      </c>
      <c r="P1315" s="10">
        <f t="shared" si="75"/>
        <v>-0.10999999999999943</v>
      </c>
    </row>
    <row r="1316" spans="1:16">
      <c r="A1316">
        <v>323.75</v>
      </c>
      <c r="B1316">
        <v>124.95</v>
      </c>
      <c r="C1316">
        <v>126.17</v>
      </c>
      <c r="D1316">
        <v>130.66999999999999</v>
      </c>
      <c r="E1316">
        <v>132.84</v>
      </c>
      <c r="F1316">
        <v>128.34</v>
      </c>
      <c r="G1316">
        <v>130.72999999999999</v>
      </c>
      <c r="H1316">
        <v>122.78</v>
      </c>
      <c r="K1316" s="9">
        <f t="shared" si="76"/>
        <v>-4.9999999999997158E-2</v>
      </c>
      <c r="L1316">
        <f t="shared" si="71"/>
        <v>6.0000000000002274E-2</v>
      </c>
      <c r="M1316">
        <f t="shared" si="72"/>
        <v>-0.11000000000001364</v>
      </c>
      <c r="N1316">
        <f t="shared" si="73"/>
        <v>-0.17000000000001592</v>
      </c>
      <c r="O1316">
        <f t="shared" si="74"/>
        <v>-6.0000000000002274E-2</v>
      </c>
      <c r="P1316" s="10">
        <f t="shared" si="75"/>
        <v>0</v>
      </c>
    </row>
    <row r="1317" spans="1:16">
      <c r="A1317">
        <v>324</v>
      </c>
      <c r="B1317">
        <v>124.95</v>
      </c>
      <c r="C1317">
        <v>126.17</v>
      </c>
      <c r="D1317">
        <v>130.72999999999999</v>
      </c>
      <c r="E1317">
        <v>132.78</v>
      </c>
      <c r="F1317">
        <v>128.22999999999999</v>
      </c>
      <c r="G1317">
        <v>130.72999999999999</v>
      </c>
      <c r="H1317">
        <v>122.73</v>
      </c>
      <c r="K1317" s="9">
        <f t="shared" si="76"/>
        <v>-0.15999999999999659</v>
      </c>
      <c r="L1317">
        <f t="shared" si="71"/>
        <v>-6.0000000000002274E-2</v>
      </c>
      <c r="M1317">
        <f t="shared" si="72"/>
        <v>-0.11000000000001364</v>
      </c>
      <c r="N1317">
        <f t="shared" si="73"/>
        <v>-6.0000000000002274E-2</v>
      </c>
      <c r="O1317">
        <f t="shared" si="74"/>
        <v>-6.0000000000002274E-2</v>
      </c>
      <c r="P1317" s="10">
        <f t="shared" si="75"/>
        <v>0.21999999999999886</v>
      </c>
    </row>
    <row r="1318" spans="1:16">
      <c r="A1318">
        <v>324.25</v>
      </c>
      <c r="B1318">
        <v>124.9</v>
      </c>
      <c r="C1318">
        <v>126.06</v>
      </c>
      <c r="D1318">
        <v>130.62</v>
      </c>
      <c r="E1318">
        <v>132.78</v>
      </c>
      <c r="F1318">
        <v>128.16999999999999</v>
      </c>
      <c r="G1318">
        <v>130.66999999999999</v>
      </c>
      <c r="H1318">
        <v>122.73</v>
      </c>
      <c r="K1318" s="9">
        <f t="shared" si="76"/>
        <v>-4.9999999999997158E-2</v>
      </c>
      <c r="L1318">
        <f t="shared" si="71"/>
        <v>-6.0000000000002274E-2</v>
      </c>
      <c r="M1318">
        <f t="shared" si="72"/>
        <v>-5.0000000000011369E-2</v>
      </c>
      <c r="N1318">
        <f t="shared" si="73"/>
        <v>6.0000000000002274E-2</v>
      </c>
      <c r="O1318">
        <f t="shared" si="74"/>
        <v>-4.9999999999982947E-2</v>
      </c>
      <c r="P1318" s="10">
        <f t="shared" si="75"/>
        <v>0.21999999999999886</v>
      </c>
    </row>
    <row r="1319" spans="1:16">
      <c r="A1319">
        <v>324.5</v>
      </c>
      <c r="B1319">
        <v>124.9</v>
      </c>
      <c r="C1319">
        <v>126.12</v>
      </c>
      <c r="D1319">
        <v>130.72999999999999</v>
      </c>
      <c r="E1319">
        <v>132.72999999999999</v>
      </c>
      <c r="F1319">
        <v>128.16999999999999</v>
      </c>
      <c r="G1319">
        <v>130.66999999999999</v>
      </c>
      <c r="H1319">
        <v>122.78</v>
      </c>
      <c r="K1319" s="9">
        <f t="shared" si="76"/>
        <v>-0.17000000000000171</v>
      </c>
      <c r="L1319">
        <f t="shared" si="71"/>
        <v>-0.10999999999998522</v>
      </c>
      <c r="M1319">
        <f t="shared" si="72"/>
        <v>-0.21999999999999886</v>
      </c>
      <c r="N1319">
        <f t="shared" si="73"/>
        <v>-0.10999999999998522</v>
      </c>
      <c r="O1319">
        <f t="shared" si="74"/>
        <v>-0.15999999999999659</v>
      </c>
      <c r="P1319" s="10">
        <f t="shared" si="75"/>
        <v>0.17000000000000171</v>
      </c>
    </row>
    <row r="1320" spans="1:16">
      <c r="A1320">
        <v>324.75</v>
      </c>
      <c r="B1320">
        <v>124.78</v>
      </c>
      <c r="C1320">
        <v>126.01</v>
      </c>
      <c r="D1320">
        <v>130.66999999999999</v>
      </c>
      <c r="E1320">
        <v>132.66999999999999</v>
      </c>
      <c r="F1320">
        <v>128.16999999999999</v>
      </c>
      <c r="G1320">
        <v>130.66999999999999</v>
      </c>
      <c r="H1320">
        <v>122.95</v>
      </c>
      <c r="K1320" s="9">
        <f t="shared" si="76"/>
        <v>-6.0000000000002274E-2</v>
      </c>
      <c r="L1320">
        <f t="shared" si="71"/>
        <v>-0.10999999999998522</v>
      </c>
      <c r="M1320">
        <f t="shared" si="72"/>
        <v>-4.9999999999982947E-2</v>
      </c>
      <c r="N1320">
        <f t="shared" si="73"/>
        <v>-4.9999999999982947E-2</v>
      </c>
      <c r="O1320">
        <f t="shared" si="74"/>
        <v>-0.15999999999999659</v>
      </c>
      <c r="P1320" s="10">
        <f t="shared" si="75"/>
        <v>0</v>
      </c>
    </row>
    <row r="1321" spans="1:16">
      <c r="A1321">
        <v>325</v>
      </c>
      <c r="B1321">
        <v>124.78</v>
      </c>
      <c r="C1321">
        <v>126.01</v>
      </c>
      <c r="D1321">
        <v>130.56</v>
      </c>
      <c r="E1321">
        <v>132.72999999999999</v>
      </c>
      <c r="F1321">
        <v>128.22999999999999</v>
      </c>
      <c r="G1321">
        <v>130.62</v>
      </c>
      <c r="H1321">
        <v>122.95</v>
      </c>
      <c r="K1321" s="9">
        <f t="shared" si="76"/>
        <v>0</v>
      </c>
      <c r="L1321">
        <f t="shared" si="71"/>
        <v>-5.0000000000011369E-2</v>
      </c>
      <c r="M1321">
        <f t="shared" si="72"/>
        <v>-0.16999999999998749</v>
      </c>
      <c r="N1321">
        <f t="shared" si="73"/>
        <v>-0.16999999999998749</v>
      </c>
      <c r="O1321">
        <f t="shared" si="74"/>
        <v>-0.17000000000001592</v>
      </c>
      <c r="P1321" s="10">
        <f t="shared" si="75"/>
        <v>0</v>
      </c>
    </row>
    <row r="1322" spans="1:16">
      <c r="A1322">
        <v>325.25</v>
      </c>
      <c r="B1322">
        <v>124.56</v>
      </c>
      <c r="C1322">
        <v>125.95</v>
      </c>
      <c r="D1322">
        <v>130.62</v>
      </c>
      <c r="E1322">
        <v>132.51</v>
      </c>
      <c r="F1322">
        <v>128.06</v>
      </c>
      <c r="G1322">
        <v>130.51</v>
      </c>
      <c r="H1322">
        <v>122.95</v>
      </c>
      <c r="K1322" s="9">
        <f t="shared" si="76"/>
        <v>6.0000000000002274E-2</v>
      </c>
      <c r="L1322">
        <f t="shared" si="71"/>
        <v>-6.0000000000002274E-2</v>
      </c>
      <c r="M1322">
        <f t="shared" si="72"/>
        <v>0.11000000000001364</v>
      </c>
      <c r="N1322">
        <f t="shared" si="73"/>
        <v>-5.0000000000011369E-2</v>
      </c>
      <c r="O1322">
        <f t="shared" si="74"/>
        <v>-6.0000000000002274E-2</v>
      </c>
      <c r="P1322" s="10">
        <f t="shared" si="75"/>
        <v>0.10999999999999943</v>
      </c>
    </row>
    <row r="1323" spans="1:16">
      <c r="A1323">
        <v>325.5</v>
      </c>
      <c r="B1323">
        <v>124.56</v>
      </c>
      <c r="C1323">
        <v>125.95</v>
      </c>
      <c r="D1323">
        <v>130.56</v>
      </c>
      <c r="E1323">
        <v>132.62</v>
      </c>
      <c r="F1323">
        <v>128.12</v>
      </c>
      <c r="G1323">
        <v>130.51</v>
      </c>
      <c r="H1323">
        <v>122.95</v>
      </c>
      <c r="K1323" s="9">
        <f t="shared" si="76"/>
        <v>6.0000000000002274E-2</v>
      </c>
      <c r="L1323">
        <f t="shared" si="71"/>
        <v>-0.11000000000001364</v>
      </c>
      <c r="M1323">
        <f t="shared" si="72"/>
        <v>-0.17000000000001592</v>
      </c>
      <c r="N1323">
        <f t="shared" si="73"/>
        <v>-0.17000000000000171</v>
      </c>
      <c r="O1323">
        <f t="shared" si="74"/>
        <v>-0.10999999999998522</v>
      </c>
      <c r="P1323" s="10">
        <f t="shared" si="75"/>
        <v>0</v>
      </c>
    </row>
    <row r="1324" spans="1:16">
      <c r="A1324">
        <v>325.75</v>
      </c>
      <c r="B1324">
        <v>124.62</v>
      </c>
      <c r="C1324">
        <v>126.01</v>
      </c>
      <c r="D1324">
        <v>130.51</v>
      </c>
      <c r="E1324">
        <v>132.56</v>
      </c>
      <c r="F1324">
        <v>128.06</v>
      </c>
      <c r="G1324">
        <v>130.44999999999999</v>
      </c>
      <c r="H1324">
        <v>122.95</v>
      </c>
      <c r="K1324" s="9">
        <f t="shared" si="76"/>
        <v>-0.10999999999999943</v>
      </c>
      <c r="L1324">
        <f t="shared" si="71"/>
        <v>-6.0000000000002274E-2</v>
      </c>
      <c r="M1324">
        <f t="shared" si="72"/>
        <v>-5.0000000000011369E-2</v>
      </c>
      <c r="N1324">
        <f t="shared" si="73"/>
        <v>-0.10999999999999943</v>
      </c>
      <c r="O1324">
        <f t="shared" si="74"/>
        <v>-4.9999999999982947E-2</v>
      </c>
      <c r="P1324" s="10">
        <f t="shared" si="75"/>
        <v>6.0000000000002274E-2</v>
      </c>
    </row>
    <row r="1325" spans="1:16">
      <c r="A1325">
        <v>326</v>
      </c>
      <c r="B1325">
        <v>124.56</v>
      </c>
      <c r="C1325">
        <v>126.01</v>
      </c>
      <c r="D1325">
        <v>130.56</v>
      </c>
      <c r="E1325">
        <v>132.62</v>
      </c>
      <c r="F1325">
        <v>128.01</v>
      </c>
      <c r="G1325">
        <v>130.44999999999999</v>
      </c>
      <c r="H1325">
        <v>123.06</v>
      </c>
      <c r="K1325" s="9">
        <f t="shared" si="76"/>
        <v>-0.10999999999999943</v>
      </c>
      <c r="L1325">
        <f t="shared" si="71"/>
        <v>-0.21999999999999886</v>
      </c>
      <c r="M1325">
        <f t="shared" si="72"/>
        <v>-0.21999999999999886</v>
      </c>
      <c r="N1325">
        <f t="shared" si="73"/>
        <v>-5.9999999999988063E-2</v>
      </c>
      <c r="O1325">
        <f t="shared" si="74"/>
        <v>-4.9999999999982947E-2</v>
      </c>
      <c r="P1325" s="10">
        <f t="shared" si="75"/>
        <v>-4.9999999999997158E-2</v>
      </c>
    </row>
    <row r="1326" spans="1:16">
      <c r="A1326">
        <v>326.25</v>
      </c>
      <c r="B1326">
        <v>124.56</v>
      </c>
      <c r="C1326">
        <v>126.01</v>
      </c>
      <c r="D1326">
        <v>130.44999999999999</v>
      </c>
      <c r="E1326">
        <v>132.44999999999999</v>
      </c>
      <c r="F1326">
        <v>127.95</v>
      </c>
      <c r="G1326">
        <v>130.4</v>
      </c>
      <c r="H1326">
        <v>122.95</v>
      </c>
      <c r="K1326" s="9">
        <f t="shared" si="76"/>
        <v>-0.10999999999999943</v>
      </c>
      <c r="L1326">
        <f t="shared" si="71"/>
        <v>-0.10999999999998522</v>
      </c>
      <c r="M1326">
        <f t="shared" si="72"/>
        <v>-0.10999999999998522</v>
      </c>
      <c r="N1326">
        <f t="shared" si="73"/>
        <v>-4.9999999999997158E-2</v>
      </c>
      <c r="O1326">
        <f t="shared" si="74"/>
        <v>0</v>
      </c>
      <c r="P1326" s="10">
        <f t="shared" si="75"/>
        <v>0.17000000000000171</v>
      </c>
    </row>
    <row r="1327" spans="1:16">
      <c r="A1327">
        <v>326.5</v>
      </c>
      <c r="B1327">
        <v>124.45</v>
      </c>
      <c r="C1327">
        <v>125.9</v>
      </c>
      <c r="D1327">
        <v>130.44999999999999</v>
      </c>
      <c r="E1327">
        <v>132.51</v>
      </c>
      <c r="F1327">
        <v>127.95</v>
      </c>
      <c r="G1327">
        <v>130.4</v>
      </c>
      <c r="H1327">
        <v>123.01</v>
      </c>
      <c r="K1327" s="9">
        <f t="shared" si="76"/>
        <v>-6.0000000000002274E-2</v>
      </c>
      <c r="L1327">
        <f t="shared" si="71"/>
        <v>-0.16999999999998749</v>
      </c>
      <c r="M1327">
        <f t="shared" si="72"/>
        <v>-0.16999999999998749</v>
      </c>
      <c r="N1327">
        <f t="shared" si="73"/>
        <v>0</v>
      </c>
      <c r="O1327">
        <f t="shared" si="74"/>
        <v>-0.17000000000001592</v>
      </c>
      <c r="P1327" s="10">
        <f t="shared" si="75"/>
        <v>4.9999999999997158E-2</v>
      </c>
    </row>
    <row r="1328" spans="1:16">
      <c r="A1328">
        <v>326.75</v>
      </c>
      <c r="B1328">
        <v>124.4</v>
      </c>
      <c r="C1328">
        <v>125.9</v>
      </c>
      <c r="D1328">
        <v>130.34</v>
      </c>
      <c r="E1328">
        <v>132.4</v>
      </c>
      <c r="F1328">
        <v>127.95</v>
      </c>
      <c r="G1328">
        <v>130.4</v>
      </c>
      <c r="H1328">
        <v>123.01</v>
      </c>
      <c r="K1328" s="9">
        <f t="shared" si="76"/>
        <v>-0.12000000000000455</v>
      </c>
      <c r="L1328">
        <f t="shared" si="71"/>
        <v>-0.17000000000001592</v>
      </c>
      <c r="M1328">
        <f t="shared" si="72"/>
        <v>-6.0000000000002274E-2</v>
      </c>
      <c r="N1328">
        <f t="shared" si="73"/>
        <v>-0.10999999999999943</v>
      </c>
      <c r="O1328">
        <f t="shared" si="74"/>
        <v>-6.0000000000002274E-2</v>
      </c>
      <c r="P1328" s="10">
        <f t="shared" si="75"/>
        <v>4.9999999999997158E-2</v>
      </c>
    </row>
    <row r="1329" spans="1:16">
      <c r="A1329">
        <v>327</v>
      </c>
      <c r="B1329">
        <v>124.34</v>
      </c>
      <c r="C1329">
        <v>125.9</v>
      </c>
      <c r="D1329">
        <v>130.34</v>
      </c>
      <c r="E1329">
        <v>132.34</v>
      </c>
      <c r="F1329">
        <v>127.9</v>
      </c>
      <c r="G1329">
        <v>130.4</v>
      </c>
      <c r="H1329">
        <v>123.12</v>
      </c>
      <c r="K1329" s="9">
        <f t="shared" si="76"/>
        <v>-0.12000000000000455</v>
      </c>
      <c r="L1329">
        <f t="shared" si="71"/>
        <v>-0.17000000000001592</v>
      </c>
      <c r="M1329">
        <f t="shared" si="72"/>
        <v>-0.17000000000001592</v>
      </c>
      <c r="N1329">
        <f t="shared" si="73"/>
        <v>-6.0000000000002274E-2</v>
      </c>
      <c r="O1329">
        <f t="shared" si="74"/>
        <v>-0.23000000000001819</v>
      </c>
      <c r="P1329" s="10">
        <f t="shared" si="75"/>
        <v>-0.10999999999999943</v>
      </c>
    </row>
    <row r="1330" spans="1:16">
      <c r="A1330">
        <v>327.25</v>
      </c>
      <c r="B1330">
        <v>124.17</v>
      </c>
      <c r="C1330">
        <v>125.84</v>
      </c>
      <c r="D1330">
        <v>130.28</v>
      </c>
      <c r="E1330">
        <v>132.34</v>
      </c>
      <c r="F1330">
        <v>127.95</v>
      </c>
      <c r="G1330">
        <v>130.22999999999999</v>
      </c>
      <c r="H1330">
        <v>123.06</v>
      </c>
      <c r="K1330" s="9">
        <f t="shared" si="76"/>
        <v>-6.0000000000002274E-2</v>
      </c>
      <c r="L1330">
        <f t="shared" si="71"/>
        <v>-0.11000000000001364</v>
      </c>
      <c r="M1330">
        <f t="shared" si="72"/>
        <v>-6.0000000000002274E-2</v>
      </c>
      <c r="N1330">
        <f t="shared" si="73"/>
        <v>-0.10999999999999943</v>
      </c>
      <c r="O1330">
        <f t="shared" si="74"/>
        <v>5.0000000000011369E-2</v>
      </c>
      <c r="P1330" s="10">
        <f t="shared" si="75"/>
        <v>0</v>
      </c>
    </row>
    <row r="1331" spans="1:16">
      <c r="A1331">
        <v>327.5</v>
      </c>
      <c r="B1331">
        <v>124.17</v>
      </c>
      <c r="C1331">
        <v>125.78</v>
      </c>
      <c r="D1331">
        <v>130.16999999999999</v>
      </c>
      <c r="E1331">
        <v>132.34</v>
      </c>
      <c r="F1331">
        <v>127.84</v>
      </c>
      <c r="G1331">
        <v>130.34</v>
      </c>
      <c r="H1331">
        <v>123.06</v>
      </c>
      <c r="K1331" s="9">
        <f t="shared" si="76"/>
        <v>-4.9999999999997158E-2</v>
      </c>
      <c r="L1331">
        <f t="shared" si="71"/>
        <v>-4.9999999999982947E-2</v>
      </c>
      <c r="M1331">
        <f t="shared" si="72"/>
        <v>-0.21999999999999886</v>
      </c>
      <c r="N1331">
        <f t="shared" si="73"/>
        <v>0</v>
      </c>
      <c r="O1331">
        <f t="shared" si="74"/>
        <v>-0.11000000000001364</v>
      </c>
      <c r="P1331" s="10">
        <f t="shared" si="75"/>
        <v>6.0000000000002274E-2</v>
      </c>
    </row>
    <row r="1332" spans="1:16">
      <c r="A1332">
        <v>327.75</v>
      </c>
      <c r="B1332">
        <v>124.12</v>
      </c>
      <c r="C1332">
        <v>125.78</v>
      </c>
      <c r="D1332">
        <v>130.16999999999999</v>
      </c>
      <c r="E1332">
        <v>132.16999999999999</v>
      </c>
      <c r="F1332">
        <v>127.84</v>
      </c>
      <c r="G1332">
        <v>130.16999999999999</v>
      </c>
      <c r="H1332">
        <v>123.01</v>
      </c>
      <c r="K1332" s="9">
        <f t="shared" si="76"/>
        <v>-4.9999999999997158E-2</v>
      </c>
      <c r="L1332">
        <f t="shared" si="71"/>
        <v>0</v>
      </c>
      <c r="M1332">
        <f t="shared" si="72"/>
        <v>6.0000000000002274E-2</v>
      </c>
      <c r="N1332">
        <f t="shared" si="73"/>
        <v>-6.0000000000002274E-2</v>
      </c>
      <c r="O1332">
        <f t="shared" si="74"/>
        <v>0</v>
      </c>
      <c r="P1332" s="10">
        <f t="shared" si="75"/>
        <v>0.15999999999999659</v>
      </c>
    </row>
    <row r="1333" spans="1:16">
      <c r="A1333">
        <v>328</v>
      </c>
      <c r="B1333">
        <v>124.12</v>
      </c>
      <c r="C1333">
        <v>125.78</v>
      </c>
      <c r="D1333">
        <v>130.16999999999999</v>
      </c>
      <c r="E1333">
        <v>132.28</v>
      </c>
      <c r="F1333">
        <v>127.84</v>
      </c>
      <c r="G1333">
        <v>130.28</v>
      </c>
      <c r="H1333">
        <v>123.06</v>
      </c>
      <c r="K1333" s="9">
        <f t="shared" si="76"/>
        <v>-0.10999999999999943</v>
      </c>
      <c r="L1333">
        <f t="shared" si="71"/>
        <v>-4.9999999999982947E-2</v>
      </c>
      <c r="M1333">
        <f t="shared" si="72"/>
        <v>-0.11000000000001364</v>
      </c>
      <c r="N1333">
        <f t="shared" si="73"/>
        <v>-6.0000000000002274E-2</v>
      </c>
      <c r="O1333">
        <f t="shared" si="74"/>
        <v>-0.11000000000001364</v>
      </c>
      <c r="P1333" s="10">
        <f t="shared" si="75"/>
        <v>0.10999999999999943</v>
      </c>
    </row>
    <row r="1334" spans="1:16">
      <c r="A1334">
        <v>328.25</v>
      </c>
      <c r="B1334">
        <v>123.95</v>
      </c>
      <c r="C1334">
        <v>125.73</v>
      </c>
      <c r="D1334">
        <v>130.12</v>
      </c>
      <c r="E1334">
        <v>132.12</v>
      </c>
      <c r="F1334">
        <v>127.84</v>
      </c>
      <c r="G1334">
        <v>130.22999999999999</v>
      </c>
      <c r="H1334">
        <v>123.12</v>
      </c>
      <c r="K1334" s="9">
        <f t="shared" si="76"/>
        <v>0</v>
      </c>
      <c r="L1334">
        <f t="shared" si="71"/>
        <v>-0.11000000000001364</v>
      </c>
      <c r="M1334">
        <f t="shared" si="72"/>
        <v>-6.0000000000002274E-2</v>
      </c>
      <c r="N1334">
        <f t="shared" si="73"/>
        <v>-0.10999999999999943</v>
      </c>
      <c r="O1334">
        <f t="shared" si="74"/>
        <v>-6.0000000000002274E-2</v>
      </c>
      <c r="P1334" s="10">
        <f t="shared" si="75"/>
        <v>-0.17000000000000171</v>
      </c>
    </row>
    <row r="1335" spans="1:16">
      <c r="A1335">
        <v>328.5</v>
      </c>
      <c r="B1335">
        <v>124.06</v>
      </c>
      <c r="C1335">
        <v>125.73</v>
      </c>
      <c r="D1335">
        <v>130.16999999999999</v>
      </c>
      <c r="E1335">
        <v>132.22999999999999</v>
      </c>
      <c r="F1335">
        <v>127.78</v>
      </c>
      <c r="G1335">
        <v>130.16999999999999</v>
      </c>
      <c r="H1335">
        <v>123.17</v>
      </c>
      <c r="K1335" s="9">
        <f t="shared" si="76"/>
        <v>0</v>
      </c>
      <c r="L1335">
        <f t="shared" si="71"/>
        <v>-0.15999999999999659</v>
      </c>
      <c r="M1335">
        <f t="shared" si="72"/>
        <v>-0.16999999999998749</v>
      </c>
      <c r="N1335">
        <f t="shared" si="73"/>
        <v>-4.9999999999997158E-2</v>
      </c>
      <c r="O1335">
        <f t="shared" si="74"/>
        <v>-0.10999999999998522</v>
      </c>
      <c r="P1335" s="10">
        <f t="shared" si="75"/>
        <v>-0.15999999999999659</v>
      </c>
    </row>
    <row r="1336" spans="1:16">
      <c r="A1336">
        <v>328.75</v>
      </c>
      <c r="B1336">
        <v>124.06</v>
      </c>
      <c r="C1336">
        <v>125.67</v>
      </c>
      <c r="D1336">
        <v>130.12</v>
      </c>
      <c r="E1336">
        <v>132.16999999999999</v>
      </c>
      <c r="F1336">
        <v>127.78</v>
      </c>
      <c r="G1336">
        <v>130.16999999999999</v>
      </c>
      <c r="H1336">
        <v>123.17</v>
      </c>
      <c r="K1336" s="9">
        <f t="shared" si="76"/>
        <v>0</v>
      </c>
      <c r="L1336">
        <f t="shared" si="71"/>
        <v>-0.21999999999999886</v>
      </c>
      <c r="M1336">
        <f t="shared" si="72"/>
        <v>-0.15999999999999659</v>
      </c>
      <c r="N1336">
        <f t="shared" si="73"/>
        <v>0</v>
      </c>
      <c r="O1336">
        <f t="shared" si="74"/>
        <v>-0.10999999999998522</v>
      </c>
      <c r="P1336" s="10">
        <f t="shared" si="75"/>
        <v>-0.21999999999999886</v>
      </c>
    </row>
    <row r="1337" spans="1:16">
      <c r="A1337">
        <v>329</v>
      </c>
      <c r="B1337">
        <v>123.95</v>
      </c>
      <c r="C1337">
        <v>125.73</v>
      </c>
      <c r="D1337">
        <v>130.01</v>
      </c>
      <c r="E1337">
        <v>132.06</v>
      </c>
      <c r="F1337">
        <v>127.73</v>
      </c>
      <c r="G1337">
        <v>130.16999999999999</v>
      </c>
      <c r="H1337">
        <v>122.95</v>
      </c>
      <c r="K1337" s="9">
        <f t="shared" si="76"/>
        <v>-0.17000000000000171</v>
      </c>
      <c r="L1337">
        <f t="shared" si="71"/>
        <v>-0.22999999999998977</v>
      </c>
      <c r="M1337">
        <f t="shared" si="72"/>
        <v>-5.0000000000011369E-2</v>
      </c>
      <c r="N1337">
        <f t="shared" si="73"/>
        <v>-6.0000000000002274E-2</v>
      </c>
      <c r="O1337">
        <f t="shared" si="74"/>
        <v>-4.9999999999982947E-2</v>
      </c>
      <c r="P1337" s="10">
        <f t="shared" si="75"/>
        <v>6.0000000000002274E-2</v>
      </c>
    </row>
    <row r="1338" spans="1:16">
      <c r="A1338">
        <v>329.25</v>
      </c>
      <c r="B1338">
        <v>123.9</v>
      </c>
      <c r="C1338">
        <v>125.73</v>
      </c>
      <c r="D1338">
        <v>130.01</v>
      </c>
      <c r="E1338">
        <v>132.06</v>
      </c>
      <c r="F1338">
        <v>127.73</v>
      </c>
      <c r="G1338">
        <v>130.06</v>
      </c>
      <c r="H1338">
        <v>123.01</v>
      </c>
      <c r="K1338" s="9">
        <f t="shared" si="76"/>
        <v>-0.21999999999999886</v>
      </c>
      <c r="L1338">
        <f t="shared" si="71"/>
        <v>-0.28000000000000114</v>
      </c>
      <c r="M1338">
        <f t="shared" si="72"/>
        <v>-5.0000000000011369E-2</v>
      </c>
      <c r="N1338">
        <f t="shared" si="73"/>
        <v>-6.0000000000002274E-2</v>
      </c>
      <c r="O1338">
        <f t="shared" si="74"/>
        <v>6.0000000000002274E-2</v>
      </c>
      <c r="P1338" s="10">
        <f t="shared" si="75"/>
        <v>-6.0000000000002274E-2</v>
      </c>
    </row>
    <row r="1339" spans="1:16">
      <c r="A1339">
        <v>329.5</v>
      </c>
      <c r="B1339">
        <v>123.84</v>
      </c>
      <c r="C1339">
        <v>125.67</v>
      </c>
      <c r="D1339">
        <v>129.9</v>
      </c>
      <c r="E1339">
        <v>132.01</v>
      </c>
      <c r="F1339">
        <v>127.78</v>
      </c>
      <c r="G1339">
        <v>130.06</v>
      </c>
      <c r="H1339">
        <v>122.95</v>
      </c>
      <c r="K1339" s="9">
        <f t="shared" si="76"/>
        <v>-0.10999999999999943</v>
      </c>
      <c r="L1339">
        <f t="shared" si="71"/>
        <v>-0.23000000000001819</v>
      </c>
      <c r="M1339">
        <f t="shared" si="72"/>
        <v>-0.10999999999998522</v>
      </c>
      <c r="N1339">
        <f t="shared" si="73"/>
        <v>-0.15999999999999659</v>
      </c>
      <c r="O1339">
        <f t="shared" si="74"/>
        <v>-0.11000000000001364</v>
      </c>
      <c r="P1339" s="10">
        <f t="shared" si="75"/>
        <v>0</v>
      </c>
    </row>
    <row r="1340" spans="1:16">
      <c r="A1340">
        <v>329.75</v>
      </c>
      <c r="B1340">
        <v>123.78</v>
      </c>
      <c r="C1340">
        <v>125.56</v>
      </c>
      <c r="D1340">
        <v>129.78</v>
      </c>
      <c r="E1340">
        <v>132.01</v>
      </c>
      <c r="F1340">
        <v>127.67</v>
      </c>
      <c r="G1340">
        <v>130.12</v>
      </c>
      <c r="H1340">
        <v>123.01</v>
      </c>
      <c r="K1340" s="9">
        <f t="shared" si="76"/>
        <v>0</v>
      </c>
      <c r="L1340">
        <f t="shared" si="71"/>
        <v>-0.11000000000001364</v>
      </c>
      <c r="M1340">
        <f t="shared" si="72"/>
        <v>-0.16999999999998749</v>
      </c>
      <c r="N1340">
        <f t="shared" si="73"/>
        <v>0</v>
      </c>
      <c r="O1340">
        <f t="shared" si="74"/>
        <v>-0.17000000000001592</v>
      </c>
      <c r="P1340" s="10">
        <f t="shared" si="75"/>
        <v>-0.10999999999999943</v>
      </c>
    </row>
    <row r="1341" spans="1:16">
      <c r="A1341">
        <v>330</v>
      </c>
      <c r="B1341">
        <v>123.78</v>
      </c>
      <c r="C1341">
        <v>125.51</v>
      </c>
      <c r="D1341">
        <v>129.72999999999999</v>
      </c>
      <c r="E1341">
        <v>132.01</v>
      </c>
      <c r="F1341">
        <v>127.67</v>
      </c>
      <c r="G1341">
        <v>130.12</v>
      </c>
      <c r="H1341">
        <v>122.95</v>
      </c>
      <c r="K1341" s="9">
        <f t="shared" si="76"/>
        <v>0</v>
      </c>
      <c r="L1341">
        <f t="shared" si="71"/>
        <v>-0.16999999999998749</v>
      </c>
      <c r="M1341">
        <f t="shared" si="72"/>
        <v>-0.16999999999998749</v>
      </c>
      <c r="N1341">
        <f t="shared" si="73"/>
        <v>-4.9999999999997158E-2</v>
      </c>
      <c r="O1341">
        <f t="shared" si="74"/>
        <v>-0.11000000000001364</v>
      </c>
      <c r="P1341" s="10">
        <f t="shared" si="75"/>
        <v>0</v>
      </c>
    </row>
    <row r="1342" spans="1:16">
      <c r="A1342">
        <v>330.25</v>
      </c>
      <c r="B1342">
        <v>123.67</v>
      </c>
      <c r="C1342">
        <v>125.56</v>
      </c>
      <c r="D1342">
        <v>129.66999999999999</v>
      </c>
      <c r="E1342">
        <v>131.9</v>
      </c>
      <c r="F1342">
        <v>127.62</v>
      </c>
      <c r="G1342">
        <v>129.94999999999999</v>
      </c>
      <c r="H1342">
        <v>122.95</v>
      </c>
      <c r="K1342" s="9">
        <f t="shared" si="76"/>
        <v>-0.15999999999999659</v>
      </c>
      <c r="L1342">
        <f t="shared" si="71"/>
        <v>-0.10999999999998522</v>
      </c>
      <c r="M1342">
        <f t="shared" si="72"/>
        <v>-6.0000000000002274E-2</v>
      </c>
      <c r="N1342">
        <f t="shared" si="73"/>
        <v>-0.10999999999999943</v>
      </c>
      <c r="O1342">
        <f t="shared" si="74"/>
        <v>0.11000000000001364</v>
      </c>
      <c r="P1342" s="10">
        <f t="shared" si="75"/>
        <v>0</v>
      </c>
    </row>
    <row r="1343" spans="1:16">
      <c r="A1343">
        <v>330.5</v>
      </c>
      <c r="B1343">
        <v>123.78</v>
      </c>
      <c r="C1343">
        <v>125.56</v>
      </c>
      <c r="D1343">
        <v>129.66999999999999</v>
      </c>
      <c r="E1343">
        <v>131.84</v>
      </c>
      <c r="F1343">
        <v>127.67</v>
      </c>
      <c r="G1343">
        <v>129.94999999999999</v>
      </c>
      <c r="H1343">
        <v>122.9</v>
      </c>
      <c r="K1343" s="9">
        <f t="shared" si="76"/>
        <v>-0.21999999999999886</v>
      </c>
      <c r="L1343">
        <f t="shared" si="71"/>
        <v>-0.15999999999999659</v>
      </c>
      <c r="M1343">
        <f t="shared" si="72"/>
        <v>-6.0000000000002274E-2</v>
      </c>
      <c r="N1343">
        <f t="shared" si="73"/>
        <v>-0.15999999999999659</v>
      </c>
      <c r="O1343">
        <f t="shared" si="74"/>
        <v>-4.9999999999982947E-2</v>
      </c>
      <c r="P1343" s="10">
        <f t="shared" si="75"/>
        <v>0</v>
      </c>
    </row>
    <row r="1344" spans="1:16">
      <c r="A1344">
        <v>330.75</v>
      </c>
      <c r="B1344">
        <v>123.73</v>
      </c>
      <c r="C1344">
        <v>125.51</v>
      </c>
      <c r="D1344">
        <v>129.56</v>
      </c>
      <c r="E1344">
        <v>131.84</v>
      </c>
      <c r="F1344">
        <v>127.62</v>
      </c>
      <c r="G1344">
        <v>130.01</v>
      </c>
      <c r="H1344">
        <v>122.95</v>
      </c>
      <c r="K1344" s="9">
        <f t="shared" si="76"/>
        <v>-0.23000000000000398</v>
      </c>
      <c r="L1344">
        <f t="shared" si="71"/>
        <v>-0.11000000000001364</v>
      </c>
      <c r="M1344">
        <f t="shared" si="72"/>
        <v>-6.0000000000002274E-2</v>
      </c>
      <c r="N1344">
        <f t="shared" si="73"/>
        <v>-0.17000000000000171</v>
      </c>
      <c r="O1344">
        <f t="shared" si="74"/>
        <v>-0.16999999999998749</v>
      </c>
      <c r="P1344" s="10">
        <f t="shared" si="75"/>
        <v>0.10999999999999943</v>
      </c>
    </row>
    <row r="1345" spans="1:16">
      <c r="A1345">
        <v>331</v>
      </c>
      <c r="B1345">
        <v>123.78</v>
      </c>
      <c r="C1345">
        <v>125.4</v>
      </c>
      <c r="D1345">
        <v>129.56</v>
      </c>
      <c r="E1345">
        <v>131.84</v>
      </c>
      <c r="F1345">
        <v>127.51</v>
      </c>
      <c r="G1345">
        <v>130.06</v>
      </c>
      <c r="H1345">
        <v>122.95</v>
      </c>
      <c r="K1345" s="9">
        <f t="shared" si="76"/>
        <v>-0.17000000000000171</v>
      </c>
      <c r="L1345">
        <f t="shared" si="71"/>
        <v>-0.15999999999999659</v>
      </c>
      <c r="M1345">
        <f t="shared" si="72"/>
        <v>-0.11000000000001364</v>
      </c>
      <c r="N1345">
        <f t="shared" si="73"/>
        <v>-6.0000000000002274E-2</v>
      </c>
      <c r="O1345">
        <f t="shared" si="74"/>
        <v>-0.21999999999999886</v>
      </c>
      <c r="P1345" s="10">
        <f t="shared" si="75"/>
        <v>0.10999999999999943</v>
      </c>
    </row>
    <row r="1346" spans="1:16">
      <c r="A1346">
        <v>331.25</v>
      </c>
      <c r="B1346">
        <v>123.62</v>
      </c>
      <c r="C1346">
        <v>125.34</v>
      </c>
      <c r="D1346">
        <v>129.51</v>
      </c>
      <c r="E1346">
        <v>131.78</v>
      </c>
      <c r="F1346">
        <v>127.51</v>
      </c>
      <c r="G1346">
        <v>129.9</v>
      </c>
      <c r="H1346">
        <v>122.9</v>
      </c>
      <c r="K1346" s="9">
        <f t="shared" si="76"/>
        <v>-0.17000000000000171</v>
      </c>
      <c r="L1346">
        <f t="shared" si="71"/>
        <v>-0.22999999999998977</v>
      </c>
      <c r="M1346">
        <f t="shared" si="72"/>
        <v>-0.15999999999999659</v>
      </c>
      <c r="N1346">
        <f t="shared" si="73"/>
        <v>-6.0000000000002274E-2</v>
      </c>
      <c r="O1346">
        <f t="shared" si="74"/>
        <v>-0.12000000000000455</v>
      </c>
      <c r="P1346" s="10">
        <f t="shared" si="75"/>
        <v>4.9999999999997158E-2</v>
      </c>
    </row>
    <row r="1347" spans="1:16">
      <c r="A1347">
        <v>331.5</v>
      </c>
      <c r="B1347">
        <v>123.62</v>
      </c>
      <c r="C1347">
        <v>125.28</v>
      </c>
      <c r="D1347">
        <v>129.44999999999999</v>
      </c>
      <c r="E1347">
        <v>131.78</v>
      </c>
      <c r="F1347">
        <v>127.45</v>
      </c>
      <c r="G1347">
        <v>129.84</v>
      </c>
      <c r="H1347">
        <v>123.06</v>
      </c>
      <c r="K1347" s="9">
        <f t="shared" si="76"/>
        <v>-0.10999999999999943</v>
      </c>
      <c r="L1347">
        <f t="shared" si="71"/>
        <v>-0.10999999999998522</v>
      </c>
      <c r="M1347">
        <f t="shared" si="72"/>
        <v>-0.21999999999999886</v>
      </c>
      <c r="N1347">
        <f t="shared" si="73"/>
        <v>-4.9999999999997158E-2</v>
      </c>
      <c r="O1347">
        <f t="shared" si="74"/>
        <v>-6.0000000000002274E-2</v>
      </c>
      <c r="P1347" s="10">
        <f t="shared" si="75"/>
        <v>0</v>
      </c>
    </row>
    <row r="1348" spans="1:16">
      <c r="A1348">
        <v>331.75</v>
      </c>
      <c r="B1348">
        <v>123.62</v>
      </c>
      <c r="C1348">
        <v>125.23</v>
      </c>
      <c r="D1348">
        <v>129.4</v>
      </c>
      <c r="E1348">
        <v>131.72999999999999</v>
      </c>
      <c r="F1348">
        <v>127.45</v>
      </c>
      <c r="G1348">
        <v>129.84</v>
      </c>
      <c r="H1348">
        <v>123.06</v>
      </c>
      <c r="K1348" s="9">
        <f t="shared" si="76"/>
        <v>-0.10999999999999943</v>
      </c>
      <c r="L1348">
        <f t="shared" si="71"/>
        <v>-0.12000000000000455</v>
      </c>
      <c r="M1348">
        <f t="shared" si="72"/>
        <v>-0.10999999999998522</v>
      </c>
      <c r="N1348">
        <f t="shared" si="73"/>
        <v>-0.10999999999999943</v>
      </c>
      <c r="O1348">
        <f t="shared" si="74"/>
        <v>-0.11000000000001364</v>
      </c>
      <c r="P1348" s="10">
        <f t="shared" si="75"/>
        <v>0</v>
      </c>
    </row>
    <row r="1349" spans="1:16">
      <c r="A1349">
        <v>332</v>
      </c>
      <c r="B1349">
        <v>123.4</v>
      </c>
      <c r="C1349">
        <v>125.17</v>
      </c>
      <c r="D1349">
        <v>129.28</v>
      </c>
      <c r="E1349">
        <v>131.62</v>
      </c>
      <c r="F1349">
        <v>127.45</v>
      </c>
      <c r="G1349">
        <v>129.78</v>
      </c>
      <c r="H1349">
        <v>122.95</v>
      </c>
      <c r="K1349" s="9">
        <f t="shared" si="76"/>
        <v>-0.15999999999999659</v>
      </c>
      <c r="L1349">
        <f t="shared" si="71"/>
        <v>0</v>
      </c>
      <c r="M1349">
        <f t="shared" si="72"/>
        <v>0</v>
      </c>
      <c r="N1349">
        <f t="shared" si="73"/>
        <v>-4.9999999999997158E-2</v>
      </c>
      <c r="O1349">
        <f t="shared" si="74"/>
        <v>-0.11000000000001364</v>
      </c>
      <c r="P1349" s="10">
        <f t="shared" si="75"/>
        <v>0.10999999999999943</v>
      </c>
    </row>
    <row r="1350" spans="1:16">
      <c r="A1350">
        <v>332.25</v>
      </c>
      <c r="B1350">
        <v>123.34</v>
      </c>
      <c r="C1350">
        <v>125.17</v>
      </c>
      <c r="D1350">
        <v>129.34</v>
      </c>
      <c r="E1350">
        <v>131.56</v>
      </c>
      <c r="F1350">
        <v>127.4</v>
      </c>
      <c r="G1350">
        <v>129.78</v>
      </c>
      <c r="H1350">
        <v>123.06</v>
      </c>
      <c r="K1350" s="9">
        <f t="shared" si="76"/>
        <v>-0.15999999999999659</v>
      </c>
      <c r="L1350">
        <f t="shared" si="71"/>
        <v>-0.11000000000001364</v>
      </c>
      <c r="M1350">
        <f t="shared" si="72"/>
        <v>0</v>
      </c>
      <c r="N1350">
        <f t="shared" si="73"/>
        <v>-6.0000000000002274E-2</v>
      </c>
      <c r="O1350">
        <f t="shared" si="74"/>
        <v>-0.11000000000001364</v>
      </c>
      <c r="P1350" s="10">
        <f t="shared" si="75"/>
        <v>-4.9999999999997158E-2</v>
      </c>
    </row>
    <row r="1351" spans="1:16">
      <c r="A1351">
        <v>332.5</v>
      </c>
      <c r="B1351">
        <v>123.34</v>
      </c>
      <c r="C1351">
        <v>125.12</v>
      </c>
      <c r="D1351">
        <v>129.28</v>
      </c>
      <c r="E1351">
        <v>131.62</v>
      </c>
      <c r="F1351">
        <v>127.34</v>
      </c>
      <c r="G1351">
        <v>129.72999999999999</v>
      </c>
      <c r="H1351">
        <v>123.06</v>
      </c>
      <c r="K1351" s="9">
        <f t="shared" si="76"/>
        <v>-0.17000000000000171</v>
      </c>
      <c r="L1351">
        <f t="shared" si="71"/>
        <v>-0.15999999999999659</v>
      </c>
      <c r="M1351">
        <f t="shared" si="72"/>
        <v>-0.11000000000001364</v>
      </c>
      <c r="N1351">
        <f t="shared" si="73"/>
        <v>0</v>
      </c>
      <c r="O1351">
        <f t="shared" si="74"/>
        <v>-6.0000000000002274E-2</v>
      </c>
      <c r="P1351" s="10">
        <f t="shared" si="75"/>
        <v>6.0000000000002274E-2</v>
      </c>
    </row>
    <row r="1352" spans="1:16">
      <c r="A1352">
        <v>332.75</v>
      </c>
      <c r="B1352">
        <v>123.4</v>
      </c>
      <c r="C1352">
        <v>125.01</v>
      </c>
      <c r="D1352">
        <v>129.28</v>
      </c>
      <c r="E1352">
        <v>131.62</v>
      </c>
      <c r="F1352">
        <v>127.4</v>
      </c>
      <c r="G1352">
        <v>129.66999999999999</v>
      </c>
      <c r="H1352">
        <v>123.06</v>
      </c>
      <c r="K1352" s="9">
        <f t="shared" si="76"/>
        <v>0</v>
      </c>
      <c r="L1352">
        <f t="shared" si="71"/>
        <v>-0.11000000000001364</v>
      </c>
      <c r="M1352">
        <f t="shared" si="72"/>
        <v>-0.11000000000001364</v>
      </c>
      <c r="N1352">
        <f t="shared" si="73"/>
        <v>-0.12000000000000455</v>
      </c>
      <c r="O1352">
        <f t="shared" si="74"/>
        <v>6.0000000000002274E-2</v>
      </c>
      <c r="P1352" s="10">
        <f t="shared" si="75"/>
        <v>0.10999999999999943</v>
      </c>
    </row>
    <row r="1353" spans="1:16">
      <c r="A1353">
        <v>333</v>
      </c>
      <c r="B1353">
        <v>123.34</v>
      </c>
      <c r="C1353">
        <v>125.01</v>
      </c>
      <c r="D1353">
        <v>129.22999999999999</v>
      </c>
      <c r="E1353">
        <v>131.56</v>
      </c>
      <c r="F1353">
        <v>127.34</v>
      </c>
      <c r="G1353">
        <v>129.66999999999999</v>
      </c>
      <c r="H1353">
        <v>123.01</v>
      </c>
      <c r="K1353" s="9">
        <f t="shared" si="76"/>
        <v>-6.0000000000002274E-2</v>
      </c>
      <c r="L1353">
        <f t="shared" si="71"/>
        <v>-0.10999999999998522</v>
      </c>
      <c r="M1353">
        <f t="shared" si="72"/>
        <v>-0.11000000000001364</v>
      </c>
      <c r="N1353">
        <f t="shared" si="73"/>
        <v>-0.10999999999999943</v>
      </c>
      <c r="O1353">
        <f t="shared" si="74"/>
        <v>0</v>
      </c>
      <c r="P1353" s="10">
        <f t="shared" si="75"/>
        <v>0.21999999999999886</v>
      </c>
    </row>
    <row r="1354" spans="1:16">
      <c r="A1354">
        <v>333.25</v>
      </c>
      <c r="B1354">
        <v>123.4</v>
      </c>
      <c r="C1354">
        <v>124.95</v>
      </c>
      <c r="D1354">
        <v>129.12</v>
      </c>
      <c r="E1354">
        <v>131.51</v>
      </c>
      <c r="F1354">
        <v>127.34</v>
      </c>
      <c r="G1354">
        <v>129.66999999999999</v>
      </c>
      <c r="H1354">
        <v>123.12</v>
      </c>
      <c r="K1354" s="9">
        <f t="shared" si="76"/>
        <v>-0.10999999999999943</v>
      </c>
      <c r="L1354">
        <f t="shared" ref="L1354:L1417" si="77">D1357-D1354</f>
        <v>0</v>
      </c>
      <c r="M1354">
        <f t="shared" ref="M1354:M1417" si="78">E1357-E1354</f>
        <v>-0.16999999999998749</v>
      </c>
      <c r="N1354">
        <f t="shared" ref="N1354:N1417" si="79">F1357-F1354</f>
        <v>-0.17000000000000171</v>
      </c>
      <c r="O1354">
        <f t="shared" ref="O1354:O1417" si="80">G1357-G1354</f>
        <v>-0.15999999999999659</v>
      </c>
      <c r="P1354" s="10">
        <f t="shared" ref="P1354:P1417" si="81">H1357-H1354</f>
        <v>0.15999999999999659</v>
      </c>
    </row>
    <row r="1355" spans="1:16">
      <c r="A1355">
        <v>333.5</v>
      </c>
      <c r="B1355">
        <v>123.4</v>
      </c>
      <c r="C1355">
        <v>125.01</v>
      </c>
      <c r="D1355">
        <v>129.16999999999999</v>
      </c>
      <c r="E1355">
        <v>131.51</v>
      </c>
      <c r="F1355">
        <v>127.28</v>
      </c>
      <c r="G1355">
        <v>129.72999999999999</v>
      </c>
      <c r="H1355">
        <v>123.17</v>
      </c>
      <c r="K1355" s="9">
        <f t="shared" ref="K1355:K1418" si="82">C1358-C1355</f>
        <v>-0.17000000000000171</v>
      </c>
      <c r="L1355">
        <f t="shared" si="77"/>
        <v>-0.10999999999998522</v>
      </c>
      <c r="M1355">
        <f t="shared" si="78"/>
        <v>-0.16999999999998749</v>
      </c>
      <c r="N1355">
        <f t="shared" si="79"/>
        <v>-0.15999999999999659</v>
      </c>
      <c r="O1355">
        <f t="shared" si="80"/>
        <v>-0.21999999999999886</v>
      </c>
      <c r="P1355" s="10">
        <f t="shared" si="81"/>
        <v>0.10999999999999943</v>
      </c>
    </row>
    <row r="1356" spans="1:16">
      <c r="A1356">
        <v>333.75</v>
      </c>
      <c r="B1356">
        <v>123.34</v>
      </c>
      <c r="C1356">
        <v>124.95</v>
      </c>
      <c r="D1356">
        <v>129.12</v>
      </c>
      <c r="E1356">
        <v>131.44999999999999</v>
      </c>
      <c r="F1356">
        <v>127.23</v>
      </c>
      <c r="G1356">
        <v>129.66999999999999</v>
      </c>
      <c r="H1356">
        <v>123.23</v>
      </c>
      <c r="K1356" s="9">
        <f t="shared" si="82"/>
        <v>-0.10999999999999943</v>
      </c>
      <c r="L1356">
        <f t="shared" si="77"/>
        <v>-6.0000000000002274E-2</v>
      </c>
      <c r="M1356">
        <f t="shared" si="78"/>
        <v>-0.16999999999998749</v>
      </c>
      <c r="N1356">
        <f t="shared" si="79"/>
        <v>-6.0000000000002274E-2</v>
      </c>
      <c r="O1356">
        <f t="shared" si="80"/>
        <v>-0.26999999999998181</v>
      </c>
      <c r="P1356" s="10">
        <f t="shared" si="81"/>
        <v>0.10999999999999943</v>
      </c>
    </row>
    <row r="1357" spans="1:16">
      <c r="A1357">
        <v>334</v>
      </c>
      <c r="B1357">
        <v>123.28</v>
      </c>
      <c r="C1357">
        <v>124.84</v>
      </c>
      <c r="D1357">
        <v>129.12</v>
      </c>
      <c r="E1357">
        <v>131.34</v>
      </c>
      <c r="F1357">
        <v>127.17</v>
      </c>
      <c r="G1357">
        <v>129.51</v>
      </c>
      <c r="H1357">
        <v>123.28</v>
      </c>
      <c r="K1357" s="9">
        <f t="shared" si="82"/>
        <v>-0.10999999999999943</v>
      </c>
      <c r="L1357">
        <f t="shared" si="77"/>
        <v>-6.0000000000002274E-2</v>
      </c>
      <c r="M1357">
        <f t="shared" si="78"/>
        <v>-0.11000000000001364</v>
      </c>
      <c r="N1357">
        <f t="shared" si="79"/>
        <v>-0.15999999999999659</v>
      </c>
      <c r="O1357">
        <f t="shared" si="80"/>
        <v>-0.22999999999998977</v>
      </c>
      <c r="P1357" s="10">
        <f t="shared" si="81"/>
        <v>6.0000000000002274E-2</v>
      </c>
    </row>
    <row r="1358" spans="1:16">
      <c r="A1358">
        <v>334.25</v>
      </c>
      <c r="B1358">
        <v>123.23</v>
      </c>
      <c r="C1358">
        <v>124.84</v>
      </c>
      <c r="D1358">
        <v>129.06</v>
      </c>
      <c r="E1358">
        <v>131.34</v>
      </c>
      <c r="F1358">
        <v>127.12</v>
      </c>
      <c r="G1358">
        <v>129.51</v>
      </c>
      <c r="H1358">
        <v>123.28</v>
      </c>
      <c r="K1358" s="9">
        <f t="shared" si="82"/>
        <v>-0.10999999999999943</v>
      </c>
      <c r="L1358">
        <f t="shared" si="77"/>
        <v>-5.0000000000011369E-2</v>
      </c>
      <c r="M1358">
        <f t="shared" si="78"/>
        <v>-0.11000000000001364</v>
      </c>
      <c r="N1358">
        <f t="shared" si="79"/>
        <v>-6.0000000000002274E-2</v>
      </c>
      <c r="O1358">
        <f t="shared" si="80"/>
        <v>-0.22999999999998977</v>
      </c>
      <c r="P1358" s="10">
        <f t="shared" si="81"/>
        <v>0.17000000000000171</v>
      </c>
    </row>
    <row r="1359" spans="1:16">
      <c r="A1359">
        <v>334.5</v>
      </c>
      <c r="B1359">
        <v>123.28</v>
      </c>
      <c r="C1359">
        <v>124.84</v>
      </c>
      <c r="D1359">
        <v>129.06</v>
      </c>
      <c r="E1359">
        <v>131.28</v>
      </c>
      <c r="F1359">
        <v>127.17</v>
      </c>
      <c r="G1359">
        <v>129.4</v>
      </c>
      <c r="H1359">
        <v>123.34</v>
      </c>
      <c r="K1359" s="9">
        <f t="shared" si="82"/>
        <v>-0.17000000000000171</v>
      </c>
      <c r="L1359">
        <f t="shared" si="77"/>
        <v>0</v>
      </c>
      <c r="M1359">
        <f t="shared" si="78"/>
        <v>-5.0000000000011369E-2</v>
      </c>
      <c r="N1359">
        <f t="shared" si="79"/>
        <v>-0.15999999999999659</v>
      </c>
      <c r="O1359">
        <f t="shared" si="80"/>
        <v>-0.12000000000000455</v>
      </c>
      <c r="P1359" s="10">
        <f t="shared" si="81"/>
        <v>0.10999999999999943</v>
      </c>
    </row>
    <row r="1360" spans="1:16">
      <c r="A1360">
        <v>334.75</v>
      </c>
      <c r="B1360">
        <v>123.17</v>
      </c>
      <c r="C1360">
        <v>124.73</v>
      </c>
      <c r="D1360">
        <v>129.06</v>
      </c>
      <c r="E1360">
        <v>131.22999999999999</v>
      </c>
      <c r="F1360">
        <v>127.01</v>
      </c>
      <c r="G1360">
        <v>129.28</v>
      </c>
      <c r="H1360">
        <v>123.34</v>
      </c>
      <c r="K1360" s="9">
        <f t="shared" si="82"/>
        <v>4.9999999999997158E-2</v>
      </c>
      <c r="L1360">
        <f t="shared" si="77"/>
        <v>0</v>
      </c>
      <c r="M1360">
        <f t="shared" si="78"/>
        <v>-0.10999999999998522</v>
      </c>
      <c r="N1360">
        <f t="shared" si="79"/>
        <v>0</v>
      </c>
      <c r="O1360">
        <f t="shared" si="80"/>
        <v>0</v>
      </c>
      <c r="P1360" s="10">
        <f t="shared" si="81"/>
        <v>0.17000000000000171</v>
      </c>
    </row>
    <row r="1361" spans="1:16">
      <c r="A1361">
        <v>335</v>
      </c>
      <c r="B1361">
        <v>123.23</v>
      </c>
      <c r="C1361">
        <v>124.73</v>
      </c>
      <c r="D1361">
        <v>129.01</v>
      </c>
      <c r="E1361">
        <v>131.22999999999999</v>
      </c>
      <c r="F1361">
        <v>127.06</v>
      </c>
      <c r="G1361">
        <v>129.28</v>
      </c>
      <c r="H1361">
        <v>123.45</v>
      </c>
      <c r="K1361" s="9">
        <f t="shared" si="82"/>
        <v>-0.10999999999999943</v>
      </c>
      <c r="L1361">
        <f t="shared" si="77"/>
        <v>-0.10999999999998522</v>
      </c>
      <c r="M1361">
        <f t="shared" si="78"/>
        <v>-0.16999999999998749</v>
      </c>
      <c r="N1361">
        <f t="shared" si="79"/>
        <v>-4.9999999999997158E-2</v>
      </c>
      <c r="O1361">
        <f t="shared" si="80"/>
        <v>0</v>
      </c>
      <c r="P1361" s="10">
        <f t="shared" si="81"/>
        <v>-0.10999999999999943</v>
      </c>
    </row>
    <row r="1362" spans="1:16">
      <c r="A1362">
        <v>335.25</v>
      </c>
      <c r="B1362">
        <v>123.17</v>
      </c>
      <c r="C1362">
        <v>124.67</v>
      </c>
      <c r="D1362">
        <v>129.06</v>
      </c>
      <c r="E1362">
        <v>131.22999999999999</v>
      </c>
      <c r="F1362">
        <v>127.01</v>
      </c>
      <c r="G1362">
        <v>129.28</v>
      </c>
      <c r="H1362">
        <v>123.45</v>
      </c>
      <c r="K1362" s="9">
        <f t="shared" si="82"/>
        <v>-4.9999999999997158E-2</v>
      </c>
      <c r="L1362">
        <f t="shared" si="77"/>
        <v>-0.15999999999999659</v>
      </c>
      <c r="M1362">
        <f t="shared" si="78"/>
        <v>-0.16999999999998749</v>
      </c>
      <c r="N1362">
        <f t="shared" si="79"/>
        <v>-6.0000000000002274E-2</v>
      </c>
      <c r="O1362">
        <f t="shared" si="80"/>
        <v>0</v>
      </c>
      <c r="P1362" s="10">
        <f t="shared" si="81"/>
        <v>-0.10999999999999943</v>
      </c>
    </row>
    <row r="1363" spans="1:16">
      <c r="A1363">
        <v>335.5</v>
      </c>
      <c r="B1363">
        <v>123.28</v>
      </c>
      <c r="C1363">
        <v>124.78</v>
      </c>
      <c r="D1363">
        <v>129.06</v>
      </c>
      <c r="E1363">
        <v>131.12</v>
      </c>
      <c r="F1363">
        <v>127.01</v>
      </c>
      <c r="G1363">
        <v>129.28</v>
      </c>
      <c r="H1363">
        <v>123.51</v>
      </c>
      <c r="K1363" s="9">
        <f t="shared" si="82"/>
        <v>-0.15999999999999659</v>
      </c>
      <c r="L1363">
        <f t="shared" si="77"/>
        <v>-0.28000000000000114</v>
      </c>
      <c r="M1363">
        <f t="shared" si="78"/>
        <v>-0.11000000000001364</v>
      </c>
      <c r="N1363">
        <f t="shared" si="79"/>
        <v>-0.10999999999999943</v>
      </c>
      <c r="O1363">
        <f t="shared" si="80"/>
        <v>-5.0000000000011369E-2</v>
      </c>
      <c r="P1363" s="10">
        <f t="shared" si="81"/>
        <v>-0.23000000000000398</v>
      </c>
    </row>
    <row r="1364" spans="1:16">
      <c r="A1364">
        <v>335.75</v>
      </c>
      <c r="B1364">
        <v>123.23</v>
      </c>
      <c r="C1364">
        <v>124.62</v>
      </c>
      <c r="D1364">
        <v>128.9</v>
      </c>
      <c r="E1364">
        <v>131.06</v>
      </c>
      <c r="F1364">
        <v>127.01</v>
      </c>
      <c r="G1364">
        <v>129.28</v>
      </c>
      <c r="H1364">
        <v>123.34</v>
      </c>
      <c r="K1364" s="9">
        <f t="shared" si="82"/>
        <v>4.9999999999997158E-2</v>
      </c>
      <c r="L1364">
        <f t="shared" si="77"/>
        <v>0</v>
      </c>
      <c r="M1364">
        <f t="shared" si="78"/>
        <v>-5.0000000000011369E-2</v>
      </c>
      <c r="N1364">
        <f t="shared" si="79"/>
        <v>-0.17000000000000171</v>
      </c>
      <c r="O1364">
        <f t="shared" si="80"/>
        <v>-0.15999999999999659</v>
      </c>
      <c r="P1364" s="10">
        <f t="shared" si="81"/>
        <v>-0.17000000000000171</v>
      </c>
    </row>
    <row r="1365" spans="1:16">
      <c r="A1365">
        <v>336</v>
      </c>
      <c r="B1365">
        <v>123.12</v>
      </c>
      <c r="C1365">
        <v>124.62</v>
      </c>
      <c r="D1365">
        <v>128.9</v>
      </c>
      <c r="E1365">
        <v>131.06</v>
      </c>
      <c r="F1365">
        <v>126.95</v>
      </c>
      <c r="G1365">
        <v>129.28</v>
      </c>
      <c r="H1365">
        <v>123.34</v>
      </c>
      <c r="K1365" s="9">
        <f t="shared" si="82"/>
        <v>-0.10999999999999943</v>
      </c>
      <c r="L1365">
        <f t="shared" si="77"/>
        <v>-0.12000000000000455</v>
      </c>
      <c r="M1365">
        <f t="shared" si="78"/>
        <v>-5.0000000000011369E-2</v>
      </c>
      <c r="N1365">
        <f t="shared" si="79"/>
        <v>-0.10999999999999943</v>
      </c>
      <c r="O1365">
        <f t="shared" si="80"/>
        <v>-0.27000000000001023</v>
      </c>
      <c r="P1365" s="10">
        <f t="shared" si="81"/>
        <v>-0.21999999999999886</v>
      </c>
    </row>
    <row r="1366" spans="1:16">
      <c r="A1366">
        <v>336.25</v>
      </c>
      <c r="B1366">
        <v>123.17</v>
      </c>
      <c r="C1366">
        <v>124.62</v>
      </c>
      <c r="D1366">
        <v>128.78</v>
      </c>
      <c r="E1366">
        <v>131.01</v>
      </c>
      <c r="F1366">
        <v>126.9</v>
      </c>
      <c r="G1366">
        <v>129.22999999999999</v>
      </c>
      <c r="H1366">
        <v>123.28</v>
      </c>
      <c r="K1366" s="9">
        <f t="shared" si="82"/>
        <v>-0.17000000000000171</v>
      </c>
      <c r="L1366">
        <f t="shared" si="77"/>
        <v>6.0000000000002274E-2</v>
      </c>
      <c r="M1366">
        <f t="shared" si="78"/>
        <v>-0.10999999999998522</v>
      </c>
      <c r="N1366">
        <f t="shared" si="79"/>
        <v>0</v>
      </c>
      <c r="O1366">
        <f t="shared" si="80"/>
        <v>-0.16999999999998749</v>
      </c>
      <c r="P1366" s="10">
        <f t="shared" si="81"/>
        <v>-0.26999999999999602</v>
      </c>
    </row>
    <row r="1367" spans="1:16">
      <c r="A1367">
        <v>336.5</v>
      </c>
      <c r="B1367">
        <v>123.12</v>
      </c>
      <c r="C1367">
        <v>124.67</v>
      </c>
      <c r="D1367">
        <v>128.9</v>
      </c>
      <c r="E1367">
        <v>131.01</v>
      </c>
      <c r="F1367">
        <v>126.84</v>
      </c>
      <c r="G1367">
        <v>129.12</v>
      </c>
      <c r="H1367">
        <v>123.17</v>
      </c>
      <c r="K1367" s="9">
        <f t="shared" si="82"/>
        <v>-0.15999999999999659</v>
      </c>
      <c r="L1367">
        <f t="shared" si="77"/>
        <v>-0.12000000000000455</v>
      </c>
      <c r="M1367">
        <f t="shared" si="78"/>
        <v>-0.16999999999998749</v>
      </c>
      <c r="N1367">
        <f t="shared" si="79"/>
        <v>-6.0000000000002274E-2</v>
      </c>
      <c r="O1367">
        <f t="shared" si="80"/>
        <v>-0.17000000000001592</v>
      </c>
      <c r="P1367" s="10">
        <f t="shared" si="81"/>
        <v>-0.21999999999999886</v>
      </c>
    </row>
    <row r="1368" spans="1:16">
      <c r="A1368">
        <v>336.75</v>
      </c>
      <c r="B1368">
        <v>123.12</v>
      </c>
      <c r="C1368">
        <v>124.51</v>
      </c>
      <c r="D1368">
        <v>128.78</v>
      </c>
      <c r="E1368">
        <v>131.01</v>
      </c>
      <c r="F1368">
        <v>126.84</v>
      </c>
      <c r="G1368">
        <v>129.01</v>
      </c>
      <c r="H1368">
        <v>123.12</v>
      </c>
      <c r="K1368" s="9">
        <f t="shared" si="82"/>
        <v>-0.10999999999999943</v>
      </c>
      <c r="L1368">
        <f t="shared" si="77"/>
        <v>6.0000000000002274E-2</v>
      </c>
      <c r="M1368">
        <f t="shared" si="78"/>
        <v>-0.16999999999998749</v>
      </c>
      <c r="N1368">
        <f t="shared" si="79"/>
        <v>-6.0000000000002274E-2</v>
      </c>
      <c r="O1368">
        <f t="shared" si="80"/>
        <v>-6.0000000000002274E-2</v>
      </c>
      <c r="P1368" s="10">
        <f t="shared" si="81"/>
        <v>4.9999999999997158E-2</v>
      </c>
    </row>
    <row r="1369" spans="1:16">
      <c r="A1369">
        <v>337</v>
      </c>
      <c r="B1369">
        <v>123.12</v>
      </c>
      <c r="C1369">
        <v>124.45</v>
      </c>
      <c r="D1369">
        <v>128.84</v>
      </c>
      <c r="E1369">
        <v>130.9</v>
      </c>
      <c r="F1369">
        <v>126.9</v>
      </c>
      <c r="G1369">
        <v>129.06</v>
      </c>
      <c r="H1369">
        <v>123.01</v>
      </c>
      <c r="K1369" s="9">
        <f t="shared" si="82"/>
        <v>0</v>
      </c>
      <c r="L1369">
        <f t="shared" si="77"/>
        <v>-6.0000000000002274E-2</v>
      </c>
      <c r="M1369">
        <f t="shared" si="78"/>
        <v>-0.12000000000000455</v>
      </c>
      <c r="N1369">
        <f t="shared" si="79"/>
        <v>-0.17000000000000171</v>
      </c>
      <c r="O1369">
        <f t="shared" si="80"/>
        <v>-0.28000000000000114</v>
      </c>
      <c r="P1369" s="10">
        <f t="shared" si="81"/>
        <v>0.15999999999999659</v>
      </c>
    </row>
    <row r="1370" spans="1:16">
      <c r="A1370">
        <v>337.25</v>
      </c>
      <c r="B1370">
        <v>123.17</v>
      </c>
      <c r="C1370">
        <v>124.51</v>
      </c>
      <c r="D1370">
        <v>128.78</v>
      </c>
      <c r="E1370">
        <v>130.84</v>
      </c>
      <c r="F1370">
        <v>126.78</v>
      </c>
      <c r="G1370">
        <v>128.94999999999999</v>
      </c>
      <c r="H1370">
        <v>122.95</v>
      </c>
      <c r="K1370" s="9">
        <f t="shared" si="82"/>
        <v>-0.10999999999999943</v>
      </c>
      <c r="L1370">
        <f t="shared" si="77"/>
        <v>-5.0000000000011369E-2</v>
      </c>
      <c r="M1370">
        <f t="shared" si="78"/>
        <v>0</v>
      </c>
      <c r="N1370">
        <f t="shared" si="79"/>
        <v>-4.9999999999997158E-2</v>
      </c>
      <c r="O1370">
        <f t="shared" si="80"/>
        <v>-0.10999999999998522</v>
      </c>
      <c r="P1370" s="10">
        <f t="shared" si="81"/>
        <v>0.17000000000000171</v>
      </c>
    </row>
    <row r="1371" spans="1:16">
      <c r="A1371">
        <v>337.5</v>
      </c>
      <c r="B1371">
        <v>123.06</v>
      </c>
      <c r="C1371">
        <v>124.4</v>
      </c>
      <c r="D1371">
        <v>128.84</v>
      </c>
      <c r="E1371">
        <v>130.84</v>
      </c>
      <c r="F1371">
        <v>126.78</v>
      </c>
      <c r="G1371">
        <v>128.94999999999999</v>
      </c>
      <c r="H1371">
        <v>123.17</v>
      </c>
      <c r="K1371" s="9">
        <f t="shared" si="82"/>
        <v>-6.0000000000002274E-2</v>
      </c>
      <c r="L1371">
        <f t="shared" si="77"/>
        <v>-0.17000000000001592</v>
      </c>
      <c r="M1371">
        <f t="shared" si="78"/>
        <v>-0.11000000000001364</v>
      </c>
      <c r="N1371">
        <f t="shared" si="79"/>
        <v>-0.10999999999999943</v>
      </c>
      <c r="O1371">
        <f t="shared" si="80"/>
        <v>-0.32999999999998408</v>
      </c>
      <c r="P1371" s="10">
        <f t="shared" si="81"/>
        <v>-0.21999999999999886</v>
      </c>
    </row>
    <row r="1372" spans="1:16">
      <c r="A1372">
        <v>337.75</v>
      </c>
      <c r="B1372">
        <v>123.01</v>
      </c>
      <c r="C1372">
        <v>124.45</v>
      </c>
      <c r="D1372">
        <v>128.78</v>
      </c>
      <c r="E1372">
        <v>130.78</v>
      </c>
      <c r="F1372">
        <v>126.73</v>
      </c>
      <c r="G1372">
        <v>128.78</v>
      </c>
      <c r="H1372">
        <v>123.17</v>
      </c>
      <c r="K1372" s="9">
        <f t="shared" si="82"/>
        <v>-0.10999999999999943</v>
      </c>
      <c r="L1372">
        <f t="shared" si="77"/>
        <v>-0.21999999999999886</v>
      </c>
      <c r="M1372">
        <f t="shared" si="78"/>
        <v>-0.11000000000001364</v>
      </c>
      <c r="N1372">
        <f t="shared" si="79"/>
        <v>-6.0000000000002274E-2</v>
      </c>
      <c r="O1372">
        <f t="shared" si="80"/>
        <v>-0.43999999999999773</v>
      </c>
      <c r="P1372" s="10">
        <f t="shared" si="81"/>
        <v>-0.10999999999999943</v>
      </c>
    </row>
    <row r="1373" spans="1:16">
      <c r="A1373">
        <v>338</v>
      </c>
      <c r="B1373">
        <v>122.73</v>
      </c>
      <c r="C1373">
        <v>124.4</v>
      </c>
      <c r="D1373">
        <v>128.72999999999999</v>
      </c>
      <c r="E1373">
        <v>130.84</v>
      </c>
      <c r="F1373">
        <v>126.73</v>
      </c>
      <c r="G1373">
        <v>128.84</v>
      </c>
      <c r="H1373">
        <v>123.12</v>
      </c>
      <c r="K1373" s="9">
        <f t="shared" si="82"/>
        <v>-0.12000000000000455</v>
      </c>
      <c r="L1373">
        <f t="shared" si="77"/>
        <v>-0.21999999999999886</v>
      </c>
      <c r="M1373">
        <f t="shared" si="78"/>
        <v>-0.21999999999999886</v>
      </c>
      <c r="N1373">
        <f t="shared" si="79"/>
        <v>-0.10999999999999943</v>
      </c>
      <c r="O1373">
        <f t="shared" si="80"/>
        <v>-0.43999999999999773</v>
      </c>
      <c r="P1373" s="10">
        <f t="shared" si="81"/>
        <v>4.9999999999997158E-2</v>
      </c>
    </row>
    <row r="1374" spans="1:16">
      <c r="A1374">
        <v>338.25</v>
      </c>
      <c r="B1374">
        <v>122.73</v>
      </c>
      <c r="C1374">
        <v>124.34</v>
      </c>
      <c r="D1374">
        <v>128.66999999999999</v>
      </c>
      <c r="E1374">
        <v>130.72999999999999</v>
      </c>
      <c r="F1374">
        <v>126.67</v>
      </c>
      <c r="G1374">
        <v>128.62</v>
      </c>
      <c r="H1374">
        <v>122.95</v>
      </c>
      <c r="K1374" s="9">
        <f t="shared" si="82"/>
        <v>-6.0000000000002274E-2</v>
      </c>
      <c r="L1374">
        <f t="shared" si="77"/>
        <v>-0.10999999999998522</v>
      </c>
      <c r="M1374">
        <f t="shared" si="78"/>
        <v>-6.0000000000002274E-2</v>
      </c>
      <c r="N1374">
        <f t="shared" si="79"/>
        <v>-0.10999999999999943</v>
      </c>
      <c r="O1374">
        <f t="shared" si="80"/>
        <v>-0.21999999999999886</v>
      </c>
      <c r="P1374" s="10">
        <f t="shared" si="81"/>
        <v>0.32999999999999829</v>
      </c>
    </row>
    <row r="1375" spans="1:16">
      <c r="A1375">
        <v>338.5</v>
      </c>
      <c r="B1375">
        <v>122.62</v>
      </c>
      <c r="C1375">
        <v>124.34</v>
      </c>
      <c r="D1375">
        <v>128.56</v>
      </c>
      <c r="E1375">
        <v>130.66999999999999</v>
      </c>
      <c r="F1375">
        <v>126.67</v>
      </c>
      <c r="G1375">
        <v>128.34</v>
      </c>
      <c r="H1375">
        <v>123.06</v>
      </c>
      <c r="K1375" s="9">
        <f t="shared" si="82"/>
        <v>-6.0000000000002274E-2</v>
      </c>
      <c r="L1375">
        <f t="shared" si="77"/>
        <v>-0.15999999999999659</v>
      </c>
      <c r="M1375">
        <f t="shared" si="78"/>
        <v>-0.10999999999998522</v>
      </c>
      <c r="N1375">
        <f t="shared" si="79"/>
        <v>-0.10999999999999943</v>
      </c>
      <c r="O1375">
        <f t="shared" si="80"/>
        <v>-6.0000000000002274E-2</v>
      </c>
      <c r="P1375" s="10">
        <f t="shared" si="81"/>
        <v>0.21999999999999886</v>
      </c>
    </row>
    <row r="1376" spans="1:16">
      <c r="A1376">
        <v>338.75</v>
      </c>
      <c r="B1376">
        <v>122.56</v>
      </c>
      <c r="C1376">
        <v>124.28</v>
      </c>
      <c r="D1376">
        <v>128.51</v>
      </c>
      <c r="E1376">
        <v>130.62</v>
      </c>
      <c r="F1376">
        <v>126.62</v>
      </c>
      <c r="G1376">
        <v>128.4</v>
      </c>
      <c r="H1376">
        <v>123.17</v>
      </c>
      <c r="K1376" s="9">
        <f t="shared" si="82"/>
        <v>-4.9999999999997158E-2</v>
      </c>
      <c r="L1376">
        <f t="shared" si="77"/>
        <v>-0.10999999999998522</v>
      </c>
      <c r="M1376">
        <f t="shared" si="78"/>
        <v>-0.11000000000001364</v>
      </c>
      <c r="N1376">
        <f t="shared" si="79"/>
        <v>-0.10999999999999943</v>
      </c>
      <c r="O1376">
        <f t="shared" si="80"/>
        <v>-0.17000000000001592</v>
      </c>
      <c r="P1376" s="10">
        <f t="shared" si="81"/>
        <v>0.17000000000000171</v>
      </c>
    </row>
    <row r="1377" spans="1:16">
      <c r="A1377">
        <v>339</v>
      </c>
      <c r="B1377">
        <v>122.56</v>
      </c>
      <c r="C1377">
        <v>124.28</v>
      </c>
      <c r="D1377">
        <v>128.56</v>
      </c>
      <c r="E1377">
        <v>130.66999999999999</v>
      </c>
      <c r="F1377">
        <v>126.56</v>
      </c>
      <c r="G1377">
        <v>128.4</v>
      </c>
      <c r="H1377">
        <v>123.28</v>
      </c>
      <c r="K1377" s="9">
        <f t="shared" si="82"/>
        <v>-0.10999999999999943</v>
      </c>
      <c r="L1377">
        <f t="shared" si="77"/>
        <v>-0.28000000000000114</v>
      </c>
      <c r="M1377">
        <f t="shared" si="78"/>
        <v>-0.21999999999999886</v>
      </c>
      <c r="N1377">
        <f t="shared" si="79"/>
        <v>-4.9999999999997158E-2</v>
      </c>
      <c r="O1377">
        <f t="shared" si="80"/>
        <v>-0.17000000000001592</v>
      </c>
      <c r="P1377" s="10">
        <f t="shared" si="81"/>
        <v>0.12000000000000455</v>
      </c>
    </row>
    <row r="1378" spans="1:16">
      <c r="A1378">
        <v>339.25</v>
      </c>
      <c r="B1378">
        <v>122.62</v>
      </c>
      <c r="C1378">
        <v>124.28</v>
      </c>
      <c r="D1378">
        <v>128.4</v>
      </c>
      <c r="E1378">
        <v>130.56</v>
      </c>
      <c r="F1378">
        <v>126.56</v>
      </c>
      <c r="G1378">
        <v>128.28</v>
      </c>
      <c r="H1378">
        <v>123.28</v>
      </c>
      <c r="K1378" s="9">
        <f t="shared" si="82"/>
        <v>-0.15999999999999659</v>
      </c>
      <c r="L1378">
        <f t="shared" si="77"/>
        <v>-0.12000000000000455</v>
      </c>
      <c r="M1378">
        <f t="shared" si="78"/>
        <v>-0.15999999999999659</v>
      </c>
      <c r="N1378">
        <f t="shared" si="79"/>
        <v>-0.10999999999999943</v>
      </c>
      <c r="O1378">
        <f t="shared" si="80"/>
        <v>-0.11000000000001364</v>
      </c>
      <c r="P1378" s="10">
        <f t="shared" si="81"/>
        <v>0.12000000000000455</v>
      </c>
    </row>
    <row r="1379" spans="1:16">
      <c r="A1379">
        <v>339.5</v>
      </c>
      <c r="B1379">
        <v>122.62</v>
      </c>
      <c r="C1379">
        <v>124.23</v>
      </c>
      <c r="D1379">
        <v>128.4</v>
      </c>
      <c r="E1379">
        <v>130.51</v>
      </c>
      <c r="F1379">
        <v>126.51</v>
      </c>
      <c r="G1379">
        <v>128.22999999999999</v>
      </c>
      <c r="H1379">
        <v>123.34</v>
      </c>
      <c r="K1379" s="9">
        <f t="shared" si="82"/>
        <v>-0.10999999999999943</v>
      </c>
      <c r="L1379">
        <f t="shared" si="77"/>
        <v>-0.17000000000001592</v>
      </c>
      <c r="M1379">
        <f t="shared" si="78"/>
        <v>-0.10999999999998522</v>
      </c>
      <c r="N1379">
        <f t="shared" si="79"/>
        <v>-6.0000000000002274E-2</v>
      </c>
      <c r="O1379">
        <f t="shared" si="80"/>
        <v>-0.16999999999998749</v>
      </c>
      <c r="P1379" s="10">
        <f t="shared" si="81"/>
        <v>-6.0000000000002274E-2</v>
      </c>
    </row>
    <row r="1380" spans="1:16">
      <c r="A1380">
        <v>339.75</v>
      </c>
      <c r="B1380">
        <v>122.62</v>
      </c>
      <c r="C1380">
        <v>124.17</v>
      </c>
      <c r="D1380">
        <v>128.28</v>
      </c>
      <c r="E1380">
        <v>130.44999999999999</v>
      </c>
      <c r="F1380">
        <v>126.51</v>
      </c>
      <c r="G1380">
        <v>128.22999999999999</v>
      </c>
      <c r="H1380">
        <v>123.4</v>
      </c>
      <c r="K1380" s="9">
        <f t="shared" si="82"/>
        <v>-4.9999999999997158E-2</v>
      </c>
      <c r="L1380">
        <f t="shared" si="77"/>
        <v>6.0000000000002274E-2</v>
      </c>
      <c r="M1380">
        <f t="shared" si="78"/>
        <v>-0.10999999999998522</v>
      </c>
      <c r="N1380">
        <f t="shared" si="79"/>
        <v>-0.17000000000000171</v>
      </c>
      <c r="O1380">
        <f t="shared" si="80"/>
        <v>-0.10999999999998522</v>
      </c>
      <c r="P1380" s="10">
        <f t="shared" si="81"/>
        <v>-0.12000000000000455</v>
      </c>
    </row>
    <row r="1381" spans="1:16">
      <c r="A1381">
        <v>340</v>
      </c>
      <c r="B1381">
        <v>122.56</v>
      </c>
      <c r="C1381">
        <v>124.12</v>
      </c>
      <c r="D1381">
        <v>128.28</v>
      </c>
      <c r="E1381">
        <v>130.4</v>
      </c>
      <c r="F1381">
        <v>126.45</v>
      </c>
      <c r="G1381">
        <v>128.16999999999999</v>
      </c>
      <c r="H1381">
        <v>123.4</v>
      </c>
      <c r="K1381" s="9">
        <f t="shared" si="82"/>
        <v>-6.0000000000002274E-2</v>
      </c>
      <c r="L1381">
        <f t="shared" si="77"/>
        <v>0</v>
      </c>
      <c r="M1381">
        <f t="shared" si="78"/>
        <v>-6.0000000000002274E-2</v>
      </c>
      <c r="N1381">
        <f t="shared" si="79"/>
        <v>-0.10999999999999943</v>
      </c>
      <c r="O1381">
        <f t="shared" si="80"/>
        <v>-4.9999999999982947E-2</v>
      </c>
      <c r="P1381" s="10">
        <f t="shared" si="81"/>
        <v>-0.12000000000000455</v>
      </c>
    </row>
    <row r="1382" spans="1:16">
      <c r="A1382">
        <v>340.25</v>
      </c>
      <c r="B1382">
        <v>122.56</v>
      </c>
      <c r="C1382">
        <v>124.12</v>
      </c>
      <c r="D1382">
        <v>128.22999999999999</v>
      </c>
      <c r="E1382">
        <v>130.4</v>
      </c>
      <c r="F1382">
        <v>126.45</v>
      </c>
      <c r="G1382">
        <v>128.06</v>
      </c>
      <c r="H1382">
        <v>123.28</v>
      </c>
      <c r="K1382" s="9">
        <f t="shared" si="82"/>
        <v>-0.17000000000000171</v>
      </c>
      <c r="L1382">
        <f t="shared" si="77"/>
        <v>0.11000000000001364</v>
      </c>
      <c r="M1382">
        <f t="shared" si="78"/>
        <v>-0.17000000000001592</v>
      </c>
      <c r="N1382">
        <f t="shared" si="79"/>
        <v>-4.9999999999997158E-2</v>
      </c>
      <c r="O1382">
        <f t="shared" si="80"/>
        <v>-5.0000000000011369E-2</v>
      </c>
      <c r="P1382" s="10">
        <f t="shared" si="81"/>
        <v>-0.10999999999999943</v>
      </c>
    </row>
    <row r="1383" spans="1:16">
      <c r="A1383">
        <v>340.5</v>
      </c>
      <c r="B1383">
        <v>122.56</v>
      </c>
      <c r="C1383">
        <v>124.12</v>
      </c>
      <c r="D1383">
        <v>128.34</v>
      </c>
      <c r="E1383">
        <v>130.34</v>
      </c>
      <c r="F1383">
        <v>126.34</v>
      </c>
      <c r="G1383">
        <v>128.12</v>
      </c>
      <c r="H1383">
        <v>123.28</v>
      </c>
      <c r="K1383" s="9">
        <f t="shared" si="82"/>
        <v>-0.10999999999999943</v>
      </c>
      <c r="L1383">
        <f t="shared" si="77"/>
        <v>-0.11000000000001364</v>
      </c>
      <c r="M1383">
        <f t="shared" si="78"/>
        <v>-0.11000000000001364</v>
      </c>
      <c r="N1383">
        <f t="shared" si="79"/>
        <v>-6.0000000000002274E-2</v>
      </c>
      <c r="O1383">
        <f t="shared" si="80"/>
        <v>-6.0000000000002274E-2</v>
      </c>
      <c r="P1383" s="10">
        <f t="shared" si="81"/>
        <v>-0.10999999999999943</v>
      </c>
    </row>
    <row r="1384" spans="1:16">
      <c r="A1384">
        <v>340.75</v>
      </c>
      <c r="B1384">
        <v>122.34</v>
      </c>
      <c r="C1384">
        <v>124.06</v>
      </c>
      <c r="D1384">
        <v>128.28</v>
      </c>
      <c r="E1384">
        <v>130.34</v>
      </c>
      <c r="F1384">
        <v>126.34</v>
      </c>
      <c r="G1384">
        <v>128.12</v>
      </c>
      <c r="H1384">
        <v>123.28</v>
      </c>
      <c r="K1384" s="9">
        <f t="shared" si="82"/>
        <v>-0.21999999999999886</v>
      </c>
      <c r="L1384">
        <f t="shared" si="77"/>
        <v>-5.0000000000011369E-2</v>
      </c>
      <c r="M1384">
        <f t="shared" si="78"/>
        <v>-0.11000000000001364</v>
      </c>
      <c r="N1384">
        <f t="shared" si="79"/>
        <v>-0.10999999999999943</v>
      </c>
      <c r="O1384">
        <f t="shared" si="80"/>
        <v>-0.11000000000001364</v>
      </c>
      <c r="P1384" s="10">
        <f t="shared" si="81"/>
        <v>-4.9999999999997158E-2</v>
      </c>
    </row>
    <row r="1385" spans="1:16">
      <c r="A1385">
        <v>341</v>
      </c>
      <c r="B1385">
        <v>122.12</v>
      </c>
      <c r="C1385">
        <v>123.95</v>
      </c>
      <c r="D1385">
        <v>128.34</v>
      </c>
      <c r="E1385">
        <v>130.22999999999999</v>
      </c>
      <c r="F1385">
        <v>126.4</v>
      </c>
      <c r="G1385">
        <v>128.01</v>
      </c>
      <c r="H1385">
        <v>123.17</v>
      </c>
      <c r="K1385" s="9">
        <f t="shared" si="82"/>
        <v>0</v>
      </c>
      <c r="L1385">
        <f t="shared" si="77"/>
        <v>-0.11000000000001364</v>
      </c>
      <c r="M1385">
        <f t="shared" si="78"/>
        <v>-6.0000000000002274E-2</v>
      </c>
      <c r="N1385">
        <f t="shared" si="79"/>
        <v>-0.17000000000000171</v>
      </c>
      <c r="O1385">
        <f t="shared" si="80"/>
        <v>-0.16999999999998749</v>
      </c>
      <c r="P1385" s="10">
        <f t="shared" si="81"/>
        <v>0</v>
      </c>
    </row>
    <row r="1386" spans="1:16">
      <c r="A1386">
        <v>341.25</v>
      </c>
      <c r="B1386">
        <v>122.12</v>
      </c>
      <c r="C1386">
        <v>124.01</v>
      </c>
      <c r="D1386">
        <v>128.22999999999999</v>
      </c>
      <c r="E1386">
        <v>130.22999999999999</v>
      </c>
      <c r="F1386">
        <v>126.28</v>
      </c>
      <c r="G1386">
        <v>128.06</v>
      </c>
      <c r="H1386">
        <v>123.17</v>
      </c>
      <c r="K1386" s="9">
        <f t="shared" si="82"/>
        <v>-0.23000000000000398</v>
      </c>
      <c r="L1386">
        <f t="shared" si="77"/>
        <v>-6.0000000000002274E-2</v>
      </c>
      <c r="M1386">
        <f t="shared" si="78"/>
        <v>-6.0000000000002274E-2</v>
      </c>
      <c r="N1386">
        <f t="shared" si="79"/>
        <v>-0.15999999999999659</v>
      </c>
      <c r="O1386">
        <f t="shared" si="80"/>
        <v>-0.21999999999999886</v>
      </c>
      <c r="P1386" s="10">
        <f t="shared" si="81"/>
        <v>0</v>
      </c>
    </row>
    <row r="1387" spans="1:16">
      <c r="A1387">
        <v>341.5</v>
      </c>
      <c r="B1387">
        <v>122.06</v>
      </c>
      <c r="C1387">
        <v>123.84</v>
      </c>
      <c r="D1387">
        <v>128.22999999999999</v>
      </c>
      <c r="E1387">
        <v>130.22999999999999</v>
      </c>
      <c r="F1387">
        <v>126.23</v>
      </c>
      <c r="G1387">
        <v>128.01</v>
      </c>
      <c r="H1387">
        <v>123.23</v>
      </c>
      <c r="K1387" s="9">
        <f t="shared" si="82"/>
        <v>-0.10999999999999943</v>
      </c>
      <c r="L1387">
        <f t="shared" si="77"/>
        <v>0</v>
      </c>
      <c r="M1387">
        <f t="shared" si="78"/>
        <v>-0.16999999999998749</v>
      </c>
      <c r="N1387">
        <f t="shared" si="79"/>
        <v>-0.17000000000000171</v>
      </c>
      <c r="O1387">
        <f t="shared" si="80"/>
        <v>-0.16999999999998749</v>
      </c>
      <c r="P1387" s="10">
        <f t="shared" si="81"/>
        <v>-6.0000000000002274E-2</v>
      </c>
    </row>
    <row r="1388" spans="1:16">
      <c r="A1388">
        <v>341.75</v>
      </c>
      <c r="B1388">
        <v>122.12</v>
      </c>
      <c r="C1388">
        <v>123.95</v>
      </c>
      <c r="D1388">
        <v>128.22999999999999</v>
      </c>
      <c r="E1388">
        <v>130.16999999999999</v>
      </c>
      <c r="F1388">
        <v>126.23</v>
      </c>
      <c r="G1388">
        <v>127.84</v>
      </c>
      <c r="H1388">
        <v>123.17</v>
      </c>
      <c r="K1388" s="9">
        <f t="shared" si="82"/>
        <v>-0.21999999999999886</v>
      </c>
      <c r="L1388">
        <f t="shared" si="77"/>
        <v>0</v>
      </c>
      <c r="M1388">
        <f t="shared" si="78"/>
        <v>-0.10999999999998522</v>
      </c>
      <c r="N1388">
        <f t="shared" si="79"/>
        <v>-0.21999999999999886</v>
      </c>
      <c r="O1388">
        <f t="shared" si="80"/>
        <v>-6.0000000000002274E-2</v>
      </c>
      <c r="P1388" s="10">
        <f t="shared" si="81"/>
        <v>-0.10999999999999943</v>
      </c>
    </row>
    <row r="1389" spans="1:16">
      <c r="A1389">
        <v>342</v>
      </c>
      <c r="B1389">
        <v>122.12</v>
      </c>
      <c r="C1389">
        <v>123.78</v>
      </c>
      <c r="D1389">
        <v>128.16999999999999</v>
      </c>
      <c r="E1389">
        <v>130.16999999999999</v>
      </c>
      <c r="F1389">
        <v>126.12</v>
      </c>
      <c r="G1389">
        <v>127.84</v>
      </c>
      <c r="H1389">
        <v>123.17</v>
      </c>
      <c r="K1389" s="9">
        <f t="shared" si="82"/>
        <v>-0.15999999999999659</v>
      </c>
      <c r="L1389">
        <f t="shared" si="77"/>
        <v>0</v>
      </c>
      <c r="M1389">
        <f t="shared" si="78"/>
        <v>-0.21999999999999886</v>
      </c>
      <c r="N1389">
        <f t="shared" si="79"/>
        <v>-0.10999999999999943</v>
      </c>
      <c r="O1389">
        <f t="shared" si="80"/>
        <v>-0.17000000000000171</v>
      </c>
      <c r="P1389" s="10">
        <f t="shared" si="81"/>
        <v>0</v>
      </c>
    </row>
    <row r="1390" spans="1:16">
      <c r="A1390">
        <v>342.25</v>
      </c>
      <c r="B1390">
        <v>122.12</v>
      </c>
      <c r="C1390">
        <v>123.73</v>
      </c>
      <c r="D1390">
        <v>128.22999999999999</v>
      </c>
      <c r="E1390">
        <v>130.06</v>
      </c>
      <c r="F1390">
        <v>126.06</v>
      </c>
      <c r="G1390">
        <v>127.84</v>
      </c>
      <c r="H1390">
        <v>123.17</v>
      </c>
      <c r="K1390" s="9">
        <f t="shared" si="82"/>
        <v>-0.17000000000000171</v>
      </c>
      <c r="L1390">
        <f t="shared" si="77"/>
        <v>-6.0000000000002274E-2</v>
      </c>
      <c r="M1390">
        <f t="shared" si="78"/>
        <v>-0.11000000000001364</v>
      </c>
      <c r="N1390">
        <f t="shared" si="79"/>
        <v>-0.15999999999999659</v>
      </c>
      <c r="O1390">
        <f t="shared" si="80"/>
        <v>-0.17000000000000171</v>
      </c>
      <c r="P1390" s="10">
        <f t="shared" si="81"/>
        <v>0</v>
      </c>
    </row>
    <row r="1391" spans="1:16">
      <c r="A1391">
        <v>342.5</v>
      </c>
      <c r="B1391">
        <v>122.06</v>
      </c>
      <c r="C1391">
        <v>123.73</v>
      </c>
      <c r="D1391">
        <v>128.22999999999999</v>
      </c>
      <c r="E1391">
        <v>130.06</v>
      </c>
      <c r="F1391">
        <v>126.01</v>
      </c>
      <c r="G1391">
        <v>127.78</v>
      </c>
      <c r="H1391">
        <v>123.06</v>
      </c>
      <c r="K1391" s="9">
        <f t="shared" si="82"/>
        <v>-0.10999999999999943</v>
      </c>
      <c r="L1391">
        <f t="shared" si="77"/>
        <v>-6.0000000000002274E-2</v>
      </c>
      <c r="M1391">
        <f t="shared" si="78"/>
        <v>-0.11000000000001364</v>
      </c>
      <c r="N1391">
        <f t="shared" si="79"/>
        <v>-6.0000000000002274E-2</v>
      </c>
      <c r="O1391">
        <f t="shared" si="80"/>
        <v>-0.15999999999999659</v>
      </c>
      <c r="P1391" s="10">
        <f t="shared" si="81"/>
        <v>0.17000000000000171</v>
      </c>
    </row>
    <row r="1392" spans="1:16">
      <c r="A1392">
        <v>342.75</v>
      </c>
      <c r="B1392">
        <v>121.95</v>
      </c>
      <c r="C1392">
        <v>123.62</v>
      </c>
      <c r="D1392">
        <v>128.16999999999999</v>
      </c>
      <c r="E1392">
        <v>129.94999999999999</v>
      </c>
      <c r="F1392">
        <v>126.01</v>
      </c>
      <c r="G1392">
        <v>127.67</v>
      </c>
      <c r="H1392">
        <v>123.17</v>
      </c>
      <c r="K1392" s="9">
        <f t="shared" si="82"/>
        <v>-0.10999999999999943</v>
      </c>
      <c r="L1392">
        <f t="shared" si="77"/>
        <v>0</v>
      </c>
      <c r="M1392">
        <f t="shared" si="78"/>
        <v>-4.9999999999982947E-2</v>
      </c>
      <c r="N1392">
        <f t="shared" si="79"/>
        <v>-0.10999999999999943</v>
      </c>
      <c r="O1392">
        <f t="shared" si="80"/>
        <v>-0.10999999999999943</v>
      </c>
      <c r="P1392" s="10">
        <f t="shared" si="81"/>
        <v>-4.9999999999997158E-2</v>
      </c>
    </row>
    <row r="1393" spans="1:16">
      <c r="A1393">
        <v>343</v>
      </c>
      <c r="B1393">
        <v>121.95</v>
      </c>
      <c r="C1393">
        <v>123.56</v>
      </c>
      <c r="D1393">
        <v>128.16999999999999</v>
      </c>
      <c r="E1393">
        <v>129.94999999999999</v>
      </c>
      <c r="F1393">
        <v>125.9</v>
      </c>
      <c r="G1393">
        <v>127.67</v>
      </c>
      <c r="H1393">
        <v>123.17</v>
      </c>
      <c r="K1393" s="9">
        <f t="shared" si="82"/>
        <v>0</v>
      </c>
      <c r="L1393">
        <f t="shared" si="77"/>
        <v>0</v>
      </c>
      <c r="M1393">
        <f t="shared" si="78"/>
        <v>-4.9999999999982947E-2</v>
      </c>
      <c r="N1393">
        <f t="shared" si="79"/>
        <v>-0.12000000000000455</v>
      </c>
      <c r="O1393">
        <f t="shared" si="80"/>
        <v>-0.10999999999999943</v>
      </c>
      <c r="P1393" s="10">
        <f t="shared" si="81"/>
        <v>-0.15999999999999659</v>
      </c>
    </row>
    <row r="1394" spans="1:16">
      <c r="A1394">
        <v>343.25</v>
      </c>
      <c r="B1394">
        <v>122.01</v>
      </c>
      <c r="C1394">
        <v>123.62</v>
      </c>
      <c r="D1394">
        <v>128.16999999999999</v>
      </c>
      <c r="E1394">
        <v>129.94999999999999</v>
      </c>
      <c r="F1394">
        <v>125.95</v>
      </c>
      <c r="G1394">
        <v>127.62</v>
      </c>
      <c r="H1394">
        <v>123.23</v>
      </c>
      <c r="K1394" s="9">
        <f t="shared" si="82"/>
        <v>-0.17000000000000171</v>
      </c>
      <c r="L1394">
        <f t="shared" si="77"/>
        <v>-4.9999999999982947E-2</v>
      </c>
      <c r="M1394">
        <f t="shared" si="78"/>
        <v>-0.16999999999998749</v>
      </c>
      <c r="N1394">
        <f t="shared" si="79"/>
        <v>-0.17000000000000171</v>
      </c>
      <c r="O1394">
        <f t="shared" si="80"/>
        <v>-6.0000000000002274E-2</v>
      </c>
      <c r="P1394" s="10">
        <f t="shared" si="81"/>
        <v>-0.28000000000000114</v>
      </c>
    </row>
    <row r="1395" spans="1:16">
      <c r="A1395">
        <v>343.5</v>
      </c>
      <c r="B1395">
        <v>121.95</v>
      </c>
      <c r="C1395">
        <v>123.51</v>
      </c>
      <c r="D1395">
        <v>128.16999999999999</v>
      </c>
      <c r="E1395">
        <v>129.9</v>
      </c>
      <c r="F1395">
        <v>125.9</v>
      </c>
      <c r="G1395">
        <v>127.56</v>
      </c>
      <c r="H1395">
        <v>123.12</v>
      </c>
      <c r="K1395" s="9">
        <f t="shared" si="82"/>
        <v>4.9999999999997158E-2</v>
      </c>
      <c r="L1395">
        <f t="shared" si="77"/>
        <v>0</v>
      </c>
      <c r="M1395">
        <f t="shared" si="78"/>
        <v>-6.0000000000002274E-2</v>
      </c>
      <c r="N1395">
        <f t="shared" si="79"/>
        <v>-0.17000000000000171</v>
      </c>
      <c r="O1395">
        <f t="shared" si="80"/>
        <v>-4.9999999999997158E-2</v>
      </c>
      <c r="P1395" s="10">
        <f t="shared" si="81"/>
        <v>0</v>
      </c>
    </row>
    <row r="1396" spans="1:16">
      <c r="A1396">
        <v>343.75</v>
      </c>
      <c r="B1396">
        <v>121.78</v>
      </c>
      <c r="C1396">
        <v>123.56</v>
      </c>
      <c r="D1396">
        <v>128.16999999999999</v>
      </c>
      <c r="E1396">
        <v>129.9</v>
      </c>
      <c r="F1396">
        <v>125.78</v>
      </c>
      <c r="G1396">
        <v>127.56</v>
      </c>
      <c r="H1396">
        <v>123.01</v>
      </c>
      <c r="K1396" s="9">
        <f t="shared" si="82"/>
        <v>-0.15999999999999659</v>
      </c>
      <c r="L1396">
        <f t="shared" si="77"/>
        <v>6.0000000000002274E-2</v>
      </c>
      <c r="M1396">
        <f t="shared" si="78"/>
        <v>-0.12000000000000455</v>
      </c>
      <c r="N1396">
        <f t="shared" si="79"/>
        <v>-0.10999999999999943</v>
      </c>
      <c r="O1396">
        <f t="shared" si="80"/>
        <v>-0.15999999999999659</v>
      </c>
      <c r="P1396" s="10">
        <f t="shared" si="81"/>
        <v>0.15999999999999659</v>
      </c>
    </row>
    <row r="1397" spans="1:16">
      <c r="A1397">
        <v>344</v>
      </c>
      <c r="B1397">
        <v>121.73</v>
      </c>
      <c r="C1397">
        <v>123.45</v>
      </c>
      <c r="D1397">
        <v>128.12</v>
      </c>
      <c r="E1397">
        <v>129.78</v>
      </c>
      <c r="F1397">
        <v>125.78</v>
      </c>
      <c r="G1397">
        <v>127.56</v>
      </c>
      <c r="H1397">
        <v>122.95</v>
      </c>
      <c r="K1397" s="9">
        <f t="shared" si="82"/>
        <v>-4.9999999999997158E-2</v>
      </c>
      <c r="L1397">
        <f t="shared" si="77"/>
        <v>0.10999999999998522</v>
      </c>
      <c r="M1397">
        <f t="shared" si="78"/>
        <v>-5.0000000000011369E-2</v>
      </c>
      <c r="N1397">
        <f t="shared" si="79"/>
        <v>-0.10999999999999943</v>
      </c>
      <c r="O1397">
        <f t="shared" si="80"/>
        <v>-0.10999999999999943</v>
      </c>
      <c r="P1397" s="10">
        <f t="shared" si="81"/>
        <v>0.17000000000000171</v>
      </c>
    </row>
    <row r="1398" spans="1:16">
      <c r="A1398">
        <v>344.25</v>
      </c>
      <c r="B1398">
        <v>121.67</v>
      </c>
      <c r="C1398">
        <v>123.56</v>
      </c>
      <c r="D1398">
        <v>128.16999999999999</v>
      </c>
      <c r="E1398">
        <v>129.84</v>
      </c>
      <c r="F1398">
        <v>125.73</v>
      </c>
      <c r="G1398">
        <v>127.51</v>
      </c>
      <c r="H1398">
        <v>123.12</v>
      </c>
      <c r="K1398" s="9">
        <f t="shared" si="82"/>
        <v>-0.15999999999999659</v>
      </c>
      <c r="L1398">
        <f t="shared" si="77"/>
        <v>0</v>
      </c>
      <c r="M1398">
        <f t="shared" si="78"/>
        <v>-0.17000000000001592</v>
      </c>
      <c r="N1398">
        <f t="shared" si="79"/>
        <v>0</v>
      </c>
      <c r="O1398">
        <f t="shared" si="80"/>
        <v>-0.10999999999999943</v>
      </c>
      <c r="P1398" s="10">
        <f t="shared" si="81"/>
        <v>4.9999999999997158E-2</v>
      </c>
    </row>
    <row r="1399" spans="1:16">
      <c r="A1399">
        <v>344.5</v>
      </c>
      <c r="B1399">
        <v>121.67</v>
      </c>
      <c r="C1399">
        <v>123.4</v>
      </c>
      <c r="D1399">
        <v>128.22999999999999</v>
      </c>
      <c r="E1399">
        <v>129.78</v>
      </c>
      <c r="F1399">
        <v>125.67</v>
      </c>
      <c r="G1399">
        <v>127.4</v>
      </c>
      <c r="H1399">
        <v>123.17</v>
      </c>
      <c r="K1399" s="9">
        <f t="shared" si="82"/>
        <v>0</v>
      </c>
      <c r="L1399">
        <f t="shared" si="77"/>
        <v>-6.0000000000002274E-2</v>
      </c>
      <c r="M1399">
        <f t="shared" si="78"/>
        <v>-0.21999999999999886</v>
      </c>
      <c r="N1399">
        <f t="shared" si="79"/>
        <v>-0.10999999999999943</v>
      </c>
      <c r="O1399">
        <f t="shared" si="80"/>
        <v>-6.0000000000002274E-2</v>
      </c>
      <c r="P1399" s="10">
        <f t="shared" si="81"/>
        <v>-4.9999999999997158E-2</v>
      </c>
    </row>
    <row r="1400" spans="1:16">
      <c r="A1400">
        <v>344.75</v>
      </c>
      <c r="B1400">
        <v>121.73</v>
      </c>
      <c r="C1400">
        <v>123.4</v>
      </c>
      <c r="D1400">
        <v>128.22999999999999</v>
      </c>
      <c r="E1400">
        <v>129.72999999999999</v>
      </c>
      <c r="F1400">
        <v>125.67</v>
      </c>
      <c r="G1400">
        <v>127.45</v>
      </c>
      <c r="H1400">
        <v>123.12</v>
      </c>
      <c r="K1400" s="9">
        <f t="shared" si="82"/>
        <v>-6.0000000000002274E-2</v>
      </c>
      <c r="L1400">
        <f t="shared" si="77"/>
        <v>-0.10999999999998522</v>
      </c>
      <c r="M1400">
        <f t="shared" si="78"/>
        <v>-6.0000000000002274E-2</v>
      </c>
      <c r="N1400">
        <f t="shared" si="79"/>
        <v>-4.9999999999997158E-2</v>
      </c>
      <c r="O1400">
        <f t="shared" si="80"/>
        <v>-0.17000000000000171</v>
      </c>
      <c r="P1400" s="10">
        <f t="shared" si="81"/>
        <v>4.9999999999997158E-2</v>
      </c>
    </row>
    <row r="1401" spans="1:16">
      <c r="A1401">
        <v>345</v>
      </c>
      <c r="B1401">
        <v>121.62</v>
      </c>
      <c r="C1401">
        <v>123.4</v>
      </c>
      <c r="D1401">
        <v>128.16999999999999</v>
      </c>
      <c r="E1401">
        <v>129.66999999999999</v>
      </c>
      <c r="F1401">
        <v>125.73</v>
      </c>
      <c r="G1401">
        <v>127.4</v>
      </c>
      <c r="H1401">
        <v>123.17</v>
      </c>
      <c r="K1401" s="9">
        <f t="shared" si="82"/>
        <v>-0.12000000000000455</v>
      </c>
      <c r="L1401">
        <f t="shared" si="77"/>
        <v>-4.9999999999982947E-2</v>
      </c>
      <c r="M1401">
        <f t="shared" si="78"/>
        <v>-4.9999999999982947E-2</v>
      </c>
      <c r="N1401">
        <f t="shared" si="79"/>
        <v>-0.21999999999999886</v>
      </c>
      <c r="O1401">
        <f t="shared" si="80"/>
        <v>-0.12000000000000455</v>
      </c>
      <c r="P1401" s="10">
        <f t="shared" si="81"/>
        <v>-0.10999999999999943</v>
      </c>
    </row>
    <row r="1402" spans="1:16">
      <c r="A1402">
        <v>345.25</v>
      </c>
      <c r="B1402">
        <v>121.73</v>
      </c>
      <c r="C1402">
        <v>123.4</v>
      </c>
      <c r="D1402">
        <v>128.16999999999999</v>
      </c>
      <c r="E1402">
        <v>129.56</v>
      </c>
      <c r="F1402">
        <v>125.56</v>
      </c>
      <c r="G1402">
        <v>127.34</v>
      </c>
      <c r="H1402">
        <v>123.12</v>
      </c>
      <c r="K1402" s="9">
        <f t="shared" si="82"/>
        <v>-6.0000000000002274E-2</v>
      </c>
      <c r="L1402">
        <f t="shared" si="77"/>
        <v>-0.15999999999999659</v>
      </c>
      <c r="M1402">
        <f t="shared" si="78"/>
        <v>-5.0000000000011369E-2</v>
      </c>
      <c r="N1402">
        <f t="shared" si="79"/>
        <v>6.0000000000002274E-2</v>
      </c>
      <c r="O1402">
        <f t="shared" si="80"/>
        <v>-0.17000000000000171</v>
      </c>
      <c r="P1402" s="10">
        <f t="shared" si="81"/>
        <v>4.9999999999997158E-2</v>
      </c>
    </row>
    <row r="1403" spans="1:16">
      <c r="A1403">
        <v>345.5</v>
      </c>
      <c r="B1403">
        <v>121.56</v>
      </c>
      <c r="C1403">
        <v>123.34</v>
      </c>
      <c r="D1403">
        <v>128.12</v>
      </c>
      <c r="E1403">
        <v>129.66999999999999</v>
      </c>
      <c r="F1403">
        <v>125.62</v>
      </c>
      <c r="G1403">
        <v>127.28</v>
      </c>
      <c r="H1403">
        <v>123.17</v>
      </c>
      <c r="K1403" s="9">
        <f t="shared" si="82"/>
        <v>-0.17000000000000171</v>
      </c>
      <c r="L1403">
        <f t="shared" si="77"/>
        <v>-0.17000000000000171</v>
      </c>
      <c r="M1403">
        <f t="shared" si="78"/>
        <v>-0.10999999999998522</v>
      </c>
      <c r="N1403">
        <f t="shared" si="79"/>
        <v>-0.10999999999999943</v>
      </c>
      <c r="O1403">
        <f t="shared" si="80"/>
        <v>-0.10999999999999943</v>
      </c>
      <c r="P1403" s="10">
        <f t="shared" si="81"/>
        <v>0</v>
      </c>
    </row>
    <row r="1404" spans="1:16">
      <c r="A1404">
        <v>345.75</v>
      </c>
      <c r="B1404">
        <v>121.51</v>
      </c>
      <c r="C1404">
        <v>123.28</v>
      </c>
      <c r="D1404">
        <v>128.12</v>
      </c>
      <c r="E1404">
        <v>129.62</v>
      </c>
      <c r="F1404">
        <v>125.51</v>
      </c>
      <c r="G1404">
        <v>127.28</v>
      </c>
      <c r="H1404">
        <v>123.06</v>
      </c>
      <c r="K1404" s="9">
        <f t="shared" si="82"/>
        <v>-4.9999999999997158E-2</v>
      </c>
      <c r="L1404">
        <f t="shared" si="77"/>
        <v>-0.21999999999999886</v>
      </c>
      <c r="M1404">
        <f t="shared" si="78"/>
        <v>-0.11000000000001364</v>
      </c>
      <c r="N1404">
        <f t="shared" si="79"/>
        <v>-6.0000000000002274E-2</v>
      </c>
      <c r="O1404">
        <f t="shared" si="80"/>
        <v>-0.21999999999999886</v>
      </c>
      <c r="P1404" s="10">
        <f t="shared" si="81"/>
        <v>0.17000000000000171</v>
      </c>
    </row>
    <row r="1405" spans="1:16">
      <c r="A1405">
        <v>346</v>
      </c>
      <c r="B1405">
        <v>121.56</v>
      </c>
      <c r="C1405">
        <v>123.34</v>
      </c>
      <c r="D1405">
        <v>128.01</v>
      </c>
      <c r="E1405">
        <v>129.51</v>
      </c>
      <c r="F1405">
        <v>125.62</v>
      </c>
      <c r="G1405">
        <v>127.17</v>
      </c>
      <c r="H1405">
        <v>123.17</v>
      </c>
      <c r="K1405" s="9">
        <f t="shared" si="82"/>
        <v>-0.17000000000000171</v>
      </c>
      <c r="L1405">
        <f t="shared" si="77"/>
        <v>-0.10999999999998522</v>
      </c>
      <c r="M1405">
        <f t="shared" si="78"/>
        <v>-0.16999999999998749</v>
      </c>
      <c r="N1405">
        <f t="shared" si="79"/>
        <v>-0.21999999999999886</v>
      </c>
      <c r="O1405">
        <f t="shared" si="80"/>
        <v>-0.15999999999999659</v>
      </c>
      <c r="P1405" s="10">
        <f t="shared" si="81"/>
        <v>0.10999999999999943</v>
      </c>
    </row>
    <row r="1406" spans="1:16">
      <c r="A1406">
        <v>346.25</v>
      </c>
      <c r="B1406">
        <v>121.51</v>
      </c>
      <c r="C1406">
        <v>123.17</v>
      </c>
      <c r="D1406">
        <v>127.95</v>
      </c>
      <c r="E1406">
        <v>129.56</v>
      </c>
      <c r="F1406">
        <v>125.51</v>
      </c>
      <c r="G1406">
        <v>127.17</v>
      </c>
      <c r="H1406">
        <v>123.17</v>
      </c>
      <c r="K1406" s="9">
        <f t="shared" si="82"/>
        <v>0</v>
      </c>
      <c r="L1406">
        <f t="shared" si="77"/>
        <v>-0.10999999999999943</v>
      </c>
      <c r="M1406">
        <f t="shared" si="78"/>
        <v>-0.28000000000000114</v>
      </c>
      <c r="N1406">
        <f t="shared" si="79"/>
        <v>-0.10999999999999943</v>
      </c>
      <c r="O1406">
        <f t="shared" si="80"/>
        <v>-0.15999999999999659</v>
      </c>
      <c r="P1406" s="10">
        <f t="shared" si="81"/>
        <v>0</v>
      </c>
    </row>
    <row r="1407" spans="1:16">
      <c r="A1407">
        <v>346.5</v>
      </c>
      <c r="B1407">
        <v>121.4</v>
      </c>
      <c r="C1407">
        <v>123.23</v>
      </c>
      <c r="D1407">
        <v>127.9</v>
      </c>
      <c r="E1407">
        <v>129.51</v>
      </c>
      <c r="F1407">
        <v>125.45</v>
      </c>
      <c r="G1407">
        <v>127.06</v>
      </c>
      <c r="H1407">
        <v>123.23</v>
      </c>
      <c r="K1407" s="9">
        <f t="shared" si="82"/>
        <v>-0.10999999999999943</v>
      </c>
      <c r="L1407">
        <f t="shared" si="77"/>
        <v>-0.12000000000000455</v>
      </c>
      <c r="M1407">
        <f t="shared" si="78"/>
        <v>-0.16999999999998749</v>
      </c>
      <c r="N1407">
        <f t="shared" si="79"/>
        <v>-0.10999999999999943</v>
      </c>
      <c r="O1407">
        <f t="shared" si="80"/>
        <v>-0.10999999999999943</v>
      </c>
      <c r="P1407" s="10">
        <f t="shared" si="81"/>
        <v>4.9999999999997158E-2</v>
      </c>
    </row>
    <row r="1408" spans="1:16">
      <c r="A1408">
        <v>346.75</v>
      </c>
      <c r="B1408">
        <v>121.45</v>
      </c>
      <c r="C1408">
        <v>123.17</v>
      </c>
      <c r="D1408">
        <v>127.9</v>
      </c>
      <c r="E1408">
        <v>129.34</v>
      </c>
      <c r="F1408">
        <v>125.4</v>
      </c>
      <c r="G1408">
        <v>127.01</v>
      </c>
      <c r="H1408">
        <v>123.28</v>
      </c>
      <c r="K1408" s="9">
        <f t="shared" si="82"/>
        <v>-4.9999999999997158E-2</v>
      </c>
      <c r="L1408">
        <f t="shared" si="77"/>
        <v>-0.17000000000000171</v>
      </c>
      <c r="M1408">
        <f t="shared" si="78"/>
        <v>-6.0000000000002274E-2</v>
      </c>
      <c r="N1408">
        <f t="shared" si="79"/>
        <v>-0.17000000000000171</v>
      </c>
      <c r="O1408">
        <f t="shared" si="80"/>
        <v>-0.10999999999999943</v>
      </c>
      <c r="P1408" s="10">
        <f t="shared" si="81"/>
        <v>-0.10999999999999943</v>
      </c>
    </row>
    <row r="1409" spans="1:16">
      <c r="A1409">
        <v>347</v>
      </c>
      <c r="B1409">
        <v>121.34</v>
      </c>
      <c r="C1409">
        <v>123.17</v>
      </c>
      <c r="D1409">
        <v>127.84</v>
      </c>
      <c r="E1409">
        <v>129.28</v>
      </c>
      <c r="F1409">
        <v>125.4</v>
      </c>
      <c r="G1409">
        <v>127.01</v>
      </c>
      <c r="H1409">
        <v>123.17</v>
      </c>
      <c r="K1409" s="9">
        <f t="shared" si="82"/>
        <v>-4.9999999999997158E-2</v>
      </c>
      <c r="L1409">
        <f t="shared" si="77"/>
        <v>-0.28000000000000114</v>
      </c>
      <c r="M1409">
        <f t="shared" si="78"/>
        <v>0</v>
      </c>
      <c r="N1409">
        <f t="shared" si="79"/>
        <v>-0.12000000000000455</v>
      </c>
      <c r="O1409">
        <f t="shared" si="80"/>
        <v>-0.17000000000000171</v>
      </c>
      <c r="P1409" s="10">
        <f t="shared" si="81"/>
        <v>0</v>
      </c>
    </row>
    <row r="1410" spans="1:16">
      <c r="A1410">
        <v>347.25</v>
      </c>
      <c r="B1410">
        <v>121.34</v>
      </c>
      <c r="C1410">
        <v>123.12</v>
      </c>
      <c r="D1410">
        <v>127.78</v>
      </c>
      <c r="E1410">
        <v>129.34</v>
      </c>
      <c r="F1410">
        <v>125.34</v>
      </c>
      <c r="G1410">
        <v>126.95</v>
      </c>
      <c r="H1410">
        <v>123.28</v>
      </c>
      <c r="K1410" s="9">
        <f t="shared" si="82"/>
        <v>0</v>
      </c>
      <c r="L1410">
        <f t="shared" si="77"/>
        <v>-0.21999999999999886</v>
      </c>
      <c r="M1410">
        <f t="shared" si="78"/>
        <v>-0.11000000000001364</v>
      </c>
      <c r="N1410">
        <f t="shared" si="79"/>
        <v>-0.10999999999999943</v>
      </c>
      <c r="O1410">
        <f t="shared" si="80"/>
        <v>-4.9999999999997158E-2</v>
      </c>
      <c r="P1410" s="10">
        <f t="shared" si="81"/>
        <v>-0.10999999999999943</v>
      </c>
    </row>
    <row r="1411" spans="1:16">
      <c r="A1411">
        <v>347.5</v>
      </c>
      <c r="B1411">
        <v>121.28</v>
      </c>
      <c r="C1411">
        <v>123.12</v>
      </c>
      <c r="D1411">
        <v>127.73</v>
      </c>
      <c r="E1411">
        <v>129.28</v>
      </c>
      <c r="F1411">
        <v>125.23</v>
      </c>
      <c r="G1411">
        <v>126.9</v>
      </c>
      <c r="H1411">
        <v>123.17</v>
      </c>
      <c r="K1411" s="9">
        <f t="shared" si="82"/>
        <v>-0.10999999999999943</v>
      </c>
      <c r="L1411">
        <f t="shared" si="77"/>
        <v>-0.17000000000000171</v>
      </c>
      <c r="M1411">
        <f t="shared" si="78"/>
        <v>-5.0000000000011369E-2</v>
      </c>
      <c r="N1411">
        <f t="shared" si="79"/>
        <v>0</v>
      </c>
      <c r="O1411">
        <f t="shared" si="80"/>
        <v>-6.0000000000002274E-2</v>
      </c>
      <c r="P1411" s="10">
        <f t="shared" si="81"/>
        <v>-0.21999999999999886</v>
      </c>
    </row>
    <row r="1412" spans="1:16">
      <c r="A1412">
        <v>347.75</v>
      </c>
      <c r="B1412">
        <v>121.28</v>
      </c>
      <c r="C1412">
        <v>123.12</v>
      </c>
      <c r="D1412">
        <v>127.56</v>
      </c>
      <c r="E1412">
        <v>129.28</v>
      </c>
      <c r="F1412">
        <v>125.28</v>
      </c>
      <c r="G1412">
        <v>126.84</v>
      </c>
      <c r="H1412">
        <v>123.17</v>
      </c>
      <c r="K1412" s="9">
        <f t="shared" si="82"/>
        <v>-0.10999999999999943</v>
      </c>
      <c r="L1412">
        <f t="shared" si="77"/>
        <v>0</v>
      </c>
      <c r="M1412">
        <f t="shared" si="78"/>
        <v>-0.21999999999999886</v>
      </c>
      <c r="N1412">
        <f t="shared" si="79"/>
        <v>-0.15999999999999659</v>
      </c>
      <c r="O1412">
        <f t="shared" si="80"/>
        <v>-0.10999999999999943</v>
      </c>
      <c r="P1412" s="10">
        <f t="shared" si="81"/>
        <v>-0.26999999999999602</v>
      </c>
    </row>
    <row r="1413" spans="1:16">
      <c r="A1413">
        <v>348</v>
      </c>
      <c r="B1413">
        <v>121.34</v>
      </c>
      <c r="C1413">
        <v>123.12</v>
      </c>
      <c r="D1413">
        <v>127.56</v>
      </c>
      <c r="E1413">
        <v>129.22999999999999</v>
      </c>
      <c r="F1413">
        <v>125.23</v>
      </c>
      <c r="G1413">
        <v>126.9</v>
      </c>
      <c r="H1413">
        <v>123.17</v>
      </c>
      <c r="K1413" s="9">
        <f t="shared" si="82"/>
        <v>-0.17000000000000171</v>
      </c>
      <c r="L1413">
        <f t="shared" si="77"/>
        <v>-4.9999999999997158E-2</v>
      </c>
      <c r="M1413">
        <f t="shared" si="78"/>
        <v>-0.10999999999998522</v>
      </c>
      <c r="N1413">
        <f t="shared" si="79"/>
        <v>-0.10999999999999943</v>
      </c>
      <c r="O1413">
        <f t="shared" si="80"/>
        <v>-6.0000000000002274E-2</v>
      </c>
      <c r="P1413" s="10">
        <f t="shared" si="81"/>
        <v>-0.39000000000000057</v>
      </c>
    </row>
    <row r="1414" spans="1:16">
      <c r="A1414">
        <v>348.25</v>
      </c>
      <c r="B1414">
        <v>121.17</v>
      </c>
      <c r="C1414">
        <v>123.01</v>
      </c>
      <c r="D1414">
        <v>127.56</v>
      </c>
      <c r="E1414">
        <v>129.22999999999999</v>
      </c>
      <c r="F1414">
        <v>125.23</v>
      </c>
      <c r="G1414">
        <v>126.84</v>
      </c>
      <c r="H1414">
        <v>122.95</v>
      </c>
      <c r="K1414" s="9">
        <f t="shared" si="82"/>
        <v>-6.0000000000002274E-2</v>
      </c>
      <c r="L1414">
        <f t="shared" si="77"/>
        <v>-4.9999999999997158E-2</v>
      </c>
      <c r="M1414">
        <f t="shared" si="78"/>
        <v>-0.16999999999998749</v>
      </c>
      <c r="N1414">
        <f t="shared" si="79"/>
        <v>-0.21999999999999886</v>
      </c>
      <c r="O1414">
        <f t="shared" si="80"/>
        <v>-0.21999999999999886</v>
      </c>
      <c r="P1414" s="10">
        <f t="shared" si="81"/>
        <v>-4.9999999999997158E-2</v>
      </c>
    </row>
    <row r="1415" spans="1:16">
      <c r="A1415">
        <v>348.5</v>
      </c>
      <c r="B1415">
        <v>121.12</v>
      </c>
      <c r="C1415">
        <v>123.01</v>
      </c>
      <c r="D1415">
        <v>127.56</v>
      </c>
      <c r="E1415">
        <v>129.06</v>
      </c>
      <c r="F1415">
        <v>125.12</v>
      </c>
      <c r="G1415">
        <v>126.73</v>
      </c>
      <c r="H1415">
        <v>122.9</v>
      </c>
      <c r="K1415" s="9">
        <f t="shared" si="82"/>
        <v>-0.10999999999999943</v>
      </c>
      <c r="L1415">
        <f t="shared" si="77"/>
        <v>-0.21999999999999886</v>
      </c>
      <c r="M1415">
        <f t="shared" si="78"/>
        <v>0</v>
      </c>
      <c r="N1415">
        <f t="shared" si="79"/>
        <v>-0.21999999999999886</v>
      </c>
      <c r="O1415">
        <f t="shared" si="80"/>
        <v>-0.10999999999999943</v>
      </c>
      <c r="P1415" s="10">
        <f t="shared" si="81"/>
        <v>4.9999999999997158E-2</v>
      </c>
    </row>
    <row r="1416" spans="1:16">
      <c r="A1416">
        <v>348.75</v>
      </c>
      <c r="B1416">
        <v>121.17</v>
      </c>
      <c r="C1416">
        <v>122.95</v>
      </c>
      <c r="D1416">
        <v>127.51</v>
      </c>
      <c r="E1416">
        <v>129.12</v>
      </c>
      <c r="F1416">
        <v>125.12</v>
      </c>
      <c r="G1416">
        <v>126.84</v>
      </c>
      <c r="H1416">
        <v>122.78</v>
      </c>
      <c r="K1416" s="9">
        <f t="shared" si="82"/>
        <v>-4.9999999999997158E-2</v>
      </c>
      <c r="L1416">
        <f t="shared" si="77"/>
        <v>-0.23000000000000398</v>
      </c>
      <c r="M1416">
        <f t="shared" si="78"/>
        <v>-0.11000000000001364</v>
      </c>
      <c r="N1416">
        <f t="shared" si="79"/>
        <v>-0.10999999999999943</v>
      </c>
      <c r="O1416">
        <f t="shared" si="80"/>
        <v>-0.21999999999999886</v>
      </c>
      <c r="P1416" s="10">
        <f t="shared" si="81"/>
        <v>0.17000000000000171</v>
      </c>
    </row>
    <row r="1417" spans="1:16">
      <c r="A1417">
        <v>349</v>
      </c>
      <c r="B1417">
        <v>121.12</v>
      </c>
      <c r="C1417">
        <v>122.95</v>
      </c>
      <c r="D1417">
        <v>127.51</v>
      </c>
      <c r="E1417">
        <v>129.06</v>
      </c>
      <c r="F1417">
        <v>125.01</v>
      </c>
      <c r="G1417">
        <v>126.62</v>
      </c>
      <c r="H1417">
        <v>122.9</v>
      </c>
      <c r="K1417" s="9">
        <f t="shared" si="82"/>
        <v>-0.10999999999999943</v>
      </c>
      <c r="L1417">
        <f t="shared" si="77"/>
        <v>-0.28000000000000114</v>
      </c>
      <c r="M1417">
        <f t="shared" si="78"/>
        <v>-5.0000000000011369E-2</v>
      </c>
      <c r="N1417">
        <f t="shared" si="79"/>
        <v>0</v>
      </c>
      <c r="O1417">
        <f t="shared" si="80"/>
        <v>-0.17000000000000171</v>
      </c>
      <c r="P1417" s="10">
        <f t="shared" si="81"/>
        <v>0</v>
      </c>
    </row>
    <row r="1418" spans="1:16">
      <c r="A1418">
        <v>349.25</v>
      </c>
      <c r="B1418">
        <v>121.06</v>
      </c>
      <c r="C1418">
        <v>122.9</v>
      </c>
      <c r="D1418">
        <v>127.34</v>
      </c>
      <c r="E1418">
        <v>129.06</v>
      </c>
      <c r="F1418">
        <v>124.9</v>
      </c>
      <c r="G1418">
        <v>126.62</v>
      </c>
      <c r="H1418">
        <v>122.95</v>
      </c>
      <c r="K1418" s="9">
        <f t="shared" si="82"/>
        <v>-6.0000000000002274E-2</v>
      </c>
      <c r="L1418">
        <f t="shared" ref="L1418:L1481" si="83">D1421-D1418</f>
        <v>-0.17000000000000171</v>
      </c>
      <c r="M1418">
        <f t="shared" ref="M1418:M1481" si="84">E1421-E1418</f>
        <v>-0.11000000000001364</v>
      </c>
      <c r="N1418">
        <f t="shared" ref="N1418:N1481" si="85">F1421-F1418</f>
        <v>0</v>
      </c>
      <c r="O1418">
        <f t="shared" ref="O1418:O1481" si="86">G1421-G1418</f>
        <v>-0.17000000000000171</v>
      </c>
      <c r="P1418" s="10">
        <f t="shared" ref="P1418:P1481" si="87">H1421-H1418</f>
        <v>-4.9999999999997158E-2</v>
      </c>
    </row>
    <row r="1419" spans="1:16">
      <c r="A1419">
        <v>349.5</v>
      </c>
      <c r="B1419">
        <v>121.12</v>
      </c>
      <c r="C1419">
        <v>122.9</v>
      </c>
      <c r="D1419">
        <v>127.28</v>
      </c>
      <c r="E1419">
        <v>129.01</v>
      </c>
      <c r="F1419">
        <v>125.01</v>
      </c>
      <c r="G1419">
        <v>126.62</v>
      </c>
      <c r="H1419">
        <v>122.95</v>
      </c>
      <c r="K1419" s="9">
        <f t="shared" ref="K1419:K1482" si="88">C1422-C1419</f>
        <v>-6.0000000000002274E-2</v>
      </c>
      <c r="L1419">
        <f t="shared" si="83"/>
        <v>-0.15999999999999659</v>
      </c>
      <c r="M1419">
        <f t="shared" si="84"/>
        <v>-6.0000000000002274E-2</v>
      </c>
      <c r="N1419">
        <f t="shared" si="85"/>
        <v>-0.10999999999999943</v>
      </c>
      <c r="O1419">
        <f t="shared" si="86"/>
        <v>-0.21999999999999886</v>
      </c>
      <c r="P1419" s="10">
        <f t="shared" si="87"/>
        <v>-0.10999999999999943</v>
      </c>
    </row>
    <row r="1420" spans="1:16">
      <c r="A1420">
        <v>349.75</v>
      </c>
      <c r="B1420">
        <v>121.01</v>
      </c>
      <c r="C1420">
        <v>122.84</v>
      </c>
      <c r="D1420">
        <v>127.23</v>
      </c>
      <c r="E1420">
        <v>129.01</v>
      </c>
      <c r="F1420">
        <v>125.01</v>
      </c>
      <c r="G1420">
        <v>126.45</v>
      </c>
      <c r="H1420">
        <v>122.9</v>
      </c>
      <c r="K1420" s="9">
        <f t="shared" si="88"/>
        <v>-6.0000000000002274E-2</v>
      </c>
      <c r="L1420">
        <f t="shared" si="83"/>
        <v>-0.10999999999999943</v>
      </c>
      <c r="M1420">
        <f t="shared" si="84"/>
        <v>-6.0000000000002274E-2</v>
      </c>
      <c r="N1420">
        <f t="shared" si="85"/>
        <v>-0.17000000000000171</v>
      </c>
      <c r="O1420">
        <f t="shared" si="86"/>
        <v>-0.17000000000000171</v>
      </c>
      <c r="P1420" s="10">
        <f t="shared" si="87"/>
        <v>4.9999999999997158E-2</v>
      </c>
    </row>
    <row r="1421" spans="1:16">
      <c r="A1421">
        <v>350</v>
      </c>
      <c r="B1421">
        <v>121.01</v>
      </c>
      <c r="C1421">
        <v>122.84</v>
      </c>
      <c r="D1421">
        <v>127.17</v>
      </c>
      <c r="E1421">
        <v>128.94999999999999</v>
      </c>
      <c r="F1421">
        <v>124.9</v>
      </c>
      <c r="G1421">
        <v>126.45</v>
      </c>
      <c r="H1421">
        <v>122.9</v>
      </c>
      <c r="K1421" s="9">
        <f t="shared" si="88"/>
        <v>-0.10999999999999943</v>
      </c>
      <c r="L1421">
        <f t="shared" si="83"/>
        <v>-0.15999999999999659</v>
      </c>
      <c r="M1421">
        <f t="shared" si="84"/>
        <v>-4.9999999999982947E-2</v>
      </c>
      <c r="N1421">
        <f t="shared" si="85"/>
        <v>-0.12000000000000455</v>
      </c>
      <c r="O1421">
        <f t="shared" si="86"/>
        <v>-0.10999999999999943</v>
      </c>
      <c r="P1421" s="10">
        <f t="shared" si="87"/>
        <v>0</v>
      </c>
    </row>
    <row r="1422" spans="1:16">
      <c r="A1422">
        <v>350.25</v>
      </c>
      <c r="B1422">
        <v>121.01</v>
      </c>
      <c r="C1422">
        <v>122.84</v>
      </c>
      <c r="D1422">
        <v>127.12</v>
      </c>
      <c r="E1422">
        <v>128.94999999999999</v>
      </c>
      <c r="F1422">
        <v>124.9</v>
      </c>
      <c r="G1422">
        <v>126.4</v>
      </c>
      <c r="H1422">
        <v>122.84</v>
      </c>
      <c r="K1422" s="9">
        <f t="shared" si="88"/>
        <v>-0.21999999999999886</v>
      </c>
      <c r="L1422">
        <f t="shared" si="83"/>
        <v>-0.21999999999999886</v>
      </c>
      <c r="M1422">
        <f t="shared" si="84"/>
        <v>-4.9999999999982947E-2</v>
      </c>
      <c r="N1422">
        <f t="shared" si="85"/>
        <v>-0.17000000000000171</v>
      </c>
      <c r="O1422">
        <f t="shared" si="86"/>
        <v>-0.12000000000000455</v>
      </c>
      <c r="P1422" s="10">
        <f t="shared" si="87"/>
        <v>0</v>
      </c>
    </row>
    <row r="1423" spans="1:16">
      <c r="A1423">
        <v>350.5</v>
      </c>
      <c r="B1423">
        <v>120.95</v>
      </c>
      <c r="C1423">
        <v>122.78</v>
      </c>
      <c r="D1423">
        <v>127.12</v>
      </c>
      <c r="E1423">
        <v>128.94999999999999</v>
      </c>
      <c r="F1423">
        <v>124.84</v>
      </c>
      <c r="G1423">
        <v>126.28</v>
      </c>
      <c r="H1423">
        <v>122.95</v>
      </c>
      <c r="K1423" s="9">
        <f t="shared" si="88"/>
        <v>-0.10999999999999943</v>
      </c>
      <c r="L1423">
        <f t="shared" si="83"/>
        <v>-0.28000000000000114</v>
      </c>
      <c r="M1423">
        <f t="shared" si="84"/>
        <v>-0.10999999999998522</v>
      </c>
      <c r="N1423">
        <f t="shared" si="85"/>
        <v>-0.10999999999999943</v>
      </c>
      <c r="O1423">
        <f t="shared" si="86"/>
        <v>0.12000000000000455</v>
      </c>
      <c r="P1423" s="10">
        <f t="shared" si="87"/>
        <v>6.0000000000002274E-2</v>
      </c>
    </row>
    <row r="1424" spans="1:16">
      <c r="A1424">
        <v>350.75</v>
      </c>
      <c r="B1424">
        <v>120.95</v>
      </c>
      <c r="C1424">
        <v>122.73</v>
      </c>
      <c r="D1424">
        <v>127.01</v>
      </c>
      <c r="E1424">
        <v>128.9</v>
      </c>
      <c r="F1424">
        <v>124.78</v>
      </c>
      <c r="G1424">
        <v>126.34</v>
      </c>
      <c r="H1424">
        <v>122.9</v>
      </c>
      <c r="K1424" s="9">
        <f t="shared" si="88"/>
        <v>0</v>
      </c>
      <c r="L1424">
        <f t="shared" si="83"/>
        <v>-0.23000000000000398</v>
      </c>
      <c r="M1424">
        <f t="shared" si="84"/>
        <v>-0.12000000000000455</v>
      </c>
      <c r="N1424">
        <f t="shared" si="85"/>
        <v>-0.15999999999999659</v>
      </c>
      <c r="O1424">
        <f t="shared" si="86"/>
        <v>-0.10999999999999943</v>
      </c>
      <c r="P1424" s="10">
        <f t="shared" si="87"/>
        <v>0</v>
      </c>
    </row>
    <row r="1425" spans="1:16">
      <c r="A1425">
        <v>351</v>
      </c>
      <c r="B1425">
        <v>120.9</v>
      </c>
      <c r="C1425">
        <v>122.62</v>
      </c>
      <c r="D1425">
        <v>126.9</v>
      </c>
      <c r="E1425">
        <v>128.9</v>
      </c>
      <c r="F1425">
        <v>124.73</v>
      </c>
      <c r="G1425">
        <v>126.28</v>
      </c>
      <c r="H1425">
        <v>122.84</v>
      </c>
      <c r="K1425" s="9">
        <f t="shared" si="88"/>
        <v>4.9999999999997158E-2</v>
      </c>
      <c r="L1425">
        <f t="shared" si="83"/>
        <v>-0.17000000000000171</v>
      </c>
      <c r="M1425">
        <f t="shared" si="84"/>
        <v>-0.23000000000001819</v>
      </c>
      <c r="N1425">
        <f t="shared" si="85"/>
        <v>-0.10999999999999943</v>
      </c>
      <c r="O1425">
        <f t="shared" si="86"/>
        <v>-4.9999999999997158E-2</v>
      </c>
      <c r="P1425" s="10">
        <f t="shared" si="87"/>
        <v>0.21999999999999886</v>
      </c>
    </row>
    <row r="1426" spans="1:16">
      <c r="A1426">
        <v>351.25</v>
      </c>
      <c r="B1426">
        <v>120.95</v>
      </c>
      <c r="C1426">
        <v>122.67</v>
      </c>
      <c r="D1426">
        <v>126.84</v>
      </c>
      <c r="E1426">
        <v>128.84</v>
      </c>
      <c r="F1426">
        <v>124.73</v>
      </c>
      <c r="G1426">
        <v>126.4</v>
      </c>
      <c r="H1426">
        <v>123.01</v>
      </c>
      <c r="K1426" s="9">
        <f t="shared" si="88"/>
        <v>-0.10999999999999943</v>
      </c>
      <c r="L1426">
        <f t="shared" si="83"/>
        <v>-0.17000000000000171</v>
      </c>
      <c r="M1426">
        <f t="shared" si="84"/>
        <v>-0.17000000000001592</v>
      </c>
      <c r="N1426">
        <f t="shared" si="85"/>
        <v>-0.10999999999999943</v>
      </c>
      <c r="O1426">
        <f t="shared" si="86"/>
        <v>-0.17000000000000171</v>
      </c>
      <c r="P1426" s="10">
        <f t="shared" si="87"/>
        <v>-6.0000000000002274E-2</v>
      </c>
    </row>
    <row r="1427" spans="1:16">
      <c r="A1427">
        <v>351.5</v>
      </c>
      <c r="B1427">
        <v>120.9</v>
      </c>
      <c r="C1427">
        <v>122.73</v>
      </c>
      <c r="D1427">
        <v>126.78</v>
      </c>
      <c r="E1427">
        <v>128.78</v>
      </c>
      <c r="F1427">
        <v>124.62</v>
      </c>
      <c r="G1427">
        <v>126.23</v>
      </c>
      <c r="H1427">
        <v>122.9</v>
      </c>
      <c r="K1427" s="9">
        <f t="shared" si="88"/>
        <v>-0.17000000000000171</v>
      </c>
      <c r="L1427">
        <f t="shared" si="83"/>
        <v>-0.10999999999999943</v>
      </c>
      <c r="M1427">
        <f t="shared" si="84"/>
        <v>-0.11000000000001364</v>
      </c>
      <c r="N1427">
        <f t="shared" si="85"/>
        <v>-6.0000000000002274E-2</v>
      </c>
      <c r="O1427">
        <f t="shared" si="86"/>
        <v>-6.0000000000002274E-2</v>
      </c>
      <c r="P1427" s="10">
        <f t="shared" si="87"/>
        <v>4.9999999999997158E-2</v>
      </c>
    </row>
    <row r="1428" spans="1:16">
      <c r="A1428">
        <v>351.75</v>
      </c>
      <c r="B1428">
        <v>120.9</v>
      </c>
      <c r="C1428">
        <v>122.67</v>
      </c>
      <c r="D1428">
        <v>126.73</v>
      </c>
      <c r="E1428">
        <v>128.66999999999999</v>
      </c>
      <c r="F1428">
        <v>124.62</v>
      </c>
      <c r="G1428">
        <v>126.23</v>
      </c>
      <c r="H1428">
        <v>123.06</v>
      </c>
      <c r="K1428" s="9">
        <f t="shared" si="88"/>
        <v>-0.15999999999999659</v>
      </c>
      <c r="L1428">
        <f t="shared" si="83"/>
        <v>-0.17000000000000171</v>
      </c>
      <c r="M1428">
        <f t="shared" si="84"/>
        <v>-0.10999999999998522</v>
      </c>
      <c r="N1428">
        <f t="shared" si="85"/>
        <v>-0.17000000000000171</v>
      </c>
      <c r="O1428">
        <f t="shared" si="86"/>
        <v>-0.21999999999999886</v>
      </c>
      <c r="P1428" s="10">
        <f t="shared" si="87"/>
        <v>-0.10999999999999943</v>
      </c>
    </row>
    <row r="1429" spans="1:16">
      <c r="A1429">
        <v>352</v>
      </c>
      <c r="B1429">
        <v>120.78</v>
      </c>
      <c r="C1429">
        <v>122.56</v>
      </c>
      <c r="D1429">
        <v>126.67</v>
      </c>
      <c r="E1429">
        <v>128.66999999999999</v>
      </c>
      <c r="F1429">
        <v>124.62</v>
      </c>
      <c r="G1429">
        <v>126.23</v>
      </c>
      <c r="H1429">
        <v>122.95</v>
      </c>
      <c r="K1429" s="9">
        <f t="shared" si="88"/>
        <v>-4.9999999999997158E-2</v>
      </c>
      <c r="L1429">
        <f t="shared" si="83"/>
        <v>-0.15999999999999659</v>
      </c>
      <c r="M1429">
        <f t="shared" si="84"/>
        <v>-0.10999999999998522</v>
      </c>
      <c r="N1429">
        <f t="shared" si="85"/>
        <v>-0.10999999999999943</v>
      </c>
      <c r="O1429">
        <f t="shared" si="86"/>
        <v>-0.21999999999999886</v>
      </c>
      <c r="P1429" s="10">
        <f t="shared" si="87"/>
        <v>-4.9999999999997158E-2</v>
      </c>
    </row>
    <row r="1430" spans="1:16">
      <c r="A1430">
        <v>352.25</v>
      </c>
      <c r="B1430">
        <v>120.73</v>
      </c>
      <c r="C1430">
        <v>122.56</v>
      </c>
      <c r="D1430">
        <v>126.67</v>
      </c>
      <c r="E1430">
        <v>128.66999999999999</v>
      </c>
      <c r="F1430">
        <v>124.56</v>
      </c>
      <c r="G1430">
        <v>126.17</v>
      </c>
      <c r="H1430">
        <v>122.95</v>
      </c>
      <c r="K1430" s="9">
        <f t="shared" si="88"/>
        <v>-4.9999999999997158E-2</v>
      </c>
      <c r="L1430">
        <f t="shared" si="83"/>
        <v>-0.21999999999999886</v>
      </c>
      <c r="M1430">
        <f t="shared" si="84"/>
        <v>-4.9999999999982947E-2</v>
      </c>
      <c r="N1430">
        <f t="shared" si="85"/>
        <v>0</v>
      </c>
      <c r="O1430">
        <f t="shared" si="86"/>
        <v>-0.10999999999999943</v>
      </c>
      <c r="P1430" s="10">
        <f t="shared" si="87"/>
        <v>6.0000000000002274E-2</v>
      </c>
    </row>
    <row r="1431" spans="1:16">
      <c r="A1431">
        <v>352.5</v>
      </c>
      <c r="B1431">
        <v>120.73</v>
      </c>
      <c r="C1431">
        <v>122.51</v>
      </c>
      <c r="D1431">
        <v>126.56</v>
      </c>
      <c r="E1431">
        <v>128.56</v>
      </c>
      <c r="F1431">
        <v>124.45</v>
      </c>
      <c r="G1431">
        <v>126.01</v>
      </c>
      <c r="H1431">
        <v>122.95</v>
      </c>
      <c r="K1431" s="9">
        <f t="shared" si="88"/>
        <v>0</v>
      </c>
      <c r="L1431">
        <f t="shared" si="83"/>
        <v>-0.10999999999999943</v>
      </c>
      <c r="M1431">
        <f t="shared" si="84"/>
        <v>-0.11000000000001364</v>
      </c>
      <c r="N1431">
        <f t="shared" si="85"/>
        <v>0</v>
      </c>
      <c r="O1431">
        <f t="shared" si="86"/>
        <v>-6.0000000000002274E-2</v>
      </c>
      <c r="P1431" s="10">
        <f t="shared" si="87"/>
        <v>0</v>
      </c>
    </row>
    <row r="1432" spans="1:16">
      <c r="A1432">
        <v>352.75</v>
      </c>
      <c r="B1432">
        <v>120.67</v>
      </c>
      <c r="C1432">
        <v>122.51</v>
      </c>
      <c r="D1432">
        <v>126.51</v>
      </c>
      <c r="E1432">
        <v>128.56</v>
      </c>
      <c r="F1432">
        <v>124.51</v>
      </c>
      <c r="G1432">
        <v>126.01</v>
      </c>
      <c r="H1432">
        <v>122.9</v>
      </c>
      <c r="K1432" s="9">
        <f t="shared" si="88"/>
        <v>-6.0000000000002274E-2</v>
      </c>
      <c r="L1432">
        <f t="shared" si="83"/>
        <v>-0.10999999999999943</v>
      </c>
      <c r="M1432">
        <f t="shared" si="84"/>
        <v>-5.0000000000011369E-2</v>
      </c>
      <c r="N1432">
        <f t="shared" si="85"/>
        <v>-6.0000000000002274E-2</v>
      </c>
      <c r="O1432">
        <f t="shared" si="86"/>
        <v>-0.17000000000000171</v>
      </c>
      <c r="P1432" s="10">
        <f t="shared" si="87"/>
        <v>4.9999999999997158E-2</v>
      </c>
    </row>
    <row r="1433" spans="1:16">
      <c r="A1433">
        <v>353</v>
      </c>
      <c r="B1433">
        <v>120.67</v>
      </c>
      <c r="C1433">
        <v>122.51</v>
      </c>
      <c r="D1433">
        <v>126.45</v>
      </c>
      <c r="E1433">
        <v>128.62</v>
      </c>
      <c r="F1433">
        <v>124.56</v>
      </c>
      <c r="G1433">
        <v>126.06</v>
      </c>
      <c r="H1433">
        <v>123.01</v>
      </c>
      <c r="K1433" s="9">
        <f t="shared" si="88"/>
        <v>-6.0000000000002274E-2</v>
      </c>
      <c r="L1433">
        <f t="shared" si="83"/>
        <v>-0.28000000000000114</v>
      </c>
      <c r="M1433">
        <f t="shared" si="84"/>
        <v>-0.11000000000001364</v>
      </c>
      <c r="N1433">
        <f t="shared" si="85"/>
        <v>-4.9999999999997158E-2</v>
      </c>
      <c r="O1433">
        <f t="shared" si="86"/>
        <v>-0.10999999999999943</v>
      </c>
      <c r="P1433" s="10">
        <f t="shared" si="87"/>
        <v>-0.10999999999999943</v>
      </c>
    </row>
    <row r="1434" spans="1:16">
      <c r="A1434">
        <v>353.25</v>
      </c>
      <c r="B1434">
        <v>120.62</v>
      </c>
      <c r="C1434">
        <v>122.51</v>
      </c>
      <c r="D1434">
        <v>126.45</v>
      </c>
      <c r="E1434">
        <v>128.44999999999999</v>
      </c>
      <c r="F1434">
        <v>124.45</v>
      </c>
      <c r="G1434">
        <v>125.95</v>
      </c>
      <c r="H1434">
        <v>122.95</v>
      </c>
      <c r="K1434" s="9">
        <f t="shared" si="88"/>
        <v>-0.17000000000000171</v>
      </c>
      <c r="L1434">
        <f t="shared" si="83"/>
        <v>-0.32999999999999829</v>
      </c>
      <c r="M1434">
        <f t="shared" si="84"/>
        <v>-4.9999999999982947E-2</v>
      </c>
      <c r="N1434">
        <f t="shared" si="85"/>
        <v>-0.10999999999999943</v>
      </c>
      <c r="O1434">
        <f t="shared" si="86"/>
        <v>-0.17000000000000171</v>
      </c>
      <c r="P1434" s="10">
        <f t="shared" si="87"/>
        <v>-4.9999999999997158E-2</v>
      </c>
    </row>
    <row r="1435" spans="1:16">
      <c r="A1435">
        <v>353.5</v>
      </c>
      <c r="B1435">
        <v>120.62</v>
      </c>
      <c r="C1435">
        <v>122.45</v>
      </c>
      <c r="D1435">
        <v>126.4</v>
      </c>
      <c r="E1435">
        <v>128.51</v>
      </c>
      <c r="F1435">
        <v>124.45</v>
      </c>
      <c r="G1435">
        <v>125.84</v>
      </c>
      <c r="H1435">
        <v>122.95</v>
      </c>
      <c r="K1435" s="9">
        <f t="shared" si="88"/>
        <v>-4.9999999999997158E-2</v>
      </c>
      <c r="L1435">
        <f t="shared" si="83"/>
        <v>-0.39000000000000057</v>
      </c>
      <c r="M1435">
        <f t="shared" si="84"/>
        <v>-0.16999999999998749</v>
      </c>
      <c r="N1435">
        <f t="shared" si="85"/>
        <v>-0.17000000000000171</v>
      </c>
      <c r="O1435">
        <f t="shared" si="86"/>
        <v>-6.0000000000002274E-2</v>
      </c>
      <c r="P1435" s="10">
        <f t="shared" si="87"/>
        <v>-4.9999999999997158E-2</v>
      </c>
    </row>
    <row r="1436" spans="1:16">
      <c r="A1436">
        <v>353.75</v>
      </c>
      <c r="B1436">
        <v>120.62</v>
      </c>
      <c r="C1436">
        <v>122.45</v>
      </c>
      <c r="D1436">
        <v>126.17</v>
      </c>
      <c r="E1436">
        <v>128.51</v>
      </c>
      <c r="F1436">
        <v>124.51</v>
      </c>
      <c r="G1436">
        <v>125.95</v>
      </c>
      <c r="H1436">
        <v>122.9</v>
      </c>
      <c r="K1436" s="9">
        <f t="shared" si="88"/>
        <v>0</v>
      </c>
      <c r="L1436">
        <f t="shared" si="83"/>
        <v>-0.32999999999999829</v>
      </c>
      <c r="M1436">
        <f t="shared" si="84"/>
        <v>-0.16999999999998749</v>
      </c>
      <c r="N1436">
        <f t="shared" si="85"/>
        <v>-0.28000000000000114</v>
      </c>
      <c r="O1436">
        <f t="shared" si="86"/>
        <v>-0.17000000000000171</v>
      </c>
      <c r="P1436" s="10">
        <f t="shared" si="87"/>
        <v>0</v>
      </c>
    </row>
    <row r="1437" spans="1:16">
      <c r="A1437">
        <v>354</v>
      </c>
      <c r="B1437">
        <v>120.51</v>
      </c>
      <c r="C1437">
        <v>122.34</v>
      </c>
      <c r="D1437">
        <v>126.12</v>
      </c>
      <c r="E1437">
        <v>128.4</v>
      </c>
      <c r="F1437">
        <v>124.34</v>
      </c>
      <c r="G1437">
        <v>125.78</v>
      </c>
      <c r="H1437">
        <v>122.9</v>
      </c>
      <c r="K1437" s="9">
        <f t="shared" si="88"/>
        <v>0</v>
      </c>
      <c r="L1437">
        <f t="shared" si="83"/>
        <v>-0.21999999999999886</v>
      </c>
      <c r="M1437">
        <f t="shared" si="84"/>
        <v>-0.17000000000001592</v>
      </c>
      <c r="N1437">
        <f t="shared" si="85"/>
        <v>-0.10999999999999943</v>
      </c>
      <c r="O1437">
        <f t="shared" si="86"/>
        <v>-0.15999999999999659</v>
      </c>
      <c r="P1437" s="10">
        <f t="shared" si="87"/>
        <v>0</v>
      </c>
    </row>
    <row r="1438" spans="1:16">
      <c r="A1438">
        <v>354.25</v>
      </c>
      <c r="B1438">
        <v>120.51</v>
      </c>
      <c r="C1438">
        <v>122.4</v>
      </c>
      <c r="D1438">
        <v>126.01</v>
      </c>
      <c r="E1438">
        <v>128.34</v>
      </c>
      <c r="F1438">
        <v>124.28</v>
      </c>
      <c r="G1438">
        <v>125.78</v>
      </c>
      <c r="H1438">
        <v>122.9</v>
      </c>
      <c r="K1438" s="9">
        <f t="shared" si="88"/>
        <v>-6.0000000000002274E-2</v>
      </c>
      <c r="L1438">
        <f t="shared" si="83"/>
        <v>-0.17000000000000171</v>
      </c>
      <c r="M1438">
        <f t="shared" si="84"/>
        <v>-6.0000000000002274E-2</v>
      </c>
      <c r="N1438">
        <f t="shared" si="85"/>
        <v>-4.9999999999997158E-2</v>
      </c>
      <c r="O1438">
        <f t="shared" si="86"/>
        <v>-0.10999999999999943</v>
      </c>
      <c r="P1438" s="10">
        <f t="shared" si="87"/>
        <v>4.9999999999997158E-2</v>
      </c>
    </row>
    <row r="1439" spans="1:16">
      <c r="A1439">
        <v>354.5</v>
      </c>
      <c r="B1439">
        <v>120.4</v>
      </c>
      <c r="C1439">
        <v>122.45</v>
      </c>
      <c r="D1439">
        <v>125.84</v>
      </c>
      <c r="E1439">
        <v>128.34</v>
      </c>
      <c r="F1439">
        <v>124.23</v>
      </c>
      <c r="G1439">
        <v>125.78</v>
      </c>
      <c r="H1439">
        <v>122.9</v>
      </c>
      <c r="K1439" s="9">
        <f t="shared" si="88"/>
        <v>-0.10999999999999943</v>
      </c>
      <c r="L1439">
        <f t="shared" si="83"/>
        <v>-6.0000000000002274E-2</v>
      </c>
      <c r="M1439">
        <f t="shared" si="84"/>
        <v>-0.11000000000001364</v>
      </c>
      <c r="N1439">
        <f t="shared" si="85"/>
        <v>-6.0000000000002274E-2</v>
      </c>
      <c r="O1439">
        <f t="shared" si="86"/>
        <v>-0.15999999999999659</v>
      </c>
      <c r="P1439" s="10">
        <f t="shared" si="87"/>
        <v>0.10999999999999943</v>
      </c>
    </row>
    <row r="1440" spans="1:16">
      <c r="A1440">
        <v>354.75</v>
      </c>
      <c r="B1440">
        <v>120.45</v>
      </c>
      <c r="C1440">
        <v>122.34</v>
      </c>
      <c r="D1440">
        <v>125.9</v>
      </c>
      <c r="E1440">
        <v>128.22999999999999</v>
      </c>
      <c r="F1440">
        <v>124.23</v>
      </c>
      <c r="G1440">
        <v>125.62</v>
      </c>
      <c r="H1440">
        <v>122.9</v>
      </c>
      <c r="K1440" s="9">
        <f t="shared" si="88"/>
        <v>-0.10999999999999943</v>
      </c>
      <c r="L1440">
        <f t="shared" si="83"/>
        <v>-0.12000000000000455</v>
      </c>
      <c r="M1440">
        <f t="shared" si="84"/>
        <v>-6.0000000000002274E-2</v>
      </c>
      <c r="N1440">
        <f t="shared" si="85"/>
        <v>-0.17000000000000171</v>
      </c>
      <c r="O1440">
        <f t="shared" si="86"/>
        <v>-6.0000000000002274E-2</v>
      </c>
      <c r="P1440" s="10">
        <f t="shared" si="87"/>
        <v>4.9999999999997158E-2</v>
      </c>
    </row>
    <row r="1441" spans="1:16">
      <c r="A1441">
        <v>355</v>
      </c>
      <c r="B1441">
        <v>120.4</v>
      </c>
      <c r="C1441">
        <v>122.34</v>
      </c>
      <c r="D1441">
        <v>125.84</v>
      </c>
      <c r="E1441">
        <v>128.28</v>
      </c>
      <c r="F1441">
        <v>124.23</v>
      </c>
      <c r="G1441">
        <v>125.67</v>
      </c>
      <c r="H1441">
        <v>122.95</v>
      </c>
      <c r="K1441" s="9">
        <f t="shared" si="88"/>
        <v>-0.10999999999999943</v>
      </c>
      <c r="L1441">
        <f t="shared" si="83"/>
        <v>-6.0000000000002274E-2</v>
      </c>
      <c r="M1441">
        <f t="shared" si="84"/>
        <v>-0.11000000000001364</v>
      </c>
      <c r="N1441">
        <f t="shared" si="85"/>
        <v>-6.0000000000002274E-2</v>
      </c>
      <c r="O1441">
        <f t="shared" si="86"/>
        <v>-0.15999999999999659</v>
      </c>
      <c r="P1441" s="10">
        <f t="shared" si="87"/>
        <v>-0.17000000000000171</v>
      </c>
    </row>
    <row r="1442" spans="1:16">
      <c r="A1442">
        <v>355.25</v>
      </c>
      <c r="B1442">
        <v>120.34</v>
      </c>
      <c r="C1442">
        <v>122.34</v>
      </c>
      <c r="D1442">
        <v>125.78</v>
      </c>
      <c r="E1442">
        <v>128.22999999999999</v>
      </c>
      <c r="F1442">
        <v>124.17</v>
      </c>
      <c r="G1442">
        <v>125.62</v>
      </c>
      <c r="H1442">
        <v>123.01</v>
      </c>
      <c r="K1442" s="9">
        <f t="shared" si="88"/>
        <v>-0.10999999999999943</v>
      </c>
      <c r="L1442">
        <f t="shared" si="83"/>
        <v>-0.10999999999999943</v>
      </c>
      <c r="M1442">
        <f t="shared" si="84"/>
        <v>0</v>
      </c>
      <c r="N1442">
        <f t="shared" si="85"/>
        <v>-0.10999999999999943</v>
      </c>
      <c r="O1442">
        <f t="shared" si="86"/>
        <v>-0.28000000000000114</v>
      </c>
      <c r="P1442" s="10">
        <f t="shared" si="87"/>
        <v>-0.23000000000000398</v>
      </c>
    </row>
    <row r="1443" spans="1:16">
      <c r="A1443">
        <v>355.5</v>
      </c>
      <c r="B1443">
        <v>120.4</v>
      </c>
      <c r="C1443">
        <v>122.23</v>
      </c>
      <c r="D1443">
        <v>125.78</v>
      </c>
      <c r="E1443">
        <v>128.16999999999999</v>
      </c>
      <c r="F1443">
        <v>124.06</v>
      </c>
      <c r="G1443">
        <v>125.56</v>
      </c>
      <c r="H1443">
        <v>122.95</v>
      </c>
      <c r="K1443" s="9">
        <f t="shared" si="88"/>
        <v>-6.0000000000002274E-2</v>
      </c>
      <c r="L1443">
        <f t="shared" si="83"/>
        <v>-4.9999999999997158E-2</v>
      </c>
      <c r="M1443">
        <f t="shared" si="84"/>
        <v>-4.9999999999982947E-2</v>
      </c>
      <c r="N1443">
        <f t="shared" si="85"/>
        <v>-4.9999999999997158E-2</v>
      </c>
      <c r="O1443">
        <f t="shared" si="86"/>
        <v>-0.15999999999999659</v>
      </c>
      <c r="P1443" s="10">
        <f t="shared" si="87"/>
        <v>0</v>
      </c>
    </row>
    <row r="1444" spans="1:16">
      <c r="A1444">
        <v>355.75</v>
      </c>
      <c r="B1444">
        <v>120.34</v>
      </c>
      <c r="C1444">
        <v>122.23</v>
      </c>
      <c r="D1444">
        <v>125.78</v>
      </c>
      <c r="E1444">
        <v>128.16999999999999</v>
      </c>
      <c r="F1444">
        <v>124.17</v>
      </c>
      <c r="G1444">
        <v>125.51</v>
      </c>
      <c r="H1444">
        <v>122.78</v>
      </c>
      <c r="K1444" s="9">
        <f t="shared" si="88"/>
        <v>0</v>
      </c>
      <c r="L1444">
        <f t="shared" si="83"/>
        <v>-4.9999999999997158E-2</v>
      </c>
      <c r="M1444">
        <f t="shared" si="84"/>
        <v>-0.15999999999999659</v>
      </c>
      <c r="N1444">
        <f t="shared" si="85"/>
        <v>-0.21999999999999886</v>
      </c>
      <c r="O1444">
        <f t="shared" si="86"/>
        <v>-0.17000000000000171</v>
      </c>
      <c r="P1444" s="10">
        <f t="shared" si="87"/>
        <v>6.0000000000002274E-2</v>
      </c>
    </row>
    <row r="1445" spans="1:16">
      <c r="A1445">
        <v>356</v>
      </c>
      <c r="B1445">
        <v>120.28</v>
      </c>
      <c r="C1445">
        <v>122.23</v>
      </c>
      <c r="D1445">
        <v>125.67</v>
      </c>
      <c r="E1445">
        <v>128.22999999999999</v>
      </c>
      <c r="F1445">
        <v>124.06</v>
      </c>
      <c r="G1445">
        <v>125.34</v>
      </c>
      <c r="H1445">
        <v>122.78</v>
      </c>
      <c r="K1445" s="9">
        <f t="shared" si="88"/>
        <v>-6.0000000000002274E-2</v>
      </c>
      <c r="L1445">
        <f t="shared" si="83"/>
        <v>-4.9999999999997158E-2</v>
      </c>
      <c r="M1445">
        <f t="shared" si="84"/>
        <v>-0.21999999999999886</v>
      </c>
      <c r="N1445">
        <f t="shared" si="85"/>
        <v>-0.10999999999999943</v>
      </c>
      <c r="O1445">
        <f t="shared" si="86"/>
        <v>0</v>
      </c>
      <c r="P1445" s="10">
        <f t="shared" si="87"/>
        <v>0.12000000000000455</v>
      </c>
    </row>
    <row r="1446" spans="1:16">
      <c r="A1446">
        <v>356.25</v>
      </c>
      <c r="B1446">
        <v>120.28</v>
      </c>
      <c r="C1446">
        <v>122.17</v>
      </c>
      <c r="D1446">
        <v>125.73</v>
      </c>
      <c r="E1446">
        <v>128.12</v>
      </c>
      <c r="F1446">
        <v>124.01</v>
      </c>
      <c r="G1446">
        <v>125.4</v>
      </c>
      <c r="H1446">
        <v>122.95</v>
      </c>
      <c r="K1446" s="9">
        <f t="shared" si="88"/>
        <v>-4.9999999999997158E-2</v>
      </c>
      <c r="L1446">
        <f t="shared" si="83"/>
        <v>-0.10999999999999943</v>
      </c>
      <c r="M1446">
        <f t="shared" si="84"/>
        <v>-0.21999999999999886</v>
      </c>
      <c r="N1446">
        <f t="shared" si="85"/>
        <v>-6.0000000000002274E-2</v>
      </c>
      <c r="O1446">
        <f t="shared" si="86"/>
        <v>-0.12000000000000455</v>
      </c>
      <c r="P1446" s="10">
        <f t="shared" si="87"/>
        <v>-4.9999999999997158E-2</v>
      </c>
    </row>
    <row r="1447" spans="1:16">
      <c r="A1447">
        <v>356.5</v>
      </c>
      <c r="B1447">
        <v>120.23</v>
      </c>
      <c r="C1447">
        <v>122.23</v>
      </c>
      <c r="D1447">
        <v>125.73</v>
      </c>
      <c r="E1447">
        <v>128.01</v>
      </c>
      <c r="F1447">
        <v>123.95</v>
      </c>
      <c r="G1447">
        <v>125.34</v>
      </c>
      <c r="H1447">
        <v>122.84</v>
      </c>
      <c r="K1447" s="9">
        <f t="shared" si="88"/>
        <v>-0.10999999999999943</v>
      </c>
      <c r="L1447">
        <f t="shared" si="83"/>
        <v>-0.21999999999999886</v>
      </c>
      <c r="M1447">
        <f t="shared" si="84"/>
        <v>-5.9999999999988063E-2</v>
      </c>
      <c r="N1447">
        <f t="shared" si="85"/>
        <v>0</v>
      </c>
      <c r="O1447">
        <f t="shared" si="86"/>
        <v>-0.10999999999999943</v>
      </c>
      <c r="P1447" s="10">
        <f t="shared" si="87"/>
        <v>-0.10999999999999943</v>
      </c>
    </row>
    <row r="1448" spans="1:16">
      <c r="A1448">
        <v>356.75</v>
      </c>
      <c r="B1448">
        <v>120.17</v>
      </c>
      <c r="C1448">
        <v>122.17</v>
      </c>
      <c r="D1448">
        <v>125.62</v>
      </c>
      <c r="E1448">
        <v>128.01</v>
      </c>
      <c r="F1448">
        <v>123.95</v>
      </c>
      <c r="G1448">
        <v>125.34</v>
      </c>
      <c r="H1448">
        <v>122.9</v>
      </c>
      <c r="K1448" s="9">
        <f t="shared" si="88"/>
        <v>-4.9999999999997158E-2</v>
      </c>
      <c r="L1448">
        <f t="shared" si="83"/>
        <v>-0.17000000000000171</v>
      </c>
      <c r="M1448">
        <f t="shared" si="84"/>
        <v>-0.16999999999998749</v>
      </c>
      <c r="N1448">
        <f t="shared" si="85"/>
        <v>-0.10999999999999943</v>
      </c>
      <c r="O1448">
        <f t="shared" si="86"/>
        <v>-0.17000000000000171</v>
      </c>
      <c r="P1448" s="10">
        <f t="shared" si="87"/>
        <v>-0.17000000000000171</v>
      </c>
    </row>
    <row r="1449" spans="1:16">
      <c r="A1449">
        <v>357</v>
      </c>
      <c r="B1449">
        <v>120.17</v>
      </c>
      <c r="C1449">
        <v>122.12</v>
      </c>
      <c r="D1449">
        <v>125.62</v>
      </c>
      <c r="E1449">
        <v>127.9</v>
      </c>
      <c r="F1449">
        <v>123.95</v>
      </c>
      <c r="G1449">
        <v>125.28</v>
      </c>
      <c r="H1449">
        <v>122.9</v>
      </c>
      <c r="K1449" s="9">
        <f t="shared" si="88"/>
        <v>-6.0000000000002274E-2</v>
      </c>
      <c r="L1449">
        <f t="shared" si="83"/>
        <v>-0.17000000000000171</v>
      </c>
      <c r="M1449">
        <f t="shared" si="84"/>
        <v>-6.0000000000002274E-2</v>
      </c>
      <c r="N1449">
        <f t="shared" si="85"/>
        <v>-0.10999999999999943</v>
      </c>
      <c r="O1449">
        <f t="shared" si="86"/>
        <v>-0.10999999999999943</v>
      </c>
      <c r="P1449" s="10">
        <f t="shared" si="87"/>
        <v>-0.12000000000000455</v>
      </c>
    </row>
    <row r="1450" spans="1:16">
      <c r="A1450">
        <v>357.25</v>
      </c>
      <c r="B1450">
        <v>120.01</v>
      </c>
      <c r="C1450">
        <v>122.12</v>
      </c>
      <c r="D1450">
        <v>125.51</v>
      </c>
      <c r="E1450">
        <v>127.95</v>
      </c>
      <c r="F1450">
        <v>123.95</v>
      </c>
      <c r="G1450">
        <v>125.23</v>
      </c>
      <c r="H1450">
        <v>122.73</v>
      </c>
      <c r="K1450" s="9">
        <f t="shared" si="88"/>
        <v>-6.0000000000002274E-2</v>
      </c>
      <c r="L1450">
        <f t="shared" si="83"/>
        <v>-0.23000000000000398</v>
      </c>
      <c r="M1450">
        <f t="shared" si="84"/>
        <v>-0.17000000000000171</v>
      </c>
      <c r="N1450">
        <f t="shared" si="85"/>
        <v>-0.21999999999999886</v>
      </c>
      <c r="O1450">
        <f t="shared" si="86"/>
        <v>-0.10999999999999943</v>
      </c>
      <c r="P1450" s="10">
        <f t="shared" si="87"/>
        <v>4.9999999999997158E-2</v>
      </c>
    </row>
    <row r="1451" spans="1:16">
      <c r="A1451">
        <v>357.5</v>
      </c>
      <c r="B1451">
        <v>119.95</v>
      </c>
      <c r="C1451">
        <v>122.12</v>
      </c>
      <c r="D1451">
        <v>125.45</v>
      </c>
      <c r="E1451">
        <v>127.84</v>
      </c>
      <c r="F1451">
        <v>123.84</v>
      </c>
      <c r="G1451">
        <v>125.17</v>
      </c>
      <c r="H1451">
        <v>122.73</v>
      </c>
      <c r="K1451" s="9">
        <f t="shared" si="88"/>
        <v>-0.10999999999999943</v>
      </c>
      <c r="L1451">
        <f t="shared" si="83"/>
        <v>-0.21999999999999886</v>
      </c>
      <c r="M1451">
        <f t="shared" si="84"/>
        <v>-6.0000000000002274E-2</v>
      </c>
      <c r="N1451">
        <f t="shared" si="85"/>
        <v>-0.10999999999999943</v>
      </c>
      <c r="O1451">
        <f t="shared" si="86"/>
        <v>-0.15999999999999659</v>
      </c>
      <c r="P1451" s="10">
        <f t="shared" si="87"/>
        <v>0.10999999999999943</v>
      </c>
    </row>
    <row r="1452" spans="1:16">
      <c r="A1452">
        <v>357.75</v>
      </c>
      <c r="B1452">
        <v>120.01</v>
      </c>
      <c r="C1452">
        <v>122.06</v>
      </c>
      <c r="D1452">
        <v>125.45</v>
      </c>
      <c r="E1452">
        <v>127.84</v>
      </c>
      <c r="F1452">
        <v>123.84</v>
      </c>
      <c r="G1452">
        <v>125.17</v>
      </c>
      <c r="H1452">
        <v>122.78</v>
      </c>
      <c r="K1452" s="9">
        <f t="shared" si="88"/>
        <v>-4.9999999999997158E-2</v>
      </c>
      <c r="L1452">
        <f t="shared" si="83"/>
        <v>-0.28000000000000114</v>
      </c>
      <c r="M1452">
        <f t="shared" si="84"/>
        <v>0</v>
      </c>
      <c r="N1452">
        <f t="shared" si="85"/>
        <v>-6.0000000000002274E-2</v>
      </c>
      <c r="O1452">
        <f t="shared" si="86"/>
        <v>-0.15999999999999659</v>
      </c>
      <c r="P1452" s="10">
        <f t="shared" si="87"/>
        <v>0</v>
      </c>
    </row>
    <row r="1453" spans="1:16">
      <c r="A1453">
        <v>358</v>
      </c>
      <c r="B1453">
        <v>120.01</v>
      </c>
      <c r="C1453">
        <v>122.06</v>
      </c>
      <c r="D1453">
        <v>125.28</v>
      </c>
      <c r="E1453">
        <v>127.78</v>
      </c>
      <c r="F1453">
        <v>123.73</v>
      </c>
      <c r="G1453">
        <v>125.12</v>
      </c>
      <c r="H1453">
        <v>122.78</v>
      </c>
      <c r="K1453" s="9">
        <f t="shared" si="88"/>
        <v>-0.10999999999999943</v>
      </c>
      <c r="L1453">
        <f t="shared" si="83"/>
        <v>-4.9999999999997158E-2</v>
      </c>
      <c r="M1453">
        <f t="shared" si="84"/>
        <v>-4.9999999999997158E-2</v>
      </c>
      <c r="N1453">
        <f t="shared" si="85"/>
        <v>0</v>
      </c>
      <c r="O1453">
        <f t="shared" si="86"/>
        <v>-0.28000000000000114</v>
      </c>
      <c r="P1453" s="10">
        <f t="shared" si="87"/>
        <v>-4.9999999999997158E-2</v>
      </c>
    </row>
    <row r="1454" spans="1:16">
      <c r="A1454">
        <v>358.25</v>
      </c>
      <c r="B1454">
        <v>119.84</v>
      </c>
      <c r="C1454">
        <v>122.01</v>
      </c>
      <c r="D1454">
        <v>125.23</v>
      </c>
      <c r="E1454">
        <v>127.78</v>
      </c>
      <c r="F1454">
        <v>123.73</v>
      </c>
      <c r="G1454">
        <v>125.01</v>
      </c>
      <c r="H1454">
        <v>122.84</v>
      </c>
      <c r="K1454" s="9">
        <f t="shared" si="88"/>
        <v>4.9999999999997158E-2</v>
      </c>
      <c r="L1454">
        <f t="shared" si="83"/>
        <v>0</v>
      </c>
      <c r="M1454">
        <f t="shared" si="84"/>
        <v>-4.9999999999997158E-2</v>
      </c>
      <c r="N1454">
        <f t="shared" si="85"/>
        <v>-0.17000000000000171</v>
      </c>
      <c r="O1454">
        <f t="shared" si="86"/>
        <v>-6.0000000000002274E-2</v>
      </c>
      <c r="P1454" s="10">
        <f t="shared" si="87"/>
        <v>-0.10999999999999943</v>
      </c>
    </row>
    <row r="1455" spans="1:16">
      <c r="A1455">
        <v>358.5</v>
      </c>
      <c r="B1455">
        <v>119.73</v>
      </c>
      <c r="C1455">
        <v>122.01</v>
      </c>
      <c r="D1455">
        <v>125.17</v>
      </c>
      <c r="E1455">
        <v>127.84</v>
      </c>
      <c r="F1455">
        <v>123.78</v>
      </c>
      <c r="G1455">
        <v>125.01</v>
      </c>
      <c r="H1455">
        <v>122.78</v>
      </c>
      <c r="K1455" s="9">
        <f t="shared" si="88"/>
        <v>-0.10999999999999943</v>
      </c>
      <c r="L1455">
        <f t="shared" si="83"/>
        <v>0</v>
      </c>
      <c r="M1455">
        <f t="shared" si="84"/>
        <v>-0.21999999999999886</v>
      </c>
      <c r="N1455">
        <f t="shared" si="85"/>
        <v>-0.15999999999999659</v>
      </c>
      <c r="O1455">
        <f t="shared" si="86"/>
        <v>-0.17000000000000171</v>
      </c>
      <c r="P1455" s="10">
        <f t="shared" si="87"/>
        <v>0</v>
      </c>
    </row>
    <row r="1456" spans="1:16">
      <c r="A1456">
        <v>358.75</v>
      </c>
      <c r="B1456">
        <v>119.73</v>
      </c>
      <c r="C1456">
        <v>121.95</v>
      </c>
      <c r="D1456">
        <v>125.23</v>
      </c>
      <c r="E1456">
        <v>127.73</v>
      </c>
      <c r="F1456">
        <v>123.73</v>
      </c>
      <c r="G1456">
        <v>124.84</v>
      </c>
      <c r="H1456">
        <v>122.73</v>
      </c>
      <c r="K1456" s="9">
        <f t="shared" si="88"/>
        <v>-4.9999999999997158E-2</v>
      </c>
      <c r="L1456">
        <f t="shared" si="83"/>
        <v>-0.17000000000000171</v>
      </c>
      <c r="M1456">
        <f t="shared" si="84"/>
        <v>-0.10999999999999943</v>
      </c>
      <c r="N1456">
        <f t="shared" si="85"/>
        <v>-0.21999999999999886</v>
      </c>
      <c r="O1456">
        <f t="shared" si="86"/>
        <v>-6.0000000000002274E-2</v>
      </c>
      <c r="P1456" s="10">
        <f t="shared" si="87"/>
        <v>-0.17000000000000171</v>
      </c>
    </row>
    <row r="1457" spans="1:16">
      <c r="A1457">
        <v>359</v>
      </c>
      <c r="B1457">
        <v>119.67</v>
      </c>
      <c r="C1457">
        <v>122.06</v>
      </c>
      <c r="D1457">
        <v>125.23</v>
      </c>
      <c r="E1457">
        <v>127.73</v>
      </c>
      <c r="F1457">
        <v>123.56</v>
      </c>
      <c r="G1457">
        <v>124.95</v>
      </c>
      <c r="H1457">
        <v>122.73</v>
      </c>
      <c r="K1457" s="9">
        <f t="shared" si="88"/>
        <v>-0.21999999999999886</v>
      </c>
      <c r="L1457">
        <f t="shared" si="83"/>
        <v>-0.21999999999999886</v>
      </c>
      <c r="M1457">
        <f t="shared" si="84"/>
        <v>-0.21999999999999886</v>
      </c>
      <c r="N1457">
        <f t="shared" si="85"/>
        <v>0</v>
      </c>
      <c r="O1457">
        <f t="shared" si="86"/>
        <v>-0.21999999999999886</v>
      </c>
      <c r="P1457" s="10">
        <f t="shared" si="87"/>
        <v>-0.17000000000000171</v>
      </c>
    </row>
    <row r="1458" spans="1:16">
      <c r="A1458">
        <v>359.25</v>
      </c>
      <c r="B1458">
        <v>119.67</v>
      </c>
      <c r="C1458">
        <v>121.9</v>
      </c>
      <c r="D1458">
        <v>125.17</v>
      </c>
      <c r="E1458">
        <v>127.62</v>
      </c>
      <c r="F1458">
        <v>123.62</v>
      </c>
      <c r="G1458">
        <v>124.84</v>
      </c>
      <c r="H1458">
        <v>122.78</v>
      </c>
      <c r="K1458" s="9">
        <f t="shared" si="88"/>
        <v>-0.12000000000000455</v>
      </c>
      <c r="L1458">
        <f t="shared" si="83"/>
        <v>-0.21999999999999886</v>
      </c>
      <c r="M1458">
        <f t="shared" si="84"/>
        <v>-0.10999999999999943</v>
      </c>
      <c r="N1458">
        <f t="shared" si="85"/>
        <v>-0.10999999999999943</v>
      </c>
      <c r="O1458">
        <f t="shared" si="86"/>
        <v>-0.10999999999999943</v>
      </c>
      <c r="P1458" s="10">
        <f t="shared" si="87"/>
        <v>-0.10999999999999943</v>
      </c>
    </row>
    <row r="1459" spans="1:16">
      <c r="A1459">
        <v>359.5</v>
      </c>
      <c r="B1459">
        <v>119.67</v>
      </c>
      <c r="C1459">
        <v>121.9</v>
      </c>
      <c r="D1459">
        <v>125.06</v>
      </c>
      <c r="E1459">
        <v>127.62</v>
      </c>
      <c r="F1459">
        <v>123.51</v>
      </c>
      <c r="G1459">
        <v>124.78</v>
      </c>
      <c r="H1459">
        <v>122.56</v>
      </c>
      <c r="K1459" s="9">
        <f t="shared" si="88"/>
        <v>-0.12000000000000455</v>
      </c>
      <c r="L1459">
        <f t="shared" si="83"/>
        <v>-0.15999999999999659</v>
      </c>
      <c r="M1459">
        <f t="shared" si="84"/>
        <v>-0.10999999999999943</v>
      </c>
      <c r="N1459">
        <f t="shared" si="85"/>
        <v>0</v>
      </c>
      <c r="O1459">
        <f t="shared" si="86"/>
        <v>-0.10999999999999943</v>
      </c>
      <c r="P1459" s="10">
        <f t="shared" si="87"/>
        <v>6.0000000000002274E-2</v>
      </c>
    </row>
    <row r="1460" spans="1:16">
      <c r="A1460">
        <v>359.75</v>
      </c>
      <c r="B1460">
        <v>119.62</v>
      </c>
      <c r="C1460">
        <v>121.84</v>
      </c>
      <c r="D1460">
        <v>125.01</v>
      </c>
      <c r="E1460">
        <v>127.51</v>
      </c>
      <c r="F1460">
        <v>123.56</v>
      </c>
      <c r="G1460">
        <v>124.73</v>
      </c>
      <c r="H1460">
        <v>122.56</v>
      </c>
      <c r="K1460" s="9">
        <f t="shared" si="88"/>
        <v>-0.10999999999999943</v>
      </c>
      <c r="L1460">
        <f t="shared" si="83"/>
        <v>-6.0000000000002274E-2</v>
      </c>
      <c r="M1460">
        <f t="shared" si="84"/>
        <v>-0.10999999999999943</v>
      </c>
      <c r="N1460">
        <f t="shared" si="85"/>
        <v>-4.9999999999997158E-2</v>
      </c>
      <c r="O1460">
        <f t="shared" si="86"/>
        <v>-0.17000000000000171</v>
      </c>
      <c r="P1460" s="10">
        <f t="shared" si="87"/>
        <v>0</v>
      </c>
    </row>
    <row r="1461" spans="1:16">
      <c r="A1461">
        <v>360</v>
      </c>
      <c r="B1461">
        <v>119.51</v>
      </c>
      <c r="C1461">
        <v>121.78</v>
      </c>
      <c r="D1461">
        <v>124.95</v>
      </c>
      <c r="E1461">
        <v>127.51</v>
      </c>
      <c r="F1461">
        <v>123.51</v>
      </c>
      <c r="G1461">
        <v>124.73</v>
      </c>
      <c r="H1461">
        <v>122.67</v>
      </c>
      <c r="K1461" s="9">
        <f t="shared" si="88"/>
        <v>0</v>
      </c>
      <c r="L1461">
        <f t="shared" si="83"/>
        <v>-4.9999999999997158E-2</v>
      </c>
      <c r="M1461">
        <f t="shared" si="84"/>
        <v>0</v>
      </c>
      <c r="N1461">
        <f t="shared" si="85"/>
        <v>0</v>
      </c>
      <c r="O1461">
        <f t="shared" si="86"/>
        <v>-0.17000000000000171</v>
      </c>
      <c r="P1461" s="10">
        <f t="shared" si="87"/>
        <v>-0.32999999999999829</v>
      </c>
    </row>
    <row r="1462" spans="1:16">
      <c r="A1462">
        <v>360.25</v>
      </c>
      <c r="B1462">
        <v>119.56</v>
      </c>
      <c r="C1462">
        <v>121.78</v>
      </c>
      <c r="D1462">
        <v>124.9</v>
      </c>
      <c r="E1462">
        <v>127.51</v>
      </c>
      <c r="F1462">
        <v>123.51</v>
      </c>
      <c r="G1462">
        <v>124.67</v>
      </c>
      <c r="H1462">
        <v>122.62</v>
      </c>
      <c r="K1462" s="9">
        <f t="shared" si="88"/>
        <v>0</v>
      </c>
      <c r="L1462">
        <f t="shared" si="83"/>
        <v>-6.0000000000002274E-2</v>
      </c>
      <c r="M1462">
        <f t="shared" si="84"/>
        <v>-6.0000000000002274E-2</v>
      </c>
      <c r="N1462">
        <f t="shared" si="85"/>
        <v>-0.10999999999999943</v>
      </c>
      <c r="O1462">
        <f t="shared" si="86"/>
        <v>-0.15999999999999659</v>
      </c>
      <c r="P1462" s="10">
        <f t="shared" si="87"/>
        <v>-0.28000000000000114</v>
      </c>
    </row>
    <row r="1463" spans="1:16">
      <c r="A1463">
        <v>360.5</v>
      </c>
      <c r="B1463">
        <v>119.51</v>
      </c>
      <c r="C1463">
        <v>121.73</v>
      </c>
      <c r="D1463">
        <v>124.95</v>
      </c>
      <c r="E1463">
        <v>127.4</v>
      </c>
      <c r="F1463">
        <v>123.51</v>
      </c>
      <c r="G1463">
        <v>124.56</v>
      </c>
      <c r="H1463">
        <v>122.56</v>
      </c>
      <c r="K1463" s="9">
        <f t="shared" si="88"/>
        <v>-6.0000000000002274E-2</v>
      </c>
      <c r="L1463">
        <f t="shared" si="83"/>
        <v>-0.28000000000000114</v>
      </c>
      <c r="M1463">
        <f t="shared" si="84"/>
        <v>-6.0000000000002274E-2</v>
      </c>
      <c r="N1463">
        <f t="shared" si="85"/>
        <v>-0.10999999999999943</v>
      </c>
      <c r="O1463">
        <f t="shared" si="86"/>
        <v>-0.10999999999999943</v>
      </c>
      <c r="P1463" s="10">
        <f t="shared" si="87"/>
        <v>-0.21999999999999886</v>
      </c>
    </row>
    <row r="1464" spans="1:16">
      <c r="A1464">
        <v>360.75</v>
      </c>
      <c r="B1464">
        <v>119.45</v>
      </c>
      <c r="C1464">
        <v>121.78</v>
      </c>
      <c r="D1464">
        <v>124.9</v>
      </c>
      <c r="E1464">
        <v>127.51</v>
      </c>
      <c r="F1464">
        <v>123.51</v>
      </c>
      <c r="G1464">
        <v>124.56</v>
      </c>
      <c r="H1464">
        <v>122.34</v>
      </c>
      <c r="K1464" s="9">
        <f t="shared" si="88"/>
        <v>-0.10999999999999943</v>
      </c>
      <c r="L1464">
        <f t="shared" si="83"/>
        <v>-0.5</v>
      </c>
      <c r="M1464">
        <f t="shared" si="84"/>
        <v>-0.23000000000000398</v>
      </c>
      <c r="N1464">
        <f t="shared" si="85"/>
        <v>-0.17000000000000171</v>
      </c>
      <c r="O1464">
        <f t="shared" si="86"/>
        <v>-0.15999999999999659</v>
      </c>
      <c r="P1464" s="10">
        <f t="shared" si="87"/>
        <v>0.17000000000000171</v>
      </c>
    </row>
    <row r="1465" spans="1:16">
      <c r="A1465">
        <v>361</v>
      </c>
      <c r="B1465">
        <v>119.51</v>
      </c>
      <c r="C1465">
        <v>121.78</v>
      </c>
      <c r="D1465">
        <v>124.84</v>
      </c>
      <c r="E1465">
        <v>127.45</v>
      </c>
      <c r="F1465">
        <v>123.4</v>
      </c>
      <c r="G1465">
        <v>124.51</v>
      </c>
      <c r="H1465">
        <v>122.34</v>
      </c>
      <c r="K1465" s="9">
        <f t="shared" si="88"/>
        <v>-0.15999999999999659</v>
      </c>
      <c r="L1465">
        <f t="shared" si="83"/>
        <v>-0.56000000000000227</v>
      </c>
      <c r="M1465">
        <f t="shared" si="84"/>
        <v>-0.17000000000000171</v>
      </c>
      <c r="N1465">
        <f t="shared" si="85"/>
        <v>-0.12000000000000455</v>
      </c>
      <c r="O1465">
        <f t="shared" si="86"/>
        <v>-0.10999999999999943</v>
      </c>
      <c r="P1465" s="10">
        <f t="shared" si="87"/>
        <v>0.21999999999999886</v>
      </c>
    </row>
    <row r="1466" spans="1:16">
      <c r="A1466">
        <v>361.25</v>
      </c>
      <c r="B1466">
        <v>119.45</v>
      </c>
      <c r="C1466">
        <v>121.67</v>
      </c>
      <c r="D1466">
        <v>124.67</v>
      </c>
      <c r="E1466">
        <v>127.34</v>
      </c>
      <c r="F1466">
        <v>123.4</v>
      </c>
      <c r="G1466">
        <v>124.45</v>
      </c>
      <c r="H1466">
        <v>122.34</v>
      </c>
      <c r="K1466" s="9">
        <f t="shared" si="88"/>
        <v>0</v>
      </c>
      <c r="L1466">
        <f t="shared" si="83"/>
        <v>-0.5</v>
      </c>
      <c r="M1466">
        <f t="shared" si="84"/>
        <v>-0.17000000000000171</v>
      </c>
      <c r="N1466">
        <f t="shared" si="85"/>
        <v>-0.17000000000000171</v>
      </c>
      <c r="O1466">
        <f t="shared" si="86"/>
        <v>-0.10999999999999943</v>
      </c>
      <c r="P1466" s="10">
        <f t="shared" si="87"/>
        <v>0.21999999999999886</v>
      </c>
    </row>
    <row r="1467" spans="1:16">
      <c r="A1467">
        <v>361.5</v>
      </c>
      <c r="B1467">
        <v>119.34</v>
      </c>
      <c r="C1467">
        <v>121.67</v>
      </c>
      <c r="D1467">
        <v>124.4</v>
      </c>
      <c r="E1467">
        <v>127.28</v>
      </c>
      <c r="F1467">
        <v>123.34</v>
      </c>
      <c r="G1467">
        <v>124.4</v>
      </c>
      <c r="H1467">
        <v>122.51</v>
      </c>
      <c r="K1467" s="9">
        <f t="shared" si="88"/>
        <v>-0.10999999999999943</v>
      </c>
      <c r="L1467">
        <f t="shared" si="83"/>
        <v>-0.23000000000000398</v>
      </c>
      <c r="M1467">
        <f t="shared" si="84"/>
        <v>-0.10999999999999943</v>
      </c>
      <c r="N1467">
        <f t="shared" si="85"/>
        <v>-0.10999999999999943</v>
      </c>
      <c r="O1467">
        <f t="shared" si="86"/>
        <v>-0.12000000000000455</v>
      </c>
      <c r="P1467" s="10">
        <f t="shared" si="87"/>
        <v>4.9999999999997158E-2</v>
      </c>
    </row>
    <row r="1468" spans="1:16">
      <c r="A1468">
        <v>361.75</v>
      </c>
      <c r="B1468">
        <v>119.34</v>
      </c>
      <c r="C1468">
        <v>121.62</v>
      </c>
      <c r="D1468">
        <v>124.28</v>
      </c>
      <c r="E1468">
        <v>127.28</v>
      </c>
      <c r="F1468">
        <v>123.28</v>
      </c>
      <c r="G1468">
        <v>124.4</v>
      </c>
      <c r="H1468">
        <v>122.56</v>
      </c>
      <c r="K1468" s="9">
        <f t="shared" si="88"/>
        <v>-6.0000000000002274E-2</v>
      </c>
      <c r="L1468">
        <f t="shared" si="83"/>
        <v>-0.26999999999999602</v>
      </c>
      <c r="M1468">
        <f t="shared" si="84"/>
        <v>-0.21999999999999886</v>
      </c>
      <c r="N1468">
        <f t="shared" si="85"/>
        <v>-0.15999999999999659</v>
      </c>
      <c r="O1468">
        <f t="shared" si="86"/>
        <v>-0.28000000000000114</v>
      </c>
      <c r="P1468" s="10">
        <f t="shared" si="87"/>
        <v>-4.9999999999997158E-2</v>
      </c>
    </row>
    <row r="1469" spans="1:16">
      <c r="A1469">
        <v>362</v>
      </c>
      <c r="B1469">
        <v>119.28</v>
      </c>
      <c r="C1469">
        <v>121.67</v>
      </c>
      <c r="D1469">
        <v>124.17</v>
      </c>
      <c r="E1469">
        <v>127.17</v>
      </c>
      <c r="F1469">
        <v>123.23</v>
      </c>
      <c r="G1469">
        <v>124.34</v>
      </c>
      <c r="H1469">
        <v>122.56</v>
      </c>
      <c r="K1469" s="9">
        <f t="shared" si="88"/>
        <v>-0.10999999999999943</v>
      </c>
      <c r="L1469">
        <f t="shared" si="83"/>
        <v>-0.21999999999999886</v>
      </c>
      <c r="M1469">
        <f t="shared" si="84"/>
        <v>-0.10999999999999943</v>
      </c>
      <c r="N1469">
        <f t="shared" si="85"/>
        <v>-0.10999999999999943</v>
      </c>
      <c r="O1469">
        <f t="shared" si="86"/>
        <v>-0.21999999999999886</v>
      </c>
      <c r="P1469" s="10">
        <f t="shared" si="87"/>
        <v>0</v>
      </c>
    </row>
    <row r="1470" spans="1:16">
      <c r="A1470">
        <v>362.25</v>
      </c>
      <c r="B1470">
        <v>119.23</v>
      </c>
      <c r="C1470">
        <v>121.56</v>
      </c>
      <c r="D1470">
        <v>124.17</v>
      </c>
      <c r="E1470">
        <v>127.17</v>
      </c>
      <c r="F1470">
        <v>123.23</v>
      </c>
      <c r="G1470">
        <v>124.28</v>
      </c>
      <c r="H1470">
        <v>122.56</v>
      </c>
      <c r="K1470" s="9">
        <f t="shared" si="88"/>
        <v>-4.9999999999997158E-2</v>
      </c>
      <c r="L1470">
        <f t="shared" si="83"/>
        <v>-0.15999999999999659</v>
      </c>
      <c r="M1470">
        <f t="shared" si="84"/>
        <v>-0.10999999999999943</v>
      </c>
      <c r="N1470">
        <f t="shared" si="85"/>
        <v>-0.17000000000000171</v>
      </c>
      <c r="O1470">
        <f t="shared" si="86"/>
        <v>-0.32999999999999829</v>
      </c>
      <c r="P1470" s="10">
        <f t="shared" si="87"/>
        <v>-0.21999999999999886</v>
      </c>
    </row>
    <row r="1471" spans="1:16">
      <c r="A1471">
        <v>362.5</v>
      </c>
      <c r="B1471">
        <v>119.17</v>
      </c>
      <c r="C1471">
        <v>121.56</v>
      </c>
      <c r="D1471">
        <v>124.01</v>
      </c>
      <c r="E1471">
        <v>127.06</v>
      </c>
      <c r="F1471">
        <v>123.12</v>
      </c>
      <c r="G1471">
        <v>124.12</v>
      </c>
      <c r="H1471">
        <v>122.51</v>
      </c>
      <c r="K1471" s="9">
        <f t="shared" si="88"/>
        <v>-4.9999999999997158E-2</v>
      </c>
      <c r="L1471">
        <f t="shared" si="83"/>
        <v>-6.0000000000002274E-2</v>
      </c>
      <c r="M1471">
        <f t="shared" si="84"/>
        <v>-0.10999999999999943</v>
      </c>
      <c r="N1471">
        <f t="shared" si="85"/>
        <v>-6.0000000000002274E-2</v>
      </c>
      <c r="O1471">
        <f t="shared" si="86"/>
        <v>-0.10999999999999943</v>
      </c>
      <c r="P1471" s="10">
        <f t="shared" si="87"/>
        <v>-0.17000000000000171</v>
      </c>
    </row>
    <row r="1472" spans="1:16">
      <c r="A1472">
        <v>362.75</v>
      </c>
      <c r="B1472">
        <v>119.06</v>
      </c>
      <c r="C1472">
        <v>121.56</v>
      </c>
      <c r="D1472">
        <v>123.95</v>
      </c>
      <c r="E1472">
        <v>127.06</v>
      </c>
      <c r="F1472">
        <v>123.12</v>
      </c>
      <c r="G1472">
        <v>124.12</v>
      </c>
      <c r="H1472">
        <v>122.56</v>
      </c>
      <c r="K1472" s="9">
        <f t="shared" si="88"/>
        <v>-0.15999999999999659</v>
      </c>
      <c r="L1472">
        <f t="shared" si="83"/>
        <v>0</v>
      </c>
      <c r="M1472">
        <f t="shared" si="84"/>
        <v>0</v>
      </c>
      <c r="N1472">
        <f t="shared" si="85"/>
        <v>-0.10999999999999943</v>
      </c>
      <c r="O1472">
        <f t="shared" si="86"/>
        <v>-0.17000000000000171</v>
      </c>
      <c r="P1472" s="10">
        <f t="shared" si="87"/>
        <v>-0.15999999999999659</v>
      </c>
    </row>
    <row r="1473" spans="1:16">
      <c r="A1473">
        <v>363</v>
      </c>
      <c r="B1473">
        <v>119.06</v>
      </c>
      <c r="C1473">
        <v>121.51</v>
      </c>
      <c r="D1473">
        <v>124.01</v>
      </c>
      <c r="E1473">
        <v>127.06</v>
      </c>
      <c r="F1473">
        <v>123.06</v>
      </c>
      <c r="G1473">
        <v>123.95</v>
      </c>
      <c r="H1473">
        <v>122.34</v>
      </c>
      <c r="K1473" s="9">
        <f t="shared" si="88"/>
        <v>-6.0000000000002274E-2</v>
      </c>
      <c r="L1473">
        <f t="shared" si="83"/>
        <v>-6.0000000000002274E-2</v>
      </c>
      <c r="M1473">
        <f t="shared" si="84"/>
        <v>-4.9999999999997158E-2</v>
      </c>
      <c r="N1473">
        <f t="shared" si="85"/>
        <v>-4.9999999999997158E-2</v>
      </c>
      <c r="O1473">
        <f t="shared" si="86"/>
        <v>-4.9999999999997158E-2</v>
      </c>
      <c r="P1473" s="10">
        <f t="shared" si="87"/>
        <v>0.10999999999999943</v>
      </c>
    </row>
    <row r="1474" spans="1:16">
      <c r="A1474">
        <v>363.25</v>
      </c>
      <c r="B1474">
        <v>119.06</v>
      </c>
      <c r="C1474">
        <v>121.51</v>
      </c>
      <c r="D1474">
        <v>123.95</v>
      </c>
      <c r="E1474">
        <v>126.95</v>
      </c>
      <c r="F1474">
        <v>123.06</v>
      </c>
      <c r="G1474">
        <v>124.01</v>
      </c>
      <c r="H1474">
        <v>122.34</v>
      </c>
      <c r="K1474" s="9">
        <f t="shared" si="88"/>
        <v>0</v>
      </c>
      <c r="L1474">
        <f t="shared" si="83"/>
        <v>-4.9999999999997158E-2</v>
      </c>
      <c r="M1474">
        <f t="shared" si="84"/>
        <v>-0.10999999999999943</v>
      </c>
      <c r="N1474">
        <f t="shared" si="85"/>
        <v>-0.15999999999999659</v>
      </c>
      <c r="O1474">
        <f t="shared" si="86"/>
        <v>-0.17000000000000171</v>
      </c>
      <c r="P1474" s="10">
        <f t="shared" si="87"/>
        <v>0.17000000000000171</v>
      </c>
    </row>
    <row r="1475" spans="1:16">
      <c r="A1475">
        <v>363.5</v>
      </c>
      <c r="B1475">
        <v>118.95</v>
      </c>
      <c r="C1475">
        <v>121.4</v>
      </c>
      <c r="D1475">
        <v>123.95</v>
      </c>
      <c r="E1475">
        <v>127.06</v>
      </c>
      <c r="F1475">
        <v>123.01</v>
      </c>
      <c r="G1475">
        <v>123.95</v>
      </c>
      <c r="H1475">
        <v>122.4</v>
      </c>
      <c r="K1475" s="9">
        <f t="shared" si="88"/>
        <v>4.9999999999997158E-2</v>
      </c>
      <c r="L1475">
        <f t="shared" si="83"/>
        <v>-4.9999999999997158E-2</v>
      </c>
      <c r="M1475">
        <f t="shared" si="84"/>
        <v>-0.15999999999999659</v>
      </c>
      <c r="N1475">
        <f t="shared" si="85"/>
        <v>-6.0000000000002274E-2</v>
      </c>
      <c r="O1475">
        <f t="shared" si="86"/>
        <v>-0.17000000000000171</v>
      </c>
      <c r="P1475" s="10">
        <f t="shared" si="87"/>
        <v>0.15999999999999659</v>
      </c>
    </row>
    <row r="1476" spans="1:16">
      <c r="A1476">
        <v>363.75</v>
      </c>
      <c r="B1476">
        <v>119.06</v>
      </c>
      <c r="C1476">
        <v>121.45</v>
      </c>
      <c r="D1476">
        <v>123.95</v>
      </c>
      <c r="E1476">
        <v>127.01</v>
      </c>
      <c r="F1476">
        <v>123.01</v>
      </c>
      <c r="G1476">
        <v>123.9</v>
      </c>
      <c r="H1476">
        <v>122.45</v>
      </c>
      <c r="K1476" s="9">
        <f t="shared" si="88"/>
        <v>-0.10999999999999943</v>
      </c>
      <c r="L1476">
        <f t="shared" si="83"/>
        <v>-0.10999999999999943</v>
      </c>
      <c r="M1476">
        <f t="shared" si="84"/>
        <v>-0.10999999999999943</v>
      </c>
      <c r="N1476">
        <f t="shared" si="85"/>
        <v>-6.0000000000002274E-2</v>
      </c>
      <c r="O1476">
        <f t="shared" si="86"/>
        <v>-6.0000000000002274E-2</v>
      </c>
      <c r="P1476" s="10">
        <f t="shared" si="87"/>
        <v>0.28000000000000114</v>
      </c>
    </row>
    <row r="1477" spans="1:16">
      <c r="A1477">
        <v>364</v>
      </c>
      <c r="B1477">
        <v>118.95</v>
      </c>
      <c r="C1477">
        <v>121.51</v>
      </c>
      <c r="D1477">
        <v>123.9</v>
      </c>
      <c r="E1477">
        <v>126.84</v>
      </c>
      <c r="F1477">
        <v>122.9</v>
      </c>
      <c r="G1477">
        <v>123.84</v>
      </c>
      <c r="H1477">
        <v>122.51</v>
      </c>
      <c r="K1477" s="9">
        <f t="shared" si="88"/>
        <v>-0.10999999999999943</v>
      </c>
      <c r="L1477">
        <f t="shared" si="83"/>
        <v>-6.0000000000002274E-2</v>
      </c>
      <c r="M1477">
        <f t="shared" si="84"/>
        <v>0</v>
      </c>
      <c r="N1477">
        <f t="shared" si="85"/>
        <v>-0.12000000000000455</v>
      </c>
      <c r="O1477">
        <f t="shared" si="86"/>
        <v>-6.0000000000002274E-2</v>
      </c>
      <c r="P1477" s="10">
        <f t="shared" si="87"/>
        <v>0.21999999999999886</v>
      </c>
    </row>
    <row r="1478" spans="1:16">
      <c r="A1478">
        <v>364.25</v>
      </c>
      <c r="B1478">
        <v>118.95</v>
      </c>
      <c r="C1478">
        <v>121.45</v>
      </c>
      <c r="D1478">
        <v>123.9</v>
      </c>
      <c r="E1478">
        <v>126.9</v>
      </c>
      <c r="F1478">
        <v>122.95</v>
      </c>
      <c r="G1478">
        <v>123.78</v>
      </c>
      <c r="H1478">
        <v>122.56</v>
      </c>
      <c r="K1478" s="9">
        <f t="shared" si="88"/>
        <v>-0.10999999999999943</v>
      </c>
      <c r="L1478">
        <f t="shared" si="83"/>
        <v>-0.12000000000000455</v>
      </c>
      <c r="M1478">
        <f t="shared" si="84"/>
        <v>-0.17000000000000171</v>
      </c>
      <c r="N1478">
        <f t="shared" si="85"/>
        <v>-0.17000000000000171</v>
      </c>
      <c r="O1478">
        <f t="shared" si="86"/>
        <v>-4.9999999999997158E-2</v>
      </c>
      <c r="P1478" s="10">
        <f t="shared" si="87"/>
        <v>0.10999999999999943</v>
      </c>
    </row>
    <row r="1479" spans="1:16">
      <c r="A1479">
        <v>364.5</v>
      </c>
      <c r="B1479">
        <v>118.84</v>
      </c>
      <c r="C1479">
        <v>121.34</v>
      </c>
      <c r="D1479">
        <v>123.84</v>
      </c>
      <c r="E1479">
        <v>126.9</v>
      </c>
      <c r="F1479">
        <v>122.95</v>
      </c>
      <c r="G1479">
        <v>123.84</v>
      </c>
      <c r="H1479">
        <v>122.73</v>
      </c>
      <c r="K1479" s="9">
        <f t="shared" si="88"/>
        <v>0</v>
      </c>
      <c r="L1479">
        <f t="shared" si="83"/>
        <v>-0.10999999999999943</v>
      </c>
      <c r="M1479">
        <f t="shared" si="84"/>
        <v>-0.12000000000000455</v>
      </c>
      <c r="N1479">
        <f t="shared" si="85"/>
        <v>-0.21999999999999886</v>
      </c>
      <c r="O1479">
        <f t="shared" si="86"/>
        <v>-0.17000000000000171</v>
      </c>
      <c r="P1479" s="10">
        <f t="shared" si="87"/>
        <v>-0.10999999999999943</v>
      </c>
    </row>
    <row r="1480" spans="1:16">
      <c r="A1480">
        <v>364.75</v>
      </c>
      <c r="B1480">
        <v>118.62</v>
      </c>
      <c r="C1480">
        <v>121.4</v>
      </c>
      <c r="D1480">
        <v>123.84</v>
      </c>
      <c r="E1480">
        <v>126.84</v>
      </c>
      <c r="F1480">
        <v>122.78</v>
      </c>
      <c r="G1480">
        <v>123.78</v>
      </c>
      <c r="H1480">
        <v>122.73</v>
      </c>
      <c r="K1480" s="9">
        <f t="shared" si="88"/>
        <v>-0.12000000000000455</v>
      </c>
      <c r="L1480">
        <f t="shared" si="83"/>
        <v>-0.21999999999999886</v>
      </c>
      <c r="M1480">
        <f t="shared" si="84"/>
        <v>-0.10999999999999943</v>
      </c>
      <c r="N1480">
        <f t="shared" si="85"/>
        <v>-0.15999999999999659</v>
      </c>
      <c r="O1480">
        <f t="shared" si="86"/>
        <v>-0.15999999999999659</v>
      </c>
      <c r="P1480" s="10">
        <f t="shared" si="87"/>
        <v>-0.10999999999999943</v>
      </c>
    </row>
    <row r="1481" spans="1:16">
      <c r="A1481">
        <v>365</v>
      </c>
      <c r="B1481">
        <v>118.45</v>
      </c>
      <c r="C1481">
        <v>121.34</v>
      </c>
      <c r="D1481">
        <v>123.78</v>
      </c>
      <c r="E1481">
        <v>126.73</v>
      </c>
      <c r="F1481">
        <v>122.78</v>
      </c>
      <c r="G1481">
        <v>123.73</v>
      </c>
      <c r="H1481">
        <v>122.67</v>
      </c>
      <c r="K1481" s="9">
        <f t="shared" si="88"/>
        <v>0</v>
      </c>
      <c r="L1481">
        <f t="shared" si="83"/>
        <v>-0.21999999999999886</v>
      </c>
      <c r="M1481">
        <f t="shared" si="84"/>
        <v>-6.0000000000002274E-2</v>
      </c>
      <c r="N1481">
        <f t="shared" si="85"/>
        <v>-0.21999999999999886</v>
      </c>
      <c r="O1481">
        <f t="shared" si="86"/>
        <v>-0.21999999999999886</v>
      </c>
      <c r="P1481" s="10">
        <f t="shared" si="87"/>
        <v>-0.10999999999999943</v>
      </c>
    </row>
    <row r="1482" spans="1:16">
      <c r="A1482">
        <v>365.25</v>
      </c>
      <c r="B1482">
        <v>118.28</v>
      </c>
      <c r="C1482">
        <v>121.34</v>
      </c>
      <c r="D1482">
        <v>123.73</v>
      </c>
      <c r="E1482">
        <v>126.78</v>
      </c>
      <c r="F1482">
        <v>122.73</v>
      </c>
      <c r="G1482">
        <v>123.67</v>
      </c>
      <c r="H1482">
        <v>122.62</v>
      </c>
      <c r="K1482" s="9">
        <f t="shared" si="88"/>
        <v>-0.10999999999999943</v>
      </c>
      <c r="L1482">
        <f t="shared" ref="L1482:L1545" si="89">D1485-D1482</f>
        <v>-0.17000000000000171</v>
      </c>
      <c r="M1482">
        <f t="shared" ref="M1482:M1545" si="90">E1485-E1482</f>
        <v>-4.9999999999997158E-2</v>
      </c>
      <c r="N1482">
        <f t="shared" ref="N1482:N1545" si="91">F1485-F1482</f>
        <v>-0.21999999999999886</v>
      </c>
      <c r="O1482">
        <f t="shared" ref="O1482:O1545" si="92">G1485-G1482</f>
        <v>-0.10999999999999943</v>
      </c>
      <c r="P1482" s="10">
        <f t="shared" ref="P1482:P1545" si="93">H1485-H1482</f>
        <v>-6.0000000000002274E-2</v>
      </c>
    </row>
    <row r="1483" spans="1:16">
      <c r="A1483">
        <v>365.5</v>
      </c>
      <c r="B1483">
        <v>118.12</v>
      </c>
      <c r="C1483">
        <v>121.28</v>
      </c>
      <c r="D1483">
        <v>123.62</v>
      </c>
      <c r="E1483">
        <v>126.73</v>
      </c>
      <c r="F1483">
        <v>122.62</v>
      </c>
      <c r="G1483">
        <v>123.62</v>
      </c>
      <c r="H1483">
        <v>122.62</v>
      </c>
      <c r="K1483" s="9">
        <f t="shared" ref="K1483:K1546" si="94">C1486-C1483</f>
        <v>-4.9999999999997158E-2</v>
      </c>
      <c r="L1483">
        <f t="shared" si="89"/>
        <v>-0.17000000000000171</v>
      </c>
      <c r="M1483">
        <f t="shared" si="90"/>
        <v>-6.0000000000002274E-2</v>
      </c>
      <c r="N1483">
        <f t="shared" si="91"/>
        <v>-6.0000000000002274E-2</v>
      </c>
      <c r="O1483">
        <f t="shared" si="92"/>
        <v>-0.10999999999999943</v>
      </c>
      <c r="P1483" s="10">
        <f t="shared" si="93"/>
        <v>-6.0000000000002274E-2</v>
      </c>
    </row>
    <row r="1484" spans="1:16">
      <c r="A1484">
        <v>365.75</v>
      </c>
      <c r="B1484">
        <v>117.95</v>
      </c>
      <c r="C1484">
        <v>121.34</v>
      </c>
      <c r="D1484">
        <v>123.56</v>
      </c>
      <c r="E1484">
        <v>126.67</v>
      </c>
      <c r="F1484">
        <v>122.56</v>
      </c>
      <c r="G1484">
        <v>123.51</v>
      </c>
      <c r="H1484">
        <v>122.56</v>
      </c>
      <c r="K1484" s="9">
        <f t="shared" si="94"/>
        <v>-6.0000000000002274E-2</v>
      </c>
      <c r="L1484">
        <f t="shared" si="89"/>
        <v>-0.10999999999999943</v>
      </c>
      <c r="M1484">
        <f t="shared" si="90"/>
        <v>-4.9999999999997158E-2</v>
      </c>
      <c r="N1484">
        <f t="shared" si="91"/>
        <v>-4.9999999999997158E-2</v>
      </c>
      <c r="O1484">
        <f t="shared" si="92"/>
        <v>0</v>
      </c>
      <c r="P1484" s="10">
        <f t="shared" si="93"/>
        <v>-0.10999999999999943</v>
      </c>
    </row>
    <row r="1485" spans="1:16">
      <c r="A1485">
        <v>366</v>
      </c>
      <c r="B1485">
        <v>117.84</v>
      </c>
      <c r="C1485">
        <v>121.23</v>
      </c>
      <c r="D1485">
        <v>123.56</v>
      </c>
      <c r="E1485">
        <v>126.73</v>
      </c>
      <c r="F1485">
        <v>122.51</v>
      </c>
      <c r="G1485">
        <v>123.56</v>
      </c>
      <c r="H1485">
        <v>122.56</v>
      </c>
      <c r="K1485" s="9">
        <f t="shared" si="94"/>
        <v>4.9999999999997158E-2</v>
      </c>
      <c r="L1485">
        <f t="shared" si="89"/>
        <v>-0.15999999999999659</v>
      </c>
      <c r="M1485">
        <f t="shared" si="90"/>
        <v>-0.21999999999999886</v>
      </c>
      <c r="N1485">
        <f t="shared" si="91"/>
        <v>-6.0000000000002274E-2</v>
      </c>
      <c r="O1485">
        <f t="shared" si="92"/>
        <v>-0.10999999999999943</v>
      </c>
      <c r="P1485" s="10">
        <f t="shared" si="93"/>
        <v>-4.9999999999997158E-2</v>
      </c>
    </row>
    <row r="1486" spans="1:16">
      <c r="A1486">
        <v>366.25</v>
      </c>
      <c r="B1486">
        <v>117.78</v>
      </c>
      <c r="C1486">
        <v>121.23</v>
      </c>
      <c r="D1486">
        <v>123.45</v>
      </c>
      <c r="E1486">
        <v>126.67</v>
      </c>
      <c r="F1486">
        <v>122.56</v>
      </c>
      <c r="G1486">
        <v>123.51</v>
      </c>
      <c r="H1486">
        <v>122.56</v>
      </c>
      <c r="K1486" s="9">
        <f t="shared" si="94"/>
        <v>0.10999999999999943</v>
      </c>
      <c r="L1486">
        <f t="shared" si="89"/>
        <v>-0.10999999999999943</v>
      </c>
      <c r="M1486">
        <f t="shared" si="90"/>
        <v>-0.15999999999999659</v>
      </c>
      <c r="N1486">
        <f t="shared" si="91"/>
        <v>-0.15999999999999659</v>
      </c>
      <c r="O1486">
        <f t="shared" si="92"/>
        <v>-0.17000000000000171</v>
      </c>
      <c r="P1486" s="10">
        <f t="shared" si="93"/>
        <v>0</v>
      </c>
    </row>
    <row r="1487" spans="1:16">
      <c r="A1487">
        <v>366.5</v>
      </c>
      <c r="B1487">
        <v>117.67</v>
      </c>
      <c r="C1487">
        <v>121.28</v>
      </c>
      <c r="D1487">
        <v>123.45</v>
      </c>
      <c r="E1487">
        <v>126.62</v>
      </c>
      <c r="F1487">
        <v>122.51</v>
      </c>
      <c r="G1487">
        <v>123.51</v>
      </c>
      <c r="H1487">
        <v>122.45</v>
      </c>
      <c r="K1487" s="9">
        <f t="shared" si="94"/>
        <v>-4.9999999999997158E-2</v>
      </c>
      <c r="L1487">
        <f t="shared" si="89"/>
        <v>-4.9999999999997158E-2</v>
      </c>
      <c r="M1487">
        <f t="shared" si="90"/>
        <v>-0.10999999999999943</v>
      </c>
      <c r="N1487">
        <f t="shared" si="91"/>
        <v>-0.17000000000000171</v>
      </c>
      <c r="O1487">
        <f t="shared" si="92"/>
        <v>-0.17000000000000171</v>
      </c>
      <c r="P1487" s="10">
        <f t="shared" si="93"/>
        <v>0</v>
      </c>
    </row>
    <row r="1488" spans="1:16">
      <c r="A1488">
        <v>366.75</v>
      </c>
      <c r="B1488">
        <v>117.45</v>
      </c>
      <c r="C1488">
        <v>121.28</v>
      </c>
      <c r="D1488">
        <v>123.4</v>
      </c>
      <c r="E1488">
        <v>126.51</v>
      </c>
      <c r="F1488">
        <v>122.45</v>
      </c>
      <c r="G1488">
        <v>123.45</v>
      </c>
      <c r="H1488">
        <v>122.51</v>
      </c>
      <c r="K1488" s="9">
        <f t="shared" si="94"/>
        <v>-0.15999999999999659</v>
      </c>
      <c r="L1488">
        <f t="shared" si="89"/>
        <v>-6.0000000000002274E-2</v>
      </c>
      <c r="M1488">
        <f t="shared" si="90"/>
        <v>-6.0000000000002274E-2</v>
      </c>
      <c r="N1488">
        <f t="shared" si="91"/>
        <v>-0.10999999999999943</v>
      </c>
      <c r="O1488">
        <f t="shared" si="92"/>
        <v>-0.28000000000000114</v>
      </c>
      <c r="P1488" s="10">
        <f t="shared" si="93"/>
        <v>4.9999999999997158E-2</v>
      </c>
    </row>
    <row r="1489" spans="1:16">
      <c r="A1489">
        <v>367</v>
      </c>
      <c r="B1489">
        <v>117.45</v>
      </c>
      <c r="C1489">
        <v>121.34</v>
      </c>
      <c r="D1489">
        <v>123.34</v>
      </c>
      <c r="E1489">
        <v>126.51</v>
      </c>
      <c r="F1489">
        <v>122.4</v>
      </c>
      <c r="G1489">
        <v>123.34</v>
      </c>
      <c r="H1489">
        <v>122.56</v>
      </c>
      <c r="K1489" s="9">
        <f t="shared" si="94"/>
        <v>-0.21999999999999886</v>
      </c>
      <c r="L1489">
        <f t="shared" si="89"/>
        <v>6.0000000000002274E-2</v>
      </c>
      <c r="M1489">
        <f t="shared" si="90"/>
        <v>-0.17000000000000171</v>
      </c>
      <c r="N1489">
        <f t="shared" si="91"/>
        <v>-0.12000000000000455</v>
      </c>
      <c r="O1489">
        <f t="shared" si="92"/>
        <v>-0.28000000000000114</v>
      </c>
      <c r="P1489" s="10">
        <f t="shared" si="93"/>
        <v>0</v>
      </c>
    </row>
    <row r="1490" spans="1:16">
      <c r="A1490">
        <v>367.25</v>
      </c>
      <c r="B1490">
        <v>117.4</v>
      </c>
      <c r="C1490">
        <v>121.23</v>
      </c>
      <c r="D1490">
        <v>123.4</v>
      </c>
      <c r="E1490">
        <v>126.51</v>
      </c>
      <c r="F1490">
        <v>122.34</v>
      </c>
      <c r="G1490">
        <v>123.34</v>
      </c>
      <c r="H1490">
        <v>122.45</v>
      </c>
      <c r="K1490" s="9">
        <f t="shared" si="94"/>
        <v>-0.10999999999999943</v>
      </c>
      <c r="L1490">
        <f t="shared" si="89"/>
        <v>-0.23000000000000398</v>
      </c>
      <c r="M1490">
        <f t="shared" si="90"/>
        <v>-0.17000000000000171</v>
      </c>
      <c r="N1490">
        <f t="shared" si="91"/>
        <v>-0.10999999999999943</v>
      </c>
      <c r="O1490">
        <f t="shared" si="92"/>
        <v>-0.17000000000000171</v>
      </c>
      <c r="P1490" s="10">
        <f t="shared" si="93"/>
        <v>0.17000000000000171</v>
      </c>
    </row>
    <row r="1491" spans="1:16">
      <c r="A1491">
        <v>367.5</v>
      </c>
      <c r="B1491">
        <v>117.28</v>
      </c>
      <c r="C1491">
        <v>121.12</v>
      </c>
      <c r="D1491">
        <v>123.34</v>
      </c>
      <c r="E1491">
        <v>126.45</v>
      </c>
      <c r="F1491">
        <v>122.34</v>
      </c>
      <c r="G1491">
        <v>123.17</v>
      </c>
      <c r="H1491">
        <v>122.56</v>
      </c>
      <c r="K1491" s="9">
        <f t="shared" si="94"/>
        <v>0</v>
      </c>
      <c r="L1491">
        <f t="shared" si="89"/>
        <v>-0.21999999999999886</v>
      </c>
      <c r="M1491">
        <f t="shared" si="90"/>
        <v>-0.17000000000000171</v>
      </c>
      <c r="N1491">
        <f t="shared" si="91"/>
        <v>-0.10999999999999943</v>
      </c>
      <c r="O1491">
        <f t="shared" si="92"/>
        <v>-0.10999999999999943</v>
      </c>
      <c r="P1491" s="10">
        <f t="shared" si="93"/>
        <v>-0.10999999999999943</v>
      </c>
    </row>
    <row r="1492" spans="1:16">
      <c r="A1492">
        <v>367.75</v>
      </c>
      <c r="B1492">
        <v>117.28</v>
      </c>
      <c r="C1492">
        <v>121.12</v>
      </c>
      <c r="D1492">
        <v>123.4</v>
      </c>
      <c r="E1492">
        <v>126.34</v>
      </c>
      <c r="F1492">
        <v>122.28</v>
      </c>
      <c r="G1492">
        <v>123.06</v>
      </c>
      <c r="H1492">
        <v>122.56</v>
      </c>
      <c r="K1492" s="9">
        <f t="shared" si="94"/>
        <v>0</v>
      </c>
      <c r="L1492">
        <f t="shared" si="89"/>
        <v>-0.39000000000000057</v>
      </c>
      <c r="M1492">
        <f t="shared" si="90"/>
        <v>6.0000000000002274E-2</v>
      </c>
      <c r="N1492">
        <f t="shared" si="91"/>
        <v>6.0000000000002274E-2</v>
      </c>
      <c r="O1492">
        <f t="shared" si="92"/>
        <v>0.10999999999999943</v>
      </c>
      <c r="P1492" s="10">
        <f t="shared" si="93"/>
        <v>-0.10999999999999943</v>
      </c>
    </row>
    <row r="1493" spans="1:16">
      <c r="A1493">
        <v>368</v>
      </c>
      <c r="B1493">
        <v>117.23</v>
      </c>
      <c r="C1493">
        <v>121.12</v>
      </c>
      <c r="D1493">
        <v>123.17</v>
      </c>
      <c r="E1493">
        <v>126.34</v>
      </c>
      <c r="F1493">
        <v>122.23</v>
      </c>
      <c r="G1493">
        <v>123.17</v>
      </c>
      <c r="H1493">
        <v>122.62</v>
      </c>
      <c r="K1493" s="9">
        <f t="shared" si="94"/>
        <v>-6.0000000000002274E-2</v>
      </c>
      <c r="L1493">
        <f t="shared" si="89"/>
        <v>-0.26999999999999602</v>
      </c>
      <c r="M1493">
        <f t="shared" si="90"/>
        <v>0</v>
      </c>
      <c r="N1493">
        <f t="shared" si="91"/>
        <v>-6.0000000000002274E-2</v>
      </c>
      <c r="O1493">
        <f t="shared" si="92"/>
        <v>0</v>
      </c>
      <c r="P1493" s="10">
        <f t="shared" si="93"/>
        <v>-0.17000000000000171</v>
      </c>
    </row>
    <row r="1494" spans="1:16">
      <c r="A1494">
        <v>368.25</v>
      </c>
      <c r="B1494">
        <v>117.23</v>
      </c>
      <c r="C1494">
        <v>121.12</v>
      </c>
      <c r="D1494">
        <v>123.12</v>
      </c>
      <c r="E1494">
        <v>126.28</v>
      </c>
      <c r="F1494">
        <v>122.23</v>
      </c>
      <c r="G1494">
        <v>123.06</v>
      </c>
      <c r="H1494">
        <v>122.45</v>
      </c>
      <c r="K1494" s="9">
        <f t="shared" si="94"/>
        <v>0</v>
      </c>
      <c r="L1494">
        <f t="shared" si="89"/>
        <v>-0.17000000000000171</v>
      </c>
      <c r="M1494">
        <f t="shared" si="90"/>
        <v>0</v>
      </c>
      <c r="N1494">
        <f t="shared" si="91"/>
        <v>-0.10999999999999943</v>
      </c>
      <c r="O1494">
        <f t="shared" si="92"/>
        <v>-0.10999999999999943</v>
      </c>
      <c r="P1494" s="10">
        <f t="shared" si="93"/>
        <v>0.17000000000000171</v>
      </c>
    </row>
    <row r="1495" spans="1:16">
      <c r="A1495">
        <v>368.5</v>
      </c>
      <c r="B1495">
        <v>117.23</v>
      </c>
      <c r="C1495">
        <v>121.12</v>
      </c>
      <c r="D1495">
        <v>123.01</v>
      </c>
      <c r="E1495">
        <v>126.4</v>
      </c>
      <c r="F1495">
        <v>122.34</v>
      </c>
      <c r="G1495">
        <v>123.17</v>
      </c>
      <c r="H1495">
        <v>122.45</v>
      </c>
      <c r="K1495" s="9">
        <f t="shared" si="94"/>
        <v>-0.10999999999999943</v>
      </c>
      <c r="L1495">
        <f t="shared" si="89"/>
        <v>-0.23000000000000398</v>
      </c>
      <c r="M1495">
        <f t="shared" si="90"/>
        <v>-0.17000000000000171</v>
      </c>
      <c r="N1495">
        <f t="shared" si="91"/>
        <v>-0.21999999999999886</v>
      </c>
      <c r="O1495">
        <f t="shared" si="92"/>
        <v>-0.26999999999999602</v>
      </c>
      <c r="P1495" s="10">
        <f t="shared" si="93"/>
        <v>6.0000000000002274E-2</v>
      </c>
    </row>
    <row r="1496" spans="1:16">
      <c r="A1496">
        <v>368.75</v>
      </c>
      <c r="B1496">
        <v>117.06</v>
      </c>
      <c r="C1496">
        <v>121.06</v>
      </c>
      <c r="D1496">
        <v>122.9</v>
      </c>
      <c r="E1496">
        <v>126.34</v>
      </c>
      <c r="F1496">
        <v>122.17</v>
      </c>
      <c r="G1496">
        <v>123.17</v>
      </c>
      <c r="H1496">
        <v>122.45</v>
      </c>
      <c r="K1496" s="9">
        <f t="shared" si="94"/>
        <v>0</v>
      </c>
      <c r="L1496">
        <f t="shared" si="89"/>
        <v>-0.12000000000000455</v>
      </c>
      <c r="M1496">
        <f t="shared" si="90"/>
        <v>-0.17000000000000171</v>
      </c>
      <c r="N1496">
        <f t="shared" si="91"/>
        <v>-4.9999999999997158E-2</v>
      </c>
      <c r="O1496">
        <f t="shared" si="92"/>
        <v>-0.5</v>
      </c>
      <c r="P1496" s="10">
        <f t="shared" si="93"/>
        <v>6.0000000000002274E-2</v>
      </c>
    </row>
    <row r="1497" spans="1:16">
      <c r="A1497">
        <v>369</v>
      </c>
      <c r="B1497">
        <v>117.06</v>
      </c>
      <c r="C1497">
        <v>121.12</v>
      </c>
      <c r="D1497">
        <v>122.95</v>
      </c>
      <c r="E1497">
        <v>126.28</v>
      </c>
      <c r="F1497">
        <v>122.12</v>
      </c>
      <c r="G1497">
        <v>122.95</v>
      </c>
      <c r="H1497">
        <v>122.62</v>
      </c>
      <c r="K1497" s="9">
        <f t="shared" si="94"/>
        <v>-0.10999999999999943</v>
      </c>
      <c r="L1497">
        <f t="shared" si="89"/>
        <v>-0.21999999999999886</v>
      </c>
      <c r="M1497">
        <f t="shared" si="90"/>
        <v>-0.21999999999999886</v>
      </c>
      <c r="N1497">
        <f t="shared" si="91"/>
        <v>-6.0000000000002274E-2</v>
      </c>
      <c r="O1497">
        <f t="shared" si="92"/>
        <v>-0.32999999999999829</v>
      </c>
      <c r="P1497" s="10">
        <f t="shared" si="93"/>
        <v>-6.0000000000002274E-2</v>
      </c>
    </row>
    <row r="1498" spans="1:16">
      <c r="A1498">
        <v>369.25</v>
      </c>
      <c r="B1498">
        <v>116.84</v>
      </c>
      <c r="C1498">
        <v>121.01</v>
      </c>
      <c r="D1498">
        <v>122.78</v>
      </c>
      <c r="E1498">
        <v>126.23</v>
      </c>
      <c r="F1498">
        <v>122.12</v>
      </c>
      <c r="G1498">
        <v>122.9</v>
      </c>
      <c r="H1498">
        <v>122.51</v>
      </c>
      <c r="K1498" s="9">
        <f t="shared" si="94"/>
        <v>-6.0000000000002274E-2</v>
      </c>
      <c r="L1498">
        <f t="shared" si="89"/>
        <v>-4.9999999999997158E-2</v>
      </c>
      <c r="M1498">
        <f t="shared" si="90"/>
        <v>-0.21999999999999886</v>
      </c>
      <c r="N1498">
        <f t="shared" si="91"/>
        <v>0</v>
      </c>
      <c r="O1498">
        <f t="shared" si="92"/>
        <v>-0.34000000000000341</v>
      </c>
      <c r="P1498" s="10">
        <f t="shared" si="93"/>
        <v>0</v>
      </c>
    </row>
    <row r="1499" spans="1:16">
      <c r="A1499">
        <v>369.5</v>
      </c>
      <c r="B1499">
        <v>116.78</v>
      </c>
      <c r="C1499">
        <v>121.06</v>
      </c>
      <c r="D1499">
        <v>122.78</v>
      </c>
      <c r="E1499">
        <v>126.17</v>
      </c>
      <c r="F1499">
        <v>122.12</v>
      </c>
      <c r="G1499">
        <v>122.67</v>
      </c>
      <c r="H1499">
        <v>122.51</v>
      </c>
      <c r="K1499" s="9">
        <f t="shared" si="94"/>
        <v>-0.10999999999999943</v>
      </c>
      <c r="L1499">
        <f t="shared" si="89"/>
        <v>0</v>
      </c>
      <c r="M1499">
        <f t="shared" si="90"/>
        <v>-0.21999999999999886</v>
      </c>
      <c r="N1499">
        <f t="shared" si="91"/>
        <v>-0.17000000000000171</v>
      </c>
      <c r="O1499">
        <f t="shared" si="92"/>
        <v>-4.9999999999997158E-2</v>
      </c>
      <c r="P1499" s="10">
        <f t="shared" si="93"/>
        <v>-0.10999999999999943</v>
      </c>
    </row>
    <row r="1500" spans="1:16">
      <c r="A1500">
        <v>369.75</v>
      </c>
      <c r="B1500">
        <v>116.73</v>
      </c>
      <c r="C1500">
        <v>121.01</v>
      </c>
      <c r="D1500">
        <v>122.73</v>
      </c>
      <c r="E1500">
        <v>126.06</v>
      </c>
      <c r="F1500">
        <v>122.06</v>
      </c>
      <c r="G1500">
        <v>122.62</v>
      </c>
      <c r="H1500">
        <v>122.56</v>
      </c>
      <c r="K1500" s="9">
        <f t="shared" si="94"/>
        <v>-6.0000000000002274E-2</v>
      </c>
      <c r="L1500">
        <f t="shared" si="89"/>
        <v>-6.0000000000002274E-2</v>
      </c>
      <c r="M1500">
        <f t="shared" si="90"/>
        <v>-0.10999999999999943</v>
      </c>
      <c r="N1500">
        <f t="shared" si="91"/>
        <v>-4.9999999999997158E-2</v>
      </c>
      <c r="O1500">
        <f t="shared" si="92"/>
        <v>0</v>
      </c>
      <c r="P1500" s="10">
        <f t="shared" si="93"/>
        <v>-0.10999999999999943</v>
      </c>
    </row>
    <row r="1501" spans="1:16">
      <c r="A1501">
        <v>370</v>
      </c>
      <c r="B1501">
        <v>116.73</v>
      </c>
      <c r="C1501">
        <v>120.95</v>
      </c>
      <c r="D1501">
        <v>122.73</v>
      </c>
      <c r="E1501">
        <v>126.01</v>
      </c>
      <c r="F1501">
        <v>122.12</v>
      </c>
      <c r="G1501">
        <v>122.56</v>
      </c>
      <c r="H1501">
        <v>122.51</v>
      </c>
      <c r="K1501" s="9">
        <f t="shared" si="94"/>
        <v>-4.9999999999997158E-2</v>
      </c>
      <c r="L1501">
        <f t="shared" si="89"/>
        <v>-0.10999999999999943</v>
      </c>
      <c r="M1501">
        <f t="shared" si="90"/>
        <v>-0.10999999999999943</v>
      </c>
      <c r="N1501">
        <f t="shared" si="91"/>
        <v>-0.28000000000000114</v>
      </c>
      <c r="O1501">
        <f t="shared" si="92"/>
        <v>6.0000000000002274E-2</v>
      </c>
      <c r="P1501" s="10">
        <f t="shared" si="93"/>
        <v>-0.17000000000000171</v>
      </c>
    </row>
    <row r="1502" spans="1:16">
      <c r="A1502">
        <v>370.25</v>
      </c>
      <c r="B1502">
        <v>116.62</v>
      </c>
      <c r="C1502">
        <v>120.95</v>
      </c>
      <c r="D1502">
        <v>122.78</v>
      </c>
      <c r="E1502">
        <v>125.95</v>
      </c>
      <c r="F1502">
        <v>121.95</v>
      </c>
      <c r="G1502">
        <v>122.62</v>
      </c>
      <c r="H1502">
        <v>122.4</v>
      </c>
      <c r="K1502" s="9">
        <f t="shared" si="94"/>
        <v>-0.10999999999999943</v>
      </c>
      <c r="L1502">
        <f t="shared" si="89"/>
        <v>-0.15999999999999659</v>
      </c>
      <c r="M1502">
        <f t="shared" si="90"/>
        <v>0</v>
      </c>
      <c r="N1502">
        <f t="shared" si="91"/>
        <v>-4.9999999999997158E-2</v>
      </c>
      <c r="O1502">
        <f t="shared" si="92"/>
        <v>-6.0000000000002274E-2</v>
      </c>
      <c r="P1502" s="10">
        <f t="shared" si="93"/>
        <v>-0.17000000000000171</v>
      </c>
    </row>
    <row r="1503" spans="1:16">
      <c r="A1503">
        <v>370.5</v>
      </c>
      <c r="B1503">
        <v>116.45</v>
      </c>
      <c r="C1503">
        <v>120.95</v>
      </c>
      <c r="D1503">
        <v>122.67</v>
      </c>
      <c r="E1503">
        <v>125.95</v>
      </c>
      <c r="F1503">
        <v>122.01</v>
      </c>
      <c r="G1503">
        <v>122.62</v>
      </c>
      <c r="H1503">
        <v>122.45</v>
      </c>
      <c r="K1503" s="9">
        <f t="shared" si="94"/>
        <v>0</v>
      </c>
      <c r="L1503">
        <f t="shared" si="89"/>
        <v>-4.9999999999997158E-2</v>
      </c>
      <c r="M1503">
        <f t="shared" si="90"/>
        <v>-4.9999999999997158E-2</v>
      </c>
      <c r="N1503">
        <f t="shared" si="91"/>
        <v>-0.10999999999999943</v>
      </c>
      <c r="O1503">
        <f t="shared" si="92"/>
        <v>0</v>
      </c>
      <c r="P1503" s="10">
        <f t="shared" si="93"/>
        <v>-0.21999999999999886</v>
      </c>
    </row>
    <row r="1504" spans="1:16">
      <c r="A1504">
        <v>370.75</v>
      </c>
      <c r="B1504">
        <v>116.28</v>
      </c>
      <c r="C1504">
        <v>120.9</v>
      </c>
      <c r="D1504">
        <v>122.62</v>
      </c>
      <c r="E1504">
        <v>125.9</v>
      </c>
      <c r="F1504">
        <v>121.84</v>
      </c>
      <c r="G1504">
        <v>122.62</v>
      </c>
      <c r="H1504">
        <v>122.34</v>
      </c>
      <c r="K1504" s="9">
        <f t="shared" si="94"/>
        <v>-6.0000000000002274E-2</v>
      </c>
      <c r="L1504">
        <f t="shared" si="89"/>
        <v>0</v>
      </c>
      <c r="M1504">
        <f t="shared" si="90"/>
        <v>-0.12000000000000455</v>
      </c>
      <c r="N1504">
        <f t="shared" si="91"/>
        <v>-0.10999999999999943</v>
      </c>
      <c r="O1504">
        <f t="shared" si="92"/>
        <v>-6.0000000000002274E-2</v>
      </c>
      <c r="P1504" s="10">
        <f t="shared" si="93"/>
        <v>-0.10999999999999943</v>
      </c>
    </row>
    <row r="1505" spans="1:16">
      <c r="A1505">
        <v>371</v>
      </c>
      <c r="B1505">
        <v>116.23</v>
      </c>
      <c r="C1505">
        <v>120.84</v>
      </c>
      <c r="D1505">
        <v>122.62</v>
      </c>
      <c r="E1505">
        <v>125.95</v>
      </c>
      <c r="F1505">
        <v>121.9</v>
      </c>
      <c r="G1505">
        <v>122.56</v>
      </c>
      <c r="H1505">
        <v>122.23</v>
      </c>
      <c r="K1505" s="9">
        <f t="shared" si="94"/>
        <v>-0.17000000000000171</v>
      </c>
      <c r="L1505">
        <f t="shared" si="89"/>
        <v>-6.0000000000002274E-2</v>
      </c>
      <c r="M1505">
        <f t="shared" si="90"/>
        <v>-0.17000000000000171</v>
      </c>
      <c r="N1505">
        <f t="shared" si="91"/>
        <v>-0.17000000000000171</v>
      </c>
      <c r="O1505">
        <f t="shared" si="92"/>
        <v>-0.10999999999999943</v>
      </c>
      <c r="P1505" s="10">
        <f t="shared" si="93"/>
        <v>4.9999999999997158E-2</v>
      </c>
    </row>
    <row r="1506" spans="1:16">
      <c r="A1506">
        <v>371.25</v>
      </c>
      <c r="B1506">
        <v>116.28</v>
      </c>
      <c r="C1506">
        <v>120.95</v>
      </c>
      <c r="D1506">
        <v>122.62</v>
      </c>
      <c r="E1506">
        <v>125.9</v>
      </c>
      <c r="F1506">
        <v>121.9</v>
      </c>
      <c r="G1506">
        <v>122.62</v>
      </c>
      <c r="H1506">
        <v>122.23</v>
      </c>
      <c r="K1506" s="9">
        <f t="shared" si="94"/>
        <v>-0.28000000000000114</v>
      </c>
      <c r="L1506">
        <f t="shared" si="89"/>
        <v>-0.17000000000000171</v>
      </c>
      <c r="M1506">
        <f t="shared" si="90"/>
        <v>-0.17000000000000171</v>
      </c>
      <c r="N1506">
        <f t="shared" si="91"/>
        <v>-0.17000000000000171</v>
      </c>
      <c r="O1506">
        <f t="shared" si="92"/>
        <v>-0.21999999999999886</v>
      </c>
      <c r="P1506" s="10">
        <f t="shared" si="93"/>
        <v>0.10999999999999943</v>
      </c>
    </row>
    <row r="1507" spans="1:16">
      <c r="A1507">
        <v>371.5</v>
      </c>
      <c r="B1507">
        <v>116.23</v>
      </c>
      <c r="C1507">
        <v>120.84</v>
      </c>
      <c r="D1507">
        <v>122.62</v>
      </c>
      <c r="E1507">
        <v>125.78</v>
      </c>
      <c r="F1507">
        <v>121.73</v>
      </c>
      <c r="G1507">
        <v>122.56</v>
      </c>
      <c r="H1507">
        <v>122.23</v>
      </c>
      <c r="K1507" s="9">
        <f t="shared" si="94"/>
        <v>-0.21999999999999886</v>
      </c>
      <c r="L1507">
        <f t="shared" si="89"/>
        <v>-0.17000000000000171</v>
      </c>
      <c r="M1507">
        <f t="shared" si="90"/>
        <v>-0.10999999999999943</v>
      </c>
      <c r="N1507">
        <f t="shared" si="91"/>
        <v>-6.0000000000002274E-2</v>
      </c>
      <c r="O1507">
        <f t="shared" si="92"/>
        <v>-0.21999999999999886</v>
      </c>
      <c r="P1507" s="10">
        <f t="shared" si="93"/>
        <v>0.10999999999999943</v>
      </c>
    </row>
    <row r="1508" spans="1:16">
      <c r="A1508">
        <v>371.75</v>
      </c>
      <c r="B1508">
        <v>116.23</v>
      </c>
      <c r="C1508">
        <v>120.67</v>
      </c>
      <c r="D1508">
        <v>122.56</v>
      </c>
      <c r="E1508">
        <v>125.78</v>
      </c>
      <c r="F1508">
        <v>121.73</v>
      </c>
      <c r="G1508">
        <v>122.45</v>
      </c>
      <c r="H1508">
        <v>122.28</v>
      </c>
      <c r="K1508" s="9">
        <f t="shared" si="94"/>
        <v>-0.10999999999999943</v>
      </c>
      <c r="L1508">
        <f t="shared" si="89"/>
        <v>-0.15999999999999659</v>
      </c>
      <c r="M1508">
        <f t="shared" si="90"/>
        <v>-0.15999999999999659</v>
      </c>
      <c r="N1508">
        <f t="shared" si="91"/>
        <v>-6.0000000000002274E-2</v>
      </c>
      <c r="O1508">
        <f t="shared" si="92"/>
        <v>-0.10999999999999943</v>
      </c>
      <c r="P1508" s="10">
        <f t="shared" si="93"/>
        <v>6.0000000000002274E-2</v>
      </c>
    </row>
    <row r="1509" spans="1:16">
      <c r="A1509">
        <v>372</v>
      </c>
      <c r="B1509">
        <v>116.23</v>
      </c>
      <c r="C1509">
        <v>120.67</v>
      </c>
      <c r="D1509">
        <v>122.45</v>
      </c>
      <c r="E1509">
        <v>125.73</v>
      </c>
      <c r="F1509">
        <v>121.73</v>
      </c>
      <c r="G1509">
        <v>122.4</v>
      </c>
      <c r="H1509">
        <v>122.34</v>
      </c>
      <c r="K1509" s="9">
        <f t="shared" si="94"/>
        <v>-0.21999999999999886</v>
      </c>
      <c r="L1509">
        <f t="shared" si="89"/>
        <v>-0.10999999999999943</v>
      </c>
      <c r="M1509">
        <f t="shared" si="90"/>
        <v>-0.17000000000000171</v>
      </c>
      <c r="N1509">
        <f t="shared" si="91"/>
        <v>-0.17000000000000171</v>
      </c>
      <c r="O1509">
        <f t="shared" si="92"/>
        <v>-0.12000000000000455</v>
      </c>
      <c r="P1509" s="10">
        <f t="shared" si="93"/>
        <v>0</v>
      </c>
    </row>
    <row r="1510" spans="1:16">
      <c r="A1510">
        <v>372.25</v>
      </c>
      <c r="B1510">
        <v>116.17</v>
      </c>
      <c r="C1510">
        <v>120.62</v>
      </c>
      <c r="D1510">
        <v>122.45</v>
      </c>
      <c r="E1510">
        <v>125.67</v>
      </c>
      <c r="F1510">
        <v>121.67</v>
      </c>
      <c r="G1510">
        <v>122.34</v>
      </c>
      <c r="H1510">
        <v>122.34</v>
      </c>
      <c r="K1510" s="9">
        <f t="shared" si="94"/>
        <v>-0.21999999999999886</v>
      </c>
      <c r="L1510">
        <f t="shared" si="89"/>
        <v>-0.17000000000000171</v>
      </c>
      <c r="M1510">
        <f t="shared" si="90"/>
        <v>-0.10999999999999943</v>
      </c>
      <c r="N1510">
        <f t="shared" si="91"/>
        <v>-0.10999999999999943</v>
      </c>
      <c r="O1510">
        <f t="shared" si="92"/>
        <v>0</v>
      </c>
      <c r="P1510" s="10">
        <f t="shared" si="93"/>
        <v>0</v>
      </c>
    </row>
    <row r="1511" spans="1:16">
      <c r="A1511">
        <v>372.5</v>
      </c>
      <c r="B1511">
        <v>116.23</v>
      </c>
      <c r="C1511">
        <v>120.56</v>
      </c>
      <c r="D1511">
        <v>122.4</v>
      </c>
      <c r="E1511">
        <v>125.62</v>
      </c>
      <c r="F1511">
        <v>121.67</v>
      </c>
      <c r="G1511">
        <v>122.34</v>
      </c>
      <c r="H1511">
        <v>122.34</v>
      </c>
      <c r="K1511" s="9">
        <f t="shared" si="94"/>
        <v>-0.28000000000000114</v>
      </c>
      <c r="L1511">
        <f t="shared" si="89"/>
        <v>-0.28000000000000114</v>
      </c>
      <c r="M1511">
        <f t="shared" si="90"/>
        <v>-0.10999999999999943</v>
      </c>
      <c r="N1511">
        <f t="shared" si="91"/>
        <v>-0.21999999999999886</v>
      </c>
      <c r="O1511">
        <f t="shared" si="92"/>
        <v>-0.17000000000000171</v>
      </c>
      <c r="P1511" s="10">
        <f t="shared" si="93"/>
        <v>-0.10999999999999943</v>
      </c>
    </row>
    <row r="1512" spans="1:16">
      <c r="A1512">
        <v>372.75</v>
      </c>
      <c r="B1512">
        <v>116.12</v>
      </c>
      <c r="C1512">
        <v>120.45</v>
      </c>
      <c r="D1512">
        <v>122.34</v>
      </c>
      <c r="E1512">
        <v>125.56</v>
      </c>
      <c r="F1512">
        <v>121.56</v>
      </c>
      <c r="G1512">
        <v>122.28</v>
      </c>
      <c r="H1512">
        <v>122.34</v>
      </c>
      <c r="K1512" s="9">
        <f t="shared" si="94"/>
        <v>-0.10999999999999943</v>
      </c>
      <c r="L1512">
        <f t="shared" si="89"/>
        <v>-0.21999999999999886</v>
      </c>
      <c r="M1512">
        <f t="shared" si="90"/>
        <v>-0.15999999999999659</v>
      </c>
      <c r="N1512">
        <f t="shared" si="91"/>
        <v>0</v>
      </c>
      <c r="O1512">
        <f t="shared" si="92"/>
        <v>-4.9999999999997158E-2</v>
      </c>
      <c r="P1512" s="10">
        <f t="shared" si="93"/>
        <v>-0.17000000000000171</v>
      </c>
    </row>
    <row r="1513" spans="1:16">
      <c r="A1513">
        <v>373</v>
      </c>
      <c r="B1513">
        <v>116.12</v>
      </c>
      <c r="C1513">
        <v>120.4</v>
      </c>
      <c r="D1513">
        <v>122.28</v>
      </c>
      <c r="E1513">
        <v>125.56</v>
      </c>
      <c r="F1513">
        <v>121.56</v>
      </c>
      <c r="G1513">
        <v>122.34</v>
      </c>
      <c r="H1513">
        <v>122.34</v>
      </c>
      <c r="K1513" s="9">
        <f t="shared" si="94"/>
        <v>-0.28000000000000114</v>
      </c>
      <c r="L1513">
        <f t="shared" si="89"/>
        <v>-0.21999999999999886</v>
      </c>
      <c r="M1513">
        <f t="shared" si="90"/>
        <v>-0.15999999999999659</v>
      </c>
      <c r="N1513">
        <f t="shared" si="91"/>
        <v>-0.15999999999999659</v>
      </c>
      <c r="O1513">
        <f t="shared" si="92"/>
        <v>-0.21999999999999886</v>
      </c>
      <c r="P1513" s="10">
        <f t="shared" si="93"/>
        <v>-0.17000000000000171</v>
      </c>
    </row>
    <row r="1514" spans="1:16">
      <c r="A1514">
        <v>373.25</v>
      </c>
      <c r="B1514">
        <v>115.95</v>
      </c>
      <c r="C1514">
        <v>120.28</v>
      </c>
      <c r="D1514">
        <v>122.12</v>
      </c>
      <c r="E1514">
        <v>125.51</v>
      </c>
      <c r="F1514">
        <v>121.45</v>
      </c>
      <c r="G1514">
        <v>122.17</v>
      </c>
      <c r="H1514">
        <v>122.23</v>
      </c>
      <c r="K1514" s="9">
        <f t="shared" si="94"/>
        <v>-0.10999999999999943</v>
      </c>
      <c r="L1514">
        <f t="shared" si="89"/>
        <v>-0.10999999999999943</v>
      </c>
      <c r="M1514">
        <f t="shared" si="90"/>
        <v>-0.10999999999999943</v>
      </c>
      <c r="N1514">
        <f t="shared" si="91"/>
        <v>0</v>
      </c>
      <c r="O1514">
        <f t="shared" si="92"/>
        <v>-4.9999999999997158E-2</v>
      </c>
      <c r="P1514" s="10">
        <f t="shared" si="93"/>
        <v>-0.10999999999999943</v>
      </c>
    </row>
    <row r="1515" spans="1:16">
      <c r="A1515">
        <v>373.5</v>
      </c>
      <c r="B1515">
        <v>116.06</v>
      </c>
      <c r="C1515">
        <v>120.34</v>
      </c>
      <c r="D1515">
        <v>122.12</v>
      </c>
      <c r="E1515">
        <v>125.4</v>
      </c>
      <c r="F1515">
        <v>121.56</v>
      </c>
      <c r="G1515">
        <v>122.23</v>
      </c>
      <c r="H1515">
        <v>122.17</v>
      </c>
      <c r="K1515" s="9">
        <f t="shared" si="94"/>
        <v>-0.17000000000000171</v>
      </c>
      <c r="L1515">
        <f t="shared" si="89"/>
        <v>-0.10999999999999943</v>
      </c>
      <c r="M1515">
        <f t="shared" si="90"/>
        <v>-6.0000000000002274E-2</v>
      </c>
      <c r="N1515">
        <f t="shared" si="91"/>
        <v>-0.15999999999999659</v>
      </c>
      <c r="O1515">
        <f t="shared" si="92"/>
        <v>-0.10999999999999943</v>
      </c>
      <c r="P1515" s="10">
        <f t="shared" si="93"/>
        <v>6.0000000000002274E-2</v>
      </c>
    </row>
    <row r="1516" spans="1:16">
      <c r="A1516">
        <v>373.75</v>
      </c>
      <c r="B1516">
        <v>115.95</v>
      </c>
      <c r="C1516">
        <v>120.12</v>
      </c>
      <c r="D1516">
        <v>122.06</v>
      </c>
      <c r="E1516">
        <v>125.4</v>
      </c>
      <c r="F1516">
        <v>121.4</v>
      </c>
      <c r="G1516">
        <v>122.12</v>
      </c>
      <c r="H1516">
        <v>122.17</v>
      </c>
      <c r="K1516" s="9">
        <f t="shared" si="94"/>
        <v>0</v>
      </c>
      <c r="L1516">
        <f t="shared" si="89"/>
        <v>-0.10999999999999943</v>
      </c>
      <c r="M1516">
        <f t="shared" si="90"/>
        <v>-0.12000000000000455</v>
      </c>
      <c r="N1516">
        <f t="shared" si="91"/>
        <v>-6.0000000000002274E-2</v>
      </c>
      <c r="O1516">
        <f t="shared" si="92"/>
        <v>-0.10999999999999943</v>
      </c>
      <c r="P1516" s="10">
        <f t="shared" si="93"/>
        <v>6.0000000000002274E-2</v>
      </c>
    </row>
    <row r="1517" spans="1:16">
      <c r="A1517">
        <v>374</v>
      </c>
      <c r="B1517">
        <v>115.9</v>
      </c>
      <c r="C1517">
        <v>120.17</v>
      </c>
      <c r="D1517">
        <v>122.01</v>
      </c>
      <c r="E1517">
        <v>125.4</v>
      </c>
      <c r="F1517">
        <v>121.45</v>
      </c>
      <c r="G1517">
        <v>122.12</v>
      </c>
      <c r="H1517">
        <v>122.12</v>
      </c>
      <c r="K1517" s="9">
        <f t="shared" si="94"/>
        <v>-0.21999999999999886</v>
      </c>
      <c r="L1517">
        <f t="shared" si="89"/>
        <v>-0.23000000000000398</v>
      </c>
      <c r="M1517">
        <f t="shared" si="90"/>
        <v>-0.12000000000000455</v>
      </c>
      <c r="N1517">
        <f t="shared" si="91"/>
        <v>-0.10999999999999943</v>
      </c>
      <c r="O1517">
        <f t="shared" si="92"/>
        <v>-0.10999999999999943</v>
      </c>
      <c r="P1517" s="10">
        <f t="shared" si="93"/>
        <v>0.10999999999999943</v>
      </c>
    </row>
    <row r="1518" spans="1:16">
      <c r="A1518">
        <v>374.25</v>
      </c>
      <c r="B1518">
        <v>115.84</v>
      </c>
      <c r="C1518">
        <v>120.17</v>
      </c>
      <c r="D1518">
        <v>122.01</v>
      </c>
      <c r="E1518">
        <v>125.34</v>
      </c>
      <c r="F1518">
        <v>121.4</v>
      </c>
      <c r="G1518">
        <v>122.12</v>
      </c>
      <c r="H1518">
        <v>122.23</v>
      </c>
      <c r="K1518" s="9">
        <f t="shared" si="94"/>
        <v>-0.26999999999999602</v>
      </c>
      <c r="L1518">
        <f t="shared" si="89"/>
        <v>-0.34000000000000341</v>
      </c>
      <c r="M1518">
        <f t="shared" si="90"/>
        <v>-0.17000000000000171</v>
      </c>
      <c r="N1518">
        <f t="shared" si="91"/>
        <v>-6.0000000000002274E-2</v>
      </c>
      <c r="O1518">
        <f t="shared" si="92"/>
        <v>-0.17000000000000171</v>
      </c>
      <c r="P1518" s="10">
        <f t="shared" si="93"/>
        <v>-6.0000000000002274E-2</v>
      </c>
    </row>
    <row r="1519" spans="1:16">
      <c r="A1519">
        <v>374.5</v>
      </c>
      <c r="B1519">
        <v>115.73</v>
      </c>
      <c r="C1519">
        <v>120.12</v>
      </c>
      <c r="D1519">
        <v>121.95</v>
      </c>
      <c r="E1519">
        <v>125.28</v>
      </c>
      <c r="F1519">
        <v>121.34</v>
      </c>
      <c r="G1519">
        <v>122.01</v>
      </c>
      <c r="H1519">
        <v>122.23</v>
      </c>
      <c r="K1519" s="9">
        <f t="shared" si="94"/>
        <v>-0.34000000000000341</v>
      </c>
      <c r="L1519">
        <f t="shared" si="89"/>
        <v>-0.32999999999999829</v>
      </c>
      <c r="M1519">
        <f t="shared" si="90"/>
        <v>-0.21999999999999886</v>
      </c>
      <c r="N1519">
        <f t="shared" si="91"/>
        <v>-6.0000000000002274E-2</v>
      </c>
      <c r="O1519">
        <f t="shared" si="92"/>
        <v>-6.0000000000002274E-2</v>
      </c>
      <c r="P1519" s="10">
        <f t="shared" si="93"/>
        <v>-0.17000000000000171</v>
      </c>
    </row>
    <row r="1520" spans="1:16">
      <c r="A1520">
        <v>374.75</v>
      </c>
      <c r="B1520">
        <v>115.62</v>
      </c>
      <c r="C1520">
        <v>119.95</v>
      </c>
      <c r="D1520">
        <v>121.78</v>
      </c>
      <c r="E1520">
        <v>125.28</v>
      </c>
      <c r="F1520">
        <v>121.34</v>
      </c>
      <c r="G1520">
        <v>122.01</v>
      </c>
      <c r="H1520">
        <v>122.23</v>
      </c>
      <c r="K1520" s="9">
        <f t="shared" si="94"/>
        <v>-0.17000000000000171</v>
      </c>
      <c r="L1520">
        <f t="shared" si="89"/>
        <v>-0.26999999999999602</v>
      </c>
      <c r="M1520">
        <f t="shared" si="90"/>
        <v>-0.26999999999999602</v>
      </c>
      <c r="N1520">
        <f t="shared" si="91"/>
        <v>-0.21999999999999886</v>
      </c>
      <c r="O1520">
        <f t="shared" si="92"/>
        <v>-0.23000000000000398</v>
      </c>
      <c r="P1520" s="10">
        <f t="shared" si="93"/>
        <v>-0.10999999999999943</v>
      </c>
    </row>
    <row r="1521" spans="1:16">
      <c r="A1521">
        <v>375</v>
      </c>
      <c r="B1521">
        <v>115.51</v>
      </c>
      <c r="C1521">
        <v>119.9</v>
      </c>
      <c r="D1521">
        <v>121.67</v>
      </c>
      <c r="E1521">
        <v>125.17</v>
      </c>
      <c r="F1521">
        <v>121.34</v>
      </c>
      <c r="G1521">
        <v>121.95</v>
      </c>
      <c r="H1521">
        <v>122.17</v>
      </c>
      <c r="K1521" s="9">
        <f t="shared" si="94"/>
        <v>-0.23000000000000398</v>
      </c>
      <c r="L1521">
        <f t="shared" si="89"/>
        <v>-0.39000000000000057</v>
      </c>
      <c r="M1521">
        <f t="shared" si="90"/>
        <v>-0.21999999999999886</v>
      </c>
      <c r="N1521">
        <f t="shared" si="91"/>
        <v>-0.28000000000000114</v>
      </c>
      <c r="O1521">
        <f t="shared" si="92"/>
        <v>-0.21999999999999886</v>
      </c>
      <c r="P1521" s="10">
        <f t="shared" si="93"/>
        <v>-0.39000000000000057</v>
      </c>
    </row>
    <row r="1522" spans="1:16">
      <c r="A1522">
        <v>375.25</v>
      </c>
      <c r="B1522">
        <v>115.34</v>
      </c>
      <c r="C1522">
        <v>119.78</v>
      </c>
      <c r="D1522">
        <v>121.62</v>
      </c>
      <c r="E1522">
        <v>125.06</v>
      </c>
      <c r="F1522">
        <v>121.28</v>
      </c>
      <c r="G1522">
        <v>121.95</v>
      </c>
      <c r="H1522">
        <v>122.06</v>
      </c>
      <c r="K1522" s="9">
        <f t="shared" si="94"/>
        <v>-4.9999999999997158E-2</v>
      </c>
      <c r="L1522">
        <f t="shared" si="89"/>
        <v>-0.5</v>
      </c>
      <c r="M1522">
        <f t="shared" si="90"/>
        <v>-0.15999999999999659</v>
      </c>
      <c r="N1522">
        <f t="shared" si="91"/>
        <v>-0.21999999999999886</v>
      </c>
      <c r="O1522">
        <f t="shared" si="92"/>
        <v>-0.32999999999999829</v>
      </c>
      <c r="P1522" s="10">
        <f t="shared" si="93"/>
        <v>-0.32999999999999829</v>
      </c>
    </row>
    <row r="1523" spans="1:16">
      <c r="A1523">
        <v>375.5</v>
      </c>
      <c r="B1523">
        <v>115.28</v>
      </c>
      <c r="C1523">
        <v>119.78</v>
      </c>
      <c r="D1523">
        <v>121.51</v>
      </c>
      <c r="E1523">
        <v>125.01</v>
      </c>
      <c r="F1523">
        <v>121.12</v>
      </c>
      <c r="G1523">
        <v>121.78</v>
      </c>
      <c r="H1523">
        <v>122.12</v>
      </c>
      <c r="K1523" s="9">
        <f t="shared" si="94"/>
        <v>-0.15999999999999659</v>
      </c>
      <c r="L1523">
        <f t="shared" si="89"/>
        <v>-0.39000000000000057</v>
      </c>
      <c r="M1523">
        <f t="shared" si="90"/>
        <v>-6.0000000000002274E-2</v>
      </c>
      <c r="N1523">
        <f t="shared" si="91"/>
        <v>-0.10999999999999943</v>
      </c>
      <c r="O1523">
        <f t="shared" si="92"/>
        <v>-0.10999999999999943</v>
      </c>
      <c r="P1523" s="10">
        <f t="shared" si="93"/>
        <v>-0.39000000000000057</v>
      </c>
    </row>
    <row r="1524" spans="1:16">
      <c r="A1524">
        <v>375.75</v>
      </c>
      <c r="B1524">
        <v>115.17</v>
      </c>
      <c r="C1524">
        <v>119.67</v>
      </c>
      <c r="D1524">
        <v>121.28</v>
      </c>
      <c r="E1524">
        <v>124.95</v>
      </c>
      <c r="F1524">
        <v>121.06</v>
      </c>
      <c r="G1524">
        <v>121.73</v>
      </c>
      <c r="H1524">
        <v>121.78</v>
      </c>
      <c r="K1524" s="9">
        <f t="shared" si="94"/>
        <v>-4.9999999999997158E-2</v>
      </c>
      <c r="L1524">
        <f t="shared" si="89"/>
        <v>-0.15999999999999659</v>
      </c>
      <c r="M1524">
        <f t="shared" si="90"/>
        <v>0</v>
      </c>
      <c r="N1524">
        <f t="shared" si="91"/>
        <v>-4.9999999999997158E-2</v>
      </c>
      <c r="O1524">
        <f t="shared" si="92"/>
        <v>-0.28000000000000114</v>
      </c>
      <c r="P1524" s="10">
        <f t="shared" si="93"/>
        <v>6.0000000000002274E-2</v>
      </c>
    </row>
    <row r="1525" spans="1:16">
      <c r="A1525">
        <v>376</v>
      </c>
      <c r="B1525">
        <v>115.12</v>
      </c>
      <c r="C1525">
        <v>119.73</v>
      </c>
      <c r="D1525">
        <v>121.12</v>
      </c>
      <c r="E1525">
        <v>124.9</v>
      </c>
      <c r="F1525">
        <v>121.06</v>
      </c>
      <c r="G1525">
        <v>121.62</v>
      </c>
      <c r="H1525">
        <v>121.73</v>
      </c>
      <c r="K1525" s="9">
        <f t="shared" si="94"/>
        <v>-0.21999999999999886</v>
      </c>
      <c r="L1525">
        <f t="shared" si="89"/>
        <v>-6.0000000000002274E-2</v>
      </c>
      <c r="M1525">
        <f t="shared" si="90"/>
        <v>-6.0000000000002274E-2</v>
      </c>
      <c r="N1525">
        <f t="shared" si="91"/>
        <v>-0.15999999999999659</v>
      </c>
      <c r="O1525">
        <f t="shared" si="92"/>
        <v>-0.17000000000000171</v>
      </c>
      <c r="P1525" s="10">
        <f t="shared" si="93"/>
        <v>0.10999999999999943</v>
      </c>
    </row>
    <row r="1526" spans="1:16">
      <c r="A1526">
        <v>376.25</v>
      </c>
      <c r="B1526">
        <v>115.06</v>
      </c>
      <c r="C1526">
        <v>119.62</v>
      </c>
      <c r="D1526">
        <v>121.12</v>
      </c>
      <c r="E1526">
        <v>124.95</v>
      </c>
      <c r="F1526">
        <v>121.01</v>
      </c>
      <c r="G1526">
        <v>121.67</v>
      </c>
      <c r="H1526">
        <v>121.73</v>
      </c>
      <c r="K1526" s="9">
        <f t="shared" si="94"/>
        <v>-0.10999999999999943</v>
      </c>
      <c r="L1526">
        <f t="shared" si="89"/>
        <v>-0.17000000000000171</v>
      </c>
      <c r="M1526">
        <f t="shared" si="90"/>
        <v>-0.17000000000000171</v>
      </c>
      <c r="N1526">
        <f t="shared" si="91"/>
        <v>-0.10999999999999943</v>
      </c>
      <c r="O1526">
        <f t="shared" si="92"/>
        <v>-0.32999999999999829</v>
      </c>
      <c r="P1526" s="10">
        <f t="shared" si="93"/>
        <v>0.10999999999999943</v>
      </c>
    </row>
    <row r="1527" spans="1:16">
      <c r="A1527">
        <v>376.5</v>
      </c>
      <c r="B1527">
        <v>115.01</v>
      </c>
      <c r="C1527">
        <v>119.62</v>
      </c>
      <c r="D1527">
        <v>121.12</v>
      </c>
      <c r="E1527">
        <v>124.95</v>
      </c>
      <c r="F1527">
        <v>121.01</v>
      </c>
      <c r="G1527">
        <v>121.45</v>
      </c>
      <c r="H1527">
        <v>121.84</v>
      </c>
      <c r="K1527" s="9">
        <f t="shared" si="94"/>
        <v>-0.17000000000000171</v>
      </c>
      <c r="L1527">
        <f t="shared" si="89"/>
        <v>-0.28000000000000114</v>
      </c>
      <c r="M1527">
        <f t="shared" si="90"/>
        <v>-0.17000000000000171</v>
      </c>
      <c r="N1527">
        <f t="shared" si="91"/>
        <v>-0.17000000000000171</v>
      </c>
      <c r="O1527">
        <f t="shared" si="92"/>
        <v>-0.10999999999999943</v>
      </c>
      <c r="P1527" s="10">
        <f t="shared" si="93"/>
        <v>-0.10999999999999943</v>
      </c>
    </row>
    <row r="1528" spans="1:16">
      <c r="A1528">
        <v>376.75</v>
      </c>
      <c r="B1528">
        <v>115.01</v>
      </c>
      <c r="C1528">
        <v>119.51</v>
      </c>
      <c r="D1528">
        <v>121.06</v>
      </c>
      <c r="E1528">
        <v>124.84</v>
      </c>
      <c r="F1528">
        <v>120.9</v>
      </c>
      <c r="G1528">
        <v>121.45</v>
      </c>
      <c r="H1528">
        <v>121.84</v>
      </c>
      <c r="K1528" s="9">
        <f t="shared" si="94"/>
        <v>-0.10999999999999943</v>
      </c>
      <c r="L1528">
        <f t="shared" si="89"/>
        <v>-0.21999999999999886</v>
      </c>
      <c r="M1528">
        <f t="shared" si="90"/>
        <v>-0.10999999999999943</v>
      </c>
      <c r="N1528">
        <f t="shared" si="91"/>
        <v>-0.12000000000000455</v>
      </c>
      <c r="O1528">
        <f t="shared" si="92"/>
        <v>-4.9999999999997158E-2</v>
      </c>
      <c r="P1528" s="10">
        <f t="shared" si="93"/>
        <v>-6.0000000000002274E-2</v>
      </c>
    </row>
    <row r="1529" spans="1:16">
      <c r="A1529">
        <v>377</v>
      </c>
      <c r="B1529">
        <v>114.95</v>
      </c>
      <c r="C1529">
        <v>119.51</v>
      </c>
      <c r="D1529">
        <v>120.95</v>
      </c>
      <c r="E1529">
        <v>124.78</v>
      </c>
      <c r="F1529">
        <v>120.9</v>
      </c>
      <c r="G1529">
        <v>121.34</v>
      </c>
      <c r="H1529">
        <v>121.84</v>
      </c>
      <c r="K1529" s="9">
        <f t="shared" si="94"/>
        <v>-0.23000000000000398</v>
      </c>
      <c r="L1529">
        <f t="shared" si="89"/>
        <v>-0.10999999999999943</v>
      </c>
      <c r="M1529">
        <f t="shared" si="90"/>
        <v>-0.15999999999999659</v>
      </c>
      <c r="N1529">
        <f t="shared" si="91"/>
        <v>-0.17000000000000171</v>
      </c>
      <c r="O1529">
        <f t="shared" si="92"/>
        <v>0</v>
      </c>
      <c r="P1529" s="10">
        <f t="shared" si="93"/>
        <v>6.0000000000002274E-2</v>
      </c>
    </row>
    <row r="1530" spans="1:16">
      <c r="A1530">
        <v>377.25</v>
      </c>
      <c r="B1530">
        <v>114.84</v>
      </c>
      <c r="C1530">
        <v>119.45</v>
      </c>
      <c r="D1530">
        <v>120.84</v>
      </c>
      <c r="E1530">
        <v>124.78</v>
      </c>
      <c r="F1530">
        <v>120.84</v>
      </c>
      <c r="G1530">
        <v>121.34</v>
      </c>
      <c r="H1530">
        <v>121.73</v>
      </c>
      <c r="K1530" s="9">
        <f t="shared" si="94"/>
        <v>-0.17000000000000171</v>
      </c>
      <c r="L1530">
        <f t="shared" si="89"/>
        <v>-0.10999999999999943</v>
      </c>
      <c r="M1530">
        <f t="shared" si="90"/>
        <v>-0.21999999999999886</v>
      </c>
      <c r="N1530">
        <f t="shared" si="91"/>
        <v>-0.17000000000000171</v>
      </c>
      <c r="O1530">
        <f t="shared" si="92"/>
        <v>-6.0000000000002274E-2</v>
      </c>
      <c r="P1530" s="10">
        <f t="shared" si="93"/>
        <v>0</v>
      </c>
    </row>
    <row r="1531" spans="1:16">
      <c r="A1531">
        <v>377.5</v>
      </c>
      <c r="B1531">
        <v>114.78</v>
      </c>
      <c r="C1531">
        <v>119.4</v>
      </c>
      <c r="D1531">
        <v>120.84</v>
      </c>
      <c r="E1531">
        <v>124.73</v>
      </c>
      <c r="F1531">
        <v>120.78</v>
      </c>
      <c r="G1531">
        <v>121.4</v>
      </c>
      <c r="H1531">
        <v>121.78</v>
      </c>
      <c r="K1531" s="9">
        <f t="shared" si="94"/>
        <v>-0.12000000000000455</v>
      </c>
      <c r="L1531">
        <f t="shared" si="89"/>
        <v>-0.10999999999999943</v>
      </c>
      <c r="M1531">
        <f t="shared" si="90"/>
        <v>-0.21999999999999886</v>
      </c>
      <c r="N1531">
        <f t="shared" si="91"/>
        <v>-0.15999999999999659</v>
      </c>
      <c r="O1531">
        <f t="shared" si="92"/>
        <v>-0.23000000000000398</v>
      </c>
      <c r="P1531" s="10">
        <f t="shared" si="93"/>
        <v>-0.15999999999999659</v>
      </c>
    </row>
    <row r="1532" spans="1:16">
      <c r="A1532">
        <v>377.75</v>
      </c>
      <c r="B1532">
        <v>114.78</v>
      </c>
      <c r="C1532">
        <v>119.28</v>
      </c>
      <c r="D1532">
        <v>120.84</v>
      </c>
      <c r="E1532">
        <v>124.62</v>
      </c>
      <c r="F1532">
        <v>120.73</v>
      </c>
      <c r="G1532">
        <v>121.34</v>
      </c>
      <c r="H1532">
        <v>121.9</v>
      </c>
      <c r="K1532" s="9">
        <f t="shared" si="94"/>
        <v>-4.9999999999997158E-2</v>
      </c>
      <c r="L1532">
        <f t="shared" si="89"/>
        <v>-6.0000000000002274E-2</v>
      </c>
      <c r="M1532">
        <f t="shared" si="90"/>
        <v>-0.17000000000000171</v>
      </c>
      <c r="N1532">
        <f t="shared" si="91"/>
        <v>-0.10999999999999943</v>
      </c>
      <c r="O1532">
        <f t="shared" si="92"/>
        <v>-0.21999999999999886</v>
      </c>
      <c r="P1532" s="10">
        <f t="shared" si="93"/>
        <v>-0.28000000000000114</v>
      </c>
    </row>
    <row r="1533" spans="1:16">
      <c r="A1533">
        <v>378</v>
      </c>
      <c r="B1533">
        <v>114.62</v>
      </c>
      <c r="C1533">
        <v>119.28</v>
      </c>
      <c r="D1533">
        <v>120.73</v>
      </c>
      <c r="E1533">
        <v>124.56</v>
      </c>
      <c r="F1533">
        <v>120.67</v>
      </c>
      <c r="G1533">
        <v>121.28</v>
      </c>
      <c r="H1533">
        <v>121.73</v>
      </c>
      <c r="K1533" s="9">
        <f t="shared" si="94"/>
        <v>-0.15999999999999659</v>
      </c>
      <c r="L1533">
        <f t="shared" si="89"/>
        <v>-6.0000000000002274E-2</v>
      </c>
      <c r="M1533">
        <f t="shared" si="90"/>
        <v>-0.15999999999999659</v>
      </c>
      <c r="N1533">
        <f t="shared" si="91"/>
        <v>-0.10999999999999943</v>
      </c>
      <c r="O1533">
        <f t="shared" si="92"/>
        <v>-0.10999999999999943</v>
      </c>
      <c r="P1533" s="10">
        <f t="shared" si="93"/>
        <v>-6.0000000000002274E-2</v>
      </c>
    </row>
    <row r="1534" spans="1:16">
      <c r="A1534">
        <v>378.25</v>
      </c>
      <c r="B1534">
        <v>114.67</v>
      </c>
      <c r="C1534">
        <v>119.28</v>
      </c>
      <c r="D1534">
        <v>120.73</v>
      </c>
      <c r="E1534">
        <v>124.51</v>
      </c>
      <c r="F1534">
        <v>120.62</v>
      </c>
      <c r="G1534">
        <v>121.17</v>
      </c>
      <c r="H1534">
        <v>121.62</v>
      </c>
      <c r="K1534" s="9">
        <f t="shared" si="94"/>
        <v>-0.10999999999999943</v>
      </c>
      <c r="L1534">
        <f t="shared" si="89"/>
        <v>-0.21999999999999886</v>
      </c>
      <c r="M1534">
        <f t="shared" si="90"/>
        <v>-0.10999999999999943</v>
      </c>
      <c r="N1534">
        <f t="shared" si="91"/>
        <v>-6.0000000000002274E-2</v>
      </c>
      <c r="O1534">
        <f t="shared" si="92"/>
        <v>-4.9999999999997158E-2</v>
      </c>
      <c r="P1534" s="10">
        <f t="shared" si="93"/>
        <v>-0.10999999999999943</v>
      </c>
    </row>
    <row r="1535" spans="1:16">
      <c r="A1535">
        <v>378.5</v>
      </c>
      <c r="B1535">
        <v>114.62</v>
      </c>
      <c r="C1535">
        <v>119.23</v>
      </c>
      <c r="D1535">
        <v>120.78</v>
      </c>
      <c r="E1535">
        <v>124.45</v>
      </c>
      <c r="F1535">
        <v>120.62</v>
      </c>
      <c r="G1535">
        <v>121.12</v>
      </c>
      <c r="H1535">
        <v>121.62</v>
      </c>
      <c r="K1535" s="9">
        <f t="shared" si="94"/>
        <v>-0.17000000000000171</v>
      </c>
      <c r="L1535">
        <f t="shared" si="89"/>
        <v>-0.26999999999999602</v>
      </c>
      <c r="M1535">
        <f t="shared" si="90"/>
        <v>-4.9999999999997158E-2</v>
      </c>
      <c r="N1535">
        <f t="shared" si="91"/>
        <v>-0.17000000000000171</v>
      </c>
      <c r="O1535">
        <f t="shared" si="92"/>
        <v>-6.0000000000002274E-2</v>
      </c>
      <c r="P1535" s="10">
        <f t="shared" si="93"/>
        <v>0</v>
      </c>
    </row>
    <row r="1536" spans="1:16">
      <c r="A1536">
        <v>378.75</v>
      </c>
      <c r="B1536">
        <v>114.51</v>
      </c>
      <c r="C1536">
        <v>119.12</v>
      </c>
      <c r="D1536">
        <v>120.67</v>
      </c>
      <c r="E1536">
        <v>124.4</v>
      </c>
      <c r="F1536">
        <v>120.56</v>
      </c>
      <c r="G1536">
        <v>121.17</v>
      </c>
      <c r="H1536">
        <v>121.67</v>
      </c>
      <c r="K1536" s="9">
        <f t="shared" si="94"/>
        <v>-0.10999999999999943</v>
      </c>
      <c r="L1536">
        <f t="shared" si="89"/>
        <v>-0.15999999999999659</v>
      </c>
      <c r="M1536">
        <f t="shared" si="90"/>
        <v>-0.12000000000000455</v>
      </c>
      <c r="N1536">
        <f t="shared" si="91"/>
        <v>-0.10999999999999943</v>
      </c>
      <c r="O1536">
        <f t="shared" si="92"/>
        <v>-0.10999999999999943</v>
      </c>
      <c r="P1536" s="10">
        <f t="shared" si="93"/>
        <v>-0.10999999999999943</v>
      </c>
    </row>
    <row r="1537" spans="1:16">
      <c r="A1537">
        <v>379</v>
      </c>
      <c r="B1537">
        <v>114.45</v>
      </c>
      <c r="C1537">
        <v>119.17</v>
      </c>
      <c r="D1537">
        <v>120.51</v>
      </c>
      <c r="E1537">
        <v>124.4</v>
      </c>
      <c r="F1537">
        <v>120.56</v>
      </c>
      <c r="G1537">
        <v>121.12</v>
      </c>
      <c r="H1537">
        <v>121.51</v>
      </c>
      <c r="K1537" s="9">
        <f t="shared" si="94"/>
        <v>-0.21999999999999886</v>
      </c>
      <c r="L1537">
        <f t="shared" si="89"/>
        <v>-0.28000000000000114</v>
      </c>
      <c r="M1537">
        <f t="shared" si="90"/>
        <v>-0.12000000000000455</v>
      </c>
      <c r="N1537">
        <f t="shared" si="91"/>
        <v>-0.15999999999999659</v>
      </c>
      <c r="O1537">
        <f t="shared" si="92"/>
        <v>-0.17000000000000171</v>
      </c>
      <c r="P1537" s="10">
        <f t="shared" si="93"/>
        <v>4.9999999999997158E-2</v>
      </c>
    </row>
    <row r="1538" spans="1:16">
      <c r="A1538">
        <v>379.25</v>
      </c>
      <c r="B1538">
        <v>114.45</v>
      </c>
      <c r="C1538">
        <v>119.06</v>
      </c>
      <c r="D1538">
        <v>120.51</v>
      </c>
      <c r="E1538">
        <v>124.4</v>
      </c>
      <c r="F1538">
        <v>120.45</v>
      </c>
      <c r="G1538">
        <v>121.06</v>
      </c>
      <c r="H1538">
        <v>121.62</v>
      </c>
      <c r="K1538" s="9">
        <f t="shared" si="94"/>
        <v>-0.21999999999999886</v>
      </c>
      <c r="L1538">
        <f t="shared" si="89"/>
        <v>-0.45000000000000284</v>
      </c>
      <c r="M1538">
        <f t="shared" si="90"/>
        <v>-0.12000000000000455</v>
      </c>
      <c r="N1538">
        <f t="shared" si="91"/>
        <v>0</v>
      </c>
      <c r="O1538">
        <f t="shared" si="92"/>
        <v>-0.21999999999999886</v>
      </c>
      <c r="P1538" s="10">
        <f t="shared" si="93"/>
        <v>0</v>
      </c>
    </row>
    <row r="1539" spans="1:16">
      <c r="A1539">
        <v>379.5</v>
      </c>
      <c r="B1539">
        <v>114.4</v>
      </c>
      <c r="C1539">
        <v>119.01</v>
      </c>
      <c r="D1539">
        <v>120.51</v>
      </c>
      <c r="E1539">
        <v>124.28</v>
      </c>
      <c r="F1539">
        <v>120.45</v>
      </c>
      <c r="G1539">
        <v>121.06</v>
      </c>
      <c r="H1539">
        <v>121.56</v>
      </c>
      <c r="K1539" s="9">
        <f t="shared" si="94"/>
        <v>-0.28000000000000114</v>
      </c>
      <c r="L1539">
        <f t="shared" si="89"/>
        <v>-0.39000000000000057</v>
      </c>
      <c r="M1539">
        <f t="shared" si="90"/>
        <v>-0.10999999999999943</v>
      </c>
      <c r="N1539">
        <f t="shared" si="91"/>
        <v>-4.9999999999997158E-2</v>
      </c>
      <c r="O1539">
        <f t="shared" si="92"/>
        <v>-0.28000000000000114</v>
      </c>
      <c r="P1539" s="10">
        <f t="shared" si="93"/>
        <v>-4.9999999999997158E-2</v>
      </c>
    </row>
    <row r="1540" spans="1:16">
      <c r="A1540">
        <v>379.75</v>
      </c>
      <c r="B1540">
        <v>114.28</v>
      </c>
      <c r="C1540">
        <v>118.95</v>
      </c>
      <c r="D1540">
        <v>120.23</v>
      </c>
      <c r="E1540">
        <v>124.28</v>
      </c>
      <c r="F1540">
        <v>120.4</v>
      </c>
      <c r="G1540">
        <v>120.95</v>
      </c>
      <c r="H1540">
        <v>121.56</v>
      </c>
      <c r="K1540" s="9">
        <f t="shared" si="94"/>
        <v>-0.21999999999999886</v>
      </c>
      <c r="L1540">
        <f t="shared" si="89"/>
        <v>-0.21999999999999886</v>
      </c>
      <c r="M1540">
        <f t="shared" si="90"/>
        <v>-0.15999999999999659</v>
      </c>
      <c r="N1540">
        <f t="shared" si="91"/>
        <v>-6.0000000000002274E-2</v>
      </c>
      <c r="O1540">
        <f t="shared" si="92"/>
        <v>-0.17000000000000171</v>
      </c>
      <c r="P1540" s="10">
        <f t="shared" si="93"/>
        <v>0</v>
      </c>
    </row>
    <row r="1541" spans="1:16">
      <c r="A1541">
        <v>380</v>
      </c>
      <c r="B1541">
        <v>114.17</v>
      </c>
      <c r="C1541">
        <v>118.84</v>
      </c>
      <c r="D1541">
        <v>120.06</v>
      </c>
      <c r="E1541">
        <v>124.28</v>
      </c>
      <c r="F1541">
        <v>120.45</v>
      </c>
      <c r="G1541">
        <v>120.84</v>
      </c>
      <c r="H1541">
        <v>121.62</v>
      </c>
      <c r="K1541" s="9">
        <f t="shared" si="94"/>
        <v>-0.21999999999999886</v>
      </c>
      <c r="L1541">
        <f t="shared" si="89"/>
        <v>-0.21999999999999886</v>
      </c>
      <c r="M1541">
        <f t="shared" si="90"/>
        <v>-0.32999999999999829</v>
      </c>
      <c r="N1541">
        <f t="shared" si="91"/>
        <v>-0.17000000000000171</v>
      </c>
      <c r="O1541">
        <f t="shared" si="92"/>
        <v>-6.0000000000002274E-2</v>
      </c>
      <c r="P1541" s="10">
        <f t="shared" si="93"/>
        <v>-0.10999999999999943</v>
      </c>
    </row>
    <row r="1542" spans="1:16">
      <c r="A1542">
        <v>380.25</v>
      </c>
      <c r="B1542">
        <v>114.12</v>
      </c>
      <c r="C1542">
        <v>118.73</v>
      </c>
      <c r="D1542">
        <v>120.12</v>
      </c>
      <c r="E1542">
        <v>124.17</v>
      </c>
      <c r="F1542">
        <v>120.4</v>
      </c>
      <c r="G1542">
        <v>120.78</v>
      </c>
      <c r="H1542">
        <v>121.51</v>
      </c>
      <c r="K1542" s="9">
        <f t="shared" si="94"/>
        <v>-0.10999999999999943</v>
      </c>
      <c r="L1542">
        <f t="shared" si="89"/>
        <v>-0.60999999999999943</v>
      </c>
      <c r="M1542">
        <f t="shared" si="90"/>
        <v>-0.15999999999999659</v>
      </c>
      <c r="N1542">
        <f t="shared" si="91"/>
        <v>-0.12000000000000455</v>
      </c>
      <c r="O1542">
        <f t="shared" si="92"/>
        <v>-4.9999999999997158E-2</v>
      </c>
      <c r="P1542" s="10">
        <f t="shared" si="93"/>
        <v>0</v>
      </c>
    </row>
    <row r="1543" spans="1:16">
      <c r="A1543">
        <v>380.5</v>
      </c>
      <c r="B1543">
        <v>114.01</v>
      </c>
      <c r="C1543">
        <v>118.73</v>
      </c>
      <c r="D1543">
        <v>120.01</v>
      </c>
      <c r="E1543">
        <v>124.12</v>
      </c>
      <c r="F1543">
        <v>120.34</v>
      </c>
      <c r="G1543">
        <v>120.78</v>
      </c>
      <c r="H1543">
        <v>121.56</v>
      </c>
      <c r="K1543" s="9">
        <f t="shared" si="94"/>
        <v>-0.21999999999999886</v>
      </c>
      <c r="L1543">
        <f t="shared" si="89"/>
        <v>-0.56000000000000227</v>
      </c>
      <c r="M1543">
        <f t="shared" si="90"/>
        <v>-0.17000000000000171</v>
      </c>
      <c r="N1543">
        <f t="shared" si="91"/>
        <v>-0.10999999999999943</v>
      </c>
      <c r="O1543">
        <f t="shared" si="92"/>
        <v>0</v>
      </c>
      <c r="P1543" s="10">
        <f t="shared" si="93"/>
        <v>-0.21999999999999886</v>
      </c>
    </row>
    <row r="1544" spans="1:16">
      <c r="A1544">
        <v>380.75</v>
      </c>
      <c r="B1544">
        <v>113.95</v>
      </c>
      <c r="C1544">
        <v>118.62</v>
      </c>
      <c r="D1544">
        <v>119.84</v>
      </c>
      <c r="E1544">
        <v>123.95</v>
      </c>
      <c r="F1544">
        <v>120.28</v>
      </c>
      <c r="G1544">
        <v>120.78</v>
      </c>
      <c r="H1544">
        <v>121.51</v>
      </c>
      <c r="K1544" s="9">
        <f t="shared" si="94"/>
        <v>-0.17000000000000171</v>
      </c>
      <c r="L1544">
        <f t="shared" si="89"/>
        <v>-0.5</v>
      </c>
      <c r="M1544">
        <f t="shared" si="90"/>
        <v>-4.9999999999997158E-2</v>
      </c>
      <c r="N1544">
        <f t="shared" si="91"/>
        <v>-4.9999999999997158E-2</v>
      </c>
      <c r="O1544">
        <f t="shared" si="92"/>
        <v>-0.21999999999999886</v>
      </c>
      <c r="P1544" s="10">
        <f t="shared" si="93"/>
        <v>0</v>
      </c>
    </row>
    <row r="1545" spans="1:16">
      <c r="A1545">
        <v>381</v>
      </c>
      <c r="B1545">
        <v>113.84</v>
      </c>
      <c r="C1545">
        <v>118.62</v>
      </c>
      <c r="D1545">
        <v>119.51</v>
      </c>
      <c r="E1545">
        <v>124.01</v>
      </c>
      <c r="F1545">
        <v>120.28</v>
      </c>
      <c r="G1545">
        <v>120.73</v>
      </c>
      <c r="H1545">
        <v>121.51</v>
      </c>
      <c r="K1545" s="9">
        <f t="shared" si="94"/>
        <v>-0.17000000000000171</v>
      </c>
      <c r="L1545">
        <f t="shared" si="89"/>
        <v>-6.0000000000002274E-2</v>
      </c>
      <c r="M1545">
        <f t="shared" si="90"/>
        <v>-0.23000000000000398</v>
      </c>
      <c r="N1545">
        <f t="shared" si="91"/>
        <v>-0.10999999999999943</v>
      </c>
      <c r="O1545">
        <f t="shared" si="92"/>
        <v>-0.17000000000000171</v>
      </c>
      <c r="P1545" s="10">
        <f t="shared" si="93"/>
        <v>-6.0000000000002274E-2</v>
      </c>
    </row>
    <row r="1546" spans="1:16">
      <c r="A1546">
        <v>381.25</v>
      </c>
      <c r="B1546">
        <v>113.67</v>
      </c>
      <c r="C1546">
        <v>118.51</v>
      </c>
      <c r="D1546">
        <v>119.45</v>
      </c>
      <c r="E1546">
        <v>123.95</v>
      </c>
      <c r="F1546">
        <v>120.23</v>
      </c>
      <c r="G1546">
        <v>120.78</v>
      </c>
      <c r="H1546">
        <v>121.34</v>
      </c>
      <c r="K1546" s="9">
        <f t="shared" si="94"/>
        <v>-6.0000000000002274E-2</v>
      </c>
      <c r="L1546">
        <f t="shared" ref="L1546:L1609" si="95">D1549-D1546</f>
        <v>-4.9999999999997158E-2</v>
      </c>
      <c r="M1546">
        <f t="shared" ref="M1546:M1609" si="96">E1549-E1546</f>
        <v>-0.10999999999999943</v>
      </c>
      <c r="N1546">
        <f t="shared" ref="N1546:N1609" si="97">F1549-F1546</f>
        <v>0</v>
      </c>
      <c r="O1546">
        <f t="shared" ref="O1546:O1609" si="98">G1549-G1546</f>
        <v>-0.32999999999999829</v>
      </c>
      <c r="P1546" s="10">
        <f t="shared" ref="P1546:P1609" si="99">H1549-H1546</f>
        <v>0.21999999999999886</v>
      </c>
    </row>
    <row r="1547" spans="1:16">
      <c r="A1547">
        <v>381.5</v>
      </c>
      <c r="B1547">
        <v>113.67</v>
      </c>
      <c r="C1547">
        <v>118.45</v>
      </c>
      <c r="D1547">
        <v>119.34</v>
      </c>
      <c r="E1547">
        <v>123.9</v>
      </c>
      <c r="F1547">
        <v>120.23</v>
      </c>
      <c r="G1547">
        <v>120.56</v>
      </c>
      <c r="H1547">
        <v>121.51</v>
      </c>
      <c r="K1547" s="9">
        <f t="shared" ref="K1547:K1610" si="100">C1550-C1547</f>
        <v>-0.17000000000000171</v>
      </c>
      <c r="L1547">
        <f t="shared" si="95"/>
        <v>0.17000000000000171</v>
      </c>
      <c r="M1547">
        <f t="shared" si="96"/>
        <v>-0.17000000000000171</v>
      </c>
      <c r="N1547">
        <f t="shared" si="97"/>
        <v>-0.10999999999999943</v>
      </c>
      <c r="O1547">
        <f t="shared" si="98"/>
        <v>-0.10999999999999943</v>
      </c>
      <c r="P1547" s="10">
        <f t="shared" si="99"/>
        <v>0</v>
      </c>
    </row>
    <row r="1548" spans="1:16">
      <c r="A1548">
        <v>381.75</v>
      </c>
      <c r="B1548">
        <v>113.67</v>
      </c>
      <c r="C1548">
        <v>118.45</v>
      </c>
      <c r="D1548">
        <v>119.45</v>
      </c>
      <c r="E1548">
        <v>123.78</v>
      </c>
      <c r="F1548">
        <v>120.17</v>
      </c>
      <c r="G1548">
        <v>120.56</v>
      </c>
      <c r="H1548">
        <v>121.45</v>
      </c>
      <c r="K1548" s="9">
        <f t="shared" si="100"/>
        <v>-4.9999999999997158E-2</v>
      </c>
      <c r="L1548">
        <f t="shared" si="95"/>
        <v>6.0000000000002274E-2</v>
      </c>
      <c r="M1548">
        <f t="shared" si="96"/>
        <v>-4.9999999999997158E-2</v>
      </c>
      <c r="N1548">
        <f t="shared" si="97"/>
        <v>-0.10999999999999943</v>
      </c>
      <c r="O1548">
        <f t="shared" si="98"/>
        <v>0</v>
      </c>
      <c r="P1548" s="10">
        <f t="shared" si="99"/>
        <v>-4.9999999999997158E-2</v>
      </c>
    </row>
    <row r="1549" spans="1:16">
      <c r="A1549">
        <v>382</v>
      </c>
      <c r="B1549">
        <v>113.73</v>
      </c>
      <c r="C1549">
        <v>118.45</v>
      </c>
      <c r="D1549">
        <v>119.4</v>
      </c>
      <c r="E1549">
        <v>123.84</v>
      </c>
      <c r="F1549">
        <v>120.23</v>
      </c>
      <c r="G1549">
        <v>120.45</v>
      </c>
      <c r="H1549">
        <v>121.56</v>
      </c>
      <c r="K1549" s="9">
        <f t="shared" si="100"/>
        <v>-0.21999999999999886</v>
      </c>
      <c r="L1549">
        <f t="shared" si="95"/>
        <v>4.9999999999997158E-2</v>
      </c>
      <c r="M1549">
        <f t="shared" si="96"/>
        <v>-0.21999999999999886</v>
      </c>
      <c r="N1549">
        <f t="shared" si="97"/>
        <v>-0.21999999999999886</v>
      </c>
      <c r="O1549">
        <f t="shared" si="98"/>
        <v>6.0000000000002274E-2</v>
      </c>
      <c r="P1549" s="10">
        <f t="shared" si="99"/>
        <v>-0.39000000000000057</v>
      </c>
    </row>
    <row r="1550" spans="1:16">
      <c r="A1550">
        <v>382.25</v>
      </c>
      <c r="B1550">
        <v>113.56</v>
      </c>
      <c r="C1550">
        <v>118.28</v>
      </c>
      <c r="D1550">
        <v>119.51</v>
      </c>
      <c r="E1550">
        <v>123.73</v>
      </c>
      <c r="F1550">
        <v>120.12</v>
      </c>
      <c r="G1550">
        <v>120.45</v>
      </c>
      <c r="H1550">
        <v>121.51</v>
      </c>
      <c r="K1550" s="9">
        <f t="shared" si="100"/>
        <v>-0.15999999999999659</v>
      </c>
      <c r="L1550">
        <f t="shared" si="95"/>
        <v>-6.0000000000002274E-2</v>
      </c>
      <c r="M1550">
        <f t="shared" si="96"/>
        <v>-0.17000000000000171</v>
      </c>
      <c r="N1550">
        <f t="shared" si="97"/>
        <v>-0.21999999999999886</v>
      </c>
      <c r="O1550">
        <f t="shared" si="98"/>
        <v>0</v>
      </c>
      <c r="P1550" s="10">
        <f t="shared" si="99"/>
        <v>-0.45000000000000284</v>
      </c>
    </row>
    <row r="1551" spans="1:16">
      <c r="A1551">
        <v>382.5</v>
      </c>
      <c r="B1551">
        <v>113.51</v>
      </c>
      <c r="C1551">
        <v>118.4</v>
      </c>
      <c r="D1551">
        <v>119.51</v>
      </c>
      <c r="E1551">
        <v>123.73</v>
      </c>
      <c r="F1551">
        <v>120.06</v>
      </c>
      <c r="G1551">
        <v>120.56</v>
      </c>
      <c r="H1551">
        <v>121.4</v>
      </c>
      <c r="K1551" s="9">
        <f t="shared" si="100"/>
        <v>-0.23000000000000398</v>
      </c>
      <c r="L1551">
        <f t="shared" si="95"/>
        <v>-0.10999999999999943</v>
      </c>
      <c r="M1551">
        <f t="shared" si="96"/>
        <v>-0.21999999999999886</v>
      </c>
      <c r="N1551">
        <f t="shared" si="97"/>
        <v>-4.9999999999997158E-2</v>
      </c>
      <c r="O1551">
        <f t="shared" si="98"/>
        <v>-0.21999999999999886</v>
      </c>
      <c r="P1551" s="10">
        <f t="shared" si="99"/>
        <v>-0.28000000000000114</v>
      </c>
    </row>
    <row r="1552" spans="1:16">
      <c r="A1552">
        <v>382.75</v>
      </c>
      <c r="B1552">
        <v>113.45</v>
      </c>
      <c r="C1552">
        <v>118.23</v>
      </c>
      <c r="D1552">
        <v>119.45</v>
      </c>
      <c r="E1552">
        <v>123.62</v>
      </c>
      <c r="F1552">
        <v>120.01</v>
      </c>
      <c r="G1552">
        <v>120.51</v>
      </c>
      <c r="H1552">
        <v>121.17</v>
      </c>
      <c r="K1552" s="9">
        <f t="shared" si="100"/>
        <v>-0.10999999999999943</v>
      </c>
      <c r="L1552">
        <f t="shared" si="95"/>
        <v>-4.9999999999997158E-2</v>
      </c>
      <c r="M1552">
        <f t="shared" si="96"/>
        <v>-0.10999999999999943</v>
      </c>
      <c r="N1552">
        <f t="shared" si="97"/>
        <v>0</v>
      </c>
      <c r="O1552">
        <f t="shared" si="98"/>
        <v>-0.10999999999999943</v>
      </c>
      <c r="P1552" s="10">
        <f t="shared" si="99"/>
        <v>6.0000000000002274E-2</v>
      </c>
    </row>
    <row r="1553" spans="1:16">
      <c r="A1553">
        <v>383</v>
      </c>
      <c r="B1553">
        <v>113.34</v>
      </c>
      <c r="C1553">
        <v>118.12</v>
      </c>
      <c r="D1553">
        <v>119.45</v>
      </c>
      <c r="E1553">
        <v>123.56</v>
      </c>
      <c r="F1553">
        <v>119.9</v>
      </c>
      <c r="G1553">
        <v>120.45</v>
      </c>
      <c r="H1553">
        <v>121.06</v>
      </c>
      <c r="K1553" s="9">
        <f t="shared" si="100"/>
        <v>-0.17000000000000171</v>
      </c>
      <c r="L1553">
        <f t="shared" si="95"/>
        <v>-4.9999999999997158E-2</v>
      </c>
      <c r="M1553">
        <f t="shared" si="96"/>
        <v>-0.21999999999999886</v>
      </c>
      <c r="N1553">
        <f t="shared" si="97"/>
        <v>-6.0000000000002274E-2</v>
      </c>
      <c r="O1553">
        <f t="shared" si="98"/>
        <v>-0.10999999999999943</v>
      </c>
      <c r="P1553" s="10">
        <f t="shared" si="99"/>
        <v>0.10999999999999943</v>
      </c>
    </row>
    <row r="1554" spans="1:16">
      <c r="A1554">
        <v>383.25</v>
      </c>
      <c r="B1554">
        <v>113.23</v>
      </c>
      <c r="C1554">
        <v>118.17</v>
      </c>
      <c r="D1554">
        <v>119.4</v>
      </c>
      <c r="E1554">
        <v>123.51</v>
      </c>
      <c r="F1554">
        <v>120.01</v>
      </c>
      <c r="G1554">
        <v>120.34</v>
      </c>
      <c r="H1554">
        <v>121.12</v>
      </c>
      <c r="K1554" s="9">
        <f t="shared" si="100"/>
        <v>-0.15999999999999659</v>
      </c>
      <c r="L1554">
        <f t="shared" si="95"/>
        <v>0</v>
      </c>
      <c r="M1554">
        <f t="shared" si="96"/>
        <v>-0.23000000000000398</v>
      </c>
      <c r="N1554">
        <f t="shared" si="97"/>
        <v>-0.10999999999999943</v>
      </c>
      <c r="O1554">
        <f t="shared" si="98"/>
        <v>-6.0000000000002274E-2</v>
      </c>
      <c r="P1554" s="10">
        <f t="shared" si="99"/>
        <v>0</v>
      </c>
    </row>
    <row r="1555" spans="1:16">
      <c r="A1555">
        <v>383.5</v>
      </c>
      <c r="B1555">
        <v>113.17</v>
      </c>
      <c r="C1555">
        <v>118.12</v>
      </c>
      <c r="D1555">
        <v>119.4</v>
      </c>
      <c r="E1555">
        <v>123.51</v>
      </c>
      <c r="F1555">
        <v>120.01</v>
      </c>
      <c r="G1555">
        <v>120.4</v>
      </c>
      <c r="H1555">
        <v>121.23</v>
      </c>
      <c r="K1555" s="9">
        <f t="shared" si="100"/>
        <v>-0.17000000000000171</v>
      </c>
      <c r="L1555">
        <f t="shared" si="95"/>
        <v>0</v>
      </c>
      <c r="M1555">
        <f t="shared" si="96"/>
        <v>-0.17000000000000171</v>
      </c>
      <c r="N1555">
        <f t="shared" si="97"/>
        <v>-0.10999999999999943</v>
      </c>
      <c r="O1555">
        <f t="shared" si="98"/>
        <v>-0.23000000000000398</v>
      </c>
      <c r="P1555" s="10">
        <f t="shared" si="99"/>
        <v>-0.10999999999999943</v>
      </c>
    </row>
    <row r="1556" spans="1:16">
      <c r="A1556">
        <v>383.75</v>
      </c>
      <c r="B1556">
        <v>113.12</v>
      </c>
      <c r="C1556">
        <v>117.95</v>
      </c>
      <c r="D1556">
        <v>119.4</v>
      </c>
      <c r="E1556">
        <v>123.34</v>
      </c>
      <c r="F1556">
        <v>119.84</v>
      </c>
      <c r="G1556">
        <v>120.34</v>
      </c>
      <c r="H1556">
        <v>121.17</v>
      </c>
      <c r="K1556" s="9">
        <f t="shared" si="100"/>
        <v>-4.9999999999997158E-2</v>
      </c>
      <c r="L1556">
        <f t="shared" si="95"/>
        <v>-6.0000000000002274E-2</v>
      </c>
      <c r="M1556">
        <f t="shared" si="96"/>
        <v>-6.0000000000002274E-2</v>
      </c>
      <c r="N1556">
        <f t="shared" si="97"/>
        <v>-6.0000000000002274E-2</v>
      </c>
      <c r="O1556">
        <f t="shared" si="98"/>
        <v>-0.10999999999999943</v>
      </c>
      <c r="P1556" s="10">
        <f t="shared" si="99"/>
        <v>-4.9999999999997158E-2</v>
      </c>
    </row>
    <row r="1557" spans="1:16">
      <c r="A1557">
        <v>384</v>
      </c>
      <c r="B1557">
        <v>113.06</v>
      </c>
      <c r="C1557">
        <v>118.01</v>
      </c>
      <c r="D1557">
        <v>119.4</v>
      </c>
      <c r="E1557">
        <v>123.28</v>
      </c>
      <c r="F1557">
        <v>119.9</v>
      </c>
      <c r="G1557">
        <v>120.28</v>
      </c>
      <c r="H1557">
        <v>121.12</v>
      </c>
      <c r="K1557" s="9">
        <f t="shared" si="100"/>
        <v>-0.17000000000000171</v>
      </c>
      <c r="L1557">
        <f t="shared" si="95"/>
        <v>-0.12000000000000455</v>
      </c>
      <c r="M1557">
        <f t="shared" si="96"/>
        <v>-0.10999999999999943</v>
      </c>
      <c r="N1557">
        <f t="shared" si="97"/>
        <v>-0.17000000000000171</v>
      </c>
      <c r="O1557">
        <f t="shared" si="98"/>
        <v>-4.9999999999997158E-2</v>
      </c>
      <c r="P1557" s="10">
        <f t="shared" si="99"/>
        <v>-0.10999999999999943</v>
      </c>
    </row>
    <row r="1558" spans="1:16">
      <c r="A1558">
        <v>384.25</v>
      </c>
      <c r="B1558">
        <v>112.95</v>
      </c>
      <c r="C1558">
        <v>117.95</v>
      </c>
      <c r="D1558">
        <v>119.4</v>
      </c>
      <c r="E1558">
        <v>123.34</v>
      </c>
      <c r="F1558">
        <v>119.9</v>
      </c>
      <c r="G1558">
        <v>120.17</v>
      </c>
      <c r="H1558">
        <v>121.12</v>
      </c>
      <c r="K1558" s="9">
        <f t="shared" si="100"/>
        <v>-4.9999999999997158E-2</v>
      </c>
      <c r="L1558">
        <f t="shared" si="95"/>
        <v>-0.17000000000000171</v>
      </c>
      <c r="M1558">
        <f t="shared" si="96"/>
        <v>-0.21999999999999886</v>
      </c>
      <c r="N1558">
        <f t="shared" si="97"/>
        <v>-0.12000000000000455</v>
      </c>
      <c r="O1558">
        <f t="shared" si="98"/>
        <v>-4.9999999999997158E-2</v>
      </c>
      <c r="P1558" s="10">
        <f t="shared" si="99"/>
        <v>0</v>
      </c>
    </row>
    <row r="1559" spans="1:16">
      <c r="A1559">
        <v>384.5</v>
      </c>
      <c r="B1559">
        <v>112.95</v>
      </c>
      <c r="C1559">
        <v>117.9</v>
      </c>
      <c r="D1559">
        <v>119.34</v>
      </c>
      <c r="E1559">
        <v>123.28</v>
      </c>
      <c r="F1559">
        <v>119.78</v>
      </c>
      <c r="G1559">
        <v>120.23</v>
      </c>
      <c r="H1559">
        <v>121.12</v>
      </c>
      <c r="K1559" s="9">
        <f t="shared" si="100"/>
        <v>-0.12000000000000455</v>
      </c>
      <c r="L1559">
        <f t="shared" si="95"/>
        <v>-0.32999999999999829</v>
      </c>
      <c r="M1559">
        <f t="shared" si="96"/>
        <v>-0.21999999999999886</v>
      </c>
      <c r="N1559">
        <f t="shared" si="97"/>
        <v>-0.15999999999999659</v>
      </c>
      <c r="O1559">
        <f t="shared" si="98"/>
        <v>-0.10999999999999943</v>
      </c>
      <c r="P1559" s="10">
        <f t="shared" si="99"/>
        <v>-6.0000000000002274E-2</v>
      </c>
    </row>
    <row r="1560" spans="1:16">
      <c r="A1560">
        <v>384.75</v>
      </c>
      <c r="B1560">
        <v>112.9</v>
      </c>
      <c r="C1560">
        <v>117.84</v>
      </c>
      <c r="D1560">
        <v>119.28</v>
      </c>
      <c r="E1560">
        <v>123.17</v>
      </c>
      <c r="F1560">
        <v>119.73</v>
      </c>
      <c r="G1560">
        <v>120.23</v>
      </c>
      <c r="H1560">
        <v>121.01</v>
      </c>
      <c r="K1560" s="9">
        <f t="shared" si="100"/>
        <v>-0.17000000000000171</v>
      </c>
      <c r="L1560">
        <f t="shared" si="95"/>
        <v>-0.37999999999999545</v>
      </c>
      <c r="M1560">
        <f t="shared" si="96"/>
        <v>-0.15999999999999659</v>
      </c>
      <c r="N1560">
        <f t="shared" si="97"/>
        <v>-0.17000000000000171</v>
      </c>
      <c r="O1560">
        <f t="shared" si="98"/>
        <v>-0.28000000000000114</v>
      </c>
      <c r="P1560" s="10">
        <f t="shared" si="99"/>
        <v>4.9999999999997158E-2</v>
      </c>
    </row>
    <row r="1561" spans="1:16">
      <c r="A1561">
        <v>385</v>
      </c>
      <c r="B1561">
        <v>112.84</v>
      </c>
      <c r="C1561">
        <v>117.9</v>
      </c>
      <c r="D1561">
        <v>119.23</v>
      </c>
      <c r="E1561">
        <v>123.12</v>
      </c>
      <c r="F1561">
        <v>119.78</v>
      </c>
      <c r="G1561">
        <v>120.12</v>
      </c>
      <c r="H1561">
        <v>121.12</v>
      </c>
      <c r="K1561" s="9">
        <f t="shared" si="100"/>
        <v>-0.23000000000000398</v>
      </c>
      <c r="L1561">
        <f t="shared" si="95"/>
        <v>-0.32999999999999829</v>
      </c>
      <c r="M1561">
        <f t="shared" si="96"/>
        <v>-0.17000000000000171</v>
      </c>
      <c r="N1561">
        <f t="shared" si="97"/>
        <v>-0.21999999999999886</v>
      </c>
      <c r="O1561">
        <f t="shared" si="98"/>
        <v>-0.39000000000000057</v>
      </c>
      <c r="P1561" s="10">
        <f t="shared" si="99"/>
        <v>-0.17000000000000171</v>
      </c>
    </row>
    <row r="1562" spans="1:16">
      <c r="A1562">
        <v>385.25</v>
      </c>
      <c r="B1562">
        <v>112.73</v>
      </c>
      <c r="C1562">
        <v>117.78</v>
      </c>
      <c r="D1562">
        <v>119.01</v>
      </c>
      <c r="E1562">
        <v>123.06</v>
      </c>
      <c r="F1562">
        <v>119.62</v>
      </c>
      <c r="G1562">
        <v>120.12</v>
      </c>
      <c r="H1562">
        <v>121.06</v>
      </c>
      <c r="K1562" s="9">
        <f t="shared" si="100"/>
        <v>-0.15999999999999659</v>
      </c>
      <c r="L1562">
        <f t="shared" si="95"/>
        <v>-6.0000000000002274E-2</v>
      </c>
      <c r="M1562">
        <f t="shared" si="96"/>
        <v>-0.28000000000000114</v>
      </c>
      <c r="N1562">
        <f t="shared" si="97"/>
        <v>-0.10999999999999943</v>
      </c>
      <c r="O1562">
        <f t="shared" si="98"/>
        <v>-0.39000000000000057</v>
      </c>
      <c r="P1562" s="10">
        <f t="shared" si="99"/>
        <v>-0.10999999999999943</v>
      </c>
    </row>
    <row r="1563" spans="1:16">
      <c r="A1563">
        <v>385.5</v>
      </c>
      <c r="B1563">
        <v>112.67</v>
      </c>
      <c r="C1563">
        <v>117.67</v>
      </c>
      <c r="D1563">
        <v>118.9</v>
      </c>
      <c r="E1563">
        <v>123.01</v>
      </c>
      <c r="F1563">
        <v>119.56</v>
      </c>
      <c r="G1563">
        <v>119.95</v>
      </c>
      <c r="H1563">
        <v>121.06</v>
      </c>
      <c r="K1563" s="9">
        <f t="shared" si="100"/>
        <v>-0.10999999999999943</v>
      </c>
      <c r="L1563">
        <f t="shared" si="95"/>
        <v>0</v>
      </c>
      <c r="M1563">
        <f t="shared" si="96"/>
        <v>-0.17000000000000171</v>
      </c>
      <c r="N1563">
        <f t="shared" si="97"/>
        <v>6.0000000000002274E-2</v>
      </c>
      <c r="O1563">
        <f t="shared" si="98"/>
        <v>-0.10999999999999943</v>
      </c>
      <c r="P1563" s="10">
        <f t="shared" si="99"/>
        <v>-0.10999999999999943</v>
      </c>
    </row>
    <row r="1564" spans="1:16">
      <c r="A1564">
        <v>385.75</v>
      </c>
      <c r="B1564">
        <v>112.51</v>
      </c>
      <c r="C1564">
        <v>117.67</v>
      </c>
      <c r="D1564">
        <v>118.9</v>
      </c>
      <c r="E1564">
        <v>122.95</v>
      </c>
      <c r="F1564">
        <v>119.56</v>
      </c>
      <c r="G1564">
        <v>119.73</v>
      </c>
      <c r="H1564">
        <v>120.95</v>
      </c>
      <c r="K1564" s="9">
        <f t="shared" si="100"/>
        <v>-0.15999999999999659</v>
      </c>
      <c r="L1564">
        <f t="shared" si="95"/>
        <v>0</v>
      </c>
      <c r="M1564">
        <f t="shared" si="96"/>
        <v>-0.17000000000000171</v>
      </c>
      <c r="N1564">
        <f t="shared" si="97"/>
        <v>0.10999999999999943</v>
      </c>
      <c r="O1564">
        <f t="shared" si="98"/>
        <v>-6.0000000000002274E-2</v>
      </c>
      <c r="P1564" s="10">
        <f t="shared" si="99"/>
        <v>-4.9999999999997158E-2</v>
      </c>
    </row>
    <row r="1565" spans="1:16">
      <c r="A1565">
        <v>386</v>
      </c>
      <c r="B1565">
        <v>112.4</v>
      </c>
      <c r="C1565">
        <v>117.62</v>
      </c>
      <c r="D1565">
        <v>118.95</v>
      </c>
      <c r="E1565">
        <v>122.78</v>
      </c>
      <c r="F1565">
        <v>119.51</v>
      </c>
      <c r="G1565">
        <v>119.73</v>
      </c>
      <c r="H1565">
        <v>120.95</v>
      </c>
      <c r="K1565" s="9">
        <f t="shared" si="100"/>
        <v>-6.0000000000002274E-2</v>
      </c>
      <c r="L1565">
        <f t="shared" si="95"/>
        <v>0</v>
      </c>
      <c r="M1565">
        <f t="shared" si="96"/>
        <v>-4.9999999999997158E-2</v>
      </c>
      <c r="N1565">
        <f t="shared" si="97"/>
        <v>4.9999999999997158E-2</v>
      </c>
      <c r="O1565">
        <f t="shared" si="98"/>
        <v>0</v>
      </c>
      <c r="P1565" s="10">
        <f t="shared" si="99"/>
        <v>-0.17000000000000171</v>
      </c>
    </row>
    <row r="1566" spans="1:16">
      <c r="A1566">
        <v>386.25</v>
      </c>
      <c r="B1566">
        <v>112.4</v>
      </c>
      <c r="C1566">
        <v>117.56</v>
      </c>
      <c r="D1566">
        <v>118.9</v>
      </c>
      <c r="E1566">
        <v>122.84</v>
      </c>
      <c r="F1566">
        <v>119.62</v>
      </c>
      <c r="G1566">
        <v>119.84</v>
      </c>
      <c r="H1566">
        <v>120.95</v>
      </c>
      <c r="K1566" s="9">
        <f t="shared" si="100"/>
        <v>-4.9999999999997158E-2</v>
      </c>
      <c r="L1566">
        <f t="shared" si="95"/>
        <v>0</v>
      </c>
      <c r="M1566">
        <f t="shared" si="96"/>
        <v>-0.10999999999999943</v>
      </c>
      <c r="N1566">
        <f t="shared" si="97"/>
        <v>-0.17000000000000171</v>
      </c>
      <c r="O1566">
        <f t="shared" si="98"/>
        <v>-0.17000000000000171</v>
      </c>
      <c r="P1566" s="10">
        <f t="shared" si="99"/>
        <v>-0.10999999999999943</v>
      </c>
    </row>
    <row r="1567" spans="1:16">
      <c r="A1567">
        <v>386.5</v>
      </c>
      <c r="B1567">
        <v>112.4</v>
      </c>
      <c r="C1567">
        <v>117.51</v>
      </c>
      <c r="D1567">
        <v>118.9</v>
      </c>
      <c r="E1567">
        <v>122.78</v>
      </c>
      <c r="F1567">
        <v>119.67</v>
      </c>
      <c r="G1567">
        <v>119.67</v>
      </c>
      <c r="H1567">
        <v>120.9</v>
      </c>
      <c r="K1567" s="9">
        <f t="shared" si="100"/>
        <v>-6.0000000000002274E-2</v>
      </c>
      <c r="L1567">
        <f t="shared" si="95"/>
        <v>-6.0000000000002274E-2</v>
      </c>
      <c r="M1567">
        <f t="shared" si="96"/>
        <v>-0.21999999999999886</v>
      </c>
      <c r="N1567">
        <f t="shared" si="97"/>
        <v>-0.21999999999999886</v>
      </c>
      <c r="O1567">
        <f t="shared" si="98"/>
        <v>0</v>
      </c>
      <c r="P1567" s="10">
        <f t="shared" si="99"/>
        <v>0.10999999999999943</v>
      </c>
    </row>
    <row r="1568" spans="1:16">
      <c r="A1568">
        <v>386.75</v>
      </c>
      <c r="B1568">
        <v>112.34</v>
      </c>
      <c r="C1568">
        <v>117.56</v>
      </c>
      <c r="D1568">
        <v>118.95</v>
      </c>
      <c r="E1568">
        <v>122.73</v>
      </c>
      <c r="F1568">
        <v>119.56</v>
      </c>
      <c r="G1568">
        <v>119.73</v>
      </c>
      <c r="H1568">
        <v>120.78</v>
      </c>
      <c r="K1568" s="9">
        <f t="shared" si="100"/>
        <v>-0.10999999999999943</v>
      </c>
      <c r="L1568">
        <f t="shared" si="95"/>
        <v>-0.17000000000000171</v>
      </c>
      <c r="M1568">
        <f t="shared" si="96"/>
        <v>-0.17000000000000171</v>
      </c>
      <c r="N1568">
        <f t="shared" si="97"/>
        <v>-0.10999999999999943</v>
      </c>
      <c r="O1568">
        <f t="shared" si="98"/>
        <v>-6.0000000000002274E-2</v>
      </c>
      <c r="P1568" s="10">
        <f t="shared" si="99"/>
        <v>0.34000000000000341</v>
      </c>
    </row>
    <row r="1569" spans="1:16">
      <c r="A1569">
        <v>387</v>
      </c>
      <c r="B1569">
        <v>112.4</v>
      </c>
      <c r="C1569">
        <v>117.51</v>
      </c>
      <c r="D1569">
        <v>118.9</v>
      </c>
      <c r="E1569">
        <v>122.73</v>
      </c>
      <c r="F1569">
        <v>119.45</v>
      </c>
      <c r="G1569">
        <v>119.67</v>
      </c>
      <c r="H1569">
        <v>120.84</v>
      </c>
      <c r="K1569" s="9">
        <f t="shared" si="100"/>
        <v>-6.0000000000002274E-2</v>
      </c>
      <c r="L1569">
        <f t="shared" si="95"/>
        <v>0</v>
      </c>
      <c r="M1569">
        <f t="shared" si="96"/>
        <v>-0.21999999999999886</v>
      </c>
      <c r="N1569">
        <f t="shared" si="97"/>
        <v>-0.10999999999999943</v>
      </c>
      <c r="O1569">
        <f t="shared" si="98"/>
        <v>-4.9999999999997158E-2</v>
      </c>
      <c r="P1569" s="10">
        <f t="shared" si="99"/>
        <v>0.21999999999999886</v>
      </c>
    </row>
    <row r="1570" spans="1:16">
      <c r="A1570">
        <v>387.25</v>
      </c>
      <c r="B1570">
        <v>112.28</v>
      </c>
      <c r="C1570">
        <v>117.45</v>
      </c>
      <c r="D1570">
        <v>118.84</v>
      </c>
      <c r="E1570">
        <v>122.56</v>
      </c>
      <c r="F1570">
        <v>119.45</v>
      </c>
      <c r="G1570">
        <v>119.67</v>
      </c>
      <c r="H1570">
        <v>121.01</v>
      </c>
      <c r="K1570" s="9">
        <f t="shared" si="100"/>
        <v>-0.10999999999999943</v>
      </c>
      <c r="L1570">
        <f t="shared" si="95"/>
        <v>-6.0000000000002274E-2</v>
      </c>
      <c r="M1570">
        <f t="shared" si="96"/>
        <v>-0.15999999999999659</v>
      </c>
      <c r="N1570">
        <f t="shared" si="97"/>
        <v>-0.10999999999999943</v>
      </c>
      <c r="O1570">
        <f t="shared" si="98"/>
        <v>-0.21999999999999886</v>
      </c>
      <c r="P1570" s="10">
        <f t="shared" si="99"/>
        <v>0.10999999999999943</v>
      </c>
    </row>
    <row r="1571" spans="1:16">
      <c r="A1571">
        <v>387.5</v>
      </c>
      <c r="B1571">
        <v>112.28</v>
      </c>
      <c r="C1571">
        <v>117.45</v>
      </c>
      <c r="D1571">
        <v>118.78</v>
      </c>
      <c r="E1571">
        <v>122.56</v>
      </c>
      <c r="F1571">
        <v>119.45</v>
      </c>
      <c r="G1571">
        <v>119.67</v>
      </c>
      <c r="H1571">
        <v>121.12</v>
      </c>
      <c r="K1571" s="9">
        <f t="shared" si="100"/>
        <v>-0.10999999999999943</v>
      </c>
      <c r="L1571">
        <f t="shared" si="95"/>
        <v>-4.9999999999997158E-2</v>
      </c>
      <c r="M1571">
        <f t="shared" si="96"/>
        <v>-0.15999999999999659</v>
      </c>
      <c r="N1571">
        <f t="shared" si="97"/>
        <v>-0.17000000000000171</v>
      </c>
      <c r="O1571">
        <f t="shared" si="98"/>
        <v>-0.39000000000000057</v>
      </c>
      <c r="P1571" s="10">
        <f t="shared" si="99"/>
        <v>-6.0000000000002274E-2</v>
      </c>
    </row>
    <row r="1572" spans="1:16">
      <c r="A1572">
        <v>387.75</v>
      </c>
      <c r="B1572">
        <v>112.28</v>
      </c>
      <c r="C1572">
        <v>117.45</v>
      </c>
      <c r="D1572">
        <v>118.9</v>
      </c>
      <c r="E1572">
        <v>122.51</v>
      </c>
      <c r="F1572">
        <v>119.34</v>
      </c>
      <c r="G1572">
        <v>119.62</v>
      </c>
      <c r="H1572">
        <v>121.06</v>
      </c>
      <c r="K1572" s="9">
        <f t="shared" si="100"/>
        <v>-0.10999999999999943</v>
      </c>
      <c r="L1572">
        <f t="shared" si="95"/>
        <v>-0.23000000000000398</v>
      </c>
      <c r="M1572">
        <f t="shared" si="96"/>
        <v>-0.17000000000000171</v>
      </c>
      <c r="N1572">
        <f t="shared" si="97"/>
        <v>-0.17000000000000171</v>
      </c>
      <c r="O1572">
        <f t="shared" si="98"/>
        <v>-0.39000000000000057</v>
      </c>
      <c r="P1572" s="10">
        <f t="shared" si="99"/>
        <v>0</v>
      </c>
    </row>
    <row r="1573" spans="1:16">
      <c r="A1573">
        <v>388</v>
      </c>
      <c r="B1573">
        <v>112.17</v>
      </c>
      <c r="C1573">
        <v>117.34</v>
      </c>
      <c r="D1573">
        <v>118.78</v>
      </c>
      <c r="E1573">
        <v>122.4</v>
      </c>
      <c r="F1573">
        <v>119.34</v>
      </c>
      <c r="G1573">
        <v>119.45</v>
      </c>
      <c r="H1573">
        <v>121.12</v>
      </c>
      <c r="K1573" s="9">
        <f t="shared" si="100"/>
        <v>0</v>
      </c>
      <c r="L1573">
        <f t="shared" si="95"/>
        <v>-0.15999999999999659</v>
      </c>
      <c r="M1573">
        <f t="shared" si="96"/>
        <v>-0.17000000000000171</v>
      </c>
      <c r="N1573">
        <f t="shared" si="97"/>
        <v>-0.21999999999999886</v>
      </c>
      <c r="O1573">
        <f t="shared" si="98"/>
        <v>-0.10999999999999943</v>
      </c>
      <c r="P1573" s="10">
        <f t="shared" si="99"/>
        <v>-6.0000000000002274E-2</v>
      </c>
    </row>
    <row r="1574" spans="1:16">
      <c r="A1574">
        <v>388.25</v>
      </c>
      <c r="B1574">
        <v>112.23</v>
      </c>
      <c r="C1574">
        <v>117.34</v>
      </c>
      <c r="D1574">
        <v>118.73</v>
      </c>
      <c r="E1574">
        <v>122.4</v>
      </c>
      <c r="F1574">
        <v>119.28</v>
      </c>
      <c r="G1574">
        <v>119.28</v>
      </c>
      <c r="H1574">
        <v>121.06</v>
      </c>
      <c r="K1574" s="9">
        <f t="shared" si="100"/>
        <v>-0.10999999999999943</v>
      </c>
      <c r="L1574">
        <f t="shared" si="95"/>
        <v>-0.21999999999999886</v>
      </c>
      <c r="M1574">
        <f t="shared" si="96"/>
        <v>-0.12000000000000455</v>
      </c>
      <c r="N1574">
        <f t="shared" si="97"/>
        <v>-0.10999999999999943</v>
      </c>
      <c r="O1574">
        <f t="shared" si="98"/>
        <v>0</v>
      </c>
      <c r="P1574" s="10">
        <f t="shared" si="99"/>
        <v>-4.9999999999997158E-2</v>
      </c>
    </row>
    <row r="1575" spans="1:16">
      <c r="A1575">
        <v>388.5</v>
      </c>
      <c r="B1575">
        <v>112.23</v>
      </c>
      <c r="C1575">
        <v>117.34</v>
      </c>
      <c r="D1575">
        <v>118.67</v>
      </c>
      <c r="E1575">
        <v>122.34</v>
      </c>
      <c r="F1575">
        <v>119.17</v>
      </c>
      <c r="G1575">
        <v>119.23</v>
      </c>
      <c r="H1575">
        <v>121.06</v>
      </c>
      <c r="K1575" s="9">
        <f t="shared" si="100"/>
        <v>-0.17000000000000171</v>
      </c>
      <c r="L1575">
        <f t="shared" si="95"/>
        <v>-0.32999999999999829</v>
      </c>
      <c r="M1575">
        <f t="shared" si="96"/>
        <v>-0.10999999999999943</v>
      </c>
      <c r="N1575">
        <f t="shared" si="97"/>
        <v>-4.9999999999997158E-2</v>
      </c>
      <c r="O1575">
        <f t="shared" si="98"/>
        <v>0.10999999999999943</v>
      </c>
      <c r="P1575" s="10">
        <f t="shared" si="99"/>
        <v>-0.10999999999999943</v>
      </c>
    </row>
    <row r="1576" spans="1:16">
      <c r="A1576">
        <v>388.75</v>
      </c>
      <c r="B1576">
        <v>112.12</v>
      </c>
      <c r="C1576">
        <v>117.34</v>
      </c>
      <c r="D1576">
        <v>118.62</v>
      </c>
      <c r="E1576">
        <v>122.23</v>
      </c>
      <c r="F1576">
        <v>119.12</v>
      </c>
      <c r="G1576">
        <v>119.34</v>
      </c>
      <c r="H1576">
        <v>121.06</v>
      </c>
      <c r="K1576" s="9">
        <f t="shared" si="100"/>
        <v>-0.10999999999999943</v>
      </c>
      <c r="L1576">
        <f t="shared" si="95"/>
        <v>-0.28000000000000114</v>
      </c>
      <c r="M1576">
        <f t="shared" si="96"/>
        <v>-0.10999999999999943</v>
      </c>
      <c r="N1576">
        <f t="shared" si="97"/>
        <v>0</v>
      </c>
      <c r="O1576">
        <f t="shared" si="98"/>
        <v>-6.0000000000002274E-2</v>
      </c>
      <c r="P1576" s="10">
        <f t="shared" si="99"/>
        <v>-0.15999999999999659</v>
      </c>
    </row>
    <row r="1577" spans="1:16">
      <c r="A1577">
        <v>389</v>
      </c>
      <c r="B1577">
        <v>112.06</v>
      </c>
      <c r="C1577">
        <v>117.23</v>
      </c>
      <c r="D1577">
        <v>118.51</v>
      </c>
      <c r="E1577">
        <v>122.28</v>
      </c>
      <c r="F1577">
        <v>119.17</v>
      </c>
      <c r="G1577">
        <v>119.28</v>
      </c>
      <c r="H1577">
        <v>121.01</v>
      </c>
      <c r="K1577" s="9">
        <f t="shared" si="100"/>
        <v>0</v>
      </c>
      <c r="L1577">
        <f t="shared" si="95"/>
        <v>-0.17000000000000171</v>
      </c>
      <c r="M1577">
        <f t="shared" si="96"/>
        <v>-0.15999999999999659</v>
      </c>
      <c r="N1577">
        <f t="shared" si="97"/>
        <v>-0.10999999999999943</v>
      </c>
      <c r="O1577">
        <f t="shared" si="98"/>
        <v>-0.15999999999999659</v>
      </c>
      <c r="P1577" s="10">
        <f t="shared" si="99"/>
        <v>-0.10999999999999943</v>
      </c>
    </row>
    <row r="1578" spans="1:16">
      <c r="A1578">
        <v>389.25</v>
      </c>
      <c r="B1578">
        <v>112.06</v>
      </c>
      <c r="C1578">
        <v>117.17</v>
      </c>
      <c r="D1578">
        <v>118.34</v>
      </c>
      <c r="E1578">
        <v>122.23</v>
      </c>
      <c r="F1578">
        <v>119.12</v>
      </c>
      <c r="G1578">
        <v>119.34</v>
      </c>
      <c r="H1578">
        <v>120.95</v>
      </c>
      <c r="K1578" s="9">
        <f t="shared" si="100"/>
        <v>-0.10999999999999943</v>
      </c>
      <c r="L1578">
        <f t="shared" si="95"/>
        <v>-0.17000000000000171</v>
      </c>
      <c r="M1578">
        <f t="shared" si="96"/>
        <v>-0.17000000000000171</v>
      </c>
      <c r="N1578">
        <f t="shared" si="97"/>
        <v>-6.0000000000002274E-2</v>
      </c>
      <c r="O1578">
        <f t="shared" si="98"/>
        <v>-0.28000000000000114</v>
      </c>
      <c r="P1578" s="10">
        <f t="shared" si="99"/>
        <v>-0.10999999999999943</v>
      </c>
    </row>
    <row r="1579" spans="1:16">
      <c r="A1579">
        <v>389.5</v>
      </c>
      <c r="B1579">
        <v>111.95</v>
      </c>
      <c r="C1579">
        <v>117.23</v>
      </c>
      <c r="D1579">
        <v>118.34</v>
      </c>
      <c r="E1579">
        <v>122.12</v>
      </c>
      <c r="F1579">
        <v>119.12</v>
      </c>
      <c r="G1579">
        <v>119.28</v>
      </c>
      <c r="H1579">
        <v>120.9</v>
      </c>
      <c r="K1579" s="9">
        <f t="shared" si="100"/>
        <v>-0.21999999999999886</v>
      </c>
      <c r="L1579">
        <f t="shared" si="95"/>
        <v>-0.21999999999999886</v>
      </c>
      <c r="M1579">
        <f t="shared" si="96"/>
        <v>-0.10999999999999943</v>
      </c>
      <c r="N1579">
        <f t="shared" si="97"/>
        <v>-0.10999999999999943</v>
      </c>
      <c r="O1579">
        <f t="shared" si="98"/>
        <v>-0.10999999999999943</v>
      </c>
      <c r="P1579" s="10">
        <f t="shared" si="99"/>
        <v>-6.0000000000002274E-2</v>
      </c>
    </row>
    <row r="1580" spans="1:16">
      <c r="A1580">
        <v>389.75</v>
      </c>
      <c r="B1580">
        <v>111.95</v>
      </c>
      <c r="C1580">
        <v>117.23</v>
      </c>
      <c r="D1580">
        <v>118.34</v>
      </c>
      <c r="E1580">
        <v>122.12</v>
      </c>
      <c r="F1580">
        <v>119.06</v>
      </c>
      <c r="G1580">
        <v>119.12</v>
      </c>
      <c r="H1580">
        <v>120.9</v>
      </c>
      <c r="K1580" s="9">
        <f t="shared" si="100"/>
        <v>-0.21999999999999886</v>
      </c>
      <c r="L1580">
        <f t="shared" si="95"/>
        <v>-0.28000000000000114</v>
      </c>
      <c r="M1580">
        <f t="shared" si="96"/>
        <v>-0.10999999999999943</v>
      </c>
      <c r="N1580">
        <f t="shared" si="97"/>
        <v>-0.10999999999999943</v>
      </c>
      <c r="O1580">
        <f t="shared" si="98"/>
        <v>-6.0000000000002274E-2</v>
      </c>
      <c r="P1580" s="10">
        <f t="shared" si="99"/>
        <v>-6.0000000000002274E-2</v>
      </c>
    </row>
    <row r="1581" spans="1:16">
      <c r="A1581">
        <v>390</v>
      </c>
      <c r="B1581">
        <v>111.78</v>
      </c>
      <c r="C1581">
        <v>117.06</v>
      </c>
      <c r="D1581">
        <v>118.17</v>
      </c>
      <c r="E1581">
        <v>122.06</v>
      </c>
      <c r="F1581">
        <v>119.06</v>
      </c>
      <c r="G1581">
        <v>119.06</v>
      </c>
      <c r="H1581">
        <v>120.84</v>
      </c>
      <c r="K1581" s="9">
        <f t="shared" si="100"/>
        <v>-0.15999999999999659</v>
      </c>
      <c r="L1581">
        <f t="shared" si="95"/>
        <v>-0.26999999999999602</v>
      </c>
      <c r="M1581">
        <f t="shared" si="96"/>
        <v>-0.10999999999999943</v>
      </c>
      <c r="N1581">
        <f t="shared" si="97"/>
        <v>-0.21999999999999886</v>
      </c>
      <c r="O1581">
        <f t="shared" si="98"/>
        <v>0</v>
      </c>
      <c r="P1581" s="10">
        <f t="shared" si="99"/>
        <v>0</v>
      </c>
    </row>
    <row r="1582" spans="1:16">
      <c r="A1582">
        <v>390.25</v>
      </c>
      <c r="B1582">
        <v>111.84</v>
      </c>
      <c r="C1582">
        <v>117.01</v>
      </c>
      <c r="D1582">
        <v>118.12</v>
      </c>
      <c r="E1582">
        <v>122.01</v>
      </c>
      <c r="F1582">
        <v>119.01</v>
      </c>
      <c r="G1582">
        <v>119.17</v>
      </c>
      <c r="H1582">
        <v>120.84</v>
      </c>
      <c r="K1582" s="9">
        <f t="shared" si="100"/>
        <v>-0.17000000000000171</v>
      </c>
      <c r="L1582">
        <f t="shared" si="95"/>
        <v>-0.28000000000000114</v>
      </c>
      <c r="M1582">
        <f t="shared" si="96"/>
        <v>-0.17000000000000171</v>
      </c>
      <c r="N1582">
        <f t="shared" si="97"/>
        <v>-0.28000000000000114</v>
      </c>
      <c r="O1582">
        <f t="shared" si="98"/>
        <v>-0.26999999999999602</v>
      </c>
      <c r="P1582" s="10">
        <f t="shared" si="99"/>
        <v>6.0000000000002274E-2</v>
      </c>
    </row>
    <row r="1583" spans="1:16">
      <c r="A1583">
        <v>390.5</v>
      </c>
      <c r="B1583">
        <v>111.78</v>
      </c>
      <c r="C1583">
        <v>117.01</v>
      </c>
      <c r="D1583">
        <v>118.06</v>
      </c>
      <c r="E1583">
        <v>122.01</v>
      </c>
      <c r="F1583">
        <v>118.95</v>
      </c>
      <c r="G1583">
        <v>119.06</v>
      </c>
      <c r="H1583">
        <v>120.84</v>
      </c>
      <c r="K1583" s="9">
        <f t="shared" si="100"/>
        <v>-0.23000000000000398</v>
      </c>
      <c r="L1583">
        <f t="shared" si="95"/>
        <v>-0.60999999999999943</v>
      </c>
      <c r="M1583">
        <f t="shared" si="96"/>
        <v>-0.28000000000000114</v>
      </c>
      <c r="N1583">
        <f t="shared" si="97"/>
        <v>-0.28000000000000114</v>
      </c>
      <c r="O1583">
        <f t="shared" si="98"/>
        <v>-0.10999999999999943</v>
      </c>
      <c r="P1583" s="10">
        <f t="shared" si="99"/>
        <v>0</v>
      </c>
    </row>
    <row r="1584" spans="1:16">
      <c r="A1584">
        <v>390.75</v>
      </c>
      <c r="B1584">
        <v>111.67</v>
      </c>
      <c r="C1584">
        <v>116.9</v>
      </c>
      <c r="D1584">
        <v>117.9</v>
      </c>
      <c r="E1584">
        <v>121.95</v>
      </c>
      <c r="F1584">
        <v>118.84</v>
      </c>
      <c r="G1584">
        <v>119.06</v>
      </c>
      <c r="H1584">
        <v>120.84</v>
      </c>
      <c r="K1584" s="9">
        <f t="shared" si="100"/>
        <v>-0.23000000000000398</v>
      </c>
      <c r="L1584">
        <f t="shared" si="95"/>
        <v>-0.56000000000000227</v>
      </c>
      <c r="M1584">
        <f t="shared" si="96"/>
        <v>-0.28000000000000114</v>
      </c>
      <c r="N1584">
        <f t="shared" si="97"/>
        <v>-0.21999999999999886</v>
      </c>
      <c r="O1584">
        <f t="shared" si="98"/>
        <v>-0.21999999999999886</v>
      </c>
      <c r="P1584" s="10">
        <f t="shared" si="99"/>
        <v>-0.17000000000000171</v>
      </c>
    </row>
    <row r="1585" spans="1:16">
      <c r="A1585">
        <v>391</v>
      </c>
      <c r="B1585">
        <v>111.56</v>
      </c>
      <c r="C1585">
        <v>116.84</v>
      </c>
      <c r="D1585">
        <v>117.84</v>
      </c>
      <c r="E1585">
        <v>121.84</v>
      </c>
      <c r="F1585">
        <v>118.73</v>
      </c>
      <c r="G1585">
        <v>118.9</v>
      </c>
      <c r="H1585">
        <v>120.9</v>
      </c>
      <c r="K1585" s="9">
        <f t="shared" si="100"/>
        <v>-0.17000000000000171</v>
      </c>
      <c r="L1585">
        <f t="shared" si="95"/>
        <v>-0.5</v>
      </c>
      <c r="M1585">
        <f t="shared" si="96"/>
        <v>-0.17000000000000171</v>
      </c>
      <c r="N1585">
        <f t="shared" si="97"/>
        <v>-0.17000000000000171</v>
      </c>
      <c r="O1585">
        <f t="shared" si="98"/>
        <v>-0.12000000000000455</v>
      </c>
      <c r="P1585" s="10">
        <f t="shared" si="99"/>
        <v>-0.17000000000000171</v>
      </c>
    </row>
    <row r="1586" spans="1:16">
      <c r="A1586">
        <v>391.25</v>
      </c>
      <c r="B1586">
        <v>111.51</v>
      </c>
      <c r="C1586">
        <v>116.78</v>
      </c>
      <c r="D1586">
        <v>117.45</v>
      </c>
      <c r="E1586">
        <v>121.73</v>
      </c>
      <c r="F1586">
        <v>118.67</v>
      </c>
      <c r="G1586">
        <v>118.95</v>
      </c>
      <c r="H1586">
        <v>120.84</v>
      </c>
      <c r="K1586" s="9">
        <f t="shared" si="100"/>
        <v>-0.21999999999999886</v>
      </c>
      <c r="L1586">
        <f t="shared" si="95"/>
        <v>-4.9999999999997158E-2</v>
      </c>
      <c r="M1586">
        <f t="shared" si="96"/>
        <v>0</v>
      </c>
      <c r="N1586">
        <f t="shared" si="97"/>
        <v>0</v>
      </c>
      <c r="O1586">
        <f t="shared" si="98"/>
        <v>-0.10999999999999943</v>
      </c>
      <c r="P1586" s="10">
        <f t="shared" si="99"/>
        <v>6.0000000000002274E-2</v>
      </c>
    </row>
    <row r="1587" spans="1:16">
      <c r="A1587">
        <v>391.5</v>
      </c>
      <c r="B1587">
        <v>111.4</v>
      </c>
      <c r="C1587">
        <v>116.67</v>
      </c>
      <c r="D1587">
        <v>117.34</v>
      </c>
      <c r="E1587">
        <v>121.67</v>
      </c>
      <c r="F1587">
        <v>118.62</v>
      </c>
      <c r="G1587">
        <v>118.84</v>
      </c>
      <c r="H1587">
        <v>120.67</v>
      </c>
      <c r="K1587" s="9">
        <f t="shared" si="100"/>
        <v>-0.32999999999999829</v>
      </c>
      <c r="L1587">
        <f t="shared" si="95"/>
        <v>-0.10999999999999943</v>
      </c>
      <c r="M1587">
        <f t="shared" si="96"/>
        <v>-0.10999999999999943</v>
      </c>
      <c r="N1587">
        <f t="shared" si="97"/>
        <v>0</v>
      </c>
      <c r="O1587">
        <f t="shared" si="98"/>
        <v>-0.21999999999999886</v>
      </c>
      <c r="P1587" s="10">
        <f t="shared" si="99"/>
        <v>0.17000000000000171</v>
      </c>
    </row>
    <row r="1588" spans="1:16">
      <c r="A1588">
        <v>391.75</v>
      </c>
      <c r="B1588">
        <v>111.45</v>
      </c>
      <c r="C1588">
        <v>116.67</v>
      </c>
      <c r="D1588">
        <v>117.34</v>
      </c>
      <c r="E1588">
        <v>121.67</v>
      </c>
      <c r="F1588">
        <v>118.56</v>
      </c>
      <c r="G1588">
        <v>118.78</v>
      </c>
      <c r="H1588">
        <v>120.73</v>
      </c>
      <c r="K1588" s="9">
        <f t="shared" si="100"/>
        <v>-0.5</v>
      </c>
      <c r="L1588">
        <f t="shared" si="95"/>
        <v>-0.17000000000000171</v>
      </c>
      <c r="M1588">
        <f t="shared" si="96"/>
        <v>-0.15999999999999659</v>
      </c>
      <c r="N1588">
        <f t="shared" si="97"/>
        <v>-4.9999999999997158E-2</v>
      </c>
      <c r="O1588">
        <f t="shared" si="98"/>
        <v>-0.37999999999999545</v>
      </c>
      <c r="P1588" s="10">
        <f t="shared" si="99"/>
        <v>0.17000000000000171</v>
      </c>
    </row>
    <row r="1589" spans="1:16">
      <c r="A1589">
        <v>392</v>
      </c>
      <c r="B1589">
        <v>111.4</v>
      </c>
      <c r="C1589">
        <v>116.56</v>
      </c>
      <c r="D1589">
        <v>117.4</v>
      </c>
      <c r="E1589">
        <v>121.73</v>
      </c>
      <c r="F1589">
        <v>118.67</v>
      </c>
      <c r="G1589">
        <v>118.84</v>
      </c>
      <c r="H1589">
        <v>120.9</v>
      </c>
      <c r="K1589" s="9">
        <f t="shared" si="100"/>
        <v>-0.60999999999999943</v>
      </c>
      <c r="L1589">
        <f t="shared" si="95"/>
        <v>-0.28000000000000114</v>
      </c>
      <c r="M1589">
        <f t="shared" si="96"/>
        <v>-0.28000000000000114</v>
      </c>
      <c r="N1589">
        <f t="shared" si="97"/>
        <v>-0.21999999999999886</v>
      </c>
      <c r="O1589">
        <f t="shared" si="98"/>
        <v>-0.32999999999999829</v>
      </c>
      <c r="P1589" s="10">
        <f t="shared" si="99"/>
        <v>0</v>
      </c>
    </row>
    <row r="1590" spans="1:16">
      <c r="A1590">
        <v>392.25</v>
      </c>
      <c r="B1590">
        <v>111.28</v>
      </c>
      <c r="C1590">
        <v>116.34</v>
      </c>
      <c r="D1590">
        <v>117.23</v>
      </c>
      <c r="E1590">
        <v>121.56</v>
      </c>
      <c r="F1590">
        <v>118.62</v>
      </c>
      <c r="G1590">
        <v>118.62</v>
      </c>
      <c r="H1590">
        <v>120.84</v>
      </c>
      <c r="K1590" s="9">
        <f t="shared" si="100"/>
        <v>-0.56000000000000227</v>
      </c>
      <c r="L1590">
        <f t="shared" si="95"/>
        <v>-0.39000000000000057</v>
      </c>
      <c r="M1590">
        <f t="shared" si="96"/>
        <v>-0.15999999999999659</v>
      </c>
      <c r="N1590">
        <f t="shared" si="97"/>
        <v>-0.21999999999999886</v>
      </c>
      <c r="O1590">
        <f t="shared" si="98"/>
        <v>-0.10999999999999943</v>
      </c>
      <c r="P1590" s="10">
        <f t="shared" si="99"/>
        <v>0.10999999999999943</v>
      </c>
    </row>
    <row r="1591" spans="1:16">
      <c r="A1591">
        <v>392.5</v>
      </c>
      <c r="B1591">
        <v>111.17</v>
      </c>
      <c r="C1591">
        <v>116.17</v>
      </c>
      <c r="D1591">
        <v>117.17</v>
      </c>
      <c r="E1591">
        <v>121.51</v>
      </c>
      <c r="F1591">
        <v>118.51</v>
      </c>
      <c r="G1591">
        <v>118.4</v>
      </c>
      <c r="H1591">
        <v>120.9</v>
      </c>
      <c r="K1591" s="9">
        <f t="shared" si="100"/>
        <v>-0.5</v>
      </c>
      <c r="L1591">
        <f t="shared" si="95"/>
        <v>-0.39000000000000057</v>
      </c>
      <c r="M1591">
        <f t="shared" si="96"/>
        <v>-0.23000000000000398</v>
      </c>
      <c r="N1591">
        <f t="shared" si="97"/>
        <v>-0.23000000000000398</v>
      </c>
      <c r="O1591">
        <f t="shared" si="98"/>
        <v>-6.0000000000002274E-2</v>
      </c>
      <c r="P1591" s="10">
        <f t="shared" si="99"/>
        <v>4.9999999999997158E-2</v>
      </c>
    </row>
    <row r="1592" spans="1:16">
      <c r="A1592">
        <v>392.75</v>
      </c>
      <c r="B1592">
        <v>111.06</v>
      </c>
      <c r="C1592">
        <v>115.95</v>
      </c>
      <c r="D1592">
        <v>117.12</v>
      </c>
      <c r="E1592">
        <v>121.45</v>
      </c>
      <c r="F1592">
        <v>118.45</v>
      </c>
      <c r="G1592">
        <v>118.51</v>
      </c>
      <c r="H1592">
        <v>120.9</v>
      </c>
      <c r="K1592" s="9">
        <f t="shared" si="100"/>
        <v>-0.39000000000000057</v>
      </c>
      <c r="L1592">
        <f t="shared" si="95"/>
        <v>-0.34000000000000341</v>
      </c>
      <c r="M1592">
        <f t="shared" si="96"/>
        <v>-0.17000000000000171</v>
      </c>
      <c r="N1592">
        <f t="shared" si="97"/>
        <v>-0.28000000000000114</v>
      </c>
      <c r="O1592">
        <f t="shared" si="98"/>
        <v>-0.23000000000000398</v>
      </c>
      <c r="P1592" s="10">
        <f t="shared" si="99"/>
        <v>0</v>
      </c>
    </row>
    <row r="1593" spans="1:16">
      <c r="A1593">
        <v>393</v>
      </c>
      <c r="B1593">
        <v>111.12</v>
      </c>
      <c r="C1593">
        <v>115.78</v>
      </c>
      <c r="D1593">
        <v>116.84</v>
      </c>
      <c r="E1593">
        <v>121.4</v>
      </c>
      <c r="F1593">
        <v>118.4</v>
      </c>
      <c r="G1593">
        <v>118.51</v>
      </c>
      <c r="H1593">
        <v>120.95</v>
      </c>
      <c r="K1593" s="9">
        <f t="shared" si="100"/>
        <v>-0.21999999999999886</v>
      </c>
      <c r="L1593">
        <f t="shared" si="95"/>
        <v>-0.17000000000000171</v>
      </c>
      <c r="M1593">
        <f t="shared" si="96"/>
        <v>-6.0000000000002274E-2</v>
      </c>
      <c r="N1593">
        <f t="shared" si="97"/>
        <v>-0.12000000000000455</v>
      </c>
      <c r="O1593">
        <f t="shared" si="98"/>
        <v>-6.0000000000002274E-2</v>
      </c>
      <c r="P1593" s="10">
        <f t="shared" si="99"/>
        <v>6.0000000000002274E-2</v>
      </c>
    </row>
    <row r="1594" spans="1:16">
      <c r="A1594">
        <v>393.25</v>
      </c>
      <c r="B1594">
        <v>110.95</v>
      </c>
      <c r="C1594">
        <v>115.67</v>
      </c>
      <c r="D1594">
        <v>116.78</v>
      </c>
      <c r="E1594">
        <v>121.28</v>
      </c>
      <c r="F1594">
        <v>118.28</v>
      </c>
      <c r="G1594">
        <v>118.34</v>
      </c>
      <c r="H1594">
        <v>120.95</v>
      </c>
      <c r="K1594" s="9">
        <f t="shared" si="100"/>
        <v>-0.21999999999999886</v>
      </c>
      <c r="L1594">
        <f t="shared" si="95"/>
        <v>-0.15999999999999659</v>
      </c>
      <c r="M1594">
        <f t="shared" si="96"/>
        <v>6.0000000000002274E-2</v>
      </c>
      <c r="N1594">
        <f t="shared" si="97"/>
        <v>-4.9999999999997158E-2</v>
      </c>
      <c r="O1594">
        <f t="shared" si="98"/>
        <v>-6.0000000000002274E-2</v>
      </c>
      <c r="P1594" s="10">
        <f t="shared" si="99"/>
        <v>-4.9999999999997158E-2</v>
      </c>
    </row>
    <row r="1595" spans="1:16">
      <c r="A1595">
        <v>393.5</v>
      </c>
      <c r="B1595">
        <v>110.95</v>
      </c>
      <c r="C1595">
        <v>115.56</v>
      </c>
      <c r="D1595">
        <v>116.78</v>
      </c>
      <c r="E1595">
        <v>121.28</v>
      </c>
      <c r="F1595">
        <v>118.17</v>
      </c>
      <c r="G1595">
        <v>118.28</v>
      </c>
      <c r="H1595">
        <v>120.9</v>
      </c>
      <c r="K1595" s="9">
        <f t="shared" si="100"/>
        <v>0</v>
      </c>
      <c r="L1595">
        <f t="shared" si="95"/>
        <v>-0.5</v>
      </c>
      <c r="M1595">
        <f t="shared" si="96"/>
        <v>-4.9999999999997158E-2</v>
      </c>
      <c r="N1595">
        <f t="shared" si="97"/>
        <v>0</v>
      </c>
      <c r="O1595">
        <f t="shared" si="98"/>
        <v>0</v>
      </c>
      <c r="P1595" s="10">
        <f t="shared" si="99"/>
        <v>0.15999999999999659</v>
      </c>
    </row>
    <row r="1596" spans="1:16">
      <c r="A1596">
        <v>393.75</v>
      </c>
      <c r="B1596">
        <v>111.01</v>
      </c>
      <c r="C1596">
        <v>115.56</v>
      </c>
      <c r="D1596">
        <v>116.67</v>
      </c>
      <c r="E1596">
        <v>121.34</v>
      </c>
      <c r="F1596">
        <v>118.28</v>
      </c>
      <c r="G1596">
        <v>118.45</v>
      </c>
      <c r="H1596">
        <v>121.01</v>
      </c>
      <c r="K1596" s="9">
        <f t="shared" si="100"/>
        <v>-4.9999999999997158E-2</v>
      </c>
      <c r="L1596">
        <f t="shared" si="95"/>
        <v>-0.60999999999999943</v>
      </c>
      <c r="M1596">
        <f t="shared" si="96"/>
        <v>-0.21999999999999886</v>
      </c>
      <c r="N1596">
        <f t="shared" si="97"/>
        <v>-0.10999999999999943</v>
      </c>
      <c r="O1596">
        <f t="shared" si="98"/>
        <v>-0.28000000000000114</v>
      </c>
      <c r="P1596" s="10">
        <f t="shared" si="99"/>
        <v>0</v>
      </c>
    </row>
    <row r="1597" spans="1:16">
      <c r="A1597">
        <v>394</v>
      </c>
      <c r="B1597">
        <v>110.84</v>
      </c>
      <c r="C1597">
        <v>115.45</v>
      </c>
      <c r="D1597">
        <v>116.62</v>
      </c>
      <c r="E1597">
        <v>121.34</v>
      </c>
      <c r="F1597">
        <v>118.23</v>
      </c>
      <c r="G1597">
        <v>118.28</v>
      </c>
      <c r="H1597">
        <v>120.9</v>
      </c>
      <c r="K1597" s="9">
        <f t="shared" si="100"/>
        <v>6.0000000000002274E-2</v>
      </c>
      <c r="L1597">
        <f t="shared" si="95"/>
        <v>-0.60999999999999943</v>
      </c>
      <c r="M1597">
        <f t="shared" si="96"/>
        <v>-0.28000000000000114</v>
      </c>
      <c r="N1597">
        <f t="shared" si="97"/>
        <v>-6.0000000000002274E-2</v>
      </c>
      <c r="O1597">
        <f t="shared" si="98"/>
        <v>-0.26999999999999602</v>
      </c>
      <c r="P1597" s="10">
        <f t="shared" si="99"/>
        <v>0</v>
      </c>
    </row>
    <row r="1598" spans="1:16">
      <c r="A1598">
        <v>394.25</v>
      </c>
      <c r="B1598">
        <v>110.84</v>
      </c>
      <c r="C1598">
        <v>115.56</v>
      </c>
      <c r="D1598">
        <v>116.28</v>
      </c>
      <c r="E1598">
        <v>121.23</v>
      </c>
      <c r="F1598">
        <v>118.17</v>
      </c>
      <c r="G1598">
        <v>118.28</v>
      </c>
      <c r="H1598">
        <v>121.06</v>
      </c>
      <c r="K1598" s="9">
        <f t="shared" si="100"/>
        <v>-0.10999999999999943</v>
      </c>
      <c r="L1598">
        <f t="shared" si="95"/>
        <v>-0.37999999999999545</v>
      </c>
      <c r="M1598">
        <f t="shared" si="96"/>
        <v>-0.21999999999999886</v>
      </c>
      <c r="N1598">
        <f t="shared" si="97"/>
        <v>-0.10999999999999943</v>
      </c>
      <c r="O1598">
        <f t="shared" si="98"/>
        <v>-0.43999999999999773</v>
      </c>
      <c r="P1598" s="10">
        <f t="shared" si="99"/>
        <v>-0.32999999999999829</v>
      </c>
    </row>
    <row r="1599" spans="1:16">
      <c r="A1599">
        <v>394.5</v>
      </c>
      <c r="B1599">
        <v>110.84</v>
      </c>
      <c r="C1599">
        <v>115.51</v>
      </c>
      <c r="D1599">
        <v>116.06</v>
      </c>
      <c r="E1599">
        <v>121.12</v>
      </c>
      <c r="F1599">
        <v>118.17</v>
      </c>
      <c r="G1599">
        <v>118.17</v>
      </c>
      <c r="H1599">
        <v>121.01</v>
      </c>
      <c r="K1599" s="9">
        <f t="shared" si="100"/>
        <v>-6.0000000000002274E-2</v>
      </c>
      <c r="L1599">
        <f t="shared" si="95"/>
        <v>-0.15999999999999659</v>
      </c>
      <c r="M1599">
        <f t="shared" si="96"/>
        <v>-6.0000000000002274E-2</v>
      </c>
      <c r="N1599">
        <f t="shared" si="97"/>
        <v>-0.10999999999999943</v>
      </c>
      <c r="O1599">
        <f t="shared" si="98"/>
        <v>-0.15999999999999659</v>
      </c>
      <c r="P1599" s="10">
        <f t="shared" si="99"/>
        <v>-0.34000000000000341</v>
      </c>
    </row>
    <row r="1600" spans="1:16">
      <c r="A1600">
        <v>394.75</v>
      </c>
      <c r="B1600">
        <v>110.9</v>
      </c>
      <c r="C1600">
        <v>115.51</v>
      </c>
      <c r="D1600">
        <v>116.01</v>
      </c>
      <c r="E1600">
        <v>121.06</v>
      </c>
      <c r="F1600">
        <v>118.17</v>
      </c>
      <c r="G1600">
        <v>118.01</v>
      </c>
      <c r="H1600">
        <v>120.9</v>
      </c>
      <c r="K1600" s="9">
        <f t="shared" si="100"/>
        <v>-0.10999999999999943</v>
      </c>
      <c r="L1600">
        <f t="shared" si="95"/>
        <v>-0.23000000000000398</v>
      </c>
      <c r="M1600">
        <f t="shared" si="96"/>
        <v>-0.15999999999999659</v>
      </c>
      <c r="N1600">
        <f t="shared" si="97"/>
        <v>-0.15999999999999659</v>
      </c>
      <c r="O1600">
        <f t="shared" si="98"/>
        <v>4.9999999999997158E-2</v>
      </c>
      <c r="P1600" s="10">
        <f t="shared" si="99"/>
        <v>-0.39000000000000057</v>
      </c>
    </row>
    <row r="1601" spans="1:16">
      <c r="A1601">
        <v>395</v>
      </c>
      <c r="B1601">
        <v>110.84</v>
      </c>
      <c r="C1601">
        <v>115.45</v>
      </c>
      <c r="D1601">
        <v>115.9</v>
      </c>
      <c r="E1601">
        <v>121.01</v>
      </c>
      <c r="F1601">
        <v>118.06</v>
      </c>
      <c r="G1601">
        <v>117.84</v>
      </c>
      <c r="H1601">
        <v>120.73</v>
      </c>
      <c r="K1601" s="9">
        <f t="shared" si="100"/>
        <v>-0.17000000000000171</v>
      </c>
      <c r="L1601">
        <f t="shared" si="95"/>
        <v>-0.28000000000000114</v>
      </c>
      <c r="M1601">
        <f t="shared" si="96"/>
        <v>-0.10999999999999943</v>
      </c>
      <c r="N1601">
        <f t="shared" si="97"/>
        <v>-0.15999999999999659</v>
      </c>
      <c r="O1601">
        <f t="shared" si="98"/>
        <v>6.0000000000002274E-2</v>
      </c>
      <c r="P1601" s="10">
        <f t="shared" si="99"/>
        <v>-0.28000000000000114</v>
      </c>
    </row>
    <row r="1602" spans="1:16">
      <c r="A1602">
        <v>395.25</v>
      </c>
      <c r="B1602">
        <v>110.84</v>
      </c>
      <c r="C1602">
        <v>115.45</v>
      </c>
      <c r="D1602">
        <v>115.9</v>
      </c>
      <c r="E1602">
        <v>121.06</v>
      </c>
      <c r="F1602">
        <v>118.06</v>
      </c>
      <c r="G1602">
        <v>118.01</v>
      </c>
      <c r="H1602">
        <v>120.67</v>
      </c>
      <c r="K1602" s="9">
        <f t="shared" si="100"/>
        <v>-0.21999999999999886</v>
      </c>
      <c r="L1602">
        <f t="shared" si="95"/>
        <v>-0.5</v>
      </c>
      <c r="M1602">
        <f t="shared" si="96"/>
        <v>-0.21999999999999886</v>
      </c>
      <c r="N1602">
        <f t="shared" si="97"/>
        <v>-0.21999999999999886</v>
      </c>
      <c r="O1602">
        <f t="shared" si="98"/>
        <v>-0.17000000000000171</v>
      </c>
      <c r="P1602" s="10">
        <f t="shared" si="99"/>
        <v>-0.39000000000000057</v>
      </c>
    </row>
    <row r="1603" spans="1:16">
      <c r="A1603">
        <v>395.5</v>
      </c>
      <c r="B1603">
        <v>110.84</v>
      </c>
      <c r="C1603">
        <v>115.4</v>
      </c>
      <c r="D1603">
        <v>115.78</v>
      </c>
      <c r="E1603">
        <v>120.9</v>
      </c>
      <c r="F1603">
        <v>118.01</v>
      </c>
      <c r="G1603">
        <v>118.06</v>
      </c>
      <c r="H1603">
        <v>120.51</v>
      </c>
      <c r="K1603" s="9">
        <f t="shared" si="100"/>
        <v>-0.23000000000000398</v>
      </c>
      <c r="L1603">
        <f t="shared" si="95"/>
        <v>-1</v>
      </c>
      <c r="M1603">
        <f t="shared" si="96"/>
        <v>-0.12000000000000455</v>
      </c>
      <c r="N1603">
        <f t="shared" si="97"/>
        <v>-0.10999999999999943</v>
      </c>
      <c r="O1603">
        <f t="shared" si="98"/>
        <v>-0.21999999999999886</v>
      </c>
      <c r="P1603" s="10">
        <f t="shared" si="99"/>
        <v>-0.39000000000000057</v>
      </c>
    </row>
    <row r="1604" spans="1:16">
      <c r="A1604">
        <v>395.75</v>
      </c>
      <c r="B1604">
        <v>110.78</v>
      </c>
      <c r="C1604">
        <v>115.28</v>
      </c>
      <c r="D1604">
        <v>115.62</v>
      </c>
      <c r="E1604">
        <v>120.9</v>
      </c>
      <c r="F1604">
        <v>117.9</v>
      </c>
      <c r="G1604">
        <v>117.9</v>
      </c>
      <c r="H1604">
        <v>120.45</v>
      </c>
      <c r="K1604" s="9">
        <f t="shared" si="100"/>
        <v>-0.10999999999999943</v>
      </c>
      <c r="L1604">
        <f t="shared" si="95"/>
        <v>-1.0600000000000023</v>
      </c>
      <c r="M1604">
        <f t="shared" si="96"/>
        <v>-0.12000000000000455</v>
      </c>
      <c r="N1604">
        <f t="shared" si="97"/>
        <v>0</v>
      </c>
      <c r="O1604">
        <f t="shared" si="98"/>
        <v>-6.0000000000002274E-2</v>
      </c>
      <c r="P1604" s="10">
        <f t="shared" si="99"/>
        <v>-0.78000000000000114</v>
      </c>
    </row>
    <row r="1605" spans="1:16">
      <c r="A1605">
        <v>396</v>
      </c>
      <c r="B1605">
        <v>110.67</v>
      </c>
      <c r="C1605">
        <v>115.23</v>
      </c>
      <c r="D1605">
        <v>115.4</v>
      </c>
      <c r="E1605">
        <v>120.84</v>
      </c>
      <c r="F1605">
        <v>117.84</v>
      </c>
      <c r="G1605">
        <v>117.84</v>
      </c>
      <c r="H1605">
        <v>120.28</v>
      </c>
      <c r="K1605" s="9">
        <f t="shared" si="100"/>
        <v>-6.0000000000002274E-2</v>
      </c>
      <c r="L1605">
        <f t="shared" si="95"/>
        <v>-1.2800000000000011</v>
      </c>
      <c r="M1605">
        <f t="shared" si="96"/>
        <v>-0.17000000000000171</v>
      </c>
      <c r="N1605">
        <f t="shared" si="97"/>
        <v>0</v>
      </c>
      <c r="O1605">
        <f t="shared" si="98"/>
        <v>-0.10999999999999943</v>
      </c>
      <c r="P1605" s="10">
        <f t="shared" si="99"/>
        <v>-0.60999999999999943</v>
      </c>
    </row>
    <row r="1606" spans="1:16">
      <c r="A1606">
        <v>396.25</v>
      </c>
      <c r="B1606">
        <v>110.62</v>
      </c>
      <c r="C1606">
        <v>115.17</v>
      </c>
      <c r="D1606">
        <v>114.78</v>
      </c>
      <c r="E1606">
        <v>120.78</v>
      </c>
      <c r="F1606">
        <v>117.9</v>
      </c>
      <c r="G1606">
        <v>117.84</v>
      </c>
      <c r="H1606">
        <v>120.12</v>
      </c>
      <c r="K1606" s="9">
        <f t="shared" si="100"/>
        <v>-4.9999999999997158E-2</v>
      </c>
      <c r="L1606">
        <f t="shared" si="95"/>
        <v>-0.82999999999999829</v>
      </c>
      <c r="M1606">
        <f t="shared" si="96"/>
        <v>-0.15999999999999659</v>
      </c>
      <c r="N1606">
        <f t="shared" si="97"/>
        <v>-0.17000000000000171</v>
      </c>
      <c r="O1606">
        <f t="shared" si="98"/>
        <v>-0.10999999999999943</v>
      </c>
      <c r="P1606" s="10">
        <f t="shared" si="99"/>
        <v>-0.39000000000000057</v>
      </c>
    </row>
    <row r="1607" spans="1:16">
      <c r="A1607">
        <v>396.5</v>
      </c>
      <c r="B1607">
        <v>110.62</v>
      </c>
      <c r="C1607">
        <v>115.17</v>
      </c>
      <c r="D1607">
        <v>114.56</v>
      </c>
      <c r="E1607">
        <v>120.78</v>
      </c>
      <c r="F1607">
        <v>117.9</v>
      </c>
      <c r="G1607">
        <v>117.84</v>
      </c>
      <c r="H1607">
        <v>119.67</v>
      </c>
      <c r="K1607" s="9">
        <f t="shared" si="100"/>
        <v>-4.9999999999997158E-2</v>
      </c>
      <c r="L1607">
        <f t="shared" si="95"/>
        <v>-0.89000000000000057</v>
      </c>
      <c r="M1607">
        <f t="shared" si="96"/>
        <v>-0.21999999999999886</v>
      </c>
      <c r="N1607">
        <f t="shared" si="97"/>
        <v>-0.17000000000000171</v>
      </c>
      <c r="O1607">
        <f t="shared" si="98"/>
        <v>-0.39000000000000057</v>
      </c>
      <c r="P1607" s="10">
        <f t="shared" si="99"/>
        <v>0</v>
      </c>
    </row>
    <row r="1608" spans="1:16">
      <c r="A1608">
        <v>396.75</v>
      </c>
      <c r="B1608">
        <v>110.56</v>
      </c>
      <c r="C1608">
        <v>115.17</v>
      </c>
      <c r="D1608">
        <v>114.12</v>
      </c>
      <c r="E1608">
        <v>120.67</v>
      </c>
      <c r="F1608">
        <v>117.84</v>
      </c>
      <c r="G1608">
        <v>117.73</v>
      </c>
      <c r="H1608">
        <v>119.67</v>
      </c>
      <c r="K1608" s="9">
        <f t="shared" si="100"/>
        <v>-0.15999999999999659</v>
      </c>
      <c r="L1608">
        <f t="shared" si="95"/>
        <v>-0.34000000000000341</v>
      </c>
      <c r="M1608">
        <f t="shared" si="96"/>
        <v>-0.15999999999999659</v>
      </c>
      <c r="N1608">
        <f t="shared" si="97"/>
        <v>-0.17000000000000171</v>
      </c>
      <c r="O1608">
        <f t="shared" si="98"/>
        <v>-0.5</v>
      </c>
      <c r="P1608" s="10">
        <f t="shared" si="99"/>
        <v>-4.9999999999997158E-2</v>
      </c>
    </row>
    <row r="1609" spans="1:16">
      <c r="A1609">
        <v>397</v>
      </c>
      <c r="B1609">
        <v>110.51</v>
      </c>
      <c r="C1609">
        <v>115.12</v>
      </c>
      <c r="D1609">
        <v>113.95</v>
      </c>
      <c r="E1609">
        <v>120.62</v>
      </c>
      <c r="F1609">
        <v>117.73</v>
      </c>
      <c r="G1609">
        <v>117.73</v>
      </c>
      <c r="H1609">
        <v>119.73</v>
      </c>
      <c r="K1609" s="9">
        <f t="shared" si="100"/>
        <v>-0.21999999999999886</v>
      </c>
      <c r="L1609">
        <f t="shared" si="95"/>
        <v>-0.39000000000000057</v>
      </c>
      <c r="M1609">
        <f t="shared" si="96"/>
        <v>-0.10999999999999943</v>
      </c>
      <c r="N1609">
        <f t="shared" si="97"/>
        <v>-0.17000000000000171</v>
      </c>
      <c r="O1609">
        <f t="shared" si="98"/>
        <v>-0.28000000000000114</v>
      </c>
      <c r="P1609" s="10">
        <f t="shared" si="99"/>
        <v>0</v>
      </c>
    </row>
    <row r="1610" spans="1:16">
      <c r="A1610">
        <v>397.25</v>
      </c>
      <c r="B1610">
        <v>110.51</v>
      </c>
      <c r="C1610">
        <v>115.12</v>
      </c>
      <c r="D1610">
        <v>113.67</v>
      </c>
      <c r="E1610">
        <v>120.56</v>
      </c>
      <c r="F1610">
        <v>117.73</v>
      </c>
      <c r="G1610">
        <v>117.45</v>
      </c>
      <c r="H1610">
        <v>119.67</v>
      </c>
      <c r="K1610" s="9">
        <f t="shared" si="100"/>
        <v>-0.21999999999999886</v>
      </c>
      <c r="L1610">
        <f t="shared" ref="L1610:L1673" si="101">D1613-D1610</f>
        <v>-0.21999999999999886</v>
      </c>
      <c r="M1610">
        <f t="shared" ref="M1610:M1673" si="102">E1613-E1610</f>
        <v>-0.10999999999999943</v>
      </c>
      <c r="N1610">
        <f t="shared" ref="N1610:N1673" si="103">F1613-F1610</f>
        <v>-0.10999999999999943</v>
      </c>
      <c r="O1610">
        <f t="shared" ref="O1610:O1673" si="104">G1613-G1610</f>
        <v>0.10999999999999943</v>
      </c>
      <c r="P1610" s="10">
        <f t="shared" ref="P1610:P1673" si="105">H1613-H1610</f>
        <v>-0.10999999999999943</v>
      </c>
    </row>
    <row r="1611" spans="1:16">
      <c r="A1611">
        <v>397.5</v>
      </c>
      <c r="B1611">
        <v>110.4</v>
      </c>
      <c r="C1611">
        <v>115.01</v>
      </c>
      <c r="D1611">
        <v>113.78</v>
      </c>
      <c r="E1611">
        <v>120.51</v>
      </c>
      <c r="F1611">
        <v>117.67</v>
      </c>
      <c r="G1611">
        <v>117.23</v>
      </c>
      <c r="H1611">
        <v>119.62</v>
      </c>
      <c r="K1611" s="9">
        <f t="shared" ref="K1611:K1674" si="106">C1614-C1611</f>
        <v>-0.23000000000000398</v>
      </c>
      <c r="L1611">
        <f t="shared" si="101"/>
        <v>-0.93999999999999773</v>
      </c>
      <c r="M1611">
        <f t="shared" si="102"/>
        <v>-0.23000000000000398</v>
      </c>
      <c r="N1611">
        <f t="shared" si="103"/>
        <v>-0.15999999999999659</v>
      </c>
      <c r="O1611">
        <f t="shared" si="104"/>
        <v>0.21999999999999886</v>
      </c>
      <c r="P1611" s="10">
        <f t="shared" si="105"/>
        <v>-0.10999999999999943</v>
      </c>
    </row>
    <row r="1612" spans="1:16">
      <c r="A1612">
        <v>397.75</v>
      </c>
      <c r="B1612">
        <v>110.34</v>
      </c>
      <c r="C1612">
        <v>114.9</v>
      </c>
      <c r="D1612">
        <v>113.56</v>
      </c>
      <c r="E1612">
        <v>120.51</v>
      </c>
      <c r="F1612">
        <v>117.56</v>
      </c>
      <c r="G1612">
        <v>117.45</v>
      </c>
      <c r="H1612">
        <v>119.73</v>
      </c>
      <c r="K1612" s="9">
        <f t="shared" si="106"/>
        <v>-0.23000000000000398</v>
      </c>
      <c r="L1612">
        <f t="shared" si="101"/>
        <v>-0.89000000000000057</v>
      </c>
      <c r="M1612">
        <f t="shared" si="102"/>
        <v>-0.28000000000000114</v>
      </c>
      <c r="N1612">
        <f t="shared" si="103"/>
        <v>-0.21999999999999886</v>
      </c>
      <c r="O1612">
        <f t="shared" si="104"/>
        <v>0</v>
      </c>
      <c r="P1612" s="10">
        <f t="shared" si="105"/>
        <v>-0.21999999999999886</v>
      </c>
    </row>
    <row r="1613" spans="1:16">
      <c r="A1613">
        <v>398</v>
      </c>
      <c r="B1613">
        <v>110.28</v>
      </c>
      <c r="C1613">
        <v>114.9</v>
      </c>
      <c r="D1613">
        <v>113.45</v>
      </c>
      <c r="E1613">
        <v>120.45</v>
      </c>
      <c r="F1613">
        <v>117.62</v>
      </c>
      <c r="G1613">
        <v>117.56</v>
      </c>
      <c r="H1613">
        <v>119.56</v>
      </c>
      <c r="K1613" s="9">
        <f t="shared" si="106"/>
        <v>-0.17000000000000171</v>
      </c>
      <c r="L1613">
        <f t="shared" si="101"/>
        <v>-0.82999999999999829</v>
      </c>
      <c r="M1613">
        <f t="shared" si="102"/>
        <v>-0.17000000000000171</v>
      </c>
      <c r="N1613">
        <f t="shared" si="103"/>
        <v>-0.28000000000000114</v>
      </c>
      <c r="O1613">
        <f t="shared" si="104"/>
        <v>-0.54999999999999716</v>
      </c>
      <c r="P1613" s="10">
        <f t="shared" si="105"/>
        <v>-0.15999999999999659</v>
      </c>
    </row>
    <row r="1614" spans="1:16">
      <c r="A1614">
        <v>398.25</v>
      </c>
      <c r="B1614">
        <v>110.12</v>
      </c>
      <c r="C1614">
        <v>114.78</v>
      </c>
      <c r="D1614">
        <v>112.84</v>
      </c>
      <c r="E1614">
        <v>120.28</v>
      </c>
      <c r="F1614">
        <v>117.51</v>
      </c>
      <c r="G1614">
        <v>117.45</v>
      </c>
      <c r="H1614">
        <v>119.51</v>
      </c>
      <c r="K1614" s="9">
        <f t="shared" si="106"/>
        <v>-0.10999999999999943</v>
      </c>
      <c r="L1614">
        <f t="shared" si="101"/>
        <v>-0.43999999999999773</v>
      </c>
      <c r="M1614">
        <f t="shared" si="102"/>
        <v>-0.10999999999999943</v>
      </c>
      <c r="N1614">
        <f t="shared" si="103"/>
        <v>-0.17000000000000171</v>
      </c>
      <c r="O1614">
        <f t="shared" si="104"/>
        <v>-0.21999999999999886</v>
      </c>
      <c r="P1614" s="10">
        <f t="shared" si="105"/>
        <v>-0.10999999999999943</v>
      </c>
    </row>
    <row r="1615" spans="1:16">
      <c r="A1615">
        <v>398.5</v>
      </c>
      <c r="B1615">
        <v>110.06</v>
      </c>
      <c r="C1615">
        <v>114.67</v>
      </c>
      <c r="D1615">
        <v>112.67</v>
      </c>
      <c r="E1615">
        <v>120.23</v>
      </c>
      <c r="F1615">
        <v>117.34</v>
      </c>
      <c r="G1615">
        <v>117.45</v>
      </c>
      <c r="H1615">
        <v>119.51</v>
      </c>
      <c r="K1615" s="9">
        <f t="shared" si="106"/>
        <v>-0.10999999999999943</v>
      </c>
      <c r="L1615">
        <f t="shared" si="101"/>
        <v>-0.5</v>
      </c>
      <c r="M1615">
        <f t="shared" si="102"/>
        <v>-0.10999999999999943</v>
      </c>
      <c r="N1615">
        <f t="shared" si="103"/>
        <v>-0.10999999999999943</v>
      </c>
      <c r="O1615">
        <f t="shared" si="104"/>
        <v>-0.21999999999999886</v>
      </c>
      <c r="P1615" s="10">
        <f t="shared" si="105"/>
        <v>0</v>
      </c>
    </row>
    <row r="1616" spans="1:16">
      <c r="A1616">
        <v>398.75</v>
      </c>
      <c r="B1616">
        <v>110.01</v>
      </c>
      <c r="C1616">
        <v>114.73</v>
      </c>
      <c r="D1616">
        <v>112.62</v>
      </c>
      <c r="E1616">
        <v>120.28</v>
      </c>
      <c r="F1616">
        <v>117.34</v>
      </c>
      <c r="G1616">
        <v>117.01</v>
      </c>
      <c r="H1616">
        <v>119.4</v>
      </c>
      <c r="K1616" s="9">
        <f t="shared" si="106"/>
        <v>-0.17000000000000171</v>
      </c>
      <c r="L1616">
        <f t="shared" si="101"/>
        <v>-0.28000000000000114</v>
      </c>
      <c r="M1616">
        <f t="shared" si="102"/>
        <v>-0.15999999999999659</v>
      </c>
      <c r="N1616">
        <f t="shared" si="103"/>
        <v>-0.10999999999999943</v>
      </c>
      <c r="O1616">
        <f t="shared" si="104"/>
        <v>0.32999999999999829</v>
      </c>
      <c r="P1616" s="10">
        <f t="shared" si="105"/>
        <v>4.9999999999997158E-2</v>
      </c>
    </row>
    <row r="1617" spans="1:16">
      <c r="A1617">
        <v>399</v>
      </c>
      <c r="B1617">
        <v>110.01</v>
      </c>
      <c r="C1617">
        <v>114.67</v>
      </c>
      <c r="D1617">
        <v>112.4</v>
      </c>
      <c r="E1617">
        <v>120.17</v>
      </c>
      <c r="F1617">
        <v>117.34</v>
      </c>
      <c r="G1617">
        <v>117.23</v>
      </c>
      <c r="H1617">
        <v>119.4</v>
      </c>
      <c r="K1617" s="9">
        <f t="shared" si="106"/>
        <v>-0.10999999999999943</v>
      </c>
      <c r="L1617">
        <f t="shared" si="101"/>
        <v>-0.62000000000000455</v>
      </c>
      <c r="M1617">
        <f t="shared" si="102"/>
        <v>-0.10999999999999943</v>
      </c>
      <c r="N1617">
        <f t="shared" si="103"/>
        <v>-0.10999999999999943</v>
      </c>
      <c r="O1617">
        <f t="shared" si="104"/>
        <v>4.9999999999997158E-2</v>
      </c>
      <c r="P1617" s="10">
        <f t="shared" si="105"/>
        <v>0</v>
      </c>
    </row>
    <row r="1618" spans="1:16">
      <c r="A1618">
        <v>399.25</v>
      </c>
      <c r="B1618">
        <v>109.95</v>
      </c>
      <c r="C1618">
        <v>114.56</v>
      </c>
      <c r="D1618">
        <v>112.17</v>
      </c>
      <c r="E1618">
        <v>120.12</v>
      </c>
      <c r="F1618">
        <v>117.23</v>
      </c>
      <c r="G1618">
        <v>117.23</v>
      </c>
      <c r="H1618">
        <v>119.51</v>
      </c>
      <c r="K1618" s="9">
        <f t="shared" si="106"/>
        <v>-4.9999999999997158E-2</v>
      </c>
      <c r="L1618">
        <f t="shared" si="101"/>
        <v>-0.43999999999999773</v>
      </c>
      <c r="M1618">
        <f t="shared" si="102"/>
        <v>-0.10999999999999943</v>
      </c>
      <c r="N1618">
        <f t="shared" si="103"/>
        <v>-0.10999999999999943</v>
      </c>
      <c r="O1618">
        <f t="shared" si="104"/>
        <v>0</v>
      </c>
      <c r="P1618" s="10">
        <f t="shared" si="105"/>
        <v>0</v>
      </c>
    </row>
    <row r="1619" spans="1:16">
      <c r="A1619">
        <v>399.5</v>
      </c>
      <c r="B1619">
        <v>109.84</v>
      </c>
      <c r="C1619">
        <v>114.56</v>
      </c>
      <c r="D1619">
        <v>112.34</v>
      </c>
      <c r="E1619">
        <v>120.12</v>
      </c>
      <c r="F1619">
        <v>117.23</v>
      </c>
      <c r="G1619">
        <v>117.34</v>
      </c>
      <c r="H1619">
        <v>119.45</v>
      </c>
      <c r="K1619" s="9">
        <f t="shared" si="106"/>
        <v>-0.10999999999999943</v>
      </c>
      <c r="L1619">
        <f t="shared" si="101"/>
        <v>-0.28000000000000114</v>
      </c>
      <c r="M1619">
        <f t="shared" si="102"/>
        <v>-0.17000000000000171</v>
      </c>
      <c r="N1619">
        <f t="shared" si="103"/>
        <v>-0.17000000000000171</v>
      </c>
      <c r="O1619">
        <f t="shared" si="104"/>
        <v>-0.17000000000000171</v>
      </c>
      <c r="P1619" s="10">
        <f t="shared" si="105"/>
        <v>-0.10999999999999943</v>
      </c>
    </row>
    <row r="1620" spans="1:16">
      <c r="A1620">
        <v>399.75</v>
      </c>
      <c r="B1620">
        <v>109.9</v>
      </c>
      <c r="C1620">
        <v>114.56</v>
      </c>
      <c r="D1620">
        <v>111.78</v>
      </c>
      <c r="E1620">
        <v>120.06</v>
      </c>
      <c r="F1620">
        <v>117.23</v>
      </c>
      <c r="G1620">
        <v>117.28</v>
      </c>
      <c r="H1620">
        <v>119.4</v>
      </c>
      <c r="K1620" s="9">
        <f t="shared" si="106"/>
        <v>-0.10999999999999943</v>
      </c>
      <c r="L1620">
        <f t="shared" si="101"/>
        <v>0.39000000000000057</v>
      </c>
      <c r="M1620">
        <f t="shared" si="102"/>
        <v>-0.21999999999999886</v>
      </c>
      <c r="N1620">
        <f t="shared" si="103"/>
        <v>-0.17000000000000171</v>
      </c>
      <c r="O1620">
        <f t="shared" si="104"/>
        <v>-0.15999999999999659</v>
      </c>
      <c r="P1620" s="10">
        <f t="shared" si="105"/>
        <v>0.10999999999999943</v>
      </c>
    </row>
    <row r="1621" spans="1:16">
      <c r="A1621">
        <v>400</v>
      </c>
      <c r="B1621">
        <v>109.78</v>
      </c>
      <c r="C1621">
        <v>114.51</v>
      </c>
      <c r="D1621">
        <v>111.73</v>
      </c>
      <c r="E1621">
        <v>120.01</v>
      </c>
      <c r="F1621">
        <v>117.12</v>
      </c>
      <c r="G1621">
        <v>117.23</v>
      </c>
      <c r="H1621">
        <v>119.51</v>
      </c>
      <c r="K1621" s="9">
        <f t="shared" si="106"/>
        <v>-0.17000000000000171</v>
      </c>
      <c r="L1621">
        <f t="shared" si="101"/>
        <v>0.17000000000000171</v>
      </c>
      <c r="M1621">
        <f t="shared" si="102"/>
        <v>-0.23000000000000398</v>
      </c>
      <c r="N1621">
        <f t="shared" si="103"/>
        <v>-0.10999999999999943</v>
      </c>
      <c r="O1621">
        <f t="shared" si="104"/>
        <v>-6.0000000000002274E-2</v>
      </c>
      <c r="P1621" s="10">
        <f t="shared" si="105"/>
        <v>-0.10999999999999943</v>
      </c>
    </row>
    <row r="1622" spans="1:16">
      <c r="A1622">
        <v>400.25</v>
      </c>
      <c r="B1622">
        <v>109.78</v>
      </c>
      <c r="C1622">
        <v>114.45</v>
      </c>
      <c r="D1622">
        <v>112.06</v>
      </c>
      <c r="E1622">
        <v>119.95</v>
      </c>
      <c r="F1622">
        <v>117.06</v>
      </c>
      <c r="G1622">
        <v>117.17</v>
      </c>
      <c r="H1622">
        <v>119.34</v>
      </c>
      <c r="K1622" s="9">
        <f t="shared" si="106"/>
        <v>-0.10999999999999943</v>
      </c>
      <c r="L1622">
        <f t="shared" si="101"/>
        <v>-0.43999999999999773</v>
      </c>
      <c r="M1622">
        <f t="shared" si="102"/>
        <v>-0.17000000000000171</v>
      </c>
      <c r="N1622">
        <f t="shared" si="103"/>
        <v>-0.10999999999999943</v>
      </c>
      <c r="O1622">
        <f t="shared" si="104"/>
        <v>-0.26999999999999602</v>
      </c>
      <c r="P1622" s="10">
        <f t="shared" si="105"/>
        <v>0</v>
      </c>
    </row>
    <row r="1623" spans="1:16">
      <c r="A1623">
        <v>400.5</v>
      </c>
      <c r="B1623">
        <v>109.73</v>
      </c>
      <c r="C1623">
        <v>114.45</v>
      </c>
      <c r="D1623">
        <v>112.17</v>
      </c>
      <c r="E1623">
        <v>119.84</v>
      </c>
      <c r="F1623">
        <v>117.06</v>
      </c>
      <c r="G1623">
        <v>117.12</v>
      </c>
      <c r="H1623">
        <v>119.51</v>
      </c>
      <c r="K1623" s="9">
        <f t="shared" si="106"/>
        <v>-0.10999999999999943</v>
      </c>
      <c r="L1623">
        <f t="shared" si="101"/>
        <v>-0.60999999999999943</v>
      </c>
      <c r="M1623">
        <f t="shared" si="102"/>
        <v>-0.10999999999999943</v>
      </c>
      <c r="N1623">
        <f t="shared" si="103"/>
        <v>-0.28000000000000114</v>
      </c>
      <c r="O1623">
        <f t="shared" si="104"/>
        <v>-0.21999999999999886</v>
      </c>
      <c r="P1623" s="10">
        <f t="shared" si="105"/>
        <v>-0.39000000000000057</v>
      </c>
    </row>
    <row r="1624" spans="1:16">
      <c r="A1624">
        <v>400.75</v>
      </c>
      <c r="B1624">
        <v>109.67</v>
      </c>
      <c r="C1624">
        <v>114.34</v>
      </c>
      <c r="D1624">
        <v>111.9</v>
      </c>
      <c r="E1624">
        <v>119.78</v>
      </c>
      <c r="F1624">
        <v>117.01</v>
      </c>
      <c r="G1624">
        <v>117.17</v>
      </c>
      <c r="H1624">
        <v>119.4</v>
      </c>
      <c r="K1624" s="9">
        <f t="shared" si="106"/>
        <v>-0.21999999999999886</v>
      </c>
      <c r="L1624">
        <f t="shared" si="101"/>
        <v>-0.67000000000000171</v>
      </c>
      <c r="M1624">
        <f t="shared" si="102"/>
        <v>-0.15999999999999659</v>
      </c>
      <c r="N1624">
        <f t="shared" si="103"/>
        <v>-0.17000000000000171</v>
      </c>
      <c r="O1624">
        <f t="shared" si="104"/>
        <v>-0.26999999999999602</v>
      </c>
      <c r="P1624" s="10">
        <f t="shared" si="105"/>
        <v>-0.34000000000000341</v>
      </c>
    </row>
    <row r="1625" spans="1:16">
      <c r="A1625">
        <v>401</v>
      </c>
      <c r="B1625">
        <v>109.56</v>
      </c>
      <c r="C1625">
        <v>114.34</v>
      </c>
      <c r="D1625">
        <v>111.62</v>
      </c>
      <c r="E1625">
        <v>119.78</v>
      </c>
      <c r="F1625">
        <v>116.95</v>
      </c>
      <c r="G1625">
        <v>116.9</v>
      </c>
      <c r="H1625">
        <v>119.34</v>
      </c>
      <c r="K1625" s="9">
        <f t="shared" si="106"/>
        <v>-0.21999999999999886</v>
      </c>
      <c r="L1625">
        <f t="shared" si="101"/>
        <v>-0.28000000000000114</v>
      </c>
      <c r="M1625">
        <f t="shared" si="102"/>
        <v>-0.15999999999999659</v>
      </c>
      <c r="N1625">
        <f t="shared" si="103"/>
        <v>-0.17000000000000171</v>
      </c>
      <c r="O1625">
        <f t="shared" si="104"/>
        <v>4.9999999999997158E-2</v>
      </c>
      <c r="P1625" s="10">
        <f t="shared" si="105"/>
        <v>-0.28000000000000114</v>
      </c>
    </row>
    <row r="1626" spans="1:16">
      <c r="A1626">
        <v>401.25</v>
      </c>
      <c r="B1626">
        <v>109.51</v>
      </c>
      <c r="C1626">
        <v>114.34</v>
      </c>
      <c r="D1626">
        <v>111.56</v>
      </c>
      <c r="E1626">
        <v>119.73</v>
      </c>
      <c r="F1626">
        <v>116.78</v>
      </c>
      <c r="G1626">
        <v>116.9</v>
      </c>
      <c r="H1626">
        <v>119.12</v>
      </c>
      <c r="K1626" s="9">
        <f t="shared" si="106"/>
        <v>-0.28000000000000114</v>
      </c>
      <c r="L1626">
        <f t="shared" si="101"/>
        <v>-0.89000000000000057</v>
      </c>
      <c r="M1626">
        <f t="shared" si="102"/>
        <v>-0.10999999999999943</v>
      </c>
      <c r="N1626">
        <f t="shared" si="103"/>
        <v>-0.10999999999999943</v>
      </c>
      <c r="O1626">
        <f t="shared" si="104"/>
        <v>4.9999999999997158E-2</v>
      </c>
      <c r="P1626" s="10">
        <f t="shared" si="105"/>
        <v>4.9999999999997158E-2</v>
      </c>
    </row>
    <row r="1627" spans="1:16">
      <c r="A1627">
        <v>401.5</v>
      </c>
      <c r="B1627">
        <v>109.45</v>
      </c>
      <c r="C1627">
        <v>114.12</v>
      </c>
      <c r="D1627">
        <v>111.23</v>
      </c>
      <c r="E1627">
        <v>119.62</v>
      </c>
      <c r="F1627">
        <v>116.84</v>
      </c>
      <c r="G1627">
        <v>116.9</v>
      </c>
      <c r="H1627">
        <v>119.06</v>
      </c>
      <c r="K1627" s="9">
        <f t="shared" si="106"/>
        <v>-6.0000000000002274E-2</v>
      </c>
      <c r="L1627">
        <f t="shared" si="101"/>
        <v>-0.67000000000000171</v>
      </c>
      <c r="M1627">
        <f t="shared" si="102"/>
        <v>-0.17000000000000171</v>
      </c>
      <c r="N1627">
        <f t="shared" si="103"/>
        <v>-0.21999999999999886</v>
      </c>
      <c r="O1627">
        <f t="shared" si="104"/>
        <v>0</v>
      </c>
      <c r="P1627" s="10">
        <f t="shared" si="105"/>
        <v>0.10999999999999943</v>
      </c>
    </row>
    <row r="1628" spans="1:16">
      <c r="A1628">
        <v>401.75</v>
      </c>
      <c r="B1628">
        <v>109.4</v>
      </c>
      <c r="C1628">
        <v>114.12</v>
      </c>
      <c r="D1628">
        <v>111.34</v>
      </c>
      <c r="E1628">
        <v>119.62</v>
      </c>
      <c r="F1628">
        <v>116.78</v>
      </c>
      <c r="G1628">
        <v>116.95</v>
      </c>
      <c r="H1628">
        <v>119.06</v>
      </c>
      <c r="K1628" s="9">
        <f t="shared" si="106"/>
        <v>-0.10999999999999943</v>
      </c>
      <c r="L1628">
        <f t="shared" si="101"/>
        <v>-0.39000000000000057</v>
      </c>
      <c r="M1628">
        <f t="shared" si="102"/>
        <v>-0.17000000000000171</v>
      </c>
      <c r="N1628">
        <f t="shared" si="103"/>
        <v>-0.10999999999999943</v>
      </c>
      <c r="O1628">
        <f t="shared" si="104"/>
        <v>-0.10999999999999943</v>
      </c>
      <c r="P1628" s="10">
        <f t="shared" si="105"/>
        <v>-0.15999999999999659</v>
      </c>
    </row>
    <row r="1629" spans="1:16">
      <c r="A1629">
        <v>402</v>
      </c>
      <c r="B1629">
        <v>109.51</v>
      </c>
      <c r="C1629">
        <v>114.06</v>
      </c>
      <c r="D1629">
        <v>110.67</v>
      </c>
      <c r="E1629">
        <v>119.62</v>
      </c>
      <c r="F1629">
        <v>116.67</v>
      </c>
      <c r="G1629">
        <v>116.95</v>
      </c>
      <c r="H1629">
        <v>119.17</v>
      </c>
      <c r="K1629" s="9">
        <f t="shared" si="106"/>
        <v>-0.10999999999999943</v>
      </c>
      <c r="L1629">
        <f t="shared" si="101"/>
        <v>0.5</v>
      </c>
      <c r="M1629">
        <f t="shared" si="102"/>
        <v>-0.17000000000000171</v>
      </c>
      <c r="N1629">
        <f t="shared" si="103"/>
        <v>-4.9999999999997158E-2</v>
      </c>
      <c r="O1629">
        <f t="shared" si="104"/>
        <v>-0.21999999999999886</v>
      </c>
      <c r="P1629" s="10">
        <f t="shared" si="105"/>
        <v>-0.26999999999999602</v>
      </c>
    </row>
    <row r="1630" spans="1:16">
      <c r="A1630">
        <v>402.25</v>
      </c>
      <c r="B1630">
        <v>109.34</v>
      </c>
      <c r="C1630">
        <v>114.06</v>
      </c>
      <c r="D1630">
        <v>110.56</v>
      </c>
      <c r="E1630">
        <v>119.45</v>
      </c>
      <c r="F1630">
        <v>116.62</v>
      </c>
      <c r="G1630">
        <v>116.9</v>
      </c>
      <c r="H1630">
        <v>119.17</v>
      </c>
      <c r="K1630" s="9">
        <f t="shared" si="106"/>
        <v>-4.9999999999997158E-2</v>
      </c>
      <c r="L1630">
        <f t="shared" si="101"/>
        <v>0.67000000000000171</v>
      </c>
      <c r="M1630">
        <f t="shared" si="102"/>
        <v>-4.9999999999997158E-2</v>
      </c>
      <c r="N1630">
        <f t="shared" si="103"/>
        <v>-6.0000000000002274E-2</v>
      </c>
      <c r="O1630">
        <f t="shared" si="104"/>
        <v>-0.45000000000000284</v>
      </c>
      <c r="P1630" s="10">
        <f t="shared" si="105"/>
        <v>-0.26999999999999602</v>
      </c>
    </row>
    <row r="1631" spans="1:16">
      <c r="A1631">
        <v>402.5</v>
      </c>
      <c r="B1631">
        <v>109.4</v>
      </c>
      <c r="C1631">
        <v>114.01</v>
      </c>
      <c r="D1631">
        <v>110.95</v>
      </c>
      <c r="E1631">
        <v>119.45</v>
      </c>
      <c r="F1631">
        <v>116.67</v>
      </c>
      <c r="G1631">
        <v>116.84</v>
      </c>
      <c r="H1631">
        <v>118.9</v>
      </c>
      <c r="K1631" s="9">
        <f t="shared" si="106"/>
        <v>-6.0000000000002274E-2</v>
      </c>
      <c r="L1631">
        <f t="shared" si="101"/>
        <v>-0.21999999999999886</v>
      </c>
      <c r="M1631">
        <f t="shared" si="102"/>
        <v>-0.17000000000000171</v>
      </c>
      <c r="N1631">
        <f t="shared" si="103"/>
        <v>-0.15999999999999659</v>
      </c>
      <c r="O1631">
        <f t="shared" si="104"/>
        <v>-0.39000000000000057</v>
      </c>
      <c r="P1631" s="10">
        <f t="shared" si="105"/>
        <v>0.15999999999999659</v>
      </c>
    </row>
    <row r="1632" spans="1:16">
      <c r="A1632">
        <v>402.75</v>
      </c>
      <c r="B1632">
        <v>109.34</v>
      </c>
      <c r="C1632">
        <v>113.95</v>
      </c>
      <c r="D1632">
        <v>111.17</v>
      </c>
      <c r="E1632">
        <v>119.45</v>
      </c>
      <c r="F1632">
        <v>116.62</v>
      </c>
      <c r="G1632">
        <v>116.73</v>
      </c>
      <c r="H1632">
        <v>118.9</v>
      </c>
      <c r="K1632" s="9">
        <f t="shared" si="106"/>
        <v>-4.9999999999997158E-2</v>
      </c>
      <c r="L1632">
        <f t="shared" si="101"/>
        <v>-0.65999999999999659</v>
      </c>
      <c r="M1632">
        <f t="shared" si="102"/>
        <v>-0.17000000000000171</v>
      </c>
      <c r="N1632">
        <f t="shared" si="103"/>
        <v>-0.10999999999999943</v>
      </c>
      <c r="O1632">
        <f t="shared" si="104"/>
        <v>-0.45000000000000284</v>
      </c>
      <c r="P1632" s="10">
        <f t="shared" si="105"/>
        <v>0.26999999999999602</v>
      </c>
    </row>
    <row r="1633" spans="1:16">
      <c r="A1633">
        <v>403</v>
      </c>
      <c r="B1633">
        <v>109.28</v>
      </c>
      <c r="C1633">
        <v>114.01</v>
      </c>
      <c r="D1633">
        <v>111.23</v>
      </c>
      <c r="E1633">
        <v>119.4</v>
      </c>
      <c r="F1633">
        <v>116.56</v>
      </c>
      <c r="G1633">
        <v>116.45</v>
      </c>
      <c r="H1633">
        <v>118.9</v>
      </c>
      <c r="K1633" s="9">
        <f t="shared" si="106"/>
        <v>-0.23000000000000398</v>
      </c>
      <c r="L1633">
        <f t="shared" si="101"/>
        <v>-0.56000000000000227</v>
      </c>
      <c r="M1633">
        <f t="shared" si="102"/>
        <v>-0.17000000000000171</v>
      </c>
      <c r="N1633">
        <f t="shared" si="103"/>
        <v>-0.15999999999999659</v>
      </c>
      <c r="O1633">
        <f t="shared" si="104"/>
        <v>-4.9999999999997158E-2</v>
      </c>
      <c r="P1633" s="10">
        <f t="shared" si="105"/>
        <v>0.21999999999999886</v>
      </c>
    </row>
    <row r="1634" spans="1:16">
      <c r="A1634">
        <v>403.25</v>
      </c>
      <c r="B1634">
        <v>109.28</v>
      </c>
      <c r="C1634">
        <v>113.95</v>
      </c>
      <c r="D1634">
        <v>110.73</v>
      </c>
      <c r="E1634">
        <v>119.28</v>
      </c>
      <c r="F1634">
        <v>116.51</v>
      </c>
      <c r="G1634">
        <v>116.45</v>
      </c>
      <c r="H1634">
        <v>119.06</v>
      </c>
      <c r="K1634" s="9">
        <f t="shared" si="106"/>
        <v>-0.10999999999999943</v>
      </c>
      <c r="L1634">
        <f t="shared" si="101"/>
        <v>-6.0000000000002274E-2</v>
      </c>
      <c r="M1634">
        <f t="shared" si="102"/>
        <v>-0.21999999999999886</v>
      </c>
      <c r="N1634">
        <f t="shared" si="103"/>
        <v>-0.10999999999999943</v>
      </c>
      <c r="O1634">
        <f t="shared" si="104"/>
        <v>-0.17000000000000171</v>
      </c>
      <c r="P1634" s="10">
        <f t="shared" si="105"/>
        <v>0.17000000000000171</v>
      </c>
    </row>
    <row r="1635" spans="1:16">
      <c r="A1635">
        <v>403.5</v>
      </c>
      <c r="B1635">
        <v>109.17</v>
      </c>
      <c r="C1635">
        <v>113.9</v>
      </c>
      <c r="D1635">
        <v>110.51</v>
      </c>
      <c r="E1635">
        <v>119.28</v>
      </c>
      <c r="F1635">
        <v>116.51</v>
      </c>
      <c r="G1635">
        <v>116.28</v>
      </c>
      <c r="H1635">
        <v>119.17</v>
      </c>
      <c r="K1635" s="9">
        <f t="shared" si="106"/>
        <v>-6.0000000000002274E-2</v>
      </c>
      <c r="L1635">
        <f t="shared" si="101"/>
        <v>0.32999999999999829</v>
      </c>
      <c r="M1635">
        <f t="shared" si="102"/>
        <v>-0.21999999999999886</v>
      </c>
      <c r="N1635">
        <f t="shared" si="103"/>
        <v>-0.17000000000000171</v>
      </c>
      <c r="O1635">
        <f t="shared" si="104"/>
        <v>-4.9999999999997158E-2</v>
      </c>
      <c r="P1635" s="10">
        <f t="shared" si="105"/>
        <v>0.10999999999999943</v>
      </c>
    </row>
    <row r="1636" spans="1:16">
      <c r="A1636">
        <v>403.75</v>
      </c>
      <c r="B1636">
        <v>109.12</v>
      </c>
      <c r="C1636">
        <v>113.78</v>
      </c>
      <c r="D1636">
        <v>110.67</v>
      </c>
      <c r="E1636">
        <v>119.23</v>
      </c>
      <c r="F1636">
        <v>116.4</v>
      </c>
      <c r="G1636">
        <v>116.4</v>
      </c>
      <c r="H1636">
        <v>119.12</v>
      </c>
      <c r="K1636" s="9">
        <f t="shared" si="106"/>
        <v>0</v>
      </c>
      <c r="L1636">
        <f t="shared" si="101"/>
        <v>-0.10999999999999943</v>
      </c>
      <c r="M1636">
        <f t="shared" si="102"/>
        <v>-0.17000000000000171</v>
      </c>
      <c r="N1636">
        <f t="shared" si="103"/>
        <v>-0.12000000000000455</v>
      </c>
      <c r="O1636">
        <f t="shared" si="104"/>
        <v>-0.12000000000000455</v>
      </c>
      <c r="P1636" s="10">
        <f t="shared" si="105"/>
        <v>0.15999999999999659</v>
      </c>
    </row>
    <row r="1637" spans="1:16">
      <c r="A1637">
        <v>404</v>
      </c>
      <c r="B1637">
        <v>109.06</v>
      </c>
      <c r="C1637">
        <v>113.84</v>
      </c>
      <c r="D1637">
        <v>110.67</v>
      </c>
      <c r="E1637">
        <v>119.06</v>
      </c>
      <c r="F1637">
        <v>116.4</v>
      </c>
      <c r="G1637">
        <v>116.28</v>
      </c>
      <c r="H1637">
        <v>119.23</v>
      </c>
      <c r="K1637" s="9">
        <f t="shared" si="106"/>
        <v>0</v>
      </c>
      <c r="L1637">
        <f t="shared" si="101"/>
        <v>0.17000000000000171</v>
      </c>
      <c r="M1637">
        <f t="shared" si="102"/>
        <v>-0.10999999999999943</v>
      </c>
      <c r="N1637">
        <f t="shared" si="103"/>
        <v>-0.17000000000000171</v>
      </c>
      <c r="O1637">
        <f t="shared" si="104"/>
        <v>-4.9999999999997158E-2</v>
      </c>
      <c r="P1637" s="10">
        <f t="shared" si="105"/>
        <v>4.9999999999997158E-2</v>
      </c>
    </row>
    <row r="1638" spans="1:16">
      <c r="A1638">
        <v>404.25</v>
      </c>
      <c r="B1638">
        <v>108.95</v>
      </c>
      <c r="C1638">
        <v>113.84</v>
      </c>
      <c r="D1638">
        <v>110.84</v>
      </c>
      <c r="E1638">
        <v>119.06</v>
      </c>
      <c r="F1638">
        <v>116.34</v>
      </c>
      <c r="G1638">
        <v>116.23</v>
      </c>
      <c r="H1638">
        <v>119.28</v>
      </c>
      <c r="K1638" s="9">
        <f t="shared" si="106"/>
        <v>-6.0000000000002274E-2</v>
      </c>
      <c r="L1638">
        <f t="shared" si="101"/>
        <v>6.0000000000002274E-2</v>
      </c>
      <c r="M1638">
        <f t="shared" si="102"/>
        <v>-0.21999999999999886</v>
      </c>
      <c r="N1638">
        <f t="shared" si="103"/>
        <v>-0.10999999999999943</v>
      </c>
      <c r="O1638">
        <f t="shared" si="104"/>
        <v>-6.0000000000002274E-2</v>
      </c>
      <c r="P1638" s="10">
        <f t="shared" si="105"/>
        <v>0</v>
      </c>
    </row>
    <row r="1639" spans="1:16">
      <c r="A1639">
        <v>404.5</v>
      </c>
      <c r="B1639">
        <v>108.95</v>
      </c>
      <c r="C1639">
        <v>113.78</v>
      </c>
      <c r="D1639">
        <v>110.56</v>
      </c>
      <c r="E1639">
        <v>119.06</v>
      </c>
      <c r="F1639">
        <v>116.28</v>
      </c>
      <c r="G1639">
        <v>116.28</v>
      </c>
      <c r="H1639">
        <v>119.28</v>
      </c>
      <c r="K1639" s="9">
        <f t="shared" si="106"/>
        <v>6.0000000000002274E-2</v>
      </c>
      <c r="L1639">
        <f t="shared" si="101"/>
        <v>0.17000000000000171</v>
      </c>
      <c r="M1639">
        <f t="shared" si="102"/>
        <v>-0.21999999999999886</v>
      </c>
      <c r="N1639">
        <f t="shared" si="103"/>
        <v>-0.15999999999999659</v>
      </c>
      <c r="O1639">
        <f t="shared" si="104"/>
        <v>-4.9999999999997158E-2</v>
      </c>
      <c r="P1639" s="10">
        <f t="shared" si="105"/>
        <v>0</v>
      </c>
    </row>
    <row r="1640" spans="1:16">
      <c r="A1640">
        <v>404.75</v>
      </c>
      <c r="B1640">
        <v>108.95</v>
      </c>
      <c r="C1640">
        <v>113.84</v>
      </c>
      <c r="D1640">
        <v>110.84</v>
      </c>
      <c r="E1640">
        <v>118.95</v>
      </c>
      <c r="F1640">
        <v>116.23</v>
      </c>
      <c r="G1640">
        <v>116.23</v>
      </c>
      <c r="H1640">
        <v>119.28</v>
      </c>
      <c r="K1640" s="9">
        <f t="shared" si="106"/>
        <v>0</v>
      </c>
      <c r="L1640">
        <f t="shared" si="101"/>
        <v>-0.71999999999999886</v>
      </c>
      <c r="M1640">
        <f t="shared" si="102"/>
        <v>-4.9999999999997158E-2</v>
      </c>
      <c r="N1640">
        <f t="shared" si="103"/>
        <v>-6.0000000000002274E-2</v>
      </c>
      <c r="O1640">
        <f t="shared" si="104"/>
        <v>4.9999999999997158E-2</v>
      </c>
      <c r="P1640" s="10">
        <f t="shared" si="105"/>
        <v>6.0000000000002274E-2</v>
      </c>
    </row>
    <row r="1641" spans="1:16">
      <c r="A1641">
        <v>405</v>
      </c>
      <c r="B1641">
        <v>108.95</v>
      </c>
      <c r="C1641">
        <v>113.78</v>
      </c>
      <c r="D1641">
        <v>110.9</v>
      </c>
      <c r="E1641">
        <v>118.84</v>
      </c>
      <c r="F1641">
        <v>116.23</v>
      </c>
      <c r="G1641">
        <v>116.17</v>
      </c>
      <c r="H1641">
        <v>119.28</v>
      </c>
      <c r="K1641" s="9">
        <f t="shared" si="106"/>
        <v>-0.10999999999999943</v>
      </c>
      <c r="L1641">
        <f t="shared" si="101"/>
        <v>-1.1200000000000045</v>
      </c>
      <c r="M1641">
        <f t="shared" si="102"/>
        <v>-0.10999999999999943</v>
      </c>
      <c r="N1641">
        <f t="shared" si="103"/>
        <v>-0.17000000000000171</v>
      </c>
      <c r="O1641">
        <f t="shared" si="104"/>
        <v>-4.9999999999997158E-2</v>
      </c>
      <c r="P1641" s="10">
        <f t="shared" si="105"/>
        <v>-4.9999999999997158E-2</v>
      </c>
    </row>
    <row r="1642" spans="1:16">
      <c r="A1642">
        <v>405.25</v>
      </c>
      <c r="B1642">
        <v>108.78</v>
      </c>
      <c r="C1642">
        <v>113.84</v>
      </c>
      <c r="D1642">
        <v>110.73</v>
      </c>
      <c r="E1642">
        <v>118.84</v>
      </c>
      <c r="F1642">
        <v>116.12</v>
      </c>
      <c r="G1642">
        <v>116.23</v>
      </c>
      <c r="H1642">
        <v>119.28</v>
      </c>
      <c r="K1642" s="9">
        <f t="shared" si="106"/>
        <v>-0.21999999999999886</v>
      </c>
      <c r="L1642">
        <f t="shared" si="101"/>
        <v>-0.60999999999999943</v>
      </c>
      <c r="M1642">
        <f t="shared" si="102"/>
        <v>-0.17000000000000171</v>
      </c>
      <c r="N1642">
        <f t="shared" si="103"/>
        <v>-0.10999999999999943</v>
      </c>
      <c r="O1642">
        <f t="shared" si="104"/>
        <v>-0.10999999999999943</v>
      </c>
      <c r="P1642" s="10">
        <f t="shared" si="105"/>
        <v>0</v>
      </c>
    </row>
    <row r="1643" spans="1:16">
      <c r="A1643">
        <v>405.5</v>
      </c>
      <c r="B1643">
        <v>108.78</v>
      </c>
      <c r="C1643">
        <v>113.84</v>
      </c>
      <c r="D1643">
        <v>110.12</v>
      </c>
      <c r="E1643">
        <v>118.9</v>
      </c>
      <c r="F1643">
        <v>116.17</v>
      </c>
      <c r="G1643">
        <v>116.28</v>
      </c>
      <c r="H1643">
        <v>119.34</v>
      </c>
      <c r="K1643" s="9">
        <f t="shared" si="106"/>
        <v>-0.28000000000000114</v>
      </c>
      <c r="L1643">
        <f t="shared" si="101"/>
        <v>-0.34000000000000341</v>
      </c>
      <c r="M1643">
        <f t="shared" si="102"/>
        <v>-0.28000000000000114</v>
      </c>
      <c r="N1643">
        <f t="shared" si="103"/>
        <v>-0.15999999999999659</v>
      </c>
      <c r="O1643">
        <f t="shared" si="104"/>
        <v>-0.15999999999999659</v>
      </c>
      <c r="P1643" s="10">
        <f t="shared" si="105"/>
        <v>-0.10999999999999943</v>
      </c>
    </row>
    <row r="1644" spans="1:16">
      <c r="A1644">
        <v>405.75</v>
      </c>
      <c r="B1644">
        <v>108.73</v>
      </c>
      <c r="C1644">
        <v>113.67</v>
      </c>
      <c r="D1644">
        <v>109.78</v>
      </c>
      <c r="E1644">
        <v>118.73</v>
      </c>
      <c r="F1644">
        <v>116.06</v>
      </c>
      <c r="G1644">
        <v>116.12</v>
      </c>
      <c r="H1644">
        <v>119.23</v>
      </c>
      <c r="K1644" s="9">
        <f t="shared" si="106"/>
        <v>-0.15999999999999659</v>
      </c>
      <c r="L1644">
        <f t="shared" si="101"/>
        <v>0.23000000000000398</v>
      </c>
      <c r="M1644">
        <f t="shared" si="102"/>
        <v>-0.17000000000000171</v>
      </c>
      <c r="N1644">
        <f t="shared" si="103"/>
        <v>-0.10999999999999943</v>
      </c>
      <c r="O1644">
        <f t="shared" si="104"/>
        <v>0</v>
      </c>
      <c r="P1644" s="10">
        <f t="shared" si="105"/>
        <v>0</v>
      </c>
    </row>
    <row r="1645" spans="1:16">
      <c r="A1645">
        <v>406</v>
      </c>
      <c r="B1645">
        <v>108.67</v>
      </c>
      <c r="C1645">
        <v>113.62</v>
      </c>
      <c r="D1645">
        <v>110.12</v>
      </c>
      <c r="E1645">
        <v>118.67</v>
      </c>
      <c r="F1645">
        <v>116.01</v>
      </c>
      <c r="G1645">
        <v>116.12</v>
      </c>
      <c r="H1645">
        <v>119.28</v>
      </c>
      <c r="K1645" s="9">
        <f t="shared" si="106"/>
        <v>-0.28000000000000114</v>
      </c>
      <c r="L1645">
        <f t="shared" si="101"/>
        <v>-0.17000000000000171</v>
      </c>
      <c r="M1645">
        <f t="shared" si="102"/>
        <v>-0.10999999999999943</v>
      </c>
      <c r="N1645">
        <f t="shared" si="103"/>
        <v>0</v>
      </c>
      <c r="O1645">
        <f t="shared" si="104"/>
        <v>-6.0000000000002274E-2</v>
      </c>
      <c r="P1645" s="10">
        <f t="shared" si="105"/>
        <v>-0.15999999999999659</v>
      </c>
    </row>
    <row r="1646" spans="1:16">
      <c r="A1646">
        <v>406.25</v>
      </c>
      <c r="B1646">
        <v>108.62</v>
      </c>
      <c r="C1646">
        <v>113.56</v>
      </c>
      <c r="D1646">
        <v>109.78</v>
      </c>
      <c r="E1646">
        <v>118.62</v>
      </c>
      <c r="F1646">
        <v>116.01</v>
      </c>
      <c r="G1646">
        <v>116.12</v>
      </c>
      <c r="H1646">
        <v>119.23</v>
      </c>
      <c r="K1646" s="9">
        <f t="shared" si="106"/>
        <v>-0.28000000000000114</v>
      </c>
      <c r="L1646">
        <f t="shared" si="101"/>
        <v>0</v>
      </c>
      <c r="M1646">
        <f t="shared" si="102"/>
        <v>-0.10999999999999943</v>
      </c>
      <c r="N1646">
        <f t="shared" si="103"/>
        <v>-0.10999999999999943</v>
      </c>
      <c r="O1646">
        <f t="shared" si="104"/>
        <v>-0.21999999999999886</v>
      </c>
      <c r="P1646" s="10">
        <f t="shared" si="105"/>
        <v>-0.10999999999999943</v>
      </c>
    </row>
    <row r="1647" spans="1:16">
      <c r="A1647">
        <v>406.5</v>
      </c>
      <c r="B1647">
        <v>108.51</v>
      </c>
      <c r="C1647">
        <v>113.51</v>
      </c>
      <c r="D1647">
        <v>110.01</v>
      </c>
      <c r="E1647">
        <v>118.56</v>
      </c>
      <c r="F1647">
        <v>115.95</v>
      </c>
      <c r="G1647">
        <v>116.12</v>
      </c>
      <c r="H1647">
        <v>119.23</v>
      </c>
      <c r="K1647" s="9">
        <f t="shared" si="106"/>
        <v>-0.34000000000000341</v>
      </c>
      <c r="L1647">
        <f t="shared" si="101"/>
        <v>-0.28000000000000114</v>
      </c>
      <c r="M1647">
        <f t="shared" si="102"/>
        <v>-4.9999999999997158E-2</v>
      </c>
      <c r="N1647">
        <f t="shared" si="103"/>
        <v>-4.9999999999997158E-2</v>
      </c>
      <c r="O1647">
        <f t="shared" si="104"/>
        <v>-0.39000000000000057</v>
      </c>
      <c r="P1647" s="10">
        <f t="shared" si="105"/>
        <v>-0.17000000000000171</v>
      </c>
    </row>
    <row r="1648" spans="1:16">
      <c r="A1648">
        <v>406.75</v>
      </c>
      <c r="B1648">
        <v>108.45</v>
      </c>
      <c r="C1648">
        <v>113.34</v>
      </c>
      <c r="D1648">
        <v>109.95</v>
      </c>
      <c r="E1648">
        <v>118.56</v>
      </c>
      <c r="F1648">
        <v>116.01</v>
      </c>
      <c r="G1648">
        <v>116.06</v>
      </c>
      <c r="H1648">
        <v>119.12</v>
      </c>
      <c r="K1648" s="9">
        <f t="shared" si="106"/>
        <v>-0.17000000000000171</v>
      </c>
      <c r="L1648">
        <f t="shared" si="101"/>
        <v>6.0000000000002274E-2</v>
      </c>
      <c r="M1648">
        <f t="shared" si="102"/>
        <v>-0.21999999999999886</v>
      </c>
      <c r="N1648">
        <f t="shared" si="103"/>
        <v>-0.17000000000000171</v>
      </c>
      <c r="O1648">
        <f t="shared" si="104"/>
        <v>-0.32999999999999829</v>
      </c>
      <c r="P1648" s="10">
        <f t="shared" si="105"/>
        <v>-0.17000000000000171</v>
      </c>
    </row>
    <row r="1649" spans="1:16">
      <c r="A1649">
        <v>407</v>
      </c>
      <c r="B1649">
        <v>108.4</v>
      </c>
      <c r="C1649">
        <v>113.28</v>
      </c>
      <c r="D1649">
        <v>109.78</v>
      </c>
      <c r="E1649">
        <v>118.51</v>
      </c>
      <c r="F1649">
        <v>115.9</v>
      </c>
      <c r="G1649">
        <v>115.9</v>
      </c>
      <c r="H1649">
        <v>119.12</v>
      </c>
      <c r="K1649" s="9">
        <f t="shared" si="106"/>
        <v>-0.26999999999999602</v>
      </c>
      <c r="L1649">
        <f t="shared" si="101"/>
        <v>-0.37999999999999545</v>
      </c>
      <c r="M1649">
        <f t="shared" si="102"/>
        <v>-0.17000000000000171</v>
      </c>
      <c r="N1649">
        <f t="shared" si="103"/>
        <v>-6.0000000000002274E-2</v>
      </c>
      <c r="O1649">
        <f t="shared" si="104"/>
        <v>-0.23000000000000398</v>
      </c>
      <c r="P1649" s="10">
        <f t="shared" si="105"/>
        <v>-0.21999999999999886</v>
      </c>
    </row>
    <row r="1650" spans="1:16">
      <c r="A1650">
        <v>407.25</v>
      </c>
      <c r="B1650">
        <v>108.28</v>
      </c>
      <c r="C1650">
        <v>113.17</v>
      </c>
      <c r="D1650">
        <v>109.73</v>
      </c>
      <c r="E1650">
        <v>118.51</v>
      </c>
      <c r="F1650">
        <v>115.9</v>
      </c>
      <c r="G1650">
        <v>115.73</v>
      </c>
      <c r="H1650">
        <v>119.06</v>
      </c>
      <c r="K1650" s="9">
        <f t="shared" si="106"/>
        <v>-0.15999999999999659</v>
      </c>
      <c r="L1650">
        <f t="shared" si="101"/>
        <v>-0.28000000000000114</v>
      </c>
      <c r="M1650">
        <f t="shared" si="102"/>
        <v>-0.28000000000000114</v>
      </c>
      <c r="N1650">
        <f t="shared" si="103"/>
        <v>-0.17000000000000171</v>
      </c>
      <c r="O1650">
        <f t="shared" si="104"/>
        <v>-0.28000000000000114</v>
      </c>
      <c r="P1650" s="10">
        <f t="shared" si="105"/>
        <v>-4.9999999999997158E-2</v>
      </c>
    </row>
    <row r="1651" spans="1:16">
      <c r="A1651">
        <v>407.5</v>
      </c>
      <c r="B1651">
        <v>108.23</v>
      </c>
      <c r="C1651">
        <v>113.17</v>
      </c>
      <c r="D1651">
        <v>110.01</v>
      </c>
      <c r="E1651">
        <v>118.34</v>
      </c>
      <c r="F1651">
        <v>115.84</v>
      </c>
      <c r="G1651">
        <v>115.73</v>
      </c>
      <c r="H1651">
        <v>118.95</v>
      </c>
      <c r="K1651" s="9">
        <f t="shared" si="106"/>
        <v>-0.32999999999999829</v>
      </c>
      <c r="L1651">
        <f t="shared" si="101"/>
        <v>-0.67000000000000171</v>
      </c>
      <c r="M1651">
        <f t="shared" si="102"/>
        <v>-0.10999999999999943</v>
      </c>
      <c r="N1651">
        <f t="shared" si="103"/>
        <v>-0.21999999999999886</v>
      </c>
      <c r="O1651">
        <f t="shared" si="104"/>
        <v>-0.32999999999999829</v>
      </c>
      <c r="P1651" s="10">
        <f t="shared" si="105"/>
        <v>-4.9999999999997158E-2</v>
      </c>
    </row>
    <row r="1652" spans="1:16">
      <c r="A1652">
        <v>407.75</v>
      </c>
      <c r="B1652">
        <v>108.17</v>
      </c>
      <c r="C1652">
        <v>113.01</v>
      </c>
      <c r="D1652">
        <v>109.4</v>
      </c>
      <c r="E1652">
        <v>118.34</v>
      </c>
      <c r="F1652">
        <v>115.84</v>
      </c>
      <c r="G1652">
        <v>115.67</v>
      </c>
      <c r="H1652">
        <v>118.9</v>
      </c>
      <c r="K1652" s="9">
        <f t="shared" si="106"/>
        <v>-0.23000000000000398</v>
      </c>
      <c r="L1652">
        <f t="shared" si="101"/>
        <v>0.10999999999999943</v>
      </c>
      <c r="M1652">
        <f t="shared" si="102"/>
        <v>-0.21999999999999886</v>
      </c>
      <c r="N1652">
        <f t="shared" si="103"/>
        <v>-0.21999999999999886</v>
      </c>
      <c r="O1652">
        <f t="shared" si="104"/>
        <v>-0.21999999999999886</v>
      </c>
      <c r="P1652" s="10">
        <f t="shared" si="105"/>
        <v>-0.12000000000000455</v>
      </c>
    </row>
    <row r="1653" spans="1:16">
      <c r="A1653">
        <v>408</v>
      </c>
      <c r="B1653">
        <v>108.06</v>
      </c>
      <c r="C1653">
        <v>113.01</v>
      </c>
      <c r="D1653">
        <v>109.45</v>
      </c>
      <c r="E1653">
        <v>118.23</v>
      </c>
      <c r="F1653">
        <v>115.73</v>
      </c>
      <c r="G1653">
        <v>115.45</v>
      </c>
      <c r="H1653">
        <v>119.01</v>
      </c>
      <c r="K1653" s="9">
        <f t="shared" si="106"/>
        <v>-0.23000000000000398</v>
      </c>
      <c r="L1653">
        <f t="shared" si="101"/>
        <v>-0.17000000000000171</v>
      </c>
      <c r="M1653">
        <f t="shared" si="102"/>
        <v>-0.17000000000000171</v>
      </c>
      <c r="N1653">
        <f t="shared" si="103"/>
        <v>-0.32999999999999829</v>
      </c>
      <c r="O1653">
        <f t="shared" si="104"/>
        <v>6.0000000000002274E-2</v>
      </c>
      <c r="P1653" s="10">
        <f t="shared" si="105"/>
        <v>-0.23000000000000398</v>
      </c>
    </row>
    <row r="1654" spans="1:16">
      <c r="A1654">
        <v>408.25</v>
      </c>
      <c r="B1654">
        <v>108.01</v>
      </c>
      <c r="C1654">
        <v>112.84</v>
      </c>
      <c r="D1654">
        <v>109.34</v>
      </c>
      <c r="E1654">
        <v>118.23</v>
      </c>
      <c r="F1654">
        <v>115.62</v>
      </c>
      <c r="G1654">
        <v>115.4</v>
      </c>
      <c r="H1654">
        <v>118.9</v>
      </c>
      <c r="K1654" s="9">
        <f t="shared" si="106"/>
        <v>-0.10999999999999943</v>
      </c>
      <c r="L1654">
        <f t="shared" si="101"/>
        <v>0.10999999999999943</v>
      </c>
      <c r="M1654">
        <f t="shared" si="102"/>
        <v>-0.39000000000000057</v>
      </c>
      <c r="N1654">
        <f t="shared" si="103"/>
        <v>-0.28000000000000114</v>
      </c>
      <c r="O1654">
        <f t="shared" si="104"/>
        <v>-0.39000000000000057</v>
      </c>
      <c r="P1654" s="10">
        <f t="shared" si="105"/>
        <v>-0.28000000000000114</v>
      </c>
    </row>
    <row r="1655" spans="1:16">
      <c r="A1655">
        <v>408.5</v>
      </c>
      <c r="B1655">
        <v>107.84</v>
      </c>
      <c r="C1655">
        <v>112.78</v>
      </c>
      <c r="D1655">
        <v>109.51</v>
      </c>
      <c r="E1655">
        <v>118.12</v>
      </c>
      <c r="F1655">
        <v>115.62</v>
      </c>
      <c r="G1655">
        <v>115.45</v>
      </c>
      <c r="H1655">
        <v>118.78</v>
      </c>
      <c r="K1655" s="9">
        <f t="shared" si="106"/>
        <v>-0.10999999999999943</v>
      </c>
      <c r="L1655">
        <f t="shared" si="101"/>
        <v>0.26999999999999602</v>
      </c>
      <c r="M1655">
        <f t="shared" si="102"/>
        <v>-0.45000000000000284</v>
      </c>
      <c r="N1655">
        <f t="shared" si="103"/>
        <v>-0.28000000000000114</v>
      </c>
      <c r="O1655">
        <f t="shared" si="104"/>
        <v>-0.43999999999999773</v>
      </c>
      <c r="P1655" s="10">
        <f t="shared" si="105"/>
        <v>-0.37999999999999545</v>
      </c>
    </row>
    <row r="1656" spans="1:16">
      <c r="A1656">
        <v>408.75</v>
      </c>
      <c r="B1656">
        <v>107.73</v>
      </c>
      <c r="C1656">
        <v>112.78</v>
      </c>
      <c r="D1656">
        <v>109.28</v>
      </c>
      <c r="E1656">
        <v>118.06</v>
      </c>
      <c r="F1656">
        <v>115.4</v>
      </c>
      <c r="G1656">
        <v>115.51</v>
      </c>
      <c r="H1656">
        <v>118.78</v>
      </c>
      <c r="K1656" s="9">
        <f t="shared" si="106"/>
        <v>-0.21999999999999886</v>
      </c>
      <c r="L1656">
        <f t="shared" si="101"/>
        <v>0.39000000000000057</v>
      </c>
      <c r="M1656">
        <f t="shared" si="102"/>
        <v>-0.43999999999999773</v>
      </c>
      <c r="N1656">
        <f t="shared" si="103"/>
        <v>-0.12000000000000455</v>
      </c>
      <c r="O1656">
        <f t="shared" si="104"/>
        <v>-1.0600000000000023</v>
      </c>
      <c r="P1656" s="10">
        <f t="shared" si="105"/>
        <v>-0.54999999999999716</v>
      </c>
    </row>
    <row r="1657" spans="1:16">
      <c r="A1657">
        <v>409</v>
      </c>
      <c r="B1657">
        <v>107.51</v>
      </c>
      <c r="C1657">
        <v>112.73</v>
      </c>
      <c r="D1657">
        <v>109.45</v>
      </c>
      <c r="E1657">
        <v>117.84</v>
      </c>
      <c r="F1657">
        <v>115.34</v>
      </c>
      <c r="G1657">
        <v>115.01</v>
      </c>
      <c r="H1657">
        <v>118.62</v>
      </c>
      <c r="K1657" s="9">
        <f t="shared" si="106"/>
        <v>-0.39000000000000057</v>
      </c>
      <c r="L1657">
        <f t="shared" si="101"/>
        <v>0.10999999999999943</v>
      </c>
      <c r="M1657">
        <f t="shared" si="102"/>
        <v>-0.32999999999999829</v>
      </c>
      <c r="N1657">
        <f t="shared" si="103"/>
        <v>-0.10999999999999943</v>
      </c>
      <c r="O1657">
        <f t="shared" si="104"/>
        <v>-0.34000000000000341</v>
      </c>
      <c r="P1657" s="10">
        <f t="shared" si="105"/>
        <v>-0.34000000000000341</v>
      </c>
    </row>
    <row r="1658" spans="1:16">
      <c r="A1658">
        <v>409.25</v>
      </c>
      <c r="B1658">
        <v>107.4</v>
      </c>
      <c r="C1658">
        <v>112.67</v>
      </c>
      <c r="D1658">
        <v>109.78</v>
      </c>
      <c r="E1658">
        <v>117.67</v>
      </c>
      <c r="F1658">
        <v>115.34</v>
      </c>
      <c r="G1658">
        <v>115.01</v>
      </c>
      <c r="H1658">
        <v>118.4</v>
      </c>
      <c r="K1658" s="9">
        <f t="shared" si="106"/>
        <v>-0.54999999999999716</v>
      </c>
      <c r="L1658">
        <f t="shared" si="101"/>
        <v>-0.21999999999999886</v>
      </c>
      <c r="M1658">
        <f t="shared" si="102"/>
        <v>-0.15999999999999659</v>
      </c>
      <c r="N1658">
        <f t="shared" si="103"/>
        <v>-0.17000000000000171</v>
      </c>
      <c r="O1658">
        <f t="shared" si="104"/>
        <v>-0.10999999999999943</v>
      </c>
      <c r="P1658" s="10">
        <f t="shared" si="105"/>
        <v>-0.62000000000000455</v>
      </c>
    </row>
    <row r="1659" spans="1:16">
      <c r="A1659">
        <v>409.5</v>
      </c>
      <c r="B1659">
        <v>107.23</v>
      </c>
      <c r="C1659">
        <v>112.56</v>
      </c>
      <c r="D1659">
        <v>109.67</v>
      </c>
      <c r="E1659">
        <v>117.62</v>
      </c>
      <c r="F1659">
        <v>115.28</v>
      </c>
      <c r="G1659">
        <v>114.45</v>
      </c>
      <c r="H1659">
        <v>118.23</v>
      </c>
      <c r="K1659" s="9">
        <f t="shared" si="106"/>
        <v>-0.60999999999999943</v>
      </c>
      <c r="L1659">
        <f t="shared" si="101"/>
        <v>-0.43999999999999773</v>
      </c>
      <c r="M1659">
        <f t="shared" si="102"/>
        <v>-0.17000000000000171</v>
      </c>
      <c r="N1659">
        <f t="shared" si="103"/>
        <v>-0.15999999999999659</v>
      </c>
      <c r="O1659">
        <f t="shared" si="104"/>
        <v>0.45000000000000284</v>
      </c>
      <c r="P1659" s="10">
        <f t="shared" si="105"/>
        <v>-0.56000000000000227</v>
      </c>
    </row>
    <row r="1660" spans="1:16">
      <c r="A1660">
        <v>409.75</v>
      </c>
      <c r="B1660">
        <v>107.17</v>
      </c>
      <c r="C1660">
        <v>112.34</v>
      </c>
      <c r="D1660">
        <v>109.56</v>
      </c>
      <c r="E1660">
        <v>117.51</v>
      </c>
      <c r="F1660">
        <v>115.23</v>
      </c>
      <c r="G1660">
        <v>114.67</v>
      </c>
      <c r="H1660">
        <v>118.28</v>
      </c>
      <c r="K1660" s="9">
        <f t="shared" si="106"/>
        <v>-0.60999999999999943</v>
      </c>
      <c r="L1660">
        <f t="shared" si="101"/>
        <v>-0.5</v>
      </c>
      <c r="M1660">
        <f t="shared" si="102"/>
        <v>-0.10999999999999943</v>
      </c>
      <c r="N1660">
        <f t="shared" si="103"/>
        <v>-0.28000000000000114</v>
      </c>
      <c r="O1660">
        <f t="shared" si="104"/>
        <v>0.34000000000000341</v>
      </c>
      <c r="P1660" s="10">
        <f t="shared" si="105"/>
        <v>-0.5</v>
      </c>
    </row>
    <row r="1661" spans="1:16">
      <c r="A1661">
        <v>410</v>
      </c>
      <c r="B1661">
        <v>107.06</v>
      </c>
      <c r="C1661">
        <v>112.12</v>
      </c>
      <c r="D1661">
        <v>109.56</v>
      </c>
      <c r="E1661">
        <v>117.51</v>
      </c>
      <c r="F1661">
        <v>115.17</v>
      </c>
      <c r="G1661">
        <v>114.9</v>
      </c>
      <c r="H1661">
        <v>117.78</v>
      </c>
      <c r="K1661" s="9">
        <f t="shared" si="106"/>
        <v>-0.56000000000000227</v>
      </c>
      <c r="L1661">
        <f t="shared" si="101"/>
        <v>-0.54999999999999716</v>
      </c>
      <c r="M1661">
        <f t="shared" si="102"/>
        <v>-0.10999999999999943</v>
      </c>
      <c r="N1661">
        <f t="shared" si="103"/>
        <v>-0.26999999999999602</v>
      </c>
      <c r="O1661">
        <f t="shared" si="104"/>
        <v>0.15999999999999659</v>
      </c>
      <c r="P1661" s="10">
        <f t="shared" si="105"/>
        <v>-0.21999999999999886</v>
      </c>
    </row>
    <row r="1662" spans="1:16">
      <c r="A1662">
        <v>410.25</v>
      </c>
      <c r="B1662">
        <v>106.95</v>
      </c>
      <c r="C1662">
        <v>111.95</v>
      </c>
      <c r="D1662">
        <v>109.23</v>
      </c>
      <c r="E1662">
        <v>117.45</v>
      </c>
      <c r="F1662">
        <v>115.12</v>
      </c>
      <c r="G1662">
        <v>114.9</v>
      </c>
      <c r="H1662">
        <v>117.67</v>
      </c>
      <c r="K1662" s="9">
        <f t="shared" si="106"/>
        <v>-0.54999999999999716</v>
      </c>
      <c r="L1662">
        <f t="shared" si="101"/>
        <v>-0.67000000000000171</v>
      </c>
      <c r="M1662">
        <f t="shared" si="102"/>
        <v>-0.17000000000000171</v>
      </c>
      <c r="N1662">
        <f t="shared" si="103"/>
        <v>-0.28000000000000114</v>
      </c>
      <c r="O1662">
        <f t="shared" si="104"/>
        <v>0</v>
      </c>
      <c r="P1662" s="10">
        <f t="shared" si="105"/>
        <v>-0.10999999999999943</v>
      </c>
    </row>
    <row r="1663" spans="1:16">
      <c r="A1663">
        <v>410.5</v>
      </c>
      <c r="B1663">
        <v>106.84</v>
      </c>
      <c r="C1663">
        <v>111.73</v>
      </c>
      <c r="D1663">
        <v>109.06</v>
      </c>
      <c r="E1663">
        <v>117.4</v>
      </c>
      <c r="F1663">
        <v>114.95</v>
      </c>
      <c r="G1663">
        <v>115.01</v>
      </c>
      <c r="H1663">
        <v>117.78</v>
      </c>
      <c r="K1663" s="9">
        <f t="shared" si="106"/>
        <v>-0.45000000000000284</v>
      </c>
      <c r="L1663">
        <f t="shared" si="101"/>
        <v>-0.54999999999999716</v>
      </c>
      <c r="M1663">
        <f t="shared" si="102"/>
        <v>-0.17000000000000171</v>
      </c>
      <c r="N1663">
        <f t="shared" si="103"/>
        <v>-0.17000000000000171</v>
      </c>
      <c r="O1663">
        <f t="shared" si="104"/>
        <v>-0.23000000000000398</v>
      </c>
      <c r="P1663" s="10">
        <f t="shared" si="105"/>
        <v>-0.15999999999999659</v>
      </c>
    </row>
    <row r="1664" spans="1:16">
      <c r="A1664">
        <v>410.75</v>
      </c>
      <c r="B1664">
        <v>106.84</v>
      </c>
      <c r="C1664">
        <v>111.56</v>
      </c>
      <c r="D1664">
        <v>109.01</v>
      </c>
      <c r="E1664">
        <v>117.4</v>
      </c>
      <c r="F1664">
        <v>114.9</v>
      </c>
      <c r="G1664">
        <v>115.06</v>
      </c>
      <c r="H1664">
        <v>117.56</v>
      </c>
      <c r="K1664" s="9">
        <f t="shared" si="106"/>
        <v>-0.39000000000000057</v>
      </c>
      <c r="L1664">
        <f t="shared" si="101"/>
        <v>-0.73000000000000398</v>
      </c>
      <c r="M1664">
        <f t="shared" si="102"/>
        <v>-0.12000000000000455</v>
      </c>
      <c r="N1664">
        <f t="shared" si="103"/>
        <v>-0.12000000000000455</v>
      </c>
      <c r="O1664">
        <f t="shared" si="104"/>
        <v>-0.28000000000000114</v>
      </c>
      <c r="P1664" s="10">
        <f t="shared" si="105"/>
        <v>6.0000000000002274E-2</v>
      </c>
    </row>
    <row r="1665" spans="1:16">
      <c r="A1665">
        <v>411</v>
      </c>
      <c r="B1665">
        <v>106.78</v>
      </c>
      <c r="C1665">
        <v>111.4</v>
      </c>
      <c r="D1665">
        <v>108.56</v>
      </c>
      <c r="E1665">
        <v>117.28</v>
      </c>
      <c r="F1665">
        <v>114.84</v>
      </c>
      <c r="G1665">
        <v>114.9</v>
      </c>
      <c r="H1665">
        <v>117.56</v>
      </c>
      <c r="K1665" s="9">
        <f t="shared" si="106"/>
        <v>-0.34000000000000341</v>
      </c>
      <c r="L1665">
        <f t="shared" si="101"/>
        <v>-0.60999999999999943</v>
      </c>
      <c r="M1665">
        <f t="shared" si="102"/>
        <v>-0.10999999999999943</v>
      </c>
      <c r="N1665">
        <f t="shared" si="103"/>
        <v>-0.10999999999999943</v>
      </c>
      <c r="O1665">
        <f t="shared" si="104"/>
        <v>-0.12000000000000455</v>
      </c>
      <c r="P1665" s="10">
        <f t="shared" si="105"/>
        <v>-4.9999999999997158E-2</v>
      </c>
    </row>
    <row r="1666" spans="1:16">
      <c r="A1666">
        <v>411.25</v>
      </c>
      <c r="B1666">
        <v>106.73</v>
      </c>
      <c r="C1666">
        <v>111.28</v>
      </c>
      <c r="D1666">
        <v>108.51</v>
      </c>
      <c r="E1666">
        <v>117.23</v>
      </c>
      <c r="F1666">
        <v>114.78</v>
      </c>
      <c r="G1666">
        <v>114.78</v>
      </c>
      <c r="H1666">
        <v>117.62</v>
      </c>
      <c r="K1666" s="9">
        <f t="shared" si="106"/>
        <v>-0.37999999999999545</v>
      </c>
      <c r="L1666">
        <f t="shared" si="101"/>
        <v>-0.45000000000000284</v>
      </c>
      <c r="M1666">
        <f t="shared" si="102"/>
        <v>-0.17000000000000171</v>
      </c>
      <c r="N1666">
        <f t="shared" si="103"/>
        <v>-0.21999999999999886</v>
      </c>
      <c r="O1666">
        <f t="shared" si="104"/>
        <v>-0.10999999999999943</v>
      </c>
      <c r="P1666" s="10">
        <f t="shared" si="105"/>
        <v>-0.10999999999999943</v>
      </c>
    </row>
    <row r="1667" spans="1:16">
      <c r="A1667">
        <v>411.5</v>
      </c>
      <c r="B1667">
        <v>106.62</v>
      </c>
      <c r="C1667">
        <v>111.17</v>
      </c>
      <c r="D1667">
        <v>108.28</v>
      </c>
      <c r="E1667">
        <v>117.28</v>
      </c>
      <c r="F1667">
        <v>114.78</v>
      </c>
      <c r="G1667">
        <v>114.78</v>
      </c>
      <c r="H1667">
        <v>117.62</v>
      </c>
      <c r="K1667" s="9">
        <f t="shared" si="106"/>
        <v>-0.32999999999999829</v>
      </c>
      <c r="L1667">
        <f t="shared" si="101"/>
        <v>0.12000000000000455</v>
      </c>
      <c r="M1667">
        <f t="shared" si="102"/>
        <v>-0.21999999999999886</v>
      </c>
      <c r="N1667">
        <f t="shared" si="103"/>
        <v>-0.10999999999999943</v>
      </c>
      <c r="O1667">
        <f t="shared" si="104"/>
        <v>-4.9999999999997158E-2</v>
      </c>
      <c r="P1667" s="10">
        <f t="shared" si="105"/>
        <v>4.9999999999997158E-2</v>
      </c>
    </row>
    <row r="1668" spans="1:16">
      <c r="A1668">
        <v>411.75</v>
      </c>
      <c r="B1668">
        <v>106.56</v>
      </c>
      <c r="C1668">
        <v>111.06</v>
      </c>
      <c r="D1668">
        <v>107.95</v>
      </c>
      <c r="E1668">
        <v>117.17</v>
      </c>
      <c r="F1668">
        <v>114.73</v>
      </c>
      <c r="G1668">
        <v>114.78</v>
      </c>
      <c r="H1668">
        <v>117.51</v>
      </c>
      <c r="K1668" s="9">
        <f t="shared" si="106"/>
        <v>-0.32999999999999829</v>
      </c>
      <c r="L1668">
        <f t="shared" si="101"/>
        <v>0.60999999999999943</v>
      </c>
      <c r="M1668">
        <f t="shared" si="102"/>
        <v>-0.15999999999999659</v>
      </c>
      <c r="N1668">
        <f t="shared" si="103"/>
        <v>-0.17000000000000171</v>
      </c>
      <c r="O1668">
        <f t="shared" si="104"/>
        <v>-0.21999999999999886</v>
      </c>
      <c r="P1668" s="10">
        <f t="shared" si="105"/>
        <v>0.15999999999999659</v>
      </c>
    </row>
    <row r="1669" spans="1:16">
      <c r="A1669">
        <v>412</v>
      </c>
      <c r="B1669">
        <v>106.45</v>
      </c>
      <c r="C1669">
        <v>110.9</v>
      </c>
      <c r="D1669">
        <v>108.06</v>
      </c>
      <c r="E1669">
        <v>117.06</v>
      </c>
      <c r="F1669">
        <v>114.56</v>
      </c>
      <c r="G1669">
        <v>114.67</v>
      </c>
      <c r="H1669">
        <v>117.51</v>
      </c>
      <c r="K1669" s="9">
        <f t="shared" si="106"/>
        <v>-0.34000000000000341</v>
      </c>
      <c r="L1669">
        <f t="shared" si="101"/>
        <v>0.34000000000000341</v>
      </c>
      <c r="M1669">
        <f t="shared" si="102"/>
        <v>-0.10999999999999943</v>
      </c>
      <c r="N1669">
        <f t="shared" si="103"/>
        <v>-0.10999999999999943</v>
      </c>
      <c r="O1669">
        <f t="shared" si="104"/>
        <v>-0.32999999999999829</v>
      </c>
      <c r="P1669" s="10">
        <f t="shared" si="105"/>
        <v>-6.0000000000002274E-2</v>
      </c>
    </row>
    <row r="1670" spans="1:16">
      <c r="A1670">
        <v>412.25</v>
      </c>
      <c r="B1670">
        <v>106.34</v>
      </c>
      <c r="C1670">
        <v>110.84</v>
      </c>
      <c r="D1670">
        <v>108.4</v>
      </c>
      <c r="E1670">
        <v>117.06</v>
      </c>
      <c r="F1670">
        <v>114.67</v>
      </c>
      <c r="G1670">
        <v>114.73</v>
      </c>
      <c r="H1670">
        <v>117.67</v>
      </c>
      <c r="K1670" s="9">
        <f t="shared" si="106"/>
        <v>-0.32999999999999829</v>
      </c>
      <c r="L1670">
        <f t="shared" si="101"/>
        <v>0.15999999999999659</v>
      </c>
      <c r="M1670">
        <f t="shared" si="102"/>
        <v>-0.28000000000000114</v>
      </c>
      <c r="N1670">
        <f t="shared" si="103"/>
        <v>-0.21999999999999886</v>
      </c>
      <c r="O1670">
        <f t="shared" si="104"/>
        <v>-0.39000000000000057</v>
      </c>
      <c r="P1670" s="10">
        <f t="shared" si="105"/>
        <v>-0.32999999999999829</v>
      </c>
    </row>
    <row r="1671" spans="1:16">
      <c r="A1671">
        <v>412.5</v>
      </c>
      <c r="B1671">
        <v>106.28</v>
      </c>
      <c r="C1671">
        <v>110.73</v>
      </c>
      <c r="D1671">
        <v>108.56</v>
      </c>
      <c r="E1671">
        <v>117.01</v>
      </c>
      <c r="F1671">
        <v>114.56</v>
      </c>
      <c r="G1671">
        <v>114.56</v>
      </c>
      <c r="H1671">
        <v>117.67</v>
      </c>
      <c r="K1671" s="9">
        <f t="shared" si="106"/>
        <v>-0.39000000000000057</v>
      </c>
      <c r="L1671">
        <f t="shared" si="101"/>
        <v>6.0000000000002274E-2</v>
      </c>
      <c r="M1671">
        <f t="shared" si="102"/>
        <v>-0.17000000000000171</v>
      </c>
      <c r="N1671">
        <f t="shared" si="103"/>
        <v>-0.15999999999999659</v>
      </c>
      <c r="O1671">
        <f t="shared" si="104"/>
        <v>-0.15999999999999659</v>
      </c>
      <c r="P1671" s="10">
        <f t="shared" si="105"/>
        <v>-0.43999999999999773</v>
      </c>
    </row>
    <row r="1672" spans="1:16">
      <c r="A1672">
        <v>412.75</v>
      </c>
      <c r="B1672">
        <v>106.12</v>
      </c>
      <c r="C1672">
        <v>110.56</v>
      </c>
      <c r="D1672">
        <v>108.4</v>
      </c>
      <c r="E1672">
        <v>116.95</v>
      </c>
      <c r="F1672">
        <v>114.45</v>
      </c>
      <c r="G1672">
        <v>114.34</v>
      </c>
      <c r="H1672">
        <v>117.45</v>
      </c>
      <c r="K1672" s="9">
        <f t="shared" si="106"/>
        <v>-0.32999999999999829</v>
      </c>
      <c r="L1672">
        <f t="shared" si="101"/>
        <v>0.32999999999999829</v>
      </c>
      <c r="M1672">
        <f t="shared" si="102"/>
        <v>-0.17000000000000171</v>
      </c>
      <c r="N1672">
        <f t="shared" si="103"/>
        <v>-4.9999999999997158E-2</v>
      </c>
      <c r="O1672">
        <f t="shared" si="104"/>
        <v>0.10999999999999943</v>
      </c>
      <c r="P1672" s="10">
        <f t="shared" si="105"/>
        <v>-0.10999999999999943</v>
      </c>
    </row>
    <row r="1673" spans="1:16">
      <c r="A1673">
        <v>413</v>
      </c>
      <c r="B1673">
        <v>106.01</v>
      </c>
      <c r="C1673">
        <v>110.51</v>
      </c>
      <c r="D1673">
        <v>108.56</v>
      </c>
      <c r="E1673">
        <v>116.78</v>
      </c>
      <c r="F1673">
        <v>114.45</v>
      </c>
      <c r="G1673">
        <v>114.34</v>
      </c>
      <c r="H1673">
        <v>117.34</v>
      </c>
      <c r="K1673" s="9">
        <f t="shared" si="106"/>
        <v>-0.45000000000000284</v>
      </c>
      <c r="L1673">
        <f t="shared" si="101"/>
        <v>0.39000000000000057</v>
      </c>
      <c r="M1673">
        <f t="shared" si="102"/>
        <v>-4.9999999999997158E-2</v>
      </c>
      <c r="N1673">
        <f t="shared" si="103"/>
        <v>-0.28000000000000114</v>
      </c>
      <c r="O1673">
        <f t="shared" si="104"/>
        <v>0.10999999999999943</v>
      </c>
      <c r="P1673" s="10">
        <f t="shared" si="105"/>
        <v>0</v>
      </c>
    </row>
    <row r="1674" spans="1:16">
      <c r="A1674">
        <v>413.25</v>
      </c>
      <c r="B1674">
        <v>105.9</v>
      </c>
      <c r="C1674">
        <v>110.34</v>
      </c>
      <c r="D1674">
        <v>108.62</v>
      </c>
      <c r="E1674">
        <v>116.84</v>
      </c>
      <c r="F1674">
        <v>114.4</v>
      </c>
      <c r="G1674">
        <v>114.4</v>
      </c>
      <c r="H1674">
        <v>117.23</v>
      </c>
      <c r="K1674" s="9">
        <f t="shared" si="106"/>
        <v>-0.39000000000000057</v>
      </c>
      <c r="L1674">
        <f t="shared" ref="L1674:L1737" si="107">D1677-D1674</f>
        <v>0.54999999999999716</v>
      </c>
      <c r="M1674">
        <f t="shared" ref="M1674:M1737" si="108">E1677-E1674</f>
        <v>-0.28000000000000114</v>
      </c>
      <c r="N1674">
        <f t="shared" ref="N1674:N1737" si="109">F1677-F1674</f>
        <v>-0.17000000000000171</v>
      </c>
      <c r="O1674">
        <f t="shared" ref="O1674:O1737" si="110">G1677-G1674</f>
        <v>-0.17000000000000171</v>
      </c>
      <c r="P1674" s="10">
        <f t="shared" ref="P1674:P1737" si="111">H1677-H1674</f>
        <v>4.9999999999997158E-2</v>
      </c>
    </row>
    <row r="1675" spans="1:16">
      <c r="A1675">
        <v>413.5</v>
      </c>
      <c r="B1675">
        <v>105.95</v>
      </c>
      <c r="C1675">
        <v>110.23</v>
      </c>
      <c r="D1675">
        <v>108.73</v>
      </c>
      <c r="E1675">
        <v>116.78</v>
      </c>
      <c r="F1675">
        <v>114.4</v>
      </c>
      <c r="G1675">
        <v>114.45</v>
      </c>
      <c r="H1675">
        <v>117.34</v>
      </c>
      <c r="K1675" s="9">
        <f t="shared" ref="K1675:K1738" si="112">C1678-C1675</f>
        <v>-0.39000000000000057</v>
      </c>
      <c r="L1675">
        <f t="shared" si="107"/>
        <v>0.67000000000000171</v>
      </c>
      <c r="M1675">
        <f t="shared" si="108"/>
        <v>-0.21999999999999886</v>
      </c>
      <c r="N1675">
        <f t="shared" si="109"/>
        <v>-0.34000000000000341</v>
      </c>
      <c r="O1675">
        <f t="shared" si="110"/>
        <v>-0.21999999999999886</v>
      </c>
      <c r="P1675" s="10">
        <f t="shared" si="111"/>
        <v>-6.0000000000002274E-2</v>
      </c>
    </row>
    <row r="1676" spans="1:16">
      <c r="A1676">
        <v>413.75</v>
      </c>
      <c r="B1676">
        <v>106.01</v>
      </c>
      <c r="C1676">
        <v>110.06</v>
      </c>
      <c r="D1676">
        <v>108.95</v>
      </c>
      <c r="E1676">
        <v>116.73</v>
      </c>
      <c r="F1676">
        <v>114.17</v>
      </c>
      <c r="G1676">
        <v>114.45</v>
      </c>
      <c r="H1676">
        <v>117.34</v>
      </c>
      <c r="K1676" s="9">
        <f t="shared" si="112"/>
        <v>-0.32999999999999829</v>
      </c>
      <c r="L1676">
        <f t="shared" si="107"/>
        <v>0.56000000000000227</v>
      </c>
      <c r="M1676">
        <f t="shared" si="108"/>
        <v>-0.21999999999999886</v>
      </c>
      <c r="N1676">
        <f t="shared" si="109"/>
        <v>-0.10999999999999943</v>
      </c>
      <c r="O1676">
        <f t="shared" si="110"/>
        <v>-0.21999999999999886</v>
      </c>
      <c r="P1676" s="10">
        <f t="shared" si="111"/>
        <v>-0.10999999999999943</v>
      </c>
    </row>
    <row r="1677" spans="1:16">
      <c r="A1677">
        <v>414</v>
      </c>
      <c r="B1677">
        <v>105.95</v>
      </c>
      <c r="C1677">
        <v>109.95</v>
      </c>
      <c r="D1677">
        <v>109.17</v>
      </c>
      <c r="E1677">
        <v>116.56</v>
      </c>
      <c r="F1677">
        <v>114.23</v>
      </c>
      <c r="G1677">
        <v>114.23</v>
      </c>
      <c r="H1677">
        <v>117.28</v>
      </c>
      <c r="K1677" s="9">
        <f t="shared" si="112"/>
        <v>-0.32999999999999829</v>
      </c>
      <c r="L1677">
        <f t="shared" si="107"/>
        <v>-0.21999999999999886</v>
      </c>
      <c r="M1677">
        <f t="shared" si="108"/>
        <v>-0.10999999999999943</v>
      </c>
      <c r="N1677">
        <f t="shared" si="109"/>
        <v>-0.28000000000000114</v>
      </c>
      <c r="O1677">
        <f t="shared" si="110"/>
        <v>0</v>
      </c>
      <c r="P1677" s="10">
        <f t="shared" si="111"/>
        <v>-0.10999999999999943</v>
      </c>
    </row>
    <row r="1678" spans="1:16">
      <c r="A1678">
        <v>414.25</v>
      </c>
      <c r="B1678">
        <v>105.9</v>
      </c>
      <c r="C1678">
        <v>109.84</v>
      </c>
      <c r="D1678">
        <v>109.4</v>
      </c>
      <c r="E1678">
        <v>116.56</v>
      </c>
      <c r="F1678">
        <v>114.06</v>
      </c>
      <c r="G1678">
        <v>114.23</v>
      </c>
      <c r="H1678">
        <v>117.28</v>
      </c>
      <c r="K1678" s="9">
        <f t="shared" si="112"/>
        <v>-0.17000000000000171</v>
      </c>
      <c r="L1678">
        <f t="shared" si="107"/>
        <v>-0.56000000000000227</v>
      </c>
      <c r="M1678">
        <f t="shared" si="108"/>
        <v>-0.21999999999999886</v>
      </c>
      <c r="N1678">
        <f t="shared" si="109"/>
        <v>-0.15999999999999659</v>
      </c>
      <c r="O1678">
        <f t="shared" si="110"/>
        <v>0</v>
      </c>
      <c r="P1678" s="10">
        <f t="shared" si="111"/>
        <v>-0.32999999999999829</v>
      </c>
    </row>
    <row r="1679" spans="1:16">
      <c r="A1679">
        <v>414.5</v>
      </c>
      <c r="B1679">
        <v>105.84</v>
      </c>
      <c r="C1679">
        <v>109.73</v>
      </c>
      <c r="D1679">
        <v>109.51</v>
      </c>
      <c r="E1679">
        <v>116.51</v>
      </c>
      <c r="F1679">
        <v>114.06</v>
      </c>
      <c r="G1679">
        <v>114.23</v>
      </c>
      <c r="H1679">
        <v>117.23</v>
      </c>
      <c r="K1679" s="9">
        <f t="shared" si="112"/>
        <v>-0.10999999999999943</v>
      </c>
      <c r="L1679">
        <f t="shared" si="107"/>
        <v>-1</v>
      </c>
      <c r="M1679">
        <f t="shared" si="108"/>
        <v>-0.23000000000000398</v>
      </c>
      <c r="N1679">
        <f t="shared" si="109"/>
        <v>-0.15999999999999659</v>
      </c>
      <c r="O1679">
        <f t="shared" si="110"/>
        <v>0</v>
      </c>
      <c r="P1679" s="10">
        <f t="shared" si="111"/>
        <v>-0.21999999999999886</v>
      </c>
    </row>
    <row r="1680" spans="1:16">
      <c r="A1680">
        <v>414.75</v>
      </c>
      <c r="B1680">
        <v>105.84</v>
      </c>
      <c r="C1680">
        <v>109.62</v>
      </c>
      <c r="D1680">
        <v>108.95</v>
      </c>
      <c r="E1680">
        <v>116.45</v>
      </c>
      <c r="F1680">
        <v>113.95</v>
      </c>
      <c r="G1680">
        <v>114.23</v>
      </c>
      <c r="H1680">
        <v>117.17</v>
      </c>
      <c r="K1680" s="9">
        <f t="shared" si="112"/>
        <v>-6.0000000000002274E-2</v>
      </c>
      <c r="L1680">
        <f t="shared" si="107"/>
        <v>-0.71999999999999886</v>
      </c>
      <c r="M1680">
        <f t="shared" si="108"/>
        <v>-0.28000000000000114</v>
      </c>
      <c r="N1680">
        <f t="shared" si="109"/>
        <v>-0.17000000000000171</v>
      </c>
      <c r="O1680">
        <f t="shared" si="110"/>
        <v>-0.10999999999999943</v>
      </c>
      <c r="P1680" s="10">
        <f t="shared" si="111"/>
        <v>-0.43999999999999773</v>
      </c>
    </row>
    <row r="1681" spans="1:16">
      <c r="A1681">
        <v>415</v>
      </c>
      <c r="B1681">
        <v>105.73</v>
      </c>
      <c r="C1681">
        <v>109.67</v>
      </c>
      <c r="D1681">
        <v>108.84</v>
      </c>
      <c r="E1681">
        <v>116.34</v>
      </c>
      <c r="F1681">
        <v>113.9</v>
      </c>
      <c r="G1681">
        <v>114.23</v>
      </c>
      <c r="H1681">
        <v>116.95</v>
      </c>
      <c r="K1681" s="9">
        <f t="shared" si="112"/>
        <v>-0.26999999999999602</v>
      </c>
      <c r="L1681">
        <f t="shared" si="107"/>
        <v>-1.1700000000000017</v>
      </c>
      <c r="M1681">
        <f t="shared" si="108"/>
        <v>-0.32999999999999829</v>
      </c>
      <c r="N1681">
        <f t="shared" si="109"/>
        <v>-0.17000000000000171</v>
      </c>
      <c r="O1681">
        <f t="shared" si="110"/>
        <v>-0.17000000000000171</v>
      </c>
      <c r="P1681" s="10">
        <f t="shared" si="111"/>
        <v>-0.21999999999999886</v>
      </c>
    </row>
    <row r="1682" spans="1:16">
      <c r="A1682">
        <v>415.25</v>
      </c>
      <c r="B1682">
        <v>105.62</v>
      </c>
      <c r="C1682">
        <v>109.62</v>
      </c>
      <c r="D1682">
        <v>108.51</v>
      </c>
      <c r="E1682">
        <v>116.28</v>
      </c>
      <c r="F1682">
        <v>113.9</v>
      </c>
      <c r="G1682">
        <v>114.23</v>
      </c>
      <c r="H1682">
        <v>117.01</v>
      </c>
      <c r="K1682" s="9">
        <f t="shared" si="112"/>
        <v>-0.21999999999999886</v>
      </c>
      <c r="L1682">
        <f t="shared" si="107"/>
        <v>-1.1700000000000017</v>
      </c>
      <c r="M1682">
        <f t="shared" si="108"/>
        <v>-0.26999999999999602</v>
      </c>
      <c r="N1682">
        <f t="shared" si="109"/>
        <v>-0.17000000000000171</v>
      </c>
      <c r="O1682">
        <f t="shared" si="110"/>
        <v>-0.17000000000000171</v>
      </c>
      <c r="P1682" s="10">
        <f t="shared" si="111"/>
        <v>-0.23000000000000398</v>
      </c>
    </row>
    <row r="1683" spans="1:16">
      <c r="A1683">
        <v>415.5</v>
      </c>
      <c r="B1683">
        <v>105.56</v>
      </c>
      <c r="C1683">
        <v>109.56</v>
      </c>
      <c r="D1683">
        <v>108.23</v>
      </c>
      <c r="E1683">
        <v>116.17</v>
      </c>
      <c r="F1683">
        <v>113.78</v>
      </c>
      <c r="G1683">
        <v>114.12</v>
      </c>
      <c r="H1683">
        <v>116.73</v>
      </c>
      <c r="K1683" s="9">
        <f t="shared" si="112"/>
        <v>-0.32999999999999829</v>
      </c>
      <c r="L1683">
        <f t="shared" si="107"/>
        <v>-0.89000000000000057</v>
      </c>
      <c r="M1683">
        <f t="shared" si="108"/>
        <v>-0.26999999999999602</v>
      </c>
      <c r="N1683">
        <f t="shared" si="109"/>
        <v>-0.10999999999999943</v>
      </c>
      <c r="O1683">
        <f t="shared" si="110"/>
        <v>-6.0000000000002274E-2</v>
      </c>
      <c r="P1683" s="10">
        <f t="shared" si="111"/>
        <v>-0.28000000000000114</v>
      </c>
    </row>
    <row r="1684" spans="1:16">
      <c r="A1684">
        <v>415.75</v>
      </c>
      <c r="B1684">
        <v>105.56</v>
      </c>
      <c r="C1684">
        <v>109.4</v>
      </c>
      <c r="D1684">
        <v>107.67</v>
      </c>
      <c r="E1684">
        <v>116.01</v>
      </c>
      <c r="F1684">
        <v>113.73</v>
      </c>
      <c r="G1684">
        <v>114.06</v>
      </c>
      <c r="H1684">
        <v>116.73</v>
      </c>
      <c r="K1684" s="9">
        <f t="shared" si="112"/>
        <v>-0.28000000000000114</v>
      </c>
      <c r="L1684">
        <f t="shared" si="107"/>
        <v>-0.5</v>
      </c>
      <c r="M1684">
        <f t="shared" si="108"/>
        <v>-0.17000000000000171</v>
      </c>
      <c r="N1684">
        <f t="shared" si="109"/>
        <v>-0.10999999999999943</v>
      </c>
      <c r="O1684">
        <f t="shared" si="110"/>
        <v>-4.9999999999997158E-2</v>
      </c>
      <c r="P1684" s="10">
        <f t="shared" si="111"/>
        <v>-0.45000000000000284</v>
      </c>
    </row>
    <row r="1685" spans="1:16">
      <c r="A1685">
        <v>416</v>
      </c>
      <c r="B1685">
        <v>105.56</v>
      </c>
      <c r="C1685">
        <v>109.4</v>
      </c>
      <c r="D1685">
        <v>107.34</v>
      </c>
      <c r="E1685">
        <v>116.01</v>
      </c>
      <c r="F1685">
        <v>113.73</v>
      </c>
      <c r="G1685">
        <v>114.06</v>
      </c>
      <c r="H1685">
        <v>116.78</v>
      </c>
      <c r="K1685" s="9">
        <f t="shared" si="112"/>
        <v>-0.28000000000000114</v>
      </c>
      <c r="L1685">
        <f t="shared" si="107"/>
        <v>0.32999999999999829</v>
      </c>
      <c r="M1685">
        <f t="shared" si="108"/>
        <v>-0.17000000000000171</v>
      </c>
      <c r="N1685">
        <f t="shared" si="109"/>
        <v>-0.17000000000000171</v>
      </c>
      <c r="O1685">
        <f t="shared" si="110"/>
        <v>-0.21999999999999886</v>
      </c>
      <c r="P1685" s="10">
        <f t="shared" si="111"/>
        <v>-0.5</v>
      </c>
    </row>
    <row r="1686" spans="1:16">
      <c r="A1686">
        <v>416.25</v>
      </c>
      <c r="B1686">
        <v>105.45</v>
      </c>
      <c r="C1686">
        <v>109.23</v>
      </c>
      <c r="D1686">
        <v>107.34</v>
      </c>
      <c r="E1686">
        <v>115.9</v>
      </c>
      <c r="F1686">
        <v>113.67</v>
      </c>
      <c r="G1686">
        <v>114.06</v>
      </c>
      <c r="H1686">
        <v>116.45</v>
      </c>
      <c r="K1686" s="9">
        <f t="shared" si="112"/>
        <v>-0.21999999999999886</v>
      </c>
      <c r="L1686">
        <f t="shared" si="107"/>
        <v>0.60999999999999943</v>
      </c>
      <c r="M1686">
        <f t="shared" si="108"/>
        <v>-0.17000000000000171</v>
      </c>
      <c r="N1686">
        <f t="shared" si="109"/>
        <v>-0.15999999999999659</v>
      </c>
      <c r="O1686">
        <f t="shared" si="110"/>
        <v>-0.21999999999999886</v>
      </c>
      <c r="P1686" s="10">
        <f t="shared" si="111"/>
        <v>-4.9999999999997158E-2</v>
      </c>
    </row>
    <row r="1687" spans="1:16">
      <c r="A1687">
        <v>416.5</v>
      </c>
      <c r="B1687">
        <v>105.34</v>
      </c>
      <c r="C1687">
        <v>109.12</v>
      </c>
      <c r="D1687">
        <v>107.17</v>
      </c>
      <c r="E1687">
        <v>115.84</v>
      </c>
      <c r="F1687">
        <v>113.62</v>
      </c>
      <c r="G1687">
        <v>114.01</v>
      </c>
      <c r="H1687">
        <v>116.28</v>
      </c>
      <c r="K1687" s="9">
        <f t="shared" si="112"/>
        <v>-0.10999999999999943</v>
      </c>
      <c r="L1687">
        <f t="shared" si="107"/>
        <v>1.1700000000000017</v>
      </c>
      <c r="M1687">
        <f t="shared" si="108"/>
        <v>-0.17000000000000171</v>
      </c>
      <c r="N1687">
        <f t="shared" si="109"/>
        <v>-0.10999999999999943</v>
      </c>
      <c r="O1687">
        <f t="shared" si="110"/>
        <v>-0.10999999999999943</v>
      </c>
      <c r="P1687" s="10">
        <f t="shared" si="111"/>
        <v>0.12000000000000455</v>
      </c>
    </row>
    <row r="1688" spans="1:16">
      <c r="A1688">
        <v>416.75</v>
      </c>
      <c r="B1688">
        <v>105.34</v>
      </c>
      <c r="C1688">
        <v>109.12</v>
      </c>
      <c r="D1688">
        <v>107.67</v>
      </c>
      <c r="E1688">
        <v>115.84</v>
      </c>
      <c r="F1688">
        <v>113.56</v>
      </c>
      <c r="G1688">
        <v>113.84</v>
      </c>
      <c r="H1688">
        <v>116.28</v>
      </c>
      <c r="K1688" s="9">
        <f t="shared" si="112"/>
        <v>-6.0000000000002274E-2</v>
      </c>
      <c r="L1688">
        <f t="shared" si="107"/>
        <v>0.5</v>
      </c>
      <c r="M1688">
        <f t="shared" si="108"/>
        <v>-0.17000000000000171</v>
      </c>
      <c r="N1688">
        <f t="shared" si="109"/>
        <v>-4.9999999999997158E-2</v>
      </c>
      <c r="O1688">
        <f t="shared" si="110"/>
        <v>0</v>
      </c>
      <c r="P1688" s="10">
        <f t="shared" si="111"/>
        <v>0.39000000000000057</v>
      </c>
    </row>
    <row r="1689" spans="1:16">
      <c r="A1689">
        <v>417</v>
      </c>
      <c r="B1689">
        <v>105.4</v>
      </c>
      <c r="C1689">
        <v>109.01</v>
      </c>
      <c r="D1689">
        <v>107.95</v>
      </c>
      <c r="E1689">
        <v>115.73</v>
      </c>
      <c r="F1689">
        <v>113.51</v>
      </c>
      <c r="G1689">
        <v>113.84</v>
      </c>
      <c r="H1689">
        <v>116.4</v>
      </c>
      <c r="K1689" s="9">
        <f t="shared" si="112"/>
        <v>4.9999999999997158E-2</v>
      </c>
      <c r="L1689">
        <f t="shared" si="107"/>
        <v>-4.9999999999997158E-2</v>
      </c>
      <c r="M1689">
        <f t="shared" si="108"/>
        <v>-0.21999999999999886</v>
      </c>
      <c r="N1689">
        <f t="shared" si="109"/>
        <v>0</v>
      </c>
      <c r="O1689">
        <f t="shared" si="110"/>
        <v>-6.0000000000002274E-2</v>
      </c>
      <c r="P1689" s="10">
        <f t="shared" si="111"/>
        <v>0.10999999999999943</v>
      </c>
    </row>
    <row r="1690" spans="1:16">
      <c r="A1690">
        <v>417.25</v>
      </c>
      <c r="B1690">
        <v>105.4</v>
      </c>
      <c r="C1690">
        <v>109.01</v>
      </c>
      <c r="D1690">
        <v>108.34</v>
      </c>
      <c r="E1690">
        <v>115.67</v>
      </c>
      <c r="F1690">
        <v>113.51</v>
      </c>
      <c r="G1690">
        <v>113.9</v>
      </c>
      <c r="H1690">
        <v>116.4</v>
      </c>
      <c r="K1690" s="9">
        <f t="shared" si="112"/>
        <v>0</v>
      </c>
      <c r="L1690">
        <f t="shared" si="107"/>
        <v>-0.32999999999999829</v>
      </c>
      <c r="M1690">
        <f t="shared" si="108"/>
        <v>-0.26999999999999602</v>
      </c>
      <c r="N1690">
        <f t="shared" si="109"/>
        <v>-6.0000000000002274E-2</v>
      </c>
      <c r="O1690">
        <f t="shared" si="110"/>
        <v>-0.12000000000000455</v>
      </c>
      <c r="P1690" s="10">
        <f t="shared" si="111"/>
        <v>0</v>
      </c>
    </row>
    <row r="1691" spans="1:16">
      <c r="A1691">
        <v>417.5</v>
      </c>
      <c r="B1691">
        <v>105.45</v>
      </c>
      <c r="C1691">
        <v>109.06</v>
      </c>
      <c r="D1691">
        <v>108.17</v>
      </c>
      <c r="E1691">
        <v>115.67</v>
      </c>
      <c r="F1691">
        <v>113.51</v>
      </c>
      <c r="G1691">
        <v>113.84</v>
      </c>
      <c r="H1691">
        <v>116.67</v>
      </c>
      <c r="K1691" s="9">
        <f t="shared" si="112"/>
        <v>-4.9999999999997158E-2</v>
      </c>
      <c r="L1691">
        <f t="shared" si="107"/>
        <v>0.28000000000000114</v>
      </c>
      <c r="M1691">
        <f t="shared" si="108"/>
        <v>-0.32999999999999829</v>
      </c>
      <c r="N1691">
        <f t="shared" si="109"/>
        <v>-0.10999999999999943</v>
      </c>
      <c r="O1691">
        <f t="shared" si="110"/>
        <v>0</v>
      </c>
      <c r="P1691" s="10">
        <f t="shared" si="111"/>
        <v>-1.3299999999999983</v>
      </c>
    </row>
    <row r="1692" spans="1:16">
      <c r="A1692">
        <v>417.75</v>
      </c>
      <c r="B1692">
        <v>105.45</v>
      </c>
      <c r="C1692">
        <v>109.06</v>
      </c>
      <c r="D1692">
        <v>107.9</v>
      </c>
      <c r="E1692">
        <v>115.51</v>
      </c>
      <c r="F1692">
        <v>113.51</v>
      </c>
      <c r="G1692">
        <v>113.78</v>
      </c>
      <c r="H1692">
        <v>116.51</v>
      </c>
      <c r="K1692" s="9">
        <f t="shared" si="112"/>
        <v>-0.21999999999999886</v>
      </c>
      <c r="L1692">
        <f t="shared" si="107"/>
        <v>0.82999999999999829</v>
      </c>
      <c r="M1692">
        <f t="shared" si="108"/>
        <v>-0.23000000000000398</v>
      </c>
      <c r="N1692">
        <f t="shared" si="109"/>
        <v>-0.17000000000000171</v>
      </c>
      <c r="O1692">
        <f t="shared" si="110"/>
        <v>-4.9999999999997158E-2</v>
      </c>
      <c r="P1692" s="10">
        <f t="shared" si="111"/>
        <v>-0.67000000000000171</v>
      </c>
    </row>
    <row r="1693" spans="1:16">
      <c r="A1693">
        <v>418</v>
      </c>
      <c r="B1693">
        <v>105.28</v>
      </c>
      <c r="C1693">
        <v>109.01</v>
      </c>
      <c r="D1693">
        <v>108.01</v>
      </c>
      <c r="E1693">
        <v>115.4</v>
      </c>
      <c r="F1693">
        <v>113.45</v>
      </c>
      <c r="G1693">
        <v>113.78</v>
      </c>
      <c r="H1693">
        <v>116.4</v>
      </c>
      <c r="K1693" s="9">
        <f t="shared" si="112"/>
        <v>-0.34000000000000341</v>
      </c>
      <c r="L1693">
        <f t="shared" si="107"/>
        <v>1</v>
      </c>
      <c r="M1693">
        <f t="shared" si="108"/>
        <v>-0.28000000000000114</v>
      </c>
      <c r="N1693">
        <f t="shared" si="109"/>
        <v>-0.21999999999999886</v>
      </c>
      <c r="O1693">
        <f t="shared" si="110"/>
        <v>-0.10999999999999943</v>
      </c>
      <c r="P1693" s="10">
        <f t="shared" si="111"/>
        <v>-0.56000000000000227</v>
      </c>
    </row>
    <row r="1694" spans="1:16">
      <c r="A1694">
        <v>418.25</v>
      </c>
      <c r="B1694">
        <v>105.34</v>
      </c>
      <c r="C1694">
        <v>109.01</v>
      </c>
      <c r="D1694">
        <v>108.45</v>
      </c>
      <c r="E1694">
        <v>115.34</v>
      </c>
      <c r="F1694">
        <v>113.4</v>
      </c>
      <c r="G1694">
        <v>113.84</v>
      </c>
      <c r="H1694">
        <v>115.34</v>
      </c>
      <c r="K1694" s="9">
        <f t="shared" si="112"/>
        <v>-0.45000000000000284</v>
      </c>
      <c r="L1694">
        <f t="shared" si="107"/>
        <v>0.89000000000000057</v>
      </c>
      <c r="M1694">
        <f t="shared" si="108"/>
        <v>-0.32999999999999829</v>
      </c>
      <c r="N1694">
        <f t="shared" si="109"/>
        <v>-0.28000000000000114</v>
      </c>
      <c r="O1694">
        <f t="shared" si="110"/>
        <v>-0.17000000000000171</v>
      </c>
      <c r="P1694" s="10">
        <f t="shared" si="111"/>
        <v>0.67000000000000171</v>
      </c>
    </row>
    <row r="1695" spans="1:16">
      <c r="A1695">
        <v>418.5</v>
      </c>
      <c r="B1695">
        <v>105.23</v>
      </c>
      <c r="C1695">
        <v>108.84</v>
      </c>
      <c r="D1695">
        <v>108.73</v>
      </c>
      <c r="E1695">
        <v>115.28</v>
      </c>
      <c r="F1695">
        <v>113.34</v>
      </c>
      <c r="G1695">
        <v>113.73</v>
      </c>
      <c r="H1695">
        <v>115.84</v>
      </c>
      <c r="K1695" s="9">
        <f t="shared" si="112"/>
        <v>-0.5</v>
      </c>
      <c r="L1695">
        <f t="shared" si="107"/>
        <v>0.71999999999999886</v>
      </c>
      <c r="M1695">
        <f t="shared" si="108"/>
        <v>-0.43999999999999773</v>
      </c>
      <c r="N1695">
        <f t="shared" si="109"/>
        <v>-0.39000000000000057</v>
      </c>
      <c r="O1695">
        <f t="shared" si="110"/>
        <v>-0.21999999999999886</v>
      </c>
      <c r="P1695" s="10">
        <f t="shared" si="111"/>
        <v>0.32999999999999829</v>
      </c>
    </row>
    <row r="1696" spans="1:16">
      <c r="A1696">
        <v>418.75</v>
      </c>
      <c r="B1696">
        <v>105.17</v>
      </c>
      <c r="C1696">
        <v>108.67</v>
      </c>
      <c r="D1696">
        <v>109.01</v>
      </c>
      <c r="E1696">
        <v>115.12</v>
      </c>
      <c r="F1696">
        <v>113.23</v>
      </c>
      <c r="G1696">
        <v>113.67</v>
      </c>
      <c r="H1696">
        <v>115.84</v>
      </c>
      <c r="K1696" s="9">
        <f t="shared" si="112"/>
        <v>-0.32999999999999829</v>
      </c>
      <c r="L1696">
        <f t="shared" si="107"/>
        <v>0.65999999999999659</v>
      </c>
      <c r="M1696">
        <f t="shared" si="108"/>
        <v>-0.28000000000000114</v>
      </c>
      <c r="N1696">
        <f t="shared" si="109"/>
        <v>-0.21999999999999886</v>
      </c>
      <c r="O1696">
        <f t="shared" si="110"/>
        <v>-0.10999999999999943</v>
      </c>
      <c r="P1696" s="10">
        <f t="shared" si="111"/>
        <v>0.43999999999999773</v>
      </c>
    </row>
    <row r="1697" spans="1:16">
      <c r="A1697">
        <v>419</v>
      </c>
      <c r="B1697">
        <v>104.95</v>
      </c>
      <c r="C1697">
        <v>108.56</v>
      </c>
      <c r="D1697">
        <v>109.34</v>
      </c>
      <c r="E1697">
        <v>115.01</v>
      </c>
      <c r="F1697">
        <v>113.12</v>
      </c>
      <c r="G1697">
        <v>113.67</v>
      </c>
      <c r="H1697">
        <v>116.01</v>
      </c>
      <c r="K1697" s="9">
        <f t="shared" si="112"/>
        <v>-0.5</v>
      </c>
      <c r="L1697">
        <f t="shared" si="107"/>
        <v>0.39000000000000057</v>
      </c>
      <c r="M1697">
        <f t="shared" si="108"/>
        <v>-0.28000000000000114</v>
      </c>
      <c r="N1697">
        <f t="shared" si="109"/>
        <v>-0.21999999999999886</v>
      </c>
      <c r="O1697">
        <f t="shared" si="110"/>
        <v>-0.15999999999999659</v>
      </c>
      <c r="P1697" s="10">
        <f t="shared" si="111"/>
        <v>0.10999999999999943</v>
      </c>
    </row>
    <row r="1698" spans="1:16">
      <c r="A1698">
        <v>419.25</v>
      </c>
      <c r="B1698">
        <v>104.78</v>
      </c>
      <c r="C1698">
        <v>108.34</v>
      </c>
      <c r="D1698">
        <v>109.45</v>
      </c>
      <c r="E1698">
        <v>114.84</v>
      </c>
      <c r="F1698">
        <v>112.95</v>
      </c>
      <c r="G1698">
        <v>113.51</v>
      </c>
      <c r="H1698">
        <v>116.17</v>
      </c>
      <c r="K1698" s="9">
        <f t="shared" si="112"/>
        <v>-0.28000000000000114</v>
      </c>
      <c r="L1698">
        <f t="shared" si="107"/>
        <v>0.5</v>
      </c>
      <c r="M1698">
        <f t="shared" si="108"/>
        <v>-6.0000000000002274E-2</v>
      </c>
      <c r="N1698">
        <f t="shared" si="109"/>
        <v>-4.9999999999997158E-2</v>
      </c>
      <c r="O1698">
        <f t="shared" si="110"/>
        <v>4.9999999999997158E-2</v>
      </c>
      <c r="P1698" s="10">
        <f t="shared" si="111"/>
        <v>-0.21999999999999886</v>
      </c>
    </row>
    <row r="1699" spans="1:16">
      <c r="A1699">
        <v>419.5</v>
      </c>
      <c r="B1699">
        <v>104.73</v>
      </c>
      <c r="C1699">
        <v>108.34</v>
      </c>
      <c r="D1699">
        <v>109.67</v>
      </c>
      <c r="E1699">
        <v>114.84</v>
      </c>
      <c r="F1699">
        <v>113.01</v>
      </c>
      <c r="G1699">
        <v>113.56</v>
      </c>
      <c r="H1699">
        <v>116.28</v>
      </c>
      <c r="K1699" s="9">
        <f t="shared" si="112"/>
        <v>-0.32999999999999829</v>
      </c>
      <c r="L1699">
        <f t="shared" si="107"/>
        <v>0.34000000000000341</v>
      </c>
      <c r="M1699">
        <f t="shared" si="108"/>
        <v>-0.17000000000000171</v>
      </c>
      <c r="N1699">
        <f t="shared" si="109"/>
        <v>-0.17000000000000171</v>
      </c>
      <c r="O1699">
        <f t="shared" si="110"/>
        <v>-0.10999999999999943</v>
      </c>
      <c r="P1699" s="10">
        <f t="shared" si="111"/>
        <v>-0.37999999999999545</v>
      </c>
    </row>
    <row r="1700" spans="1:16">
      <c r="A1700">
        <v>419.75</v>
      </c>
      <c r="B1700">
        <v>104.62</v>
      </c>
      <c r="C1700">
        <v>108.06</v>
      </c>
      <c r="D1700">
        <v>109.73</v>
      </c>
      <c r="E1700">
        <v>114.73</v>
      </c>
      <c r="F1700">
        <v>112.9</v>
      </c>
      <c r="G1700">
        <v>113.51</v>
      </c>
      <c r="H1700">
        <v>116.12</v>
      </c>
      <c r="K1700" s="9">
        <f t="shared" si="112"/>
        <v>0</v>
      </c>
      <c r="L1700">
        <f t="shared" si="107"/>
        <v>0.43999999999999773</v>
      </c>
      <c r="M1700">
        <f t="shared" si="108"/>
        <v>0</v>
      </c>
      <c r="N1700">
        <f t="shared" si="109"/>
        <v>-0.12000000000000455</v>
      </c>
      <c r="O1700">
        <f t="shared" si="110"/>
        <v>-0.17000000000000171</v>
      </c>
      <c r="P1700" s="10">
        <f t="shared" si="111"/>
        <v>-0.21999999999999886</v>
      </c>
    </row>
    <row r="1701" spans="1:16">
      <c r="A1701">
        <v>420</v>
      </c>
      <c r="B1701">
        <v>104.78</v>
      </c>
      <c r="C1701">
        <v>108.06</v>
      </c>
      <c r="D1701">
        <v>109.95</v>
      </c>
      <c r="E1701">
        <v>114.78</v>
      </c>
      <c r="F1701">
        <v>112.9</v>
      </c>
      <c r="G1701">
        <v>113.56</v>
      </c>
      <c r="H1701">
        <v>115.95</v>
      </c>
      <c r="K1701" s="9">
        <f t="shared" si="112"/>
        <v>-4.9999999999997158E-2</v>
      </c>
      <c r="L1701">
        <f t="shared" si="107"/>
        <v>0.45000000000000284</v>
      </c>
      <c r="M1701">
        <f t="shared" si="108"/>
        <v>-0.10999999999999943</v>
      </c>
      <c r="N1701">
        <f t="shared" si="109"/>
        <v>-0.17000000000000171</v>
      </c>
      <c r="O1701">
        <f t="shared" si="110"/>
        <v>-0.21999999999999886</v>
      </c>
      <c r="P1701" s="10">
        <f t="shared" si="111"/>
        <v>6.0000000000002274E-2</v>
      </c>
    </row>
    <row r="1702" spans="1:16">
      <c r="A1702">
        <v>420.25</v>
      </c>
      <c r="B1702">
        <v>104.84</v>
      </c>
      <c r="C1702">
        <v>108.01</v>
      </c>
      <c r="D1702">
        <v>110.01</v>
      </c>
      <c r="E1702">
        <v>114.67</v>
      </c>
      <c r="F1702">
        <v>112.84</v>
      </c>
      <c r="G1702">
        <v>113.45</v>
      </c>
      <c r="H1702">
        <v>115.9</v>
      </c>
      <c r="K1702" s="9">
        <f t="shared" si="112"/>
        <v>-6.0000000000002274E-2</v>
      </c>
      <c r="L1702">
        <f t="shared" si="107"/>
        <v>0.39000000000000057</v>
      </c>
      <c r="M1702">
        <f t="shared" si="108"/>
        <v>-0.10999999999999943</v>
      </c>
      <c r="N1702">
        <f t="shared" si="109"/>
        <v>-0.21999999999999886</v>
      </c>
      <c r="O1702">
        <f t="shared" si="110"/>
        <v>-0.21999999999999886</v>
      </c>
      <c r="P1702" s="10">
        <f t="shared" si="111"/>
        <v>0.15999999999999659</v>
      </c>
    </row>
    <row r="1703" spans="1:16">
      <c r="A1703">
        <v>420.5</v>
      </c>
      <c r="B1703">
        <v>104.9</v>
      </c>
      <c r="C1703">
        <v>108.06</v>
      </c>
      <c r="D1703">
        <v>110.17</v>
      </c>
      <c r="E1703">
        <v>114.73</v>
      </c>
      <c r="F1703">
        <v>112.78</v>
      </c>
      <c r="G1703">
        <v>113.34</v>
      </c>
      <c r="H1703">
        <v>115.9</v>
      </c>
      <c r="K1703" s="9">
        <f t="shared" si="112"/>
        <v>-0.10999999999999943</v>
      </c>
      <c r="L1703">
        <f t="shared" si="107"/>
        <v>0.28000000000000114</v>
      </c>
      <c r="M1703">
        <f t="shared" si="108"/>
        <v>-0.17000000000000171</v>
      </c>
      <c r="N1703">
        <f t="shared" si="109"/>
        <v>-0.21999999999999886</v>
      </c>
      <c r="O1703">
        <f t="shared" si="110"/>
        <v>-0.21999999999999886</v>
      </c>
      <c r="P1703" s="10">
        <f t="shared" si="111"/>
        <v>-6.0000000000002274E-2</v>
      </c>
    </row>
    <row r="1704" spans="1:16">
      <c r="A1704">
        <v>420.75</v>
      </c>
      <c r="B1704">
        <v>104.95</v>
      </c>
      <c r="C1704">
        <v>108.01</v>
      </c>
      <c r="D1704">
        <v>110.4</v>
      </c>
      <c r="E1704">
        <v>114.67</v>
      </c>
      <c r="F1704">
        <v>112.73</v>
      </c>
      <c r="G1704">
        <v>113.34</v>
      </c>
      <c r="H1704">
        <v>116.01</v>
      </c>
      <c r="K1704" s="9">
        <f t="shared" si="112"/>
        <v>-6.0000000000002274E-2</v>
      </c>
      <c r="L1704">
        <f t="shared" si="107"/>
        <v>4.9999999999997158E-2</v>
      </c>
      <c r="M1704">
        <f t="shared" si="108"/>
        <v>-0.10999999999999943</v>
      </c>
      <c r="N1704">
        <f t="shared" si="109"/>
        <v>-0.17000000000000171</v>
      </c>
      <c r="O1704">
        <f t="shared" si="110"/>
        <v>-0.32999999999999829</v>
      </c>
      <c r="P1704" s="10">
        <f t="shared" si="111"/>
        <v>-0.17000000000000171</v>
      </c>
    </row>
    <row r="1705" spans="1:16">
      <c r="A1705">
        <v>421</v>
      </c>
      <c r="B1705">
        <v>104.9</v>
      </c>
      <c r="C1705">
        <v>107.95</v>
      </c>
      <c r="D1705">
        <v>110.4</v>
      </c>
      <c r="E1705">
        <v>114.56</v>
      </c>
      <c r="F1705">
        <v>112.62</v>
      </c>
      <c r="G1705">
        <v>113.23</v>
      </c>
      <c r="H1705">
        <v>116.06</v>
      </c>
      <c r="K1705" s="9">
        <f t="shared" si="112"/>
        <v>-4.9999999999997158E-2</v>
      </c>
      <c r="L1705">
        <f t="shared" si="107"/>
        <v>-0.17000000000000171</v>
      </c>
      <c r="M1705">
        <f t="shared" si="108"/>
        <v>-0.15999999999999659</v>
      </c>
      <c r="N1705">
        <f t="shared" si="109"/>
        <v>-0.28000000000000114</v>
      </c>
      <c r="O1705">
        <f t="shared" si="110"/>
        <v>-0.32999999999999829</v>
      </c>
      <c r="P1705" s="10">
        <f t="shared" si="111"/>
        <v>-0.43999999999999773</v>
      </c>
    </row>
    <row r="1706" spans="1:16">
      <c r="A1706">
        <v>421.25</v>
      </c>
      <c r="B1706">
        <v>104.84</v>
      </c>
      <c r="C1706">
        <v>107.95</v>
      </c>
      <c r="D1706">
        <v>110.45</v>
      </c>
      <c r="E1706">
        <v>114.56</v>
      </c>
      <c r="F1706">
        <v>112.56</v>
      </c>
      <c r="G1706">
        <v>113.12</v>
      </c>
      <c r="H1706">
        <v>115.84</v>
      </c>
      <c r="K1706" s="9">
        <f t="shared" si="112"/>
        <v>-0.10999999999999943</v>
      </c>
      <c r="L1706">
        <f t="shared" si="107"/>
        <v>-1.1099999999999994</v>
      </c>
      <c r="M1706">
        <f t="shared" si="108"/>
        <v>-0.21999999999999886</v>
      </c>
      <c r="N1706">
        <f t="shared" si="109"/>
        <v>-0.15999999999999659</v>
      </c>
      <c r="O1706">
        <f t="shared" si="110"/>
        <v>-0.28000000000000114</v>
      </c>
      <c r="P1706" s="10">
        <f t="shared" si="111"/>
        <v>-0.17000000000000171</v>
      </c>
    </row>
    <row r="1707" spans="1:16">
      <c r="A1707">
        <v>421.5</v>
      </c>
      <c r="B1707">
        <v>104.84</v>
      </c>
      <c r="C1707">
        <v>107.95</v>
      </c>
      <c r="D1707">
        <v>110.45</v>
      </c>
      <c r="E1707">
        <v>114.56</v>
      </c>
      <c r="F1707">
        <v>112.56</v>
      </c>
      <c r="G1707">
        <v>113.01</v>
      </c>
      <c r="H1707">
        <v>115.84</v>
      </c>
      <c r="K1707" s="9">
        <f t="shared" si="112"/>
        <v>-0.10999999999999943</v>
      </c>
      <c r="L1707">
        <f t="shared" si="107"/>
        <v>-2.0499999999999972</v>
      </c>
      <c r="M1707">
        <f t="shared" si="108"/>
        <v>-0.21999999999999886</v>
      </c>
      <c r="N1707">
        <f t="shared" si="109"/>
        <v>-0.32999999999999829</v>
      </c>
      <c r="O1707">
        <f t="shared" si="110"/>
        <v>-0.28000000000000114</v>
      </c>
      <c r="P1707" s="10">
        <f t="shared" si="111"/>
        <v>-0.10999999999999943</v>
      </c>
    </row>
    <row r="1708" spans="1:16">
      <c r="A1708">
        <v>421.75</v>
      </c>
      <c r="B1708">
        <v>104.78</v>
      </c>
      <c r="C1708">
        <v>107.9</v>
      </c>
      <c r="D1708">
        <v>110.23</v>
      </c>
      <c r="E1708">
        <v>114.4</v>
      </c>
      <c r="F1708">
        <v>112.34</v>
      </c>
      <c r="G1708">
        <v>112.9</v>
      </c>
      <c r="H1708">
        <v>115.62</v>
      </c>
      <c r="K1708" s="9">
        <f t="shared" si="112"/>
        <v>-0.12000000000000455</v>
      </c>
      <c r="L1708">
        <f t="shared" si="107"/>
        <v>-2.2800000000000011</v>
      </c>
      <c r="M1708">
        <f t="shared" si="108"/>
        <v>-0.17000000000000171</v>
      </c>
      <c r="N1708">
        <f t="shared" si="109"/>
        <v>-0.17000000000000171</v>
      </c>
      <c r="O1708">
        <f t="shared" si="110"/>
        <v>-0.12000000000000455</v>
      </c>
      <c r="P1708" s="10">
        <f t="shared" si="111"/>
        <v>0.15999999999999659</v>
      </c>
    </row>
    <row r="1709" spans="1:16">
      <c r="A1709">
        <v>422</v>
      </c>
      <c r="B1709">
        <v>104.62</v>
      </c>
      <c r="C1709">
        <v>107.84</v>
      </c>
      <c r="D1709">
        <v>109.34</v>
      </c>
      <c r="E1709">
        <v>114.34</v>
      </c>
      <c r="F1709">
        <v>112.4</v>
      </c>
      <c r="G1709">
        <v>112.84</v>
      </c>
      <c r="H1709">
        <v>115.67</v>
      </c>
      <c r="K1709" s="9">
        <f t="shared" si="112"/>
        <v>-0.10999999999999943</v>
      </c>
      <c r="L1709">
        <f t="shared" si="107"/>
        <v>-1.5</v>
      </c>
      <c r="M1709">
        <f t="shared" si="108"/>
        <v>-0.10999999999999943</v>
      </c>
      <c r="N1709">
        <f t="shared" si="109"/>
        <v>-0.28000000000000114</v>
      </c>
      <c r="O1709">
        <f t="shared" si="110"/>
        <v>-6.0000000000002274E-2</v>
      </c>
      <c r="P1709" s="10">
        <f t="shared" si="111"/>
        <v>6.0000000000002274E-2</v>
      </c>
    </row>
    <row r="1710" spans="1:16">
      <c r="A1710">
        <v>422.25</v>
      </c>
      <c r="B1710">
        <v>104.62</v>
      </c>
      <c r="C1710">
        <v>107.84</v>
      </c>
      <c r="D1710">
        <v>108.4</v>
      </c>
      <c r="E1710">
        <v>114.34</v>
      </c>
      <c r="F1710">
        <v>112.23</v>
      </c>
      <c r="G1710">
        <v>112.73</v>
      </c>
      <c r="H1710">
        <v>115.73</v>
      </c>
      <c r="K1710" s="9">
        <f t="shared" si="112"/>
        <v>-0.28000000000000114</v>
      </c>
      <c r="L1710">
        <f t="shared" si="107"/>
        <v>-1.2800000000000011</v>
      </c>
      <c r="M1710">
        <f t="shared" si="108"/>
        <v>-0.21999999999999886</v>
      </c>
      <c r="N1710">
        <f t="shared" si="109"/>
        <v>-0.17000000000000171</v>
      </c>
      <c r="O1710">
        <f t="shared" si="110"/>
        <v>4.9999999999997158E-2</v>
      </c>
      <c r="P1710" s="10">
        <f t="shared" si="111"/>
        <v>-0.21999999999999886</v>
      </c>
    </row>
    <row r="1711" spans="1:16">
      <c r="A1711">
        <v>422.5</v>
      </c>
      <c r="B1711">
        <v>104.67</v>
      </c>
      <c r="C1711">
        <v>107.78</v>
      </c>
      <c r="D1711">
        <v>107.95</v>
      </c>
      <c r="E1711">
        <v>114.23</v>
      </c>
      <c r="F1711">
        <v>112.17</v>
      </c>
      <c r="G1711">
        <v>112.78</v>
      </c>
      <c r="H1711">
        <v>115.78</v>
      </c>
      <c r="K1711" s="9">
        <f t="shared" si="112"/>
        <v>-0.26999999999999602</v>
      </c>
      <c r="L1711">
        <f t="shared" si="107"/>
        <v>-0.82999999999999829</v>
      </c>
      <c r="M1711">
        <f t="shared" si="108"/>
        <v>-6.0000000000002274E-2</v>
      </c>
      <c r="N1711">
        <f t="shared" si="109"/>
        <v>-0.10999999999999943</v>
      </c>
      <c r="O1711">
        <f t="shared" si="110"/>
        <v>-4.9999999999997158E-2</v>
      </c>
      <c r="P1711" s="10">
        <f t="shared" si="111"/>
        <v>-0.60999999999999943</v>
      </c>
    </row>
    <row r="1712" spans="1:16">
      <c r="A1712">
        <v>422.75</v>
      </c>
      <c r="B1712">
        <v>104.56</v>
      </c>
      <c r="C1712">
        <v>107.73</v>
      </c>
      <c r="D1712">
        <v>107.84</v>
      </c>
      <c r="E1712">
        <v>114.23</v>
      </c>
      <c r="F1712">
        <v>112.12</v>
      </c>
      <c r="G1712">
        <v>112.78</v>
      </c>
      <c r="H1712">
        <v>115.73</v>
      </c>
      <c r="K1712" s="9">
        <f t="shared" si="112"/>
        <v>-0.28000000000000114</v>
      </c>
      <c r="L1712">
        <f t="shared" si="107"/>
        <v>-0.5</v>
      </c>
      <c r="M1712">
        <f t="shared" si="108"/>
        <v>-0.17000000000000171</v>
      </c>
      <c r="N1712">
        <f t="shared" si="109"/>
        <v>-0.21999999999999886</v>
      </c>
      <c r="O1712">
        <f t="shared" si="110"/>
        <v>-0.21999999999999886</v>
      </c>
      <c r="P1712" s="10">
        <f t="shared" si="111"/>
        <v>-0.60999999999999943</v>
      </c>
    </row>
    <row r="1713" spans="1:16">
      <c r="A1713">
        <v>423</v>
      </c>
      <c r="B1713">
        <v>104.4</v>
      </c>
      <c r="C1713">
        <v>107.56</v>
      </c>
      <c r="D1713">
        <v>107.12</v>
      </c>
      <c r="E1713">
        <v>114.12</v>
      </c>
      <c r="F1713">
        <v>112.06</v>
      </c>
      <c r="G1713">
        <v>112.78</v>
      </c>
      <c r="H1713">
        <v>115.51</v>
      </c>
      <c r="K1713" s="9">
        <f t="shared" si="112"/>
        <v>-0.28000000000000114</v>
      </c>
      <c r="L1713">
        <f t="shared" si="107"/>
        <v>0.32999999999999829</v>
      </c>
      <c r="M1713">
        <f t="shared" si="108"/>
        <v>-6.0000000000002274E-2</v>
      </c>
      <c r="N1713">
        <f t="shared" si="109"/>
        <v>-0.28000000000000114</v>
      </c>
      <c r="O1713">
        <f t="shared" si="110"/>
        <v>-0.32999999999999829</v>
      </c>
      <c r="P1713" s="10">
        <f t="shared" si="111"/>
        <v>-0.5</v>
      </c>
    </row>
    <row r="1714" spans="1:16">
      <c r="A1714">
        <v>423.25</v>
      </c>
      <c r="B1714">
        <v>104.45</v>
      </c>
      <c r="C1714">
        <v>107.51</v>
      </c>
      <c r="D1714">
        <v>107.12</v>
      </c>
      <c r="E1714">
        <v>114.17</v>
      </c>
      <c r="F1714">
        <v>112.06</v>
      </c>
      <c r="G1714">
        <v>112.73</v>
      </c>
      <c r="H1714">
        <v>115.17</v>
      </c>
      <c r="K1714" s="9">
        <f t="shared" si="112"/>
        <v>-0.34000000000000341</v>
      </c>
      <c r="L1714">
        <f t="shared" si="107"/>
        <v>0</v>
      </c>
      <c r="M1714">
        <f t="shared" si="108"/>
        <v>-0.21999999999999886</v>
      </c>
      <c r="N1714">
        <f t="shared" si="109"/>
        <v>-4.9999999999997158E-2</v>
      </c>
      <c r="O1714">
        <f t="shared" si="110"/>
        <v>-0.21999999999999886</v>
      </c>
      <c r="P1714" s="10">
        <f t="shared" si="111"/>
        <v>0.10999999999999943</v>
      </c>
    </row>
    <row r="1715" spans="1:16">
      <c r="A1715">
        <v>423.5</v>
      </c>
      <c r="B1715">
        <v>104.34</v>
      </c>
      <c r="C1715">
        <v>107.45</v>
      </c>
      <c r="D1715">
        <v>107.34</v>
      </c>
      <c r="E1715">
        <v>114.06</v>
      </c>
      <c r="F1715">
        <v>111.9</v>
      </c>
      <c r="G1715">
        <v>112.56</v>
      </c>
      <c r="H1715">
        <v>115.12</v>
      </c>
      <c r="K1715" s="9">
        <f t="shared" si="112"/>
        <v>-0.32999999999999829</v>
      </c>
      <c r="L1715">
        <f t="shared" si="107"/>
        <v>-0.21999999999999886</v>
      </c>
      <c r="M1715">
        <f t="shared" si="108"/>
        <v>-0.15999999999999659</v>
      </c>
      <c r="N1715">
        <f t="shared" si="109"/>
        <v>0.10999999999999943</v>
      </c>
      <c r="O1715">
        <f t="shared" si="110"/>
        <v>-0.10999999999999943</v>
      </c>
      <c r="P1715" s="10">
        <f t="shared" si="111"/>
        <v>0.10999999999999943</v>
      </c>
    </row>
    <row r="1716" spans="1:16">
      <c r="A1716">
        <v>423.75</v>
      </c>
      <c r="B1716">
        <v>104.34</v>
      </c>
      <c r="C1716">
        <v>107.28</v>
      </c>
      <c r="D1716">
        <v>107.45</v>
      </c>
      <c r="E1716">
        <v>114.06</v>
      </c>
      <c r="F1716">
        <v>111.78</v>
      </c>
      <c r="G1716">
        <v>112.45</v>
      </c>
      <c r="H1716">
        <v>115.01</v>
      </c>
      <c r="K1716" s="9">
        <f t="shared" si="112"/>
        <v>-0.37999999999999545</v>
      </c>
      <c r="L1716">
        <f t="shared" si="107"/>
        <v>-0.10999999999999943</v>
      </c>
      <c r="M1716">
        <f t="shared" si="108"/>
        <v>-0.28000000000000114</v>
      </c>
      <c r="N1716">
        <f t="shared" si="109"/>
        <v>0.23000000000000398</v>
      </c>
      <c r="O1716">
        <f t="shared" si="110"/>
        <v>0</v>
      </c>
      <c r="P1716" s="10">
        <f t="shared" si="111"/>
        <v>0.26999999999999602</v>
      </c>
    </row>
    <row r="1717" spans="1:16">
      <c r="A1717">
        <v>424</v>
      </c>
      <c r="B1717">
        <v>104.23</v>
      </c>
      <c r="C1717">
        <v>107.17</v>
      </c>
      <c r="D1717">
        <v>107.12</v>
      </c>
      <c r="E1717">
        <v>113.95</v>
      </c>
      <c r="F1717">
        <v>112.01</v>
      </c>
      <c r="G1717">
        <v>112.51</v>
      </c>
      <c r="H1717">
        <v>115.28</v>
      </c>
      <c r="K1717" s="9">
        <f t="shared" si="112"/>
        <v>-0.39000000000000057</v>
      </c>
      <c r="L1717">
        <f t="shared" si="107"/>
        <v>0.39000000000000057</v>
      </c>
      <c r="M1717">
        <f t="shared" si="108"/>
        <v>-0.17000000000000171</v>
      </c>
      <c r="N1717">
        <f t="shared" si="109"/>
        <v>-0.10999999999999943</v>
      </c>
      <c r="O1717">
        <f t="shared" si="110"/>
        <v>-0.10999999999999943</v>
      </c>
      <c r="P1717" s="10">
        <f t="shared" si="111"/>
        <v>0.23000000000000398</v>
      </c>
    </row>
    <row r="1718" spans="1:16">
      <c r="A1718">
        <v>424.25</v>
      </c>
      <c r="B1718">
        <v>104.28</v>
      </c>
      <c r="C1718">
        <v>107.12</v>
      </c>
      <c r="D1718">
        <v>107.12</v>
      </c>
      <c r="E1718">
        <v>113.9</v>
      </c>
      <c r="F1718">
        <v>112.01</v>
      </c>
      <c r="G1718">
        <v>112.45</v>
      </c>
      <c r="H1718">
        <v>115.23</v>
      </c>
      <c r="K1718" s="9">
        <f t="shared" si="112"/>
        <v>-0.39000000000000057</v>
      </c>
      <c r="L1718">
        <f t="shared" si="107"/>
        <v>0.71999999999999886</v>
      </c>
      <c r="M1718">
        <f t="shared" si="108"/>
        <v>-0.23000000000000398</v>
      </c>
      <c r="N1718">
        <f t="shared" si="109"/>
        <v>-6.0000000000002274E-2</v>
      </c>
      <c r="O1718">
        <f t="shared" si="110"/>
        <v>-4.9999999999997158E-2</v>
      </c>
      <c r="P1718" s="10">
        <f t="shared" si="111"/>
        <v>0.10999999999999943</v>
      </c>
    </row>
    <row r="1719" spans="1:16">
      <c r="A1719">
        <v>424.5</v>
      </c>
      <c r="B1719">
        <v>104.17</v>
      </c>
      <c r="C1719">
        <v>106.9</v>
      </c>
      <c r="D1719">
        <v>107.34</v>
      </c>
      <c r="E1719">
        <v>113.78</v>
      </c>
      <c r="F1719">
        <v>112.01</v>
      </c>
      <c r="G1719">
        <v>112.45</v>
      </c>
      <c r="H1719">
        <v>115.28</v>
      </c>
      <c r="K1719" s="9">
        <f t="shared" si="112"/>
        <v>-0.28000000000000114</v>
      </c>
      <c r="L1719">
        <f t="shared" si="107"/>
        <v>0.71999999999999886</v>
      </c>
      <c r="M1719">
        <f t="shared" si="108"/>
        <v>-0.15999999999999659</v>
      </c>
      <c r="N1719">
        <f t="shared" si="109"/>
        <v>-0.10999999999999943</v>
      </c>
      <c r="O1719">
        <f t="shared" si="110"/>
        <v>-0.17000000000000171</v>
      </c>
      <c r="P1719" s="10">
        <f t="shared" si="111"/>
        <v>6.0000000000002274E-2</v>
      </c>
    </row>
    <row r="1720" spans="1:16">
      <c r="A1720">
        <v>424.75</v>
      </c>
      <c r="B1720">
        <v>104.17</v>
      </c>
      <c r="C1720">
        <v>106.78</v>
      </c>
      <c r="D1720">
        <v>107.51</v>
      </c>
      <c r="E1720">
        <v>113.78</v>
      </c>
      <c r="F1720">
        <v>111.9</v>
      </c>
      <c r="G1720">
        <v>112.4</v>
      </c>
      <c r="H1720">
        <v>115.51</v>
      </c>
      <c r="K1720" s="9">
        <f t="shared" si="112"/>
        <v>-0.21999999999999886</v>
      </c>
      <c r="L1720">
        <f t="shared" si="107"/>
        <v>0.76999999999999602</v>
      </c>
      <c r="M1720">
        <f t="shared" si="108"/>
        <v>-0.10999999999999943</v>
      </c>
      <c r="N1720">
        <f t="shared" si="109"/>
        <v>-0.12000000000000455</v>
      </c>
      <c r="O1720">
        <f t="shared" si="110"/>
        <v>-0.12000000000000455</v>
      </c>
      <c r="P1720" s="10">
        <f t="shared" si="111"/>
        <v>-0.17000000000000171</v>
      </c>
    </row>
    <row r="1721" spans="1:16">
      <c r="A1721">
        <v>425</v>
      </c>
      <c r="B1721">
        <v>104.28</v>
      </c>
      <c r="C1721">
        <v>106.73</v>
      </c>
      <c r="D1721">
        <v>107.84</v>
      </c>
      <c r="E1721">
        <v>113.67</v>
      </c>
      <c r="F1721">
        <v>111.95</v>
      </c>
      <c r="G1721">
        <v>112.4</v>
      </c>
      <c r="H1721">
        <v>115.34</v>
      </c>
      <c r="K1721" s="9">
        <f t="shared" si="112"/>
        <v>-0.17000000000000171</v>
      </c>
      <c r="L1721">
        <f t="shared" si="107"/>
        <v>0.71999999999999886</v>
      </c>
      <c r="M1721">
        <f t="shared" si="108"/>
        <v>-0.10999999999999943</v>
      </c>
      <c r="N1721">
        <f t="shared" si="109"/>
        <v>-0.17000000000000171</v>
      </c>
      <c r="O1721">
        <f t="shared" si="110"/>
        <v>-0.12000000000000455</v>
      </c>
      <c r="P1721" s="10">
        <f t="shared" si="111"/>
        <v>-0.17000000000000171</v>
      </c>
    </row>
    <row r="1722" spans="1:16">
      <c r="A1722">
        <v>425.25</v>
      </c>
      <c r="B1722">
        <v>104.17</v>
      </c>
      <c r="C1722">
        <v>106.62</v>
      </c>
      <c r="D1722">
        <v>108.06</v>
      </c>
      <c r="E1722">
        <v>113.62</v>
      </c>
      <c r="F1722">
        <v>111.9</v>
      </c>
      <c r="G1722">
        <v>112.28</v>
      </c>
      <c r="H1722">
        <v>115.34</v>
      </c>
      <c r="K1722" s="9">
        <f t="shared" si="112"/>
        <v>-0.10999999999999943</v>
      </c>
      <c r="L1722">
        <f t="shared" si="107"/>
        <v>0.60999999999999943</v>
      </c>
      <c r="M1722">
        <f t="shared" si="108"/>
        <v>-0.10999999999999943</v>
      </c>
      <c r="N1722">
        <f t="shared" si="109"/>
        <v>-0.28000000000000114</v>
      </c>
      <c r="O1722">
        <f t="shared" si="110"/>
        <v>-0.21999999999999886</v>
      </c>
      <c r="P1722" s="10">
        <f t="shared" si="111"/>
        <v>-0.21999999999999886</v>
      </c>
    </row>
    <row r="1723" spans="1:16">
      <c r="A1723">
        <v>425.5</v>
      </c>
      <c r="B1723">
        <v>104.17</v>
      </c>
      <c r="C1723">
        <v>106.56</v>
      </c>
      <c r="D1723">
        <v>108.28</v>
      </c>
      <c r="E1723">
        <v>113.67</v>
      </c>
      <c r="F1723">
        <v>111.78</v>
      </c>
      <c r="G1723">
        <v>112.28</v>
      </c>
      <c r="H1723">
        <v>115.34</v>
      </c>
      <c r="K1723" s="9">
        <f t="shared" si="112"/>
        <v>-0.10999999999999943</v>
      </c>
      <c r="L1723">
        <f t="shared" si="107"/>
        <v>0.45000000000000284</v>
      </c>
      <c r="M1723">
        <f t="shared" si="108"/>
        <v>-0.26999999999999602</v>
      </c>
      <c r="N1723">
        <f t="shared" si="109"/>
        <v>-0.10999999999999943</v>
      </c>
      <c r="O1723">
        <f t="shared" si="110"/>
        <v>-0.26999999999999602</v>
      </c>
      <c r="P1723" s="10">
        <f t="shared" si="111"/>
        <v>-6.0000000000002274E-2</v>
      </c>
    </row>
    <row r="1724" spans="1:16">
      <c r="A1724">
        <v>425.75</v>
      </c>
      <c r="B1724">
        <v>104.17</v>
      </c>
      <c r="C1724">
        <v>106.56</v>
      </c>
      <c r="D1724">
        <v>108.56</v>
      </c>
      <c r="E1724">
        <v>113.56</v>
      </c>
      <c r="F1724">
        <v>111.78</v>
      </c>
      <c r="G1724">
        <v>112.28</v>
      </c>
      <c r="H1724">
        <v>115.17</v>
      </c>
      <c r="K1724" s="9">
        <f t="shared" si="112"/>
        <v>-0.15999999999999659</v>
      </c>
      <c r="L1724">
        <f t="shared" si="107"/>
        <v>0.39000000000000057</v>
      </c>
      <c r="M1724">
        <f t="shared" si="108"/>
        <v>-0.21999999999999886</v>
      </c>
      <c r="N1724">
        <f t="shared" si="109"/>
        <v>-0.15999999999999659</v>
      </c>
      <c r="O1724">
        <f t="shared" si="110"/>
        <v>-0.26999999999999602</v>
      </c>
      <c r="P1724" s="10">
        <f t="shared" si="111"/>
        <v>0</v>
      </c>
    </row>
    <row r="1725" spans="1:16">
      <c r="A1725">
        <v>426</v>
      </c>
      <c r="B1725">
        <v>104.06</v>
      </c>
      <c r="C1725">
        <v>106.51</v>
      </c>
      <c r="D1725">
        <v>108.67</v>
      </c>
      <c r="E1725">
        <v>113.51</v>
      </c>
      <c r="F1725">
        <v>111.62</v>
      </c>
      <c r="G1725">
        <v>112.06</v>
      </c>
      <c r="H1725">
        <v>115.12</v>
      </c>
      <c r="K1725" s="9">
        <f t="shared" si="112"/>
        <v>-0.17000000000000171</v>
      </c>
      <c r="L1725">
        <f t="shared" si="107"/>
        <v>0.34000000000000341</v>
      </c>
      <c r="M1725">
        <f t="shared" si="108"/>
        <v>-0.17000000000000171</v>
      </c>
      <c r="N1725">
        <f t="shared" si="109"/>
        <v>-6.0000000000002274E-2</v>
      </c>
      <c r="O1725">
        <f t="shared" si="110"/>
        <v>-0.15999999999999659</v>
      </c>
      <c r="P1725" s="10">
        <f t="shared" si="111"/>
        <v>4.9999999999997158E-2</v>
      </c>
    </row>
    <row r="1726" spans="1:16">
      <c r="A1726">
        <v>426.25</v>
      </c>
      <c r="B1726">
        <v>103.95</v>
      </c>
      <c r="C1726">
        <v>106.45</v>
      </c>
      <c r="D1726">
        <v>108.73</v>
      </c>
      <c r="E1726">
        <v>113.4</v>
      </c>
      <c r="F1726">
        <v>111.67</v>
      </c>
      <c r="G1726">
        <v>112.01</v>
      </c>
      <c r="H1726">
        <v>115.28</v>
      </c>
      <c r="K1726" s="9">
        <f t="shared" si="112"/>
        <v>-0.21999999999999886</v>
      </c>
      <c r="L1726">
        <f t="shared" si="107"/>
        <v>0.39000000000000057</v>
      </c>
      <c r="M1726">
        <f t="shared" si="108"/>
        <v>-0.17000000000000171</v>
      </c>
      <c r="N1726">
        <f t="shared" si="109"/>
        <v>-4.9999999999997158E-2</v>
      </c>
      <c r="O1726">
        <f t="shared" si="110"/>
        <v>-0.10999999999999943</v>
      </c>
      <c r="P1726" s="10">
        <f t="shared" si="111"/>
        <v>-0.32999999999999829</v>
      </c>
    </row>
    <row r="1727" spans="1:16">
      <c r="A1727">
        <v>426.5</v>
      </c>
      <c r="B1727">
        <v>103.9</v>
      </c>
      <c r="C1727">
        <v>106.4</v>
      </c>
      <c r="D1727">
        <v>108.95</v>
      </c>
      <c r="E1727">
        <v>113.34</v>
      </c>
      <c r="F1727">
        <v>111.62</v>
      </c>
      <c r="G1727">
        <v>112.01</v>
      </c>
      <c r="H1727">
        <v>115.17</v>
      </c>
      <c r="K1727" s="9">
        <f t="shared" si="112"/>
        <v>-0.28000000000000114</v>
      </c>
      <c r="L1727">
        <f t="shared" si="107"/>
        <v>6.0000000000002274E-2</v>
      </c>
      <c r="M1727">
        <f t="shared" si="108"/>
        <v>-0.17000000000000171</v>
      </c>
      <c r="N1727">
        <f t="shared" si="109"/>
        <v>-0.10999999999999943</v>
      </c>
      <c r="O1727">
        <f t="shared" si="110"/>
        <v>-0.17000000000000171</v>
      </c>
      <c r="P1727" s="10">
        <f t="shared" si="111"/>
        <v>-0.15999999999999659</v>
      </c>
    </row>
    <row r="1728" spans="1:16">
      <c r="A1728">
        <v>426.75</v>
      </c>
      <c r="B1728">
        <v>103.78</v>
      </c>
      <c r="C1728">
        <v>106.34</v>
      </c>
      <c r="D1728">
        <v>109.01</v>
      </c>
      <c r="E1728">
        <v>113.34</v>
      </c>
      <c r="F1728">
        <v>111.56</v>
      </c>
      <c r="G1728">
        <v>111.9</v>
      </c>
      <c r="H1728">
        <v>115.17</v>
      </c>
      <c r="K1728" s="9">
        <f t="shared" si="112"/>
        <v>-0.32999999999999829</v>
      </c>
      <c r="L1728">
        <f t="shared" si="107"/>
        <v>0.15999999999999659</v>
      </c>
      <c r="M1728">
        <f t="shared" si="108"/>
        <v>-0.10999999999999943</v>
      </c>
      <c r="N1728">
        <f t="shared" si="109"/>
        <v>-0.15999999999999659</v>
      </c>
      <c r="O1728">
        <f t="shared" si="110"/>
        <v>-0.17000000000000171</v>
      </c>
      <c r="P1728" s="10">
        <f t="shared" si="111"/>
        <v>-0.15999999999999659</v>
      </c>
    </row>
    <row r="1729" spans="1:16">
      <c r="A1729">
        <v>427</v>
      </c>
      <c r="B1729">
        <v>103.67</v>
      </c>
      <c r="C1729">
        <v>106.23</v>
      </c>
      <c r="D1729">
        <v>109.12</v>
      </c>
      <c r="E1729">
        <v>113.23</v>
      </c>
      <c r="F1729">
        <v>111.62</v>
      </c>
      <c r="G1729">
        <v>111.9</v>
      </c>
      <c r="H1729">
        <v>114.95</v>
      </c>
      <c r="K1729" s="9">
        <f t="shared" si="112"/>
        <v>-0.32999999999999829</v>
      </c>
      <c r="L1729">
        <f t="shared" si="107"/>
        <v>4.9999999999997158E-2</v>
      </c>
      <c r="M1729">
        <f t="shared" si="108"/>
        <v>-0.17000000000000171</v>
      </c>
      <c r="N1729">
        <f t="shared" si="109"/>
        <v>-0.34000000000000341</v>
      </c>
      <c r="O1729">
        <f t="shared" si="110"/>
        <v>-0.23000000000000398</v>
      </c>
      <c r="P1729" s="10">
        <f t="shared" si="111"/>
        <v>0</v>
      </c>
    </row>
    <row r="1730" spans="1:16">
      <c r="A1730">
        <v>427.25</v>
      </c>
      <c r="B1730">
        <v>103.62</v>
      </c>
      <c r="C1730">
        <v>106.12</v>
      </c>
      <c r="D1730">
        <v>109.01</v>
      </c>
      <c r="E1730">
        <v>113.17</v>
      </c>
      <c r="F1730">
        <v>111.51</v>
      </c>
      <c r="G1730">
        <v>111.84</v>
      </c>
      <c r="H1730">
        <v>115.01</v>
      </c>
      <c r="K1730" s="9">
        <f t="shared" si="112"/>
        <v>-0.39000000000000057</v>
      </c>
      <c r="L1730">
        <f t="shared" si="107"/>
        <v>0.26999999999999602</v>
      </c>
      <c r="M1730">
        <f t="shared" si="108"/>
        <v>-0.21999999999999886</v>
      </c>
      <c r="N1730">
        <f t="shared" si="109"/>
        <v>-0.34000000000000341</v>
      </c>
      <c r="O1730">
        <f t="shared" si="110"/>
        <v>-0.17000000000000171</v>
      </c>
      <c r="P1730" s="10">
        <f t="shared" si="111"/>
        <v>-0.23000000000000398</v>
      </c>
    </row>
    <row r="1731" spans="1:16">
      <c r="A1731">
        <v>427.5</v>
      </c>
      <c r="B1731">
        <v>103.51</v>
      </c>
      <c r="C1731">
        <v>106.01</v>
      </c>
      <c r="D1731">
        <v>109.17</v>
      </c>
      <c r="E1731">
        <v>113.23</v>
      </c>
      <c r="F1731">
        <v>111.4</v>
      </c>
      <c r="G1731">
        <v>111.73</v>
      </c>
      <c r="H1731">
        <v>115.01</v>
      </c>
      <c r="K1731" s="9">
        <f t="shared" si="112"/>
        <v>-0.28000000000000114</v>
      </c>
      <c r="L1731">
        <f t="shared" si="107"/>
        <v>0.23000000000000398</v>
      </c>
      <c r="M1731">
        <f t="shared" si="108"/>
        <v>-0.32999999999999829</v>
      </c>
      <c r="N1731">
        <f t="shared" si="109"/>
        <v>-0.23000000000000398</v>
      </c>
      <c r="O1731">
        <f t="shared" si="110"/>
        <v>-0.10999999999999943</v>
      </c>
      <c r="P1731" s="10">
        <f t="shared" si="111"/>
        <v>-0.23000000000000398</v>
      </c>
    </row>
    <row r="1732" spans="1:16">
      <c r="A1732">
        <v>427.75</v>
      </c>
      <c r="B1732">
        <v>103.4</v>
      </c>
      <c r="C1732">
        <v>105.9</v>
      </c>
      <c r="D1732">
        <v>109.17</v>
      </c>
      <c r="E1732">
        <v>113.06</v>
      </c>
      <c r="F1732">
        <v>111.28</v>
      </c>
      <c r="G1732">
        <v>111.67</v>
      </c>
      <c r="H1732">
        <v>114.95</v>
      </c>
      <c r="K1732" s="9">
        <f t="shared" si="112"/>
        <v>-0.23000000000000398</v>
      </c>
      <c r="L1732">
        <f t="shared" si="107"/>
        <v>-0.15999999999999659</v>
      </c>
      <c r="M1732">
        <f t="shared" si="108"/>
        <v>-0.21999999999999886</v>
      </c>
      <c r="N1732">
        <f t="shared" si="109"/>
        <v>-0.21999999999999886</v>
      </c>
      <c r="O1732">
        <f t="shared" si="110"/>
        <v>-4.9999999999997158E-2</v>
      </c>
      <c r="P1732" s="10">
        <f t="shared" si="111"/>
        <v>-0.17000000000000171</v>
      </c>
    </row>
    <row r="1733" spans="1:16">
      <c r="A1733">
        <v>428</v>
      </c>
      <c r="B1733">
        <v>103.4</v>
      </c>
      <c r="C1733">
        <v>105.73</v>
      </c>
      <c r="D1733">
        <v>109.28</v>
      </c>
      <c r="E1733">
        <v>112.95</v>
      </c>
      <c r="F1733">
        <v>111.17</v>
      </c>
      <c r="G1733">
        <v>111.67</v>
      </c>
      <c r="H1733">
        <v>114.78</v>
      </c>
      <c r="K1733" s="9">
        <f t="shared" si="112"/>
        <v>-0.17000000000000171</v>
      </c>
      <c r="L1733">
        <f t="shared" si="107"/>
        <v>-0.37999999999999545</v>
      </c>
      <c r="M1733">
        <f t="shared" si="108"/>
        <v>-0.10999999999999943</v>
      </c>
      <c r="N1733">
        <f t="shared" si="109"/>
        <v>-0.21999999999999886</v>
      </c>
      <c r="O1733">
        <f t="shared" si="110"/>
        <v>0</v>
      </c>
      <c r="P1733" s="10">
        <f t="shared" si="111"/>
        <v>-0.10999999999999943</v>
      </c>
    </row>
    <row r="1734" spans="1:16">
      <c r="A1734">
        <v>428.25</v>
      </c>
      <c r="B1734">
        <v>103.45</v>
      </c>
      <c r="C1734">
        <v>105.73</v>
      </c>
      <c r="D1734">
        <v>109.4</v>
      </c>
      <c r="E1734">
        <v>112.9</v>
      </c>
      <c r="F1734">
        <v>111.17</v>
      </c>
      <c r="G1734">
        <v>111.62</v>
      </c>
      <c r="H1734">
        <v>114.78</v>
      </c>
      <c r="K1734" s="9">
        <f t="shared" si="112"/>
        <v>-0.28000000000000114</v>
      </c>
      <c r="L1734">
        <f t="shared" si="107"/>
        <v>-0.73000000000000398</v>
      </c>
      <c r="M1734">
        <f t="shared" si="108"/>
        <v>-0.17000000000000171</v>
      </c>
      <c r="N1734">
        <f t="shared" si="109"/>
        <v>-0.32999999999999829</v>
      </c>
      <c r="O1734">
        <f t="shared" si="110"/>
        <v>-0.34000000000000341</v>
      </c>
      <c r="P1734" s="10">
        <f t="shared" si="111"/>
        <v>-0.15999999999999659</v>
      </c>
    </row>
    <row r="1735" spans="1:16">
      <c r="A1735">
        <v>428.5</v>
      </c>
      <c r="B1735">
        <v>103.4</v>
      </c>
      <c r="C1735">
        <v>105.67</v>
      </c>
      <c r="D1735">
        <v>109.01</v>
      </c>
      <c r="E1735">
        <v>112.84</v>
      </c>
      <c r="F1735">
        <v>111.06</v>
      </c>
      <c r="G1735">
        <v>111.62</v>
      </c>
      <c r="H1735">
        <v>114.78</v>
      </c>
      <c r="K1735" s="9">
        <f t="shared" si="112"/>
        <v>-0.26999999999999602</v>
      </c>
      <c r="L1735">
        <f t="shared" si="107"/>
        <v>-0.5</v>
      </c>
      <c r="M1735">
        <f t="shared" si="108"/>
        <v>-0.10999999999999943</v>
      </c>
      <c r="N1735">
        <f t="shared" si="109"/>
        <v>-0.28000000000000114</v>
      </c>
      <c r="O1735">
        <f t="shared" si="110"/>
        <v>-0.5</v>
      </c>
      <c r="P1735" s="10">
        <f t="shared" si="111"/>
        <v>-0.21999999999999886</v>
      </c>
    </row>
    <row r="1736" spans="1:16">
      <c r="A1736">
        <v>428.75</v>
      </c>
      <c r="B1736">
        <v>103.23</v>
      </c>
      <c r="C1736">
        <v>105.56</v>
      </c>
      <c r="D1736">
        <v>108.9</v>
      </c>
      <c r="E1736">
        <v>112.84</v>
      </c>
      <c r="F1736">
        <v>110.95</v>
      </c>
      <c r="G1736">
        <v>111.67</v>
      </c>
      <c r="H1736">
        <v>114.67</v>
      </c>
      <c r="K1736" s="9">
        <f t="shared" si="112"/>
        <v>-0.28000000000000114</v>
      </c>
      <c r="L1736">
        <f t="shared" si="107"/>
        <v>-0.45000000000000284</v>
      </c>
      <c r="M1736">
        <f t="shared" si="108"/>
        <v>-0.17000000000000171</v>
      </c>
      <c r="N1736">
        <f t="shared" si="109"/>
        <v>-0.17000000000000171</v>
      </c>
      <c r="O1736">
        <f t="shared" si="110"/>
        <v>-0.60999999999999943</v>
      </c>
      <c r="P1736" s="10">
        <f t="shared" si="111"/>
        <v>-0.10999999999999943</v>
      </c>
    </row>
    <row r="1737" spans="1:16">
      <c r="A1737">
        <v>429</v>
      </c>
      <c r="B1737">
        <v>103.17</v>
      </c>
      <c r="C1737">
        <v>105.45</v>
      </c>
      <c r="D1737">
        <v>108.67</v>
      </c>
      <c r="E1737">
        <v>112.73</v>
      </c>
      <c r="F1737">
        <v>110.84</v>
      </c>
      <c r="G1737">
        <v>111.28</v>
      </c>
      <c r="H1737">
        <v>114.62</v>
      </c>
      <c r="K1737" s="9">
        <f t="shared" si="112"/>
        <v>-0.21999999999999886</v>
      </c>
      <c r="L1737">
        <f t="shared" si="107"/>
        <v>-0.10999999999999943</v>
      </c>
      <c r="M1737">
        <f t="shared" si="108"/>
        <v>-0.17000000000000171</v>
      </c>
      <c r="N1737">
        <f t="shared" si="109"/>
        <v>-6.0000000000002274E-2</v>
      </c>
      <c r="O1737">
        <f t="shared" si="110"/>
        <v>-0.21999999999999886</v>
      </c>
      <c r="P1737" s="10">
        <f t="shared" si="111"/>
        <v>-0.28000000000000114</v>
      </c>
    </row>
    <row r="1738" spans="1:16">
      <c r="A1738">
        <v>429.25</v>
      </c>
      <c r="B1738">
        <v>103.17</v>
      </c>
      <c r="C1738">
        <v>105.4</v>
      </c>
      <c r="D1738">
        <v>108.51</v>
      </c>
      <c r="E1738">
        <v>112.73</v>
      </c>
      <c r="F1738">
        <v>110.78</v>
      </c>
      <c r="G1738">
        <v>111.12</v>
      </c>
      <c r="H1738">
        <v>114.56</v>
      </c>
      <c r="K1738" s="9">
        <f t="shared" si="112"/>
        <v>-0.28000000000000114</v>
      </c>
      <c r="L1738">
        <f t="shared" ref="L1738:L1801" si="113">D1741-D1738</f>
        <v>4.9999999999997158E-2</v>
      </c>
      <c r="M1738">
        <f t="shared" ref="M1738:M1801" si="114">E1741-E1738</f>
        <v>-0.28000000000000114</v>
      </c>
      <c r="N1738">
        <f t="shared" ref="N1738:N1801" si="115">F1741-F1738</f>
        <v>-4.9999999999997158E-2</v>
      </c>
      <c r="O1738">
        <f t="shared" ref="O1738:O1801" si="116">G1741-G1738</f>
        <v>0</v>
      </c>
      <c r="P1738" s="10">
        <f t="shared" ref="P1738:P1801" si="117">H1741-H1738</f>
        <v>-0.32999999999999829</v>
      </c>
    </row>
    <row r="1739" spans="1:16">
      <c r="A1739">
        <v>429.5</v>
      </c>
      <c r="B1739">
        <v>103.17</v>
      </c>
      <c r="C1739">
        <v>105.28</v>
      </c>
      <c r="D1739">
        <v>108.45</v>
      </c>
      <c r="E1739">
        <v>112.67</v>
      </c>
      <c r="F1739">
        <v>110.78</v>
      </c>
      <c r="G1739">
        <v>111.06</v>
      </c>
      <c r="H1739">
        <v>114.56</v>
      </c>
      <c r="K1739" s="9">
        <f t="shared" ref="K1739:K1802" si="118">C1742-C1739</f>
        <v>-0.21999999999999886</v>
      </c>
      <c r="L1739">
        <f t="shared" si="113"/>
        <v>-0.10999999999999943</v>
      </c>
      <c r="M1739">
        <f t="shared" si="114"/>
        <v>-0.26999999999999602</v>
      </c>
      <c r="N1739">
        <f t="shared" si="115"/>
        <v>-0.10999999999999943</v>
      </c>
      <c r="O1739">
        <f t="shared" si="116"/>
        <v>0.10999999999999943</v>
      </c>
      <c r="P1739" s="10">
        <f t="shared" si="117"/>
        <v>-0.65999999999999659</v>
      </c>
    </row>
    <row r="1740" spans="1:16">
      <c r="A1740">
        <v>429.75</v>
      </c>
      <c r="B1740">
        <v>102.95</v>
      </c>
      <c r="C1740">
        <v>105.23</v>
      </c>
      <c r="D1740">
        <v>108.56</v>
      </c>
      <c r="E1740">
        <v>112.56</v>
      </c>
      <c r="F1740">
        <v>110.78</v>
      </c>
      <c r="G1740">
        <v>111.06</v>
      </c>
      <c r="H1740">
        <v>114.34</v>
      </c>
      <c r="K1740" s="9">
        <f t="shared" si="118"/>
        <v>-0.32999999999999829</v>
      </c>
      <c r="L1740">
        <f t="shared" si="113"/>
        <v>-0.93999999999999773</v>
      </c>
      <c r="M1740">
        <f t="shared" si="114"/>
        <v>-0.21999999999999886</v>
      </c>
      <c r="N1740">
        <f t="shared" si="115"/>
        <v>-0.10999999999999943</v>
      </c>
      <c r="O1740">
        <f t="shared" si="116"/>
        <v>-4.9999999999997158E-2</v>
      </c>
      <c r="P1740" s="10">
        <f t="shared" si="117"/>
        <v>-0.39000000000000057</v>
      </c>
    </row>
    <row r="1741" spans="1:16">
      <c r="A1741">
        <v>430</v>
      </c>
      <c r="B1741">
        <v>102.73</v>
      </c>
      <c r="C1741">
        <v>105.12</v>
      </c>
      <c r="D1741">
        <v>108.56</v>
      </c>
      <c r="E1741">
        <v>112.45</v>
      </c>
      <c r="F1741">
        <v>110.73</v>
      </c>
      <c r="G1741">
        <v>111.12</v>
      </c>
      <c r="H1741">
        <v>114.23</v>
      </c>
      <c r="K1741" s="9">
        <f t="shared" si="118"/>
        <v>-0.21999999999999886</v>
      </c>
      <c r="L1741">
        <f t="shared" si="113"/>
        <v>-0.89000000000000057</v>
      </c>
      <c r="M1741">
        <f t="shared" si="114"/>
        <v>-0.21999999999999886</v>
      </c>
      <c r="N1741">
        <f t="shared" si="115"/>
        <v>-0.17000000000000171</v>
      </c>
      <c r="O1741">
        <f t="shared" si="116"/>
        <v>-0.17000000000000171</v>
      </c>
      <c r="P1741" s="10">
        <f t="shared" si="117"/>
        <v>-0.45000000000000284</v>
      </c>
    </row>
    <row r="1742" spans="1:16">
      <c r="A1742">
        <v>430.25</v>
      </c>
      <c r="B1742">
        <v>102.56</v>
      </c>
      <c r="C1742">
        <v>105.06</v>
      </c>
      <c r="D1742">
        <v>108.34</v>
      </c>
      <c r="E1742">
        <v>112.4</v>
      </c>
      <c r="F1742">
        <v>110.67</v>
      </c>
      <c r="G1742">
        <v>111.17</v>
      </c>
      <c r="H1742">
        <v>113.9</v>
      </c>
      <c r="K1742" s="9">
        <f t="shared" si="118"/>
        <v>-0.28000000000000114</v>
      </c>
      <c r="L1742">
        <f t="shared" si="113"/>
        <v>-0.60999999999999943</v>
      </c>
      <c r="M1742">
        <f t="shared" si="114"/>
        <v>-0.17000000000000171</v>
      </c>
      <c r="N1742">
        <f t="shared" si="115"/>
        <v>-0.15999999999999659</v>
      </c>
      <c r="O1742">
        <f t="shared" si="116"/>
        <v>-0.26999999999999602</v>
      </c>
      <c r="P1742" s="10">
        <f t="shared" si="117"/>
        <v>0</v>
      </c>
    </row>
    <row r="1743" spans="1:16">
      <c r="A1743">
        <v>430.5</v>
      </c>
      <c r="B1743">
        <v>102.34</v>
      </c>
      <c r="C1743">
        <v>104.9</v>
      </c>
      <c r="D1743">
        <v>107.62</v>
      </c>
      <c r="E1743">
        <v>112.34</v>
      </c>
      <c r="F1743">
        <v>110.67</v>
      </c>
      <c r="G1743">
        <v>111.01</v>
      </c>
      <c r="H1743">
        <v>113.95</v>
      </c>
      <c r="K1743" s="9">
        <f t="shared" si="118"/>
        <v>-6.0000000000002274E-2</v>
      </c>
      <c r="L1743">
        <f t="shared" si="113"/>
        <v>0.10999999999999943</v>
      </c>
      <c r="M1743">
        <f t="shared" si="114"/>
        <v>-0.17000000000000171</v>
      </c>
      <c r="N1743">
        <f t="shared" si="115"/>
        <v>-0.15999999999999659</v>
      </c>
      <c r="O1743">
        <f t="shared" si="116"/>
        <v>-0.10999999999999943</v>
      </c>
      <c r="P1743" s="10">
        <f t="shared" si="117"/>
        <v>-0.43999999999999773</v>
      </c>
    </row>
    <row r="1744" spans="1:16">
      <c r="A1744">
        <v>430.75</v>
      </c>
      <c r="B1744">
        <v>102.28</v>
      </c>
      <c r="C1744">
        <v>104.9</v>
      </c>
      <c r="D1744">
        <v>107.67</v>
      </c>
      <c r="E1744">
        <v>112.23</v>
      </c>
      <c r="F1744">
        <v>110.56</v>
      </c>
      <c r="G1744">
        <v>110.95</v>
      </c>
      <c r="H1744">
        <v>113.78</v>
      </c>
      <c r="K1744" s="9">
        <f t="shared" si="118"/>
        <v>-0.17000000000000171</v>
      </c>
      <c r="L1744">
        <f t="shared" si="113"/>
        <v>-0.26999999999999602</v>
      </c>
      <c r="M1744">
        <f t="shared" si="114"/>
        <v>-0.21999999999999886</v>
      </c>
      <c r="N1744">
        <f t="shared" si="115"/>
        <v>-0.21999999999999886</v>
      </c>
      <c r="O1744">
        <f t="shared" si="116"/>
        <v>-0.10999999999999943</v>
      </c>
      <c r="P1744" s="10">
        <f t="shared" si="117"/>
        <v>-0.10999999999999943</v>
      </c>
    </row>
    <row r="1745" spans="1:16">
      <c r="A1745">
        <v>431</v>
      </c>
      <c r="B1745">
        <v>102.28</v>
      </c>
      <c r="C1745">
        <v>104.78</v>
      </c>
      <c r="D1745">
        <v>107.73</v>
      </c>
      <c r="E1745">
        <v>112.23</v>
      </c>
      <c r="F1745">
        <v>110.51</v>
      </c>
      <c r="G1745">
        <v>110.9</v>
      </c>
      <c r="H1745">
        <v>113.9</v>
      </c>
      <c r="K1745" s="9">
        <f t="shared" si="118"/>
        <v>-0.21999999999999886</v>
      </c>
      <c r="L1745">
        <f t="shared" si="113"/>
        <v>-0.67000000000000171</v>
      </c>
      <c r="M1745">
        <f t="shared" si="114"/>
        <v>-0.32999999999999829</v>
      </c>
      <c r="N1745">
        <f t="shared" si="115"/>
        <v>-0.23000000000000398</v>
      </c>
      <c r="O1745">
        <f t="shared" si="116"/>
        <v>0</v>
      </c>
      <c r="P1745" s="10">
        <f t="shared" si="117"/>
        <v>-0.45000000000000284</v>
      </c>
    </row>
    <row r="1746" spans="1:16">
      <c r="A1746">
        <v>431.25</v>
      </c>
      <c r="B1746">
        <v>102.17</v>
      </c>
      <c r="C1746">
        <v>104.84</v>
      </c>
      <c r="D1746">
        <v>107.73</v>
      </c>
      <c r="E1746">
        <v>112.17</v>
      </c>
      <c r="F1746">
        <v>110.51</v>
      </c>
      <c r="G1746">
        <v>110.9</v>
      </c>
      <c r="H1746">
        <v>113.51</v>
      </c>
      <c r="K1746" s="9">
        <f t="shared" si="118"/>
        <v>-0.39000000000000057</v>
      </c>
      <c r="L1746">
        <f t="shared" si="113"/>
        <v>-0.60999999999999943</v>
      </c>
      <c r="M1746">
        <f t="shared" si="114"/>
        <v>-0.21999999999999886</v>
      </c>
      <c r="N1746">
        <f t="shared" si="115"/>
        <v>-0.28000000000000114</v>
      </c>
      <c r="O1746">
        <f t="shared" si="116"/>
        <v>-0.12000000000000455</v>
      </c>
      <c r="P1746" s="10">
        <f t="shared" si="117"/>
        <v>0</v>
      </c>
    </row>
    <row r="1747" spans="1:16">
      <c r="A1747">
        <v>431.5</v>
      </c>
      <c r="B1747">
        <v>102.12</v>
      </c>
      <c r="C1747">
        <v>104.73</v>
      </c>
      <c r="D1747">
        <v>107.4</v>
      </c>
      <c r="E1747">
        <v>112.01</v>
      </c>
      <c r="F1747">
        <v>110.34</v>
      </c>
      <c r="G1747">
        <v>110.84</v>
      </c>
      <c r="H1747">
        <v>113.67</v>
      </c>
      <c r="K1747" s="9">
        <f t="shared" si="118"/>
        <v>-0.39000000000000057</v>
      </c>
      <c r="L1747">
        <f t="shared" si="113"/>
        <v>-0.23000000000000398</v>
      </c>
      <c r="M1747">
        <f t="shared" si="114"/>
        <v>-0.10999999999999943</v>
      </c>
      <c r="N1747">
        <f t="shared" si="115"/>
        <v>-6.0000000000002274E-2</v>
      </c>
      <c r="O1747">
        <f t="shared" si="116"/>
        <v>-0.10999999999999943</v>
      </c>
      <c r="P1747" s="10">
        <f t="shared" si="117"/>
        <v>-0.15999999999999659</v>
      </c>
    </row>
    <row r="1748" spans="1:16">
      <c r="A1748">
        <v>431.75</v>
      </c>
      <c r="B1748">
        <v>102.17</v>
      </c>
      <c r="C1748">
        <v>104.56</v>
      </c>
      <c r="D1748">
        <v>107.06</v>
      </c>
      <c r="E1748">
        <v>111.9</v>
      </c>
      <c r="F1748">
        <v>110.28</v>
      </c>
      <c r="G1748">
        <v>110.9</v>
      </c>
      <c r="H1748">
        <v>113.45</v>
      </c>
      <c r="K1748" s="9">
        <f t="shared" si="118"/>
        <v>-0.32999999999999829</v>
      </c>
      <c r="L1748">
        <f t="shared" si="113"/>
        <v>0.28000000000000114</v>
      </c>
      <c r="M1748">
        <f t="shared" si="114"/>
        <v>-0.17000000000000171</v>
      </c>
      <c r="N1748">
        <f t="shared" si="115"/>
        <v>-0.10999999999999943</v>
      </c>
      <c r="O1748">
        <f t="shared" si="116"/>
        <v>-0.28000000000000114</v>
      </c>
      <c r="P1748" s="10">
        <f t="shared" si="117"/>
        <v>6.0000000000002274E-2</v>
      </c>
    </row>
    <row r="1749" spans="1:16">
      <c r="A1749">
        <v>432</v>
      </c>
      <c r="B1749">
        <v>102.06</v>
      </c>
      <c r="C1749">
        <v>104.45</v>
      </c>
      <c r="D1749">
        <v>107.12</v>
      </c>
      <c r="E1749">
        <v>111.95</v>
      </c>
      <c r="F1749">
        <v>110.23</v>
      </c>
      <c r="G1749">
        <v>110.78</v>
      </c>
      <c r="H1749">
        <v>113.51</v>
      </c>
      <c r="K1749" s="9">
        <f t="shared" si="118"/>
        <v>-0.28000000000000114</v>
      </c>
      <c r="L1749">
        <f t="shared" si="113"/>
        <v>0.32999999999999829</v>
      </c>
      <c r="M1749">
        <f t="shared" si="114"/>
        <v>-0.21999999999999886</v>
      </c>
      <c r="N1749">
        <f t="shared" si="115"/>
        <v>-6.0000000000002274E-2</v>
      </c>
      <c r="O1749">
        <f t="shared" si="116"/>
        <v>-0.10999999999999943</v>
      </c>
      <c r="P1749" s="10">
        <f t="shared" si="117"/>
        <v>4.9999999999997158E-2</v>
      </c>
    </row>
    <row r="1750" spans="1:16">
      <c r="A1750">
        <v>432.25</v>
      </c>
      <c r="B1750">
        <v>101.9</v>
      </c>
      <c r="C1750">
        <v>104.34</v>
      </c>
      <c r="D1750">
        <v>107.17</v>
      </c>
      <c r="E1750">
        <v>111.9</v>
      </c>
      <c r="F1750">
        <v>110.28</v>
      </c>
      <c r="G1750">
        <v>110.73</v>
      </c>
      <c r="H1750">
        <v>113.51</v>
      </c>
      <c r="K1750" s="9">
        <f t="shared" si="118"/>
        <v>-0.32999999999999829</v>
      </c>
      <c r="L1750">
        <f t="shared" si="113"/>
        <v>0.34000000000000341</v>
      </c>
      <c r="M1750">
        <f t="shared" si="114"/>
        <v>-0.28000000000000114</v>
      </c>
      <c r="N1750">
        <f t="shared" si="115"/>
        <v>-0.21999999999999886</v>
      </c>
      <c r="O1750">
        <f t="shared" si="116"/>
        <v>-0.17000000000000171</v>
      </c>
      <c r="P1750" s="10">
        <f t="shared" si="117"/>
        <v>-6.0000000000002274E-2</v>
      </c>
    </row>
    <row r="1751" spans="1:16">
      <c r="A1751">
        <v>432.5</v>
      </c>
      <c r="B1751">
        <v>101.9</v>
      </c>
      <c r="C1751">
        <v>104.23</v>
      </c>
      <c r="D1751">
        <v>107.34</v>
      </c>
      <c r="E1751">
        <v>111.73</v>
      </c>
      <c r="F1751">
        <v>110.17</v>
      </c>
      <c r="G1751">
        <v>110.62</v>
      </c>
      <c r="H1751">
        <v>113.51</v>
      </c>
      <c r="K1751" s="9">
        <f t="shared" si="118"/>
        <v>-0.21999999999999886</v>
      </c>
      <c r="L1751">
        <f t="shared" si="113"/>
        <v>0.21999999999999886</v>
      </c>
      <c r="M1751">
        <f t="shared" si="114"/>
        <v>-0.21999999999999886</v>
      </c>
      <c r="N1751">
        <f t="shared" si="115"/>
        <v>-0.43999999999999773</v>
      </c>
      <c r="O1751">
        <f t="shared" si="116"/>
        <v>-0.10999999999999943</v>
      </c>
      <c r="P1751" s="10">
        <f t="shared" si="117"/>
        <v>-0.56000000000000227</v>
      </c>
    </row>
    <row r="1752" spans="1:16">
      <c r="A1752">
        <v>432.75</v>
      </c>
      <c r="B1752">
        <v>101.78</v>
      </c>
      <c r="C1752">
        <v>104.17</v>
      </c>
      <c r="D1752">
        <v>107.45</v>
      </c>
      <c r="E1752">
        <v>111.73</v>
      </c>
      <c r="F1752">
        <v>110.17</v>
      </c>
      <c r="G1752">
        <v>110.67</v>
      </c>
      <c r="H1752">
        <v>113.56</v>
      </c>
      <c r="K1752" s="9">
        <f t="shared" si="118"/>
        <v>-0.15999999999999659</v>
      </c>
      <c r="L1752">
        <f t="shared" si="113"/>
        <v>0.17000000000000171</v>
      </c>
      <c r="M1752">
        <f t="shared" si="114"/>
        <v>-0.21999999999999886</v>
      </c>
      <c r="N1752">
        <f t="shared" si="115"/>
        <v>-0.43999999999999773</v>
      </c>
      <c r="O1752">
        <f t="shared" si="116"/>
        <v>-0.21999999999999886</v>
      </c>
      <c r="P1752" s="10">
        <f t="shared" si="117"/>
        <v>-0.15999999999999659</v>
      </c>
    </row>
    <row r="1753" spans="1:16">
      <c r="A1753">
        <v>433</v>
      </c>
      <c r="B1753">
        <v>101.67</v>
      </c>
      <c r="C1753">
        <v>104.01</v>
      </c>
      <c r="D1753">
        <v>107.51</v>
      </c>
      <c r="E1753">
        <v>111.62</v>
      </c>
      <c r="F1753">
        <v>110.06</v>
      </c>
      <c r="G1753">
        <v>110.56</v>
      </c>
      <c r="H1753">
        <v>113.45</v>
      </c>
      <c r="K1753" s="9">
        <f t="shared" si="118"/>
        <v>-6.0000000000002274E-2</v>
      </c>
      <c r="L1753">
        <f t="shared" si="113"/>
        <v>-0.10999999999999943</v>
      </c>
      <c r="M1753">
        <f t="shared" si="114"/>
        <v>-0.21999999999999886</v>
      </c>
      <c r="N1753">
        <f t="shared" si="115"/>
        <v>-0.32999999999999829</v>
      </c>
      <c r="O1753">
        <f t="shared" si="116"/>
        <v>-0.10999999999999943</v>
      </c>
      <c r="P1753" s="10">
        <f t="shared" si="117"/>
        <v>0.17000000000000171</v>
      </c>
    </row>
    <row r="1754" spans="1:16">
      <c r="A1754">
        <v>433.25</v>
      </c>
      <c r="B1754">
        <v>101.45</v>
      </c>
      <c r="C1754">
        <v>104.01</v>
      </c>
      <c r="D1754">
        <v>107.56</v>
      </c>
      <c r="E1754">
        <v>111.51</v>
      </c>
      <c r="F1754">
        <v>109.73</v>
      </c>
      <c r="G1754">
        <v>110.51</v>
      </c>
      <c r="H1754">
        <v>112.95</v>
      </c>
      <c r="K1754" s="9">
        <f t="shared" si="118"/>
        <v>-6.0000000000002274E-2</v>
      </c>
      <c r="L1754">
        <f t="shared" si="113"/>
        <v>-0.60999999999999943</v>
      </c>
      <c r="M1754">
        <f t="shared" si="114"/>
        <v>-0.17000000000000171</v>
      </c>
      <c r="N1754">
        <f t="shared" si="115"/>
        <v>-6.0000000000002274E-2</v>
      </c>
      <c r="O1754">
        <f t="shared" si="116"/>
        <v>-0.17000000000000171</v>
      </c>
      <c r="P1754" s="10">
        <f t="shared" si="117"/>
        <v>0.71999999999999886</v>
      </c>
    </row>
    <row r="1755" spans="1:16">
      <c r="A1755">
        <v>433.5</v>
      </c>
      <c r="B1755">
        <v>101.51</v>
      </c>
      <c r="C1755">
        <v>104.01</v>
      </c>
      <c r="D1755">
        <v>107.62</v>
      </c>
      <c r="E1755">
        <v>111.51</v>
      </c>
      <c r="F1755">
        <v>109.73</v>
      </c>
      <c r="G1755">
        <v>110.45</v>
      </c>
      <c r="H1755">
        <v>113.4</v>
      </c>
      <c r="K1755" s="9">
        <f t="shared" si="118"/>
        <v>-0.17000000000000171</v>
      </c>
      <c r="L1755">
        <f t="shared" si="113"/>
        <v>-0.71999999999999886</v>
      </c>
      <c r="M1755">
        <f t="shared" si="114"/>
        <v>-0.28000000000000114</v>
      </c>
      <c r="N1755">
        <f t="shared" si="115"/>
        <v>-0.17000000000000171</v>
      </c>
      <c r="O1755">
        <f t="shared" si="116"/>
        <v>-0.10999999999999943</v>
      </c>
      <c r="P1755" s="10">
        <f t="shared" si="117"/>
        <v>0.32999999999999829</v>
      </c>
    </row>
    <row r="1756" spans="1:16">
      <c r="A1756">
        <v>433.75</v>
      </c>
      <c r="B1756">
        <v>101.45</v>
      </c>
      <c r="C1756">
        <v>103.95</v>
      </c>
      <c r="D1756">
        <v>107.4</v>
      </c>
      <c r="E1756">
        <v>111.4</v>
      </c>
      <c r="F1756">
        <v>109.73</v>
      </c>
      <c r="G1756">
        <v>110.45</v>
      </c>
      <c r="H1756">
        <v>113.62</v>
      </c>
      <c r="K1756" s="9">
        <f t="shared" si="118"/>
        <v>-4.9999999999997158E-2</v>
      </c>
      <c r="L1756">
        <f t="shared" si="113"/>
        <v>-0.34000000000000341</v>
      </c>
      <c r="M1756">
        <f t="shared" si="114"/>
        <v>-0.23000000000000398</v>
      </c>
      <c r="N1756">
        <f t="shared" si="115"/>
        <v>-0.17000000000000171</v>
      </c>
      <c r="O1756">
        <f t="shared" si="116"/>
        <v>-0.17000000000000171</v>
      </c>
      <c r="P1756" s="10">
        <f t="shared" si="117"/>
        <v>0.21999999999999886</v>
      </c>
    </row>
    <row r="1757" spans="1:16">
      <c r="A1757">
        <v>434</v>
      </c>
      <c r="B1757">
        <v>101.51</v>
      </c>
      <c r="C1757">
        <v>103.95</v>
      </c>
      <c r="D1757">
        <v>106.95</v>
      </c>
      <c r="E1757">
        <v>111.34</v>
      </c>
      <c r="F1757">
        <v>109.67</v>
      </c>
      <c r="G1757">
        <v>110.34</v>
      </c>
      <c r="H1757">
        <v>113.67</v>
      </c>
      <c r="K1757" s="9">
        <f t="shared" si="118"/>
        <v>-0.21999999999999886</v>
      </c>
      <c r="L1757">
        <f t="shared" si="113"/>
        <v>0.17000000000000171</v>
      </c>
      <c r="M1757">
        <f t="shared" si="114"/>
        <v>-0.28000000000000114</v>
      </c>
      <c r="N1757">
        <f t="shared" si="115"/>
        <v>-0.10999999999999943</v>
      </c>
      <c r="O1757">
        <f t="shared" si="116"/>
        <v>-0.17000000000000171</v>
      </c>
      <c r="P1757" s="10">
        <f t="shared" si="117"/>
        <v>0.10999999999999943</v>
      </c>
    </row>
    <row r="1758" spans="1:16">
      <c r="A1758">
        <v>434.25</v>
      </c>
      <c r="B1758">
        <v>101.45</v>
      </c>
      <c r="C1758">
        <v>103.84</v>
      </c>
      <c r="D1758">
        <v>106.9</v>
      </c>
      <c r="E1758">
        <v>111.23</v>
      </c>
      <c r="F1758">
        <v>109.56</v>
      </c>
      <c r="G1758">
        <v>110.34</v>
      </c>
      <c r="H1758">
        <v>113.73</v>
      </c>
      <c r="K1758" s="9">
        <f t="shared" si="118"/>
        <v>-0.21999999999999886</v>
      </c>
      <c r="L1758">
        <f t="shared" si="113"/>
        <v>0.26999999999999602</v>
      </c>
      <c r="M1758">
        <f t="shared" si="114"/>
        <v>-0.28000000000000114</v>
      </c>
      <c r="N1758">
        <f t="shared" si="115"/>
        <v>-4.9999999999997158E-2</v>
      </c>
      <c r="O1758">
        <f t="shared" si="116"/>
        <v>-0.28000000000000114</v>
      </c>
      <c r="P1758" s="10">
        <f t="shared" si="117"/>
        <v>0</v>
      </c>
    </row>
    <row r="1759" spans="1:16">
      <c r="A1759">
        <v>434.5</v>
      </c>
      <c r="B1759">
        <v>101.45</v>
      </c>
      <c r="C1759">
        <v>103.9</v>
      </c>
      <c r="D1759">
        <v>107.06</v>
      </c>
      <c r="E1759">
        <v>111.17</v>
      </c>
      <c r="F1759">
        <v>109.56</v>
      </c>
      <c r="G1759">
        <v>110.28</v>
      </c>
      <c r="H1759">
        <v>113.84</v>
      </c>
      <c r="K1759" s="9">
        <f t="shared" si="118"/>
        <v>-0.34000000000000341</v>
      </c>
      <c r="L1759">
        <f t="shared" si="113"/>
        <v>0.17000000000000171</v>
      </c>
      <c r="M1759">
        <f t="shared" si="114"/>
        <v>-0.15999999999999659</v>
      </c>
      <c r="N1759">
        <f t="shared" si="115"/>
        <v>-0.10999999999999943</v>
      </c>
      <c r="O1759">
        <f t="shared" si="116"/>
        <v>-0.21999999999999886</v>
      </c>
      <c r="P1759" s="10">
        <f t="shared" si="117"/>
        <v>-6.0000000000002274E-2</v>
      </c>
    </row>
    <row r="1760" spans="1:16">
      <c r="A1760">
        <v>434.75</v>
      </c>
      <c r="B1760">
        <v>101.34</v>
      </c>
      <c r="C1760">
        <v>103.73</v>
      </c>
      <c r="D1760">
        <v>107.12</v>
      </c>
      <c r="E1760">
        <v>111.06</v>
      </c>
      <c r="F1760">
        <v>109.56</v>
      </c>
      <c r="G1760">
        <v>110.17</v>
      </c>
      <c r="H1760">
        <v>113.78</v>
      </c>
      <c r="K1760" s="9">
        <f t="shared" si="118"/>
        <v>-0.17000000000000171</v>
      </c>
      <c r="L1760">
        <f t="shared" si="113"/>
        <v>0.15999999999999659</v>
      </c>
      <c r="M1760">
        <f t="shared" si="114"/>
        <v>-0.15999999999999659</v>
      </c>
      <c r="N1760">
        <f t="shared" si="115"/>
        <v>-0.21999999999999886</v>
      </c>
      <c r="O1760">
        <f t="shared" si="116"/>
        <v>-0.21999999999999886</v>
      </c>
      <c r="P1760" s="10">
        <f t="shared" si="117"/>
        <v>-4.9999999999997158E-2</v>
      </c>
    </row>
    <row r="1761" spans="1:16">
      <c r="A1761">
        <v>435</v>
      </c>
      <c r="B1761">
        <v>101.4</v>
      </c>
      <c r="C1761">
        <v>103.62</v>
      </c>
      <c r="D1761">
        <v>107.17</v>
      </c>
      <c r="E1761">
        <v>110.95</v>
      </c>
      <c r="F1761">
        <v>109.51</v>
      </c>
      <c r="G1761">
        <v>110.06</v>
      </c>
      <c r="H1761">
        <v>113.73</v>
      </c>
      <c r="K1761" s="9">
        <f t="shared" si="118"/>
        <v>-0.17000000000000171</v>
      </c>
      <c r="L1761">
        <f t="shared" si="113"/>
        <v>0.10999999999999943</v>
      </c>
      <c r="M1761">
        <f t="shared" si="114"/>
        <v>-0.17000000000000171</v>
      </c>
      <c r="N1761">
        <f t="shared" si="115"/>
        <v>-0.34000000000000341</v>
      </c>
      <c r="O1761">
        <f t="shared" si="116"/>
        <v>-0.21999999999999886</v>
      </c>
      <c r="P1761" s="10">
        <f t="shared" si="117"/>
        <v>-6.0000000000002274E-2</v>
      </c>
    </row>
    <row r="1762" spans="1:16">
      <c r="A1762">
        <v>435.25</v>
      </c>
      <c r="B1762">
        <v>101.28</v>
      </c>
      <c r="C1762">
        <v>103.56</v>
      </c>
      <c r="D1762">
        <v>107.23</v>
      </c>
      <c r="E1762">
        <v>111.01</v>
      </c>
      <c r="F1762">
        <v>109.45</v>
      </c>
      <c r="G1762">
        <v>110.06</v>
      </c>
      <c r="H1762">
        <v>113.78</v>
      </c>
      <c r="K1762" s="9">
        <f t="shared" si="118"/>
        <v>-0.15999999999999659</v>
      </c>
      <c r="L1762">
        <f t="shared" si="113"/>
        <v>-0.28000000000000114</v>
      </c>
      <c r="M1762">
        <f t="shared" si="114"/>
        <v>-0.28000000000000114</v>
      </c>
      <c r="N1762">
        <f t="shared" si="115"/>
        <v>-0.32999999999999829</v>
      </c>
      <c r="O1762">
        <f t="shared" si="116"/>
        <v>-0.21999999999999886</v>
      </c>
      <c r="P1762" s="10">
        <f t="shared" si="117"/>
        <v>-0.26999999999999602</v>
      </c>
    </row>
    <row r="1763" spans="1:16">
      <c r="A1763">
        <v>435.5</v>
      </c>
      <c r="B1763">
        <v>101.28</v>
      </c>
      <c r="C1763">
        <v>103.56</v>
      </c>
      <c r="D1763">
        <v>107.28</v>
      </c>
      <c r="E1763">
        <v>110.9</v>
      </c>
      <c r="F1763">
        <v>109.34</v>
      </c>
      <c r="G1763">
        <v>109.95</v>
      </c>
      <c r="H1763">
        <v>113.73</v>
      </c>
      <c r="K1763" s="9">
        <f t="shared" si="118"/>
        <v>-4.9999999999997158E-2</v>
      </c>
      <c r="L1763">
        <f t="shared" si="113"/>
        <v>-0.43999999999999773</v>
      </c>
      <c r="M1763">
        <f t="shared" si="114"/>
        <v>-0.23000000000000398</v>
      </c>
      <c r="N1763">
        <f t="shared" si="115"/>
        <v>-0.17000000000000171</v>
      </c>
      <c r="O1763">
        <f t="shared" si="116"/>
        <v>-0.10999999999999943</v>
      </c>
      <c r="P1763" s="10">
        <f t="shared" si="117"/>
        <v>-0.32999999999999829</v>
      </c>
    </row>
    <row r="1764" spans="1:16">
      <c r="A1764">
        <v>435.75</v>
      </c>
      <c r="B1764">
        <v>101.17</v>
      </c>
      <c r="C1764">
        <v>103.45</v>
      </c>
      <c r="D1764">
        <v>107.28</v>
      </c>
      <c r="E1764">
        <v>110.78</v>
      </c>
      <c r="F1764">
        <v>109.17</v>
      </c>
      <c r="G1764">
        <v>109.84</v>
      </c>
      <c r="H1764">
        <v>113.67</v>
      </c>
      <c r="K1764" s="9">
        <f t="shared" si="118"/>
        <v>-4.9999999999997158E-2</v>
      </c>
      <c r="L1764">
        <f t="shared" si="113"/>
        <v>-0.5</v>
      </c>
      <c r="M1764">
        <f t="shared" si="114"/>
        <v>-0.15999999999999659</v>
      </c>
      <c r="N1764">
        <f t="shared" si="115"/>
        <v>-0.10999999999999943</v>
      </c>
      <c r="O1764">
        <f t="shared" si="116"/>
        <v>-6.0000000000002274E-2</v>
      </c>
      <c r="P1764" s="10">
        <f t="shared" si="117"/>
        <v>-0.26999999999999602</v>
      </c>
    </row>
    <row r="1765" spans="1:16">
      <c r="A1765">
        <v>436</v>
      </c>
      <c r="B1765">
        <v>101.06</v>
      </c>
      <c r="C1765">
        <v>103.4</v>
      </c>
      <c r="D1765">
        <v>106.95</v>
      </c>
      <c r="E1765">
        <v>110.73</v>
      </c>
      <c r="F1765">
        <v>109.12</v>
      </c>
      <c r="G1765">
        <v>109.84</v>
      </c>
      <c r="H1765">
        <v>113.51</v>
      </c>
      <c r="K1765" s="9">
        <f t="shared" si="118"/>
        <v>-0.12000000000000455</v>
      </c>
      <c r="L1765">
        <f t="shared" si="113"/>
        <v>-0.10999999999999943</v>
      </c>
      <c r="M1765">
        <f t="shared" si="114"/>
        <v>-0.21999999999999886</v>
      </c>
      <c r="N1765">
        <f t="shared" si="115"/>
        <v>-0.17000000000000171</v>
      </c>
      <c r="O1765">
        <f t="shared" si="116"/>
        <v>-0.17000000000000171</v>
      </c>
      <c r="P1765" s="10">
        <f t="shared" si="117"/>
        <v>-0.17000000000000171</v>
      </c>
    </row>
    <row r="1766" spans="1:16">
      <c r="A1766">
        <v>436.25</v>
      </c>
      <c r="B1766">
        <v>101.12</v>
      </c>
      <c r="C1766">
        <v>103.51</v>
      </c>
      <c r="D1766">
        <v>106.84</v>
      </c>
      <c r="E1766">
        <v>110.67</v>
      </c>
      <c r="F1766">
        <v>109.17</v>
      </c>
      <c r="G1766">
        <v>109.84</v>
      </c>
      <c r="H1766">
        <v>113.4</v>
      </c>
      <c r="K1766" s="9">
        <f t="shared" si="118"/>
        <v>-0.28000000000000114</v>
      </c>
      <c r="L1766">
        <f t="shared" si="113"/>
        <v>6.0000000000002274E-2</v>
      </c>
      <c r="M1766">
        <f t="shared" si="114"/>
        <v>-0.15999999999999659</v>
      </c>
      <c r="N1766">
        <f t="shared" si="115"/>
        <v>-0.21999999999999886</v>
      </c>
      <c r="O1766">
        <f t="shared" si="116"/>
        <v>-0.28000000000000114</v>
      </c>
      <c r="P1766" s="10">
        <f t="shared" si="117"/>
        <v>4.9999999999997158E-2</v>
      </c>
    </row>
    <row r="1767" spans="1:16">
      <c r="A1767">
        <v>436.5</v>
      </c>
      <c r="B1767">
        <v>100.9</v>
      </c>
      <c r="C1767">
        <v>103.4</v>
      </c>
      <c r="D1767">
        <v>106.78</v>
      </c>
      <c r="E1767">
        <v>110.62</v>
      </c>
      <c r="F1767">
        <v>109.06</v>
      </c>
      <c r="G1767">
        <v>109.78</v>
      </c>
      <c r="H1767">
        <v>113.4</v>
      </c>
      <c r="K1767" s="9">
        <f t="shared" si="118"/>
        <v>-0.23000000000000398</v>
      </c>
      <c r="L1767">
        <f t="shared" si="113"/>
        <v>0.17000000000000171</v>
      </c>
      <c r="M1767">
        <f t="shared" si="114"/>
        <v>-0.21999999999999886</v>
      </c>
      <c r="N1767">
        <f t="shared" si="115"/>
        <v>-0.15999999999999659</v>
      </c>
      <c r="O1767">
        <f t="shared" si="116"/>
        <v>-0.26999999999999602</v>
      </c>
      <c r="P1767" s="10">
        <f t="shared" si="117"/>
        <v>-6.0000000000002274E-2</v>
      </c>
    </row>
    <row r="1768" spans="1:16">
      <c r="A1768">
        <v>436.75</v>
      </c>
      <c r="B1768">
        <v>100.95</v>
      </c>
      <c r="C1768">
        <v>103.28</v>
      </c>
      <c r="D1768">
        <v>106.84</v>
      </c>
      <c r="E1768">
        <v>110.51</v>
      </c>
      <c r="F1768">
        <v>108.95</v>
      </c>
      <c r="G1768">
        <v>109.67</v>
      </c>
      <c r="H1768">
        <v>113.34</v>
      </c>
      <c r="K1768" s="9">
        <f t="shared" si="118"/>
        <v>-4.9999999999997158E-2</v>
      </c>
      <c r="L1768">
        <f t="shared" si="113"/>
        <v>6.0000000000002274E-2</v>
      </c>
      <c r="M1768">
        <f t="shared" si="114"/>
        <v>-0.23000000000000398</v>
      </c>
      <c r="N1768">
        <f t="shared" si="115"/>
        <v>-0.10999999999999943</v>
      </c>
      <c r="O1768">
        <f t="shared" si="116"/>
        <v>-0.32999999999999829</v>
      </c>
      <c r="P1768" s="10">
        <f t="shared" si="117"/>
        <v>0</v>
      </c>
    </row>
    <row r="1769" spans="1:16">
      <c r="A1769">
        <v>437</v>
      </c>
      <c r="B1769">
        <v>100.84</v>
      </c>
      <c r="C1769">
        <v>103.23</v>
      </c>
      <c r="D1769">
        <v>106.9</v>
      </c>
      <c r="E1769">
        <v>110.51</v>
      </c>
      <c r="F1769">
        <v>108.95</v>
      </c>
      <c r="G1769">
        <v>109.56</v>
      </c>
      <c r="H1769">
        <v>113.45</v>
      </c>
      <c r="K1769" s="9">
        <f t="shared" si="118"/>
        <v>-0.10999999999999943</v>
      </c>
      <c r="L1769">
        <f t="shared" si="113"/>
        <v>-0.84000000000000341</v>
      </c>
      <c r="M1769">
        <f t="shared" si="114"/>
        <v>-0.23000000000000398</v>
      </c>
      <c r="N1769">
        <f t="shared" si="115"/>
        <v>-0.21999999999999886</v>
      </c>
      <c r="O1769">
        <f t="shared" si="116"/>
        <v>-0.54999999999999716</v>
      </c>
      <c r="P1769" s="10">
        <f t="shared" si="117"/>
        <v>0</v>
      </c>
    </row>
    <row r="1770" spans="1:16">
      <c r="A1770">
        <v>437.25</v>
      </c>
      <c r="B1770">
        <v>100.62</v>
      </c>
      <c r="C1770">
        <v>103.17</v>
      </c>
      <c r="D1770">
        <v>106.95</v>
      </c>
      <c r="E1770">
        <v>110.4</v>
      </c>
      <c r="F1770">
        <v>108.9</v>
      </c>
      <c r="G1770">
        <v>109.51</v>
      </c>
      <c r="H1770">
        <v>113.34</v>
      </c>
      <c r="K1770" s="9">
        <f t="shared" si="118"/>
        <v>-0.15999999999999659</v>
      </c>
      <c r="L1770">
        <f t="shared" si="113"/>
        <v>-0.93999999999999773</v>
      </c>
      <c r="M1770">
        <f t="shared" si="114"/>
        <v>-0.28000000000000114</v>
      </c>
      <c r="N1770">
        <f t="shared" si="115"/>
        <v>-0.23000000000000398</v>
      </c>
      <c r="O1770">
        <f t="shared" si="116"/>
        <v>-1</v>
      </c>
      <c r="P1770" s="10">
        <f t="shared" si="117"/>
        <v>6.0000000000002274E-2</v>
      </c>
    </row>
    <row r="1771" spans="1:16">
      <c r="A1771">
        <v>437.5</v>
      </c>
      <c r="B1771">
        <v>100.62</v>
      </c>
      <c r="C1771">
        <v>103.23</v>
      </c>
      <c r="D1771">
        <v>106.9</v>
      </c>
      <c r="E1771">
        <v>110.28</v>
      </c>
      <c r="F1771">
        <v>108.84</v>
      </c>
      <c r="G1771">
        <v>109.34</v>
      </c>
      <c r="H1771">
        <v>113.34</v>
      </c>
      <c r="K1771" s="9">
        <f t="shared" si="118"/>
        <v>-0.28000000000000114</v>
      </c>
      <c r="L1771">
        <f t="shared" si="113"/>
        <v>-1.230000000000004</v>
      </c>
      <c r="M1771">
        <f t="shared" si="114"/>
        <v>-0.32999999999999829</v>
      </c>
      <c r="N1771">
        <f t="shared" si="115"/>
        <v>-0.21999999999999886</v>
      </c>
      <c r="O1771">
        <f t="shared" si="116"/>
        <v>-1.2800000000000011</v>
      </c>
      <c r="P1771" s="10">
        <f t="shared" si="117"/>
        <v>0.17000000000000171</v>
      </c>
    </row>
    <row r="1772" spans="1:16">
      <c r="A1772">
        <v>437.75</v>
      </c>
      <c r="B1772">
        <v>100.62</v>
      </c>
      <c r="C1772">
        <v>103.12</v>
      </c>
      <c r="D1772">
        <v>106.06</v>
      </c>
      <c r="E1772">
        <v>110.28</v>
      </c>
      <c r="F1772">
        <v>108.73</v>
      </c>
      <c r="G1772">
        <v>109.01</v>
      </c>
      <c r="H1772">
        <v>113.45</v>
      </c>
      <c r="K1772" s="9">
        <f t="shared" si="118"/>
        <v>-0.21999999999999886</v>
      </c>
      <c r="L1772">
        <f t="shared" si="113"/>
        <v>-0.32999999999999829</v>
      </c>
      <c r="M1772">
        <f t="shared" si="114"/>
        <v>-0.37999999999999545</v>
      </c>
      <c r="N1772">
        <f t="shared" si="115"/>
        <v>-0.17000000000000171</v>
      </c>
      <c r="O1772">
        <f t="shared" si="116"/>
        <v>-0.60999999999999943</v>
      </c>
      <c r="P1772" s="10">
        <f t="shared" si="117"/>
        <v>0.10999999999999943</v>
      </c>
    </row>
    <row r="1773" spans="1:16">
      <c r="A1773">
        <v>438</v>
      </c>
      <c r="B1773">
        <v>100.45</v>
      </c>
      <c r="C1773">
        <v>103.01</v>
      </c>
      <c r="D1773">
        <v>106.01</v>
      </c>
      <c r="E1773">
        <v>110.12</v>
      </c>
      <c r="F1773">
        <v>108.67</v>
      </c>
      <c r="G1773">
        <v>108.51</v>
      </c>
      <c r="H1773">
        <v>113.4</v>
      </c>
      <c r="K1773" s="9">
        <f t="shared" si="118"/>
        <v>-0.23000000000000398</v>
      </c>
      <c r="L1773">
        <f t="shared" si="113"/>
        <v>-0.73000000000000398</v>
      </c>
      <c r="M1773">
        <f t="shared" si="114"/>
        <v>-0.34000000000000341</v>
      </c>
      <c r="N1773">
        <f t="shared" si="115"/>
        <v>-0.15999999999999659</v>
      </c>
      <c r="O1773">
        <f t="shared" si="116"/>
        <v>-0.39000000000000057</v>
      </c>
      <c r="P1773" s="10">
        <f t="shared" si="117"/>
        <v>0.10999999999999943</v>
      </c>
    </row>
    <row r="1774" spans="1:16">
      <c r="A1774">
        <v>438.25</v>
      </c>
      <c r="B1774">
        <v>100.34</v>
      </c>
      <c r="C1774">
        <v>102.95</v>
      </c>
      <c r="D1774">
        <v>105.67</v>
      </c>
      <c r="E1774">
        <v>109.95</v>
      </c>
      <c r="F1774">
        <v>108.62</v>
      </c>
      <c r="G1774">
        <v>108.06</v>
      </c>
      <c r="H1774">
        <v>113.51</v>
      </c>
      <c r="K1774" s="9">
        <f t="shared" si="118"/>
        <v>-0.17000000000000171</v>
      </c>
      <c r="L1774">
        <f t="shared" si="113"/>
        <v>-1.2199999999999989</v>
      </c>
      <c r="M1774">
        <f t="shared" si="114"/>
        <v>-0.21999999999999886</v>
      </c>
      <c r="N1774">
        <f t="shared" si="115"/>
        <v>-0.10999999999999943</v>
      </c>
      <c r="O1774">
        <f t="shared" si="116"/>
        <v>0</v>
      </c>
      <c r="P1774" s="10">
        <f t="shared" si="117"/>
        <v>0</v>
      </c>
    </row>
    <row r="1775" spans="1:16">
      <c r="A1775">
        <v>438.5</v>
      </c>
      <c r="B1775">
        <v>100.4</v>
      </c>
      <c r="C1775">
        <v>102.9</v>
      </c>
      <c r="D1775">
        <v>105.73</v>
      </c>
      <c r="E1775">
        <v>109.9</v>
      </c>
      <c r="F1775">
        <v>108.56</v>
      </c>
      <c r="G1775">
        <v>108.4</v>
      </c>
      <c r="H1775">
        <v>113.56</v>
      </c>
      <c r="K1775" s="9">
        <f t="shared" si="118"/>
        <v>-0.17000000000000171</v>
      </c>
      <c r="L1775">
        <f t="shared" si="113"/>
        <v>-1.8900000000000006</v>
      </c>
      <c r="M1775">
        <f t="shared" si="114"/>
        <v>-0.39000000000000057</v>
      </c>
      <c r="N1775">
        <f t="shared" si="115"/>
        <v>-0.21999999999999886</v>
      </c>
      <c r="O1775">
        <f t="shared" si="116"/>
        <v>-0.39000000000000057</v>
      </c>
      <c r="P1775" s="10">
        <f t="shared" si="117"/>
        <v>-0.15999999999999659</v>
      </c>
    </row>
    <row r="1776" spans="1:16">
      <c r="A1776">
        <v>438.75</v>
      </c>
      <c r="B1776">
        <v>100.23</v>
      </c>
      <c r="C1776">
        <v>102.78</v>
      </c>
      <c r="D1776">
        <v>105.28</v>
      </c>
      <c r="E1776">
        <v>109.78</v>
      </c>
      <c r="F1776">
        <v>108.51</v>
      </c>
      <c r="G1776">
        <v>108.12</v>
      </c>
      <c r="H1776">
        <v>113.51</v>
      </c>
      <c r="K1776" s="9">
        <f t="shared" si="118"/>
        <v>-0.15999999999999659</v>
      </c>
      <c r="L1776">
        <f t="shared" si="113"/>
        <v>-1.5499999999999972</v>
      </c>
      <c r="M1776">
        <f t="shared" si="114"/>
        <v>-0.26999999999999602</v>
      </c>
      <c r="N1776">
        <f t="shared" si="115"/>
        <v>-0.28000000000000114</v>
      </c>
      <c r="O1776">
        <f t="shared" si="116"/>
        <v>-0.28000000000000114</v>
      </c>
      <c r="P1776" s="10">
        <f t="shared" si="117"/>
        <v>-0.17000000000000171</v>
      </c>
    </row>
    <row r="1777" spans="1:16">
      <c r="A1777">
        <v>439</v>
      </c>
      <c r="B1777">
        <v>100.06</v>
      </c>
      <c r="C1777">
        <v>102.78</v>
      </c>
      <c r="D1777">
        <v>104.45</v>
      </c>
      <c r="E1777">
        <v>109.73</v>
      </c>
      <c r="F1777">
        <v>108.51</v>
      </c>
      <c r="G1777">
        <v>108.06</v>
      </c>
      <c r="H1777">
        <v>113.51</v>
      </c>
      <c r="K1777" s="9">
        <f t="shared" si="118"/>
        <v>-0.21999999999999886</v>
      </c>
      <c r="L1777">
        <f t="shared" si="113"/>
        <v>-0.93999999999999773</v>
      </c>
      <c r="M1777">
        <f t="shared" si="114"/>
        <v>-0.32999999999999829</v>
      </c>
      <c r="N1777">
        <f t="shared" si="115"/>
        <v>-0.39000000000000057</v>
      </c>
      <c r="O1777">
        <f t="shared" si="116"/>
        <v>-0.32999999999999829</v>
      </c>
      <c r="P1777" s="10">
        <f t="shared" si="117"/>
        <v>-0.10999999999999943</v>
      </c>
    </row>
    <row r="1778" spans="1:16">
      <c r="A1778">
        <v>439.25</v>
      </c>
      <c r="B1778">
        <v>99.95</v>
      </c>
      <c r="C1778">
        <v>102.73</v>
      </c>
      <c r="D1778">
        <v>103.84</v>
      </c>
      <c r="E1778">
        <v>109.51</v>
      </c>
      <c r="F1778">
        <v>108.34</v>
      </c>
      <c r="G1778">
        <v>108.01</v>
      </c>
      <c r="H1778">
        <v>113.4</v>
      </c>
      <c r="K1778" s="9">
        <f t="shared" si="118"/>
        <v>-0.21999999999999886</v>
      </c>
      <c r="L1778">
        <f t="shared" si="113"/>
        <v>-1.2800000000000011</v>
      </c>
      <c r="M1778">
        <f t="shared" si="114"/>
        <v>-0.17000000000000171</v>
      </c>
      <c r="N1778">
        <f t="shared" si="115"/>
        <v>-0.28000000000000114</v>
      </c>
      <c r="O1778">
        <f t="shared" si="116"/>
        <v>-0.45000000000000284</v>
      </c>
      <c r="P1778" s="10">
        <f t="shared" si="117"/>
        <v>4.9999999999997158E-2</v>
      </c>
    </row>
    <row r="1779" spans="1:16">
      <c r="A1779">
        <v>439.5</v>
      </c>
      <c r="B1779">
        <v>99.84</v>
      </c>
      <c r="C1779">
        <v>102.62</v>
      </c>
      <c r="D1779">
        <v>103.73</v>
      </c>
      <c r="E1779">
        <v>109.51</v>
      </c>
      <c r="F1779">
        <v>108.23</v>
      </c>
      <c r="G1779">
        <v>107.84</v>
      </c>
      <c r="H1779">
        <v>113.34</v>
      </c>
      <c r="K1779" s="9">
        <f t="shared" si="118"/>
        <v>-0.21999999999999886</v>
      </c>
      <c r="L1779">
        <f t="shared" si="113"/>
        <v>-1.7199999999999989</v>
      </c>
      <c r="M1779">
        <f t="shared" si="114"/>
        <v>-0.17000000000000171</v>
      </c>
      <c r="N1779">
        <f t="shared" si="115"/>
        <v>-0.32999999999999829</v>
      </c>
      <c r="O1779">
        <f t="shared" si="116"/>
        <v>-1.0600000000000023</v>
      </c>
      <c r="P1779" s="10">
        <f t="shared" si="117"/>
        <v>6.0000000000002274E-2</v>
      </c>
    </row>
    <row r="1780" spans="1:16">
      <c r="A1780">
        <v>439.75</v>
      </c>
      <c r="B1780">
        <v>99.73</v>
      </c>
      <c r="C1780">
        <v>102.56</v>
      </c>
      <c r="D1780">
        <v>103.51</v>
      </c>
      <c r="E1780">
        <v>109.4</v>
      </c>
      <c r="F1780">
        <v>108.12</v>
      </c>
      <c r="G1780">
        <v>107.73</v>
      </c>
      <c r="H1780">
        <v>113.4</v>
      </c>
      <c r="K1780" s="9">
        <f t="shared" si="118"/>
        <v>-0.10999999999999943</v>
      </c>
      <c r="L1780">
        <f t="shared" si="113"/>
        <v>-1.9500000000000028</v>
      </c>
      <c r="M1780">
        <f t="shared" si="114"/>
        <v>-0.23000000000000398</v>
      </c>
      <c r="N1780">
        <f t="shared" si="115"/>
        <v>-0.39000000000000057</v>
      </c>
      <c r="O1780">
        <f t="shared" si="116"/>
        <v>-0.78000000000000114</v>
      </c>
      <c r="P1780" s="10">
        <f t="shared" si="117"/>
        <v>0.10999999999999943</v>
      </c>
    </row>
    <row r="1781" spans="1:16">
      <c r="A1781">
        <v>440</v>
      </c>
      <c r="B1781">
        <v>99.67</v>
      </c>
      <c r="C1781">
        <v>102.51</v>
      </c>
      <c r="D1781">
        <v>102.56</v>
      </c>
      <c r="E1781">
        <v>109.34</v>
      </c>
      <c r="F1781">
        <v>108.06</v>
      </c>
      <c r="G1781">
        <v>107.56</v>
      </c>
      <c r="H1781">
        <v>113.45</v>
      </c>
      <c r="K1781" s="9">
        <f t="shared" si="118"/>
        <v>0</v>
      </c>
      <c r="L1781">
        <f t="shared" si="113"/>
        <v>-1.3900000000000006</v>
      </c>
      <c r="M1781">
        <f t="shared" si="114"/>
        <v>-0.21999999999999886</v>
      </c>
      <c r="N1781">
        <f t="shared" si="115"/>
        <v>-0.39000000000000057</v>
      </c>
      <c r="O1781">
        <f t="shared" si="116"/>
        <v>-0.65999999999999659</v>
      </c>
      <c r="P1781" s="10">
        <f t="shared" si="117"/>
        <v>0</v>
      </c>
    </row>
    <row r="1782" spans="1:16">
      <c r="A1782">
        <v>440.25</v>
      </c>
      <c r="B1782">
        <v>99.56</v>
      </c>
      <c r="C1782">
        <v>102.4</v>
      </c>
      <c r="D1782">
        <v>102.01</v>
      </c>
      <c r="E1782">
        <v>109.34</v>
      </c>
      <c r="F1782">
        <v>107.9</v>
      </c>
      <c r="G1782">
        <v>106.78</v>
      </c>
      <c r="H1782">
        <v>113.4</v>
      </c>
      <c r="K1782" s="9">
        <f t="shared" si="118"/>
        <v>0.10999999999999943</v>
      </c>
      <c r="L1782">
        <f t="shared" si="113"/>
        <v>-1.2800000000000011</v>
      </c>
      <c r="M1782">
        <f t="shared" si="114"/>
        <v>-0.32999999999999829</v>
      </c>
      <c r="N1782">
        <f t="shared" si="115"/>
        <v>-0.34000000000000341</v>
      </c>
      <c r="O1782">
        <f t="shared" si="116"/>
        <v>-0.21999999999999886</v>
      </c>
      <c r="P1782" s="10">
        <f t="shared" si="117"/>
        <v>0.10999999999999943</v>
      </c>
    </row>
    <row r="1783" spans="1:16">
      <c r="A1783">
        <v>440.5</v>
      </c>
      <c r="B1783">
        <v>99.56</v>
      </c>
      <c r="C1783">
        <v>102.45</v>
      </c>
      <c r="D1783">
        <v>101.56</v>
      </c>
      <c r="E1783">
        <v>109.17</v>
      </c>
      <c r="F1783">
        <v>107.73</v>
      </c>
      <c r="G1783">
        <v>106.95</v>
      </c>
      <c r="H1783">
        <v>113.51</v>
      </c>
      <c r="K1783" s="9">
        <f t="shared" si="118"/>
        <v>0.17000000000000171</v>
      </c>
      <c r="L1783">
        <f t="shared" si="113"/>
        <v>-1.1599999999999966</v>
      </c>
      <c r="M1783">
        <f t="shared" si="114"/>
        <v>-0.21999999999999886</v>
      </c>
      <c r="N1783">
        <f t="shared" si="115"/>
        <v>-0.21999999999999886</v>
      </c>
      <c r="O1783">
        <f t="shared" si="116"/>
        <v>-0.43999999999999773</v>
      </c>
      <c r="P1783" s="10">
        <f t="shared" si="117"/>
        <v>0.15999999999999659</v>
      </c>
    </row>
    <row r="1784" spans="1:16">
      <c r="A1784">
        <v>440.75</v>
      </c>
      <c r="B1784">
        <v>99.45</v>
      </c>
      <c r="C1784">
        <v>102.51</v>
      </c>
      <c r="D1784">
        <v>101.17</v>
      </c>
      <c r="E1784">
        <v>109.12</v>
      </c>
      <c r="F1784">
        <v>107.67</v>
      </c>
      <c r="G1784">
        <v>106.9</v>
      </c>
      <c r="H1784">
        <v>113.45</v>
      </c>
      <c r="K1784" s="9">
        <f t="shared" si="118"/>
        <v>-6.0000000000002274E-2</v>
      </c>
      <c r="L1784">
        <f t="shared" si="113"/>
        <v>-1</v>
      </c>
      <c r="M1784">
        <f t="shared" si="114"/>
        <v>-0.28000000000000114</v>
      </c>
      <c r="N1784">
        <f t="shared" si="115"/>
        <v>-0.32999999999999829</v>
      </c>
      <c r="O1784">
        <f t="shared" si="116"/>
        <v>-0.89000000000000057</v>
      </c>
      <c r="P1784" s="10">
        <f t="shared" si="117"/>
        <v>0.17000000000000171</v>
      </c>
    </row>
    <row r="1785" spans="1:16">
      <c r="A1785">
        <v>441</v>
      </c>
      <c r="B1785">
        <v>99.28</v>
      </c>
      <c r="C1785">
        <v>102.51</v>
      </c>
      <c r="D1785">
        <v>100.73</v>
      </c>
      <c r="E1785">
        <v>109.01</v>
      </c>
      <c r="F1785">
        <v>107.56</v>
      </c>
      <c r="G1785">
        <v>106.56</v>
      </c>
      <c r="H1785">
        <v>113.51</v>
      </c>
      <c r="K1785" s="9">
        <f t="shared" si="118"/>
        <v>0.15999999999999659</v>
      </c>
      <c r="L1785">
        <f t="shared" si="113"/>
        <v>-1.2800000000000011</v>
      </c>
      <c r="M1785">
        <f t="shared" si="114"/>
        <v>-0.17000000000000171</v>
      </c>
      <c r="N1785">
        <f t="shared" si="115"/>
        <v>-0.28000000000000114</v>
      </c>
      <c r="O1785">
        <f t="shared" si="116"/>
        <v>-0.28000000000000114</v>
      </c>
      <c r="P1785" s="10">
        <f t="shared" si="117"/>
        <v>0.15999999999999659</v>
      </c>
    </row>
    <row r="1786" spans="1:16">
      <c r="A1786">
        <v>441.25</v>
      </c>
      <c r="B1786">
        <v>99.17</v>
      </c>
      <c r="C1786">
        <v>102.62</v>
      </c>
      <c r="D1786">
        <v>100.4</v>
      </c>
      <c r="E1786">
        <v>108.95</v>
      </c>
      <c r="F1786">
        <v>107.51</v>
      </c>
      <c r="G1786">
        <v>106.51</v>
      </c>
      <c r="H1786">
        <v>113.67</v>
      </c>
      <c r="K1786" s="9">
        <f t="shared" si="118"/>
        <v>4.9999999999997158E-2</v>
      </c>
      <c r="L1786">
        <f t="shared" si="113"/>
        <v>-1.8900000000000006</v>
      </c>
      <c r="M1786">
        <f t="shared" si="114"/>
        <v>-0.21999999999999886</v>
      </c>
      <c r="N1786">
        <f t="shared" si="115"/>
        <v>-0.39000000000000057</v>
      </c>
      <c r="O1786">
        <f t="shared" si="116"/>
        <v>-0.23000000000000398</v>
      </c>
      <c r="P1786" s="10">
        <f t="shared" si="117"/>
        <v>-0.10999999999999943</v>
      </c>
    </row>
    <row r="1787" spans="1:16">
      <c r="A1787">
        <v>441.5</v>
      </c>
      <c r="B1787">
        <v>99.06</v>
      </c>
      <c r="C1787">
        <v>102.45</v>
      </c>
      <c r="D1787">
        <v>100.17</v>
      </c>
      <c r="E1787">
        <v>108.84</v>
      </c>
      <c r="F1787">
        <v>107.34</v>
      </c>
      <c r="G1787">
        <v>106.01</v>
      </c>
      <c r="H1787">
        <v>113.62</v>
      </c>
      <c r="K1787" s="9">
        <f t="shared" si="118"/>
        <v>0.17000000000000171</v>
      </c>
      <c r="L1787">
        <f t="shared" si="113"/>
        <v>-2.3299999999999983</v>
      </c>
      <c r="M1787">
        <f t="shared" si="114"/>
        <v>-0.10999999999999943</v>
      </c>
      <c r="N1787">
        <f t="shared" si="115"/>
        <v>-0.28000000000000114</v>
      </c>
      <c r="O1787">
        <f t="shared" si="116"/>
        <v>-0.34000000000000341</v>
      </c>
      <c r="P1787" s="10">
        <f t="shared" si="117"/>
        <v>-0.60999999999999943</v>
      </c>
    </row>
    <row r="1788" spans="1:16">
      <c r="A1788">
        <v>441.75</v>
      </c>
      <c r="B1788">
        <v>99.12</v>
      </c>
      <c r="C1788">
        <v>102.67</v>
      </c>
      <c r="D1788">
        <v>99.45</v>
      </c>
      <c r="E1788">
        <v>108.84</v>
      </c>
      <c r="F1788">
        <v>107.28</v>
      </c>
      <c r="G1788">
        <v>106.28</v>
      </c>
      <c r="H1788">
        <v>113.67</v>
      </c>
      <c r="K1788" s="9">
        <f t="shared" si="118"/>
        <v>0</v>
      </c>
      <c r="L1788">
        <f t="shared" si="113"/>
        <v>-3.1099999999999994</v>
      </c>
      <c r="M1788">
        <f t="shared" si="114"/>
        <v>-0.5</v>
      </c>
      <c r="N1788">
        <f t="shared" si="115"/>
        <v>-0.26999999999999602</v>
      </c>
      <c r="O1788">
        <f t="shared" si="116"/>
        <v>-0.54999999999999716</v>
      </c>
      <c r="P1788" s="10">
        <f t="shared" si="117"/>
        <v>-0.89000000000000057</v>
      </c>
    </row>
    <row r="1789" spans="1:16">
      <c r="A1789">
        <v>442</v>
      </c>
      <c r="B1789">
        <v>98.84</v>
      </c>
      <c r="C1789">
        <v>102.67</v>
      </c>
      <c r="D1789">
        <v>98.51</v>
      </c>
      <c r="E1789">
        <v>108.73</v>
      </c>
      <c r="F1789">
        <v>107.12</v>
      </c>
      <c r="G1789">
        <v>106.28</v>
      </c>
      <c r="H1789">
        <v>113.56</v>
      </c>
      <c r="K1789" s="9">
        <f t="shared" si="118"/>
        <v>-0.10999999999999943</v>
      </c>
      <c r="L1789">
        <f t="shared" si="113"/>
        <v>-3.0600000000000023</v>
      </c>
      <c r="M1789">
        <f t="shared" si="114"/>
        <v>-0.56000000000000227</v>
      </c>
      <c r="N1789">
        <f t="shared" si="115"/>
        <v>-0.34000000000000341</v>
      </c>
      <c r="O1789">
        <f t="shared" si="116"/>
        <v>-0.5</v>
      </c>
      <c r="P1789" s="10">
        <f t="shared" si="117"/>
        <v>-0.82999999999999829</v>
      </c>
    </row>
    <row r="1790" spans="1:16">
      <c r="A1790">
        <v>442.25</v>
      </c>
      <c r="B1790">
        <v>98.78</v>
      </c>
      <c r="C1790">
        <v>102.62</v>
      </c>
      <c r="D1790">
        <v>97.84</v>
      </c>
      <c r="E1790">
        <v>108.73</v>
      </c>
      <c r="F1790">
        <v>107.06</v>
      </c>
      <c r="G1790">
        <v>105.67</v>
      </c>
      <c r="H1790">
        <v>113.01</v>
      </c>
      <c r="K1790" s="9">
        <f t="shared" si="118"/>
        <v>-6.0000000000002274E-2</v>
      </c>
      <c r="L1790">
        <f t="shared" si="113"/>
        <v>-2.6099999999999994</v>
      </c>
      <c r="M1790">
        <f t="shared" si="114"/>
        <v>-0.71999999999999886</v>
      </c>
      <c r="N1790">
        <f t="shared" si="115"/>
        <v>-0.43999999999999773</v>
      </c>
      <c r="O1790">
        <f t="shared" si="116"/>
        <v>-0.15999999999999659</v>
      </c>
      <c r="P1790" s="10">
        <f t="shared" si="117"/>
        <v>-0.28000000000000114</v>
      </c>
    </row>
    <row r="1791" spans="1:16">
      <c r="A1791">
        <v>442.5</v>
      </c>
      <c r="B1791">
        <v>98.56</v>
      </c>
      <c r="C1791">
        <v>102.67</v>
      </c>
      <c r="D1791">
        <v>96.34</v>
      </c>
      <c r="E1791">
        <v>108.34</v>
      </c>
      <c r="F1791">
        <v>107.01</v>
      </c>
      <c r="G1791">
        <v>105.73</v>
      </c>
      <c r="H1791">
        <v>112.78</v>
      </c>
      <c r="K1791" s="9">
        <f t="shared" si="118"/>
        <v>-0.21999999999999886</v>
      </c>
      <c r="L1791">
        <f t="shared" si="113"/>
        <v>-2.1099999999999994</v>
      </c>
      <c r="M1791">
        <f t="shared" si="114"/>
        <v>-0.32999999999999829</v>
      </c>
      <c r="N1791">
        <f t="shared" si="115"/>
        <v>-0.45000000000000284</v>
      </c>
      <c r="O1791">
        <f t="shared" si="116"/>
        <v>-0.21999999999999886</v>
      </c>
      <c r="P1791" s="10">
        <f t="shared" si="117"/>
        <v>-0.21999999999999886</v>
      </c>
    </row>
    <row r="1792" spans="1:16">
      <c r="A1792">
        <v>442.75</v>
      </c>
      <c r="B1792">
        <v>98.45</v>
      </c>
      <c r="C1792">
        <v>102.56</v>
      </c>
      <c r="D1792">
        <v>95.45</v>
      </c>
      <c r="E1792">
        <v>108.17</v>
      </c>
      <c r="F1792">
        <v>106.78</v>
      </c>
      <c r="G1792">
        <v>105.78</v>
      </c>
      <c r="H1792">
        <v>112.73</v>
      </c>
      <c r="K1792" s="9">
        <f t="shared" si="118"/>
        <v>-0.15999999999999659</v>
      </c>
      <c r="L1792">
        <f t="shared" si="113"/>
        <v>-1.5</v>
      </c>
      <c r="M1792">
        <f t="shared" si="114"/>
        <v>-0.15999999999999659</v>
      </c>
      <c r="N1792">
        <f t="shared" si="115"/>
        <v>-0.37999999999999545</v>
      </c>
      <c r="O1792">
        <f t="shared" si="116"/>
        <v>-0.5</v>
      </c>
      <c r="P1792" s="10">
        <f t="shared" si="117"/>
        <v>-0.10999999999999943</v>
      </c>
    </row>
    <row r="1793" spans="1:16">
      <c r="A1793">
        <v>443</v>
      </c>
      <c r="B1793">
        <v>98.4</v>
      </c>
      <c r="C1793">
        <v>102.56</v>
      </c>
      <c r="D1793">
        <v>95.23</v>
      </c>
      <c r="E1793">
        <v>108.01</v>
      </c>
      <c r="F1793">
        <v>106.62</v>
      </c>
      <c r="G1793">
        <v>105.51</v>
      </c>
      <c r="H1793">
        <v>112.73</v>
      </c>
      <c r="K1793" s="9">
        <f t="shared" si="118"/>
        <v>-0.28000000000000114</v>
      </c>
      <c r="L1793">
        <f t="shared" si="113"/>
        <v>-1.9500000000000028</v>
      </c>
      <c r="M1793">
        <f t="shared" si="114"/>
        <v>-0.17000000000000171</v>
      </c>
      <c r="N1793">
        <f t="shared" si="115"/>
        <v>-0.21999999999999886</v>
      </c>
      <c r="O1793">
        <f t="shared" si="116"/>
        <v>-0.34000000000000341</v>
      </c>
      <c r="P1793" s="10">
        <f t="shared" si="117"/>
        <v>-0.39000000000000057</v>
      </c>
    </row>
    <row r="1794" spans="1:16">
      <c r="A1794">
        <v>443.25</v>
      </c>
      <c r="B1794">
        <v>98.28</v>
      </c>
      <c r="C1794">
        <v>102.45</v>
      </c>
      <c r="D1794">
        <v>94.23</v>
      </c>
      <c r="E1794">
        <v>108.01</v>
      </c>
      <c r="F1794">
        <v>106.56</v>
      </c>
      <c r="G1794">
        <v>105.51</v>
      </c>
      <c r="H1794">
        <v>112.56</v>
      </c>
      <c r="K1794" s="9">
        <f t="shared" si="118"/>
        <v>-4.9999999999997158E-2</v>
      </c>
      <c r="L1794">
        <f t="shared" si="113"/>
        <v>-0.95000000000000284</v>
      </c>
      <c r="M1794">
        <f t="shared" si="114"/>
        <v>-0.28000000000000114</v>
      </c>
      <c r="N1794">
        <f t="shared" si="115"/>
        <v>-0.28000000000000114</v>
      </c>
      <c r="O1794">
        <f t="shared" si="116"/>
        <v>-0.39000000000000057</v>
      </c>
      <c r="P1794" s="10">
        <f t="shared" si="117"/>
        <v>-0.5</v>
      </c>
    </row>
    <row r="1795" spans="1:16">
      <c r="A1795">
        <v>443.5</v>
      </c>
      <c r="B1795">
        <v>98.23</v>
      </c>
      <c r="C1795">
        <v>102.4</v>
      </c>
      <c r="D1795">
        <v>93.95</v>
      </c>
      <c r="E1795">
        <v>108.01</v>
      </c>
      <c r="F1795">
        <v>106.4</v>
      </c>
      <c r="G1795">
        <v>105.28</v>
      </c>
      <c r="H1795">
        <v>112.62</v>
      </c>
      <c r="K1795" s="9">
        <f t="shared" si="118"/>
        <v>0</v>
      </c>
      <c r="L1795">
        <f t="shared" si="113"/>
        <v>-1.7199999999999989</v>
      </c>
      <c r="M1795">
        <f t="shared" si="114"/>
        <v>-0.39000000000000057</v>
      </c>
      <c r="N1795">
        <f t="shared" si="115"/>
        <v>-0.28000000000000114</v>
      </c>
      <c r="O1795">
        <f t="shared" si="116"/>
        <v>-0.32999999999999829</v>
      </c>
      <c r="P1795" s="10">
        <f t="shared" si="117"/>
        <v>-0.67000000000000171</v>
      </c>
    </row>
    <row r="1796" spans="1:16">
      <c r="A1796">
        <v>443.75</v>
      </c>
      <c r="B1796">
        <v>98.12</v>
      </c>
      <c r="C1796">
        <v>102.28</v>
      </c>
      <c r="D1796">
        <v>93.28</v>
      </c>
      <c r="E1796">
        <v>107.84</v>
      </c>
      <c r="F1796">
        <v>106.4</v>
      </c>
      <c r="G1796">
        <v>105.17</v>
      </c>
      <c r="H1796">
        <v>112.34</v>
      </c>
      <c r="K1796" s="9">
        <f t="shared" si="118"/>
        <v>0</v>
      </c>
      <c r="L1796">
        <f t="shared" si="113"/>
        <v>-1.769999999999996</v>
      </c>
      <c r="M1796">
        <f t="shared" si="114"/>
        <v>-0.28000000000000114</v>
      </c>
      <c r="N1796">
        <f t="shared" si="115"/>
        <v>-0.34000000000000341</v>
      </c>
      <c r="O1796">
        <f t="shared" si="116"/>
        <v>-0.89000000000000057</v>
      </c>
      <c r="P1796" s="10">
        <f t="shared" si="117"/>
        <v>-0.56000000000000227</v>
      </c>
    </row>
    <row r="1797" spans="1:16">
      <c r="A1797">
        <v>444</v>
      </c>
      <c r="B1797">
        <v>98.06</v>
      </c>
      <c r="C1797">
        <v>102.4</v>
      </c>
      <c r="D1797">
        <v>93.28</v>
      </c>
      <c r="E1797">
        <v>107.73</v>
      </c>
      <c r="F1797">
        <v>106.28</v>
      </c>
      <c r="G1797">
        <v>105.12</v>
      </c>
      <c r="H1797">
        <v>112.06</v>
      </c>
      <c r="K1797" s="9">
        <f t="shared" si="118"/>
        <v>-0.17000000000000171</v>
      </c>
      <c r="L1797">
        <f t="shared" si="113"/>
        <v>-2.3299999999999983</v>
      </c>
      <c r="M1797">
        <f t="shared" si="114"/>
        <v>-0.32999999999999829</v>
      </c>
      <c r="N1797">
        <f t="shared" si="115"/>
        <v>-0.21999999999999886</v>
      </c>
      <c r="O1797">
        <f t="shared" si="116"/>
        <v>-0.56000000000000227</v>
      </c>
      <c r="P1797" s="10">
        <f t="shared" si="117"/>
        <v>-0.43999999999999773</v>
      </c>
    </row>
    <row r="1798" spans="1:16">
      <c r="A1798">
        <v>444.25</v>
      </c>
      <c r="B1798">
        <v>98.01</v>
      </c>
      <c r="C1798">
        <v>102.4</v>
      </c>
      <c r="D1798">
        <v>92.23</v>
      </c>
      <c r="E1798">
        <v>107.62</v>
      </c>
      <c r="F1798">
        <v>106.12</v>
      </c>
      <c r="G1798">
        <v>104.95</v>
      </c>
      <c r="H1798">
        <v>111.95</v>
      </c>
      <c r="K1798" s="9">
        <f t="shared" si="118"/>
        <v>-0.28000000000000114</v>
      </c>
      <c r="L1798">
        <f t="shared" si="113"/>
        <v>-1.7800000000000011</v>
      </c>
      <c r="M1798">
        <f t="shared" si="114"/>
        <v>-0.28000000000000114</v>
      </c>
      <c r="N1798">
        <f t="shared" si="115"/>
        <v>-0.17000000000000171</v>
      </c>
      <c r="O1798">
        <f t="shared" si="116"/>
        <v>-0.43999999999999773</v>
      </c>
      <c r="P1798" s="10">
        <f t="shared" si="117"/>
        <v>-0.54999999999999716</v>
      </c>
    </row>
    <row r="1799" spans="1:16">
      <c r="A1799">
        <v>444.5</v>
      </c>
      <c r="B1799">
        <v>97.73</v>
      </c>
      <c r="C1799">
        <v>102.28</v>
      </c>
      <c r="D1799">
        <v>91.51</v>
      </c>
      <c r="E1799">
        <v>107.56</v>
      </c>
      <c r="F1799">
        <v>106.06</v>
      </c>
      <c r="G1799">
        <v>104.28</v>
      </c>
      <c r="H1799">
        <v>111.78</v>
      </c>
      <c r="K1799" s="9">
        <f t="shared" si="118"/>
        <v>-0.21999999999999886</v>
      </c>
      <c r="L1799">
        <f t="shared" si="113"/>
        <v>-1.2800000000000011</v>
      </c>
      <c r="M1799">
        <f t="shared" si="114"/>
        <v>-0.28000000000000114</v>
      </c>
      <c r="N1799">
        <f t="shared" si="115"/>
        <v>-0.21999999999999886</v>
      </c>
      <c r="O1799">
        <f t="shared" si="116"/>
        <v>0.23000000000000398</v>
      </c>
      <c r="P1799" s="10">
        <f t="shared" si="117"/>
        <v>-0.32999999999999829</v>
      </c>
    </row>
    <row r="1800" spans="1:16">
      <c r="A1800">
        <v>444.75</v>
      </c>
      <c r="B1800">
        <v>97.62</v>
      </c>
      <c r="C1800">
        <v>102.23</v>
      </c>
      <c r="D1800">
        <v>90.95</v>
      </c>
      <c r="E1800">
        <v>107.4</v>
      </c>
      <c r="F1800">
        <v>106.06</v>
      </c>
      <c r="G1800">
        <v>104.56</v>
      </c>
      <c r="H1800">
        <v>111.62</v>
      </c>
      <c r="K1800" s="9">
        <f t="shared" si="118"/>
        <v>-0.21999999999999886</v>
      </c>
      <c r="L1800">
        <f t="shared" si="113"/>
        <v>-0.93999999999999773</v>
      </c>
      <c r="M1800">
        <f t="shared" si="114"/>
        <v>-0.28000000000000114</v>
      </c>
      <c r="N1800">
        <f t="shared" si="115"/>
        <v>-0.28000000000000114</v>
      </c>
      <c r="O1800">
        <f t="shared" si="116"/>
        <v>6.0000000000002274E-2</v>
      </c>
      <c r="P1800" s="10">
        <f t="shared" si="117"/>
        <v>-0.28000000000000114</v>
      </c>
    </row>
    <row r="1801" spans="1:16">
      <c r="A1801">
        <v>445</v>
      </c>
      <c r="B1801">
        <v>97.56</v>
      </c>
      <c r="C1801">
        <v>102.12</v>
      </c>
      <c r="D1801">
        <v>90.45</v>
      </c>
      <c r="E1801">
        <v>107.34</v>
      </c>
      <c r="F1801">
        <v>105.95</v>
      </c>
      <c r="G1801">
        <v>104.51</v>
      </c>
      <c r="H1801">
        <v>111.4</v>
      </c>
      <c r="K1801" s="9">
        <f t="shared" si="118"/>
        <v>-0.21999999999999886</v>
      </c>
      <c r="L1801">
        <f t="shared" si="113"/>
        <v>-0.89000000000000057</v>
      </c>
      <c r="M1801">
        <f t="shared" si="114"/>
        <v>-0.28000000000000114</v>
      </c>
      <c r="N1801">
        <f t="shared" si="115"/>
        <v>-0.32999999999999829</v>
      </c>
      <c r="O1801">
        <f t="shared" si="116"/>
        <v>0</v>
      </c>
      <c r="P1801" s="10">
        <f t="shared" si="117"/>
        <v>-6.0000000000002274E-2</v>
      </c>
    </row>
    <row r="1802" spans="1:16">
      <c r="A1802">
        <v>445.25</v>
      </c>
      <c r="B1802">
        <v>97.23</v>
      </c>
      <c r="C1802">
        <v>102.06</v>
      </c>
      <c r="D1802">
        <v>90.23</v>
      </c>
      <c r="E1802">
        <v>107.28</v>
      </c>
      <c r="F1802">
        <v>105.84</v>
      </c>
      <c r="G1802">
        <v>104.51</v>
      </c>
      <c r="H1802">
        <v>111.45</v>
      </c>
      <c r="K1802" s="9">
        <f t="shared" si="118"/>
        <v>-0.15999999999999659</v>
      </c>
      <c r="L1802">
        <f t="shared" ref="L1802:L1865" si="119">D1805-D1802</f>
        <v>-1.2199999999999989</v>
      </c>
      <c r="M1802">
        <f t="shared" ref="M1802:M1865" si="120">E1805-E1802</f>
        <v>-0.37999999999999545</v>
      </c>
      <c r="N1802">
        <f t="shared" ref="N1802:N1865" si="121">F1805-F1802</f>
        <v>-0.28000000000000114</v>
      </c>
      <c r="O1802">
        <f t="shared" ref="O1802:O1865" si="122">G1805-G1802</f>
        <v>-0.28000000000000114</v>
      </c>
      <c r="P1802" s="10">
        <f t="shared" ref="P1802:P1865" si="123">H1805-H1802</f>
        <v>-0.28000000000000114</v>
      </c>
    </row>
    <row r="1803" spans="1:16">
      <c r="A1803">
        <v>445.5</v>
      </c>
      <c r="B1803">
        <v>96.9</v>
      </c>
      <c r="C1803">
        <v>102.01</v>
      </c>
      <c r="D1803">
        <v>90.01</v>
      </c>
      <c r="E1803">
        <v>107.12</v>
      </c>
      <c r="F1803">
        <v>105.78</v>
      </c>
      <c r="G1803">
        <v>104.62</v>
      </c>
      <c r="H1803">
        <v>111.34</v>
      </c>
      <c r="K1803" s="9">
        <f t="shared" ref="K1803:K1866" si="124">C1806-C1803</f>
        <v>-0.10999999999999943</v>
      </c>
      <c r="L1803">
        <f t="shared" si="119"/>
        <v>-1.1099999999999994</v>
      </c>
      <c r="M1803">
        <f t="shared" si="120"/>
        <v>-0.28000000000000114</v>
      </c>
      <c r="N1803">
        <f t="shared" si="121"/>
        <v>-0.26999999999999602</v>
      </c>
      <c r="O1803">
        <f t="shared" si="122"/>
        <v>-0.45000000000000284</v>
      </c>
      <c r="P1803" s="10">
        <f t="shared" si="123"/>
        <v>-0.28000000000000114</v>
      </c>
    </row>
    <row r="1804" spans="1:16">
      <c r="A1804">
        <v>445.75</v>
      </c>
      <c r="B1804">
        <v>96.67</v>
      </c>
      <c r="C1804">
        <v>101.9</v>
      </c>
      <c r="D1804">
        <v>89.56</v>
      </c>
      <c r="E1804">
        <v>107.06</v>
      </c>
      <c r="F1804">
        <v>105.62</v>
      </c>
      <c r="G1804">
        <v>104.51</v>
      </c>
      <c r="H1804">
        <v>111.34</v>
      </c>
      <c r="K1804" s="9">
        <f t="shared" si="124"/>
        <v>-0.12000000000000455</v>
      </c>
      <c r="L1804">
        <f t="shared" si="119"/>
        <v>-0.60999999999999943</v>
      </c>
      <c r="M1804">
        <f t="shared" si="120"/>
        <v>-0.10999999999999943</v>
      </c>
      <c r="N1804">
        <f t="shared" si="121"/>
        <v>-0.28000000000000114</v>
      </c>
      <c r="O1804">
        <f t="shared" si="122"/>
        <v>-0.39000000000000057</v>
      </c>
      <c r="P1804" s="10">
        <f t="shared" si="123"/>
        <v>-0.39000000000000057</v>
      </c>
    </row>
    <row r="1805" spans="1:16">
      <c r="A1805">
        <v>446</v>
      </c>
      <c r="B1805">
        <v>96.51</v>
      </c>
      <c r="C1805">
        <v>101.9</v>
      </c>
      <c r="D1805">
        <v>89.01</v>
      </c>
      <c r="E1805">
        <v>106.9</v>
      </c>
      <c r="F1805">
        <v>105.56</v>
      </c>
      <c r="G1805">
        <v>104.23</v>
      </c>
      <c r="H1805">
        <v>111.17</v>
      </c>
      <c r="K1805" s="9">
        <f t="shared" si="124"/>
        <v>-0.12000000000000455</v>
      </c>
      <c r="L1805">
        <f t="shared" si="119"/>
        <v>-0.17000000000000171</v>
      </c>
      <c r="M1805">
        <f t="shared" si="120"/>
        <v>-0.23000000000000398</v>
      </c>
      <c r="N1805">
        <f t="shared" si="121"/>
        <v>-0.32999999999999829</v>
      </c>
      <c r="O1805">
        <f t="shared" si="122"/>
        <v>-0.10999999999999943</v>
      </c>
      <c r="P1805" s="10">
        <f t="shared" si="123"/>
        <v>-0.15999999999999659</v>
      </c>
    </row>
    <row r="1806" spans="1:16">
      <c r="A1806">
        <v>446.25</v>
      </c>
      <c r="B1806">
        <v>96.34</v>
      </c>
      <c r="C1806">
        <v>101.9</v>
      </c>
      <c r="D1806">
        <v>88.9</v>
      </c>
      <c r="E1806">
        <v>106.84</v>
      </c>
      <c r="F1806">
        <v>105.51</v>
      </c>
      <c r="G1806">
        <v>104.17</v>
      </c>
      <c r="H1806">
        <v>111.06</v>
      </c>
      <c r="K1806" s="9">
        <f t="shared" si="124"/>
        <v>-0.12000000000000455</v>
      </c>
      <c r="L1806">
        <f t="shared" si="119"/>
        <v>-0.39000000000000057</v>
      </c>
      <c r="M1806">
        <f t="shared" si="120"/>
        <v>-0.28000000000000114</v>
      </c>
      <c r="N1806">
        <f t="shared" si="121"/>
        <v>-0.45000000000000284</v>
      </c>
      <c r="O1806">
        <f t="shared" si="122"/>
        <v>-0.15999999999999659</v>
      </c>
      <c r="P1806" s="10">
        <f t="shared" si="123"/>
        <v>-0.10999999999999943</v>
      </c>
    </row>
    <row r="1807" spans="1:16">
      <c r="A1807">
        <v>446.5</v>
      </c>
      <c r="B1807">
        <v>96.17</v>
      </c>
      <c r="C1807">
        <v>101.78</v>
      </c>
      <c r="D1807">
        <v>88.95</v>
      </c>
      <c r="E1807">
        <v>106.95</v>
      </c>
      <c r="F1807">
        <v>105.34</v>
      </c>
      <c r="G1807">
        <v>104.12</v>
      </c>
      <c r="H1807">
        <v>110.95</v>
      </c>
      <c r="K1807" s="9">
        <f t="shared" si="124"/>
        <v>-0.15999999999999659</v>
      </c>
      <c r="L1807">
        <f t="shared" si="119"/>
        <v>-0.39000000000000057</v>
      </c>
      <c r="M1807">
        <f t="shared" si="120"/>
        <v>-0.39000000000000057</v>
      </c>
      <c r="N1807">
        <f t="shared" si="121"/>
        <v>-0.28000000000000114</v>
      </c>
      <c r="O1807">
        <f t="shared" si="122"/>
        <v>-0.39000000000000057</v>
      </c>
      <c r="P1807" s="10">
        <f t="shared" si="123"/>
        <v>-4.9999999999997158E-2</v>
      </c>
    </row>
    <row r="1808" spans="1:16">
      <c r="A1808">
        <v>446.75</v>
      </c>
      <c r="B1808">
        <v>96.17</v>
      </c>
      <c r="C1808">
        <v>101.78</v>
      </c>
      <c r="D1808">
        <v>88.84</v>
      </c>
      <c r="E1808">
        <v>106.67</v>
      </c>
      <c r="F1808">
        <v>105.23</v>
      </c>
      <c r="G1808">
        <v>104.12</v>
      </c>
      <c r="H1808">
        <v>111.01</v>
      </c>
      <c r="K1808" s="9">
        <f t="shared" si="124"/>
        <v>-0.15999999999999659</v>
      </c>
      <c r="L1808">
        <f t="shared" si="119"/>
        <v>-0.93999999999999773</v>
      </c>
      <c r="M1808">
        <f t="shared" si="120"/>
        <v>-0.15999999999999659</v>
      </c>
      <c r="N1808">
        <f t="shared" si="121"/>
        <v>-0.28000000000000114</v>
      </c>
      <c r="O1808">
        <f t="shared" si="122"/>
        <v>-0.5</v>
      </c>
      <c r="P1808" s="10">
        <f t="shared" si="123"/>
        <v>-0.28000000000000114</v>
      </c>
    </row>
    <row r="1809" spans="1:16">
      <c r="A1809">
        <v>447</v>
      </c>
      <c r="B1809">
        <v>96.06</v>
      </c>
      <c r="C1809">
        <v>101.78</v>
      </c>
      <c r="D1809">
        <v>88.51</v>
      </c>
      <c r="E1809">
        <v>106.56</v>
      </c>
      <c r="F1809">
        <v>105.06</v>
      </c>
      <c r="G1809">
        <v>104.01</v>
      </c>
      <c r="H1809">
        <v>110.95</v>
      </c>
      <c r="K1809" s="9">
        <f t="shared" si="124"/>
        <v>-0.21999999999999886</v>
      </c>
      <c r="L1809">
        <f t="shared" si="119"/>
        <v>-0.60999999999999943</v>
      </c>
      <c r="M1809">
        <f t="shared" si="120"/>
        <v>-0.21999999999999886</v>
      </c>
      <c r="N1809">
        <f t="shared" si="121"/>
        <v>-0.21999999999999886</v>
      </c>
      <c r="O1809">
        <f t="shared" si="122"/>
        <v>-0.34000000000000341</v>
      </c>
      <c r="P1809" s="10">
        <f t="shared" si="123"/>
        <v>-0.32999999999999829</v>
      </c>
    </row>
    <row r="1810" spans="1:16">
      <c r="A1810">
        <v>447.25</v>
      </c>
      <c r="B1810">
        <v>95.95</v>
      </c>
      <c r="C1810">
        <v>101.62</v>
      </c>
      <c r="D1810">
        <v>88.56</v>
      </c>
      <c r="E1810">
        <v>106.56</v>
      </c>
      <c r="F1810">
        <v>105.06</v>
      </c>
      <c r="G1810">
        <v>103.73</v>
      </c>
      <c r="H1810">
        <v>110.9</v>
      </c>
      <c r="K1810" s="9">
        <f t="shared" si="124"/>
        <v>-0.10999999999999943</v>
      </c>
      <c r="L1810">
        <f t="shared" si="119"/>
        <v>-0.89000000000000057</v>
      </c>
      <c r="M1810">
        <f t="shared" si="120"/>
        <v>-0.28000000000000114</v>
      </c>
      <c r="N1810">
        <f t="shared" si="121"/>
        <v>-0.32999999999999829</v>
      </c>
      <c r="O1810">
        <f t="shared" si="122"/>
        <v>-0.28000000000000114</v>
      </c>
      <c r="P1810" s="10">
        <f t="shared" si="123"/>
        <v>-0.5</v>
      </c>
    </row>
    <row r="1811" spans="1:16">
      <c r="A1811">
        <v>447.5</v>
      </c>
      <c r="B1811">
        <v>95.84</v>
      </c>
      <c r="C1811">
        <v>101.62</v>
      </c>
      <c r="D1811">
        <v>87.9</v>
      </c>
      <c r="E1811">
        <v>106.51</v>
      </c>
      <c r="F1811">
        <v>104.95</v>
      </c>
      <c r="G1811">
        <v>103.62</v>
      </c>
      <c r="H1811">
        <v>110.73</v>
      </c>
      <c r="K1811" s="9">
        <f t="shared" si="124"/>
        <v>-0.10999999999999943</v>
      </c>
      <c r="L1811">
        <f t="shared" si="119"/>
        <v>-0.17000000000000171</v>
      </c>
      <c r="M1811">
        <f t="shared" si="120"/>
        <v>-0.34000000000000341</v>
      </c>
      <c r="N1811">
        <f t="shared" si="121"/>
        <v>-0.32999999999999829</v>
      </c>
      <c r="O1811">
        <f t="shared" si="122"/>
        <v>-0.60999999999999943</v>
      </c>
      <c r="P1811" s="10">
        <f t="shared" si="123"/>
        <v>-0.5</v>
      </c>
    </row>
    <row r="1812" spans="1:16">
      <c r="A1812">
        <v>447.75</v>
      </c>
      <c r="B1812">
        <v>95.62</v>
      </c>
      <c r="C1812">
        <v>101.56</v>
      </c>
      <c r="D1812">
        <v>87.9</v>
      </c>
      <c r="E1812">
        <v>106.34</v>
      </c>
      <c r="F1812">
        <v>104.84</v>
      </c>
      <c r="G1812">
        <v>103.67</v>
      </c>
      <c r="H1812">
        <v>110.62</v>
      </c>
      <c r="K1812" s="9">
        <f t="shared" si="124"/>
        <v>-0.15999999999999659</v>
      </c>
      <c r="L1812">
        <f t="shared" si="119"/>
        <v>-0.89000000000000057</v>
      </c>
      <c r="M1812">
        <f t="shared" si="120"/>
        <v>-0.28000000000000114</v>
      </c>
      <c r="N1812">
        <f t="shared" si="121"/>
        <v>-0.32999999999999829</v>
      </c>
      <c r="O1812">
        <f t="shared" si="122"/>
        <v>-0.82999999999999829</v>
      </c>
      <c r="P1812" s="10">
        <f t="shared" si="123"/>
        <v>-0.71999999999999886</v>
      </c>
    </row>
    <row r="1813" spans="1:16">
      <c r="A1813">
        <v>448</v>
      </c>
      <c r="B1813">
        <v>95.4</v>
      </c>
      <c r="C1813">
        <v>101.51</v>
      </c>
      <c r="D1813">
        <v>87.67</v>
      </c>
      <c r="E1813">
        <v>106.28</v>
      </c>
      <c r="F1813">
        <v>104.73</v>
      </c>
      <c r="G1813">
        <v>103.45</v>
      </c>
      <c r="H1813">
        <v>110.4</v>
      </c>
      <c r="K1813" s="9">
        <f t="shared" si="124"/>
        <v>-0.28000000000000114</v>
      </c>
      <c r="L1813">
        <f t="shared" si="119"/>
        <v>-0.54999999999999716</v>
      </c>
      <c r="M1813">
        <f t="shared" si="120"/>
        <v>-0.21999999999999886</v>
      </c>
      <c r="N1813">
        <f t="shared" si="121"/>
        <v>-0.28000000000000114</v>
      </c>
      <c r="O1813">
        <f t="shared" si="122"/>
        <v>-0.60999999999999943</v>
      </c>
      <c r="P1813" s="10">
        <f t="shared" si="123"/>
        <v>-0.78000000000000114</v>
      </c>
    </row>
    <row r="1814" spans="1:16">
      <c r="A1814">
        <v>448.25</v>
      </c>
      <c r="B1814">
        <v>95.28</v>
      </c>
      <c r="C1814">
        <v>101.51</v>
      </c>
      <c r="D1814">
        <v>87.73</v>
      </c>
      <c r="E1814">
        <v>106.17</v>
      </c>
      <c r="F1814">
        <v>104.62</v>
      </c>
      <c r="G1814">
        <v>103.01</v>
      </c>
      <c r="H1814">
        <v>110.23</v>
      </c>
      <c r="K1814" s="9">
        <f t="shared" si="124"/>
        <v>-0.45000000000000284</v>
      </c>
      <c r="L1814">
        <f t="shared" si="119"/>
        <v>-0.17000000000000171</v>
      </c>
      <c r="M1814">
        <f t="shared" si="120"/>
        <v>-0.21999999999999886</v>
      </c>
      <c r="N1814">
        <f t="shared" si="121"/>
        <v>-0.34000000000000341</v>
      </c>
      <c r="O1814">
        <f t="shared" si="122"/>
        <v>-0.17000000000000171</v>
      </c>
      <c r="P1814" s="10">
        <f t="shared" si="123"/>
        <v>-0.71999999999999886</v>
      </c>
    </row>
    <row r="1815" spans="1:16">
      <c r="A1815">
        <v>448.5</v>
      </c>
      <c r="B1815">
        <v>95.23</v>
      </c>
      <c r="C1815">
        <v>101.4</v>
      </c>
      <c r="D1815">
        <v>87.01</v>
      </c>
      <c r="E1815">
        <v>106.06</v>
      </c>
      <c r="F1815">
        <v>104.51</v>
      </c>
      <c r="G1815">
        <v>102.84</v>
      </c>
      <c r="H1815">
        <v>109.9</v>
      </c>
      <c r="K1815" s="9">
        <f t="shared" si="124"/>
        <v>-0.45000000000000284</v>
      </c>
      <c r="L1815">
        <f t="shared" si="119"/>
        <v>1.1599999999999966</v>
      </c>
      <c r="M1815">
        <f t="shared" si="120"/>
        <v>-0.15999999999999659</v>
      </c>
      <c r="N1815">
        <f t="shared" si="121"/>
        <v>-0.23000000000000398</v>
      </c>
      <c r="O1815">
        <f t="shared" si="122"/>
        <v>-0.10999999999999943</v>
      </c>
      <c r="P1815" s="10">
        <f t="shared" si="123"/>
        <v>-0.45000000000000284</v>
      </c>
    </row>
    <row r="1816" spans="1:16">
      <c r="A1816">
        <v>448.75</v>
      </c>
      <c r="B1816">
        <v>95.12</v>
      </c>
      <c r="C1816">
        <v>101.23</v>
      </c>
      <c r="D1816">
        <v>87.12</v>
      </c>
      <c r="E1816">
        <v>106.06</v>
      </c>
      <c r="F1816">
        <v>104.45</v>
      </c>
      <c r="G1816">
        <v>102.84</v>
      </c>
      <c r="H1816">
        <v>109.62</v>
      </c>
      <c r="K1816" s="9">
        <f t="shared" si="124"/>
        <v>-0.21999999999999886</v>
      </c>
      <c r="L1816">
        <f t="shared" si="119"/>
        <v>1.6099999999999994</v>
      </c>
      <c r="M1816">
        <f t="shared" si="120"/>
        <v>-0.28000000000000114</v>
      </c>
      <c r="N1816">
        <f t="shared" si="121"/>
        <v>-0.28000000000000114</v>
      </c>
      <c r="O1816">
        <f t="shared" si="122"/>
        <v>0</v>
      </c>
      <c r="P1816" s="10">
        <f t="shared" si="123"/>
        <v>-0.10999999999999943</v>
      </c>
    </row>
    <row r="1817" spans="1:16">
      <c r="A1817">
        <v>449</v>
      </c>
      <c r="B1817">
        <v>95.01</v>
      </c>
      <c r="C1817">
        <v>101.06</v>
      </c>
      <c r="D1817">
        <v>87.56</v>
      </c>
      <c r="E1817">
        <v>105.95</v>
      </c>
      <c r="F1817">
        <v>104.28</v>
      </c>
      <c r="G1817">
        <v>102.84</v>
      </c>
      <c r="H1817">
        <v>109.51</v>
      </c>
      <c r="K1817" s="9">
        <f t="shared" si="124"/>
        <v>-0.15999999999999659</v>
      </c>
      <c r="L1817">
        <f t="shared" si="119"/>
        <v>1.7800000000000011</v>
      </c>
      <c r="M1817">
        <f t="shared" si="120"/>
        <v>-0.32999999999999829</v>
      </c>
      <c r="N1817">
        <f t="shared" si="121"/>
        <v>-0.15999999999999659</v>
      </c>
      <c r="O1817">
        <f t="shared" si="122"/>
        <v>-6.0000000000002274E-2</v>
      </c>
      <c r="P1817" s="10">
        <f t="shared" si="123"/>
        <v>0</v>
      </c>
    </row>
    <row r="1818" spans="1:16">
      <c r="A1818">
        <v>449.25</v>
      </c>
      <c r="B1818">
        <v>94.9</v>
      </c>
      <c r="C1818">
        <v>100.95</v>
      </c>
      <c r="D1818">
        <v>88.17</v>
      </c>
      <c r="E1818">
        <v>105.9</v>
      </c>
      <c r="F1818">
        <v>104.28</v>
      </c>
      <c r="G1818">
        <v>102.73</v>
      </c>
      <c r="H1818">
        <v>109.45</v>
      </c>
      <c r="K1818" s="9">
        <f t="shared" si="124"/>
        <v>-4.9999999999997158E-2</v>
      </c>
      <c r="L1818">
        <f t="shared" si="119"/>
        <v>1.7800000000000011</v>
      </c>
      <c r="M1818">
        <f t="shared" si="120"/>
        <v>-0.34000000000000341</v>
      </c>
      <c r="N1818">
        <f t="shared" si="121"/>
        <v>-0.26999999999999602</v>
      </c>
      <c r="O1818">
        <f t="shared" si="122"/>
        <v>0</v>
      </c>
      <c r="P1818" s="10">
        <f t="shared" si="123"/>
        <v>6.0000000000002274E-2</v>
      </c>
    </row>
    <row r="1819" spans="1:16">
      <c r="A1819">
        <v>449.5</v>
      </c>
      <c r="B1819">
        <v>94.84</v>
      </c>
      <c r="C1819">
        <v>101.01</v>
      </c>
      <c r="D1819">
        <v>88.73</v>
      </c>
      <c r="E1819">
        <v>105.78</v>
      </c>
      <c r="F1819">
        <v>104.17</v>
      </c>
      <c r="G1819">
        <v>102.84</v>
      </c>
      <c r="H1819">
        <v>109.51</v>
      </c>
      <c r="K1819" s="9">
        <f t="shared" si="124"/>
        <v>-0.28000000000000114</v>
      </c>
      <c r="L1819">
        <f t="shared" si="119"/>
        <v>1.6099999999999994</v>
      </c>
      <c r="M1819">
        <f t="shared" si="120"/>
        <v>-0.37999999999999545</v>
      </c>
      <c r="N1819">
        <f t="shared" si="121"/>
        <v>-0.26999999999999602</v>
      </c>
      <c r="O1819">
        <f t="shared" si="122"/>
        <v>-0.21999999999999886</v>
      </c>
      <c r="P1819" s="10">
        <f t="shared" si="123"/>
        <v>-0.10999999999999943</v>
      </c>
    </row>
    <row r="1820" spans="1:16">
      <c r="A1820">
        <v>449.75</v>
      </c>
      <c r="B1820">
        <v>94.84</v>
      </c>
      <c r="C1820">
        <v>100.9</v>
      </c>
      <c r="D1820">
        <v>89.34</v>
      </c>
      <c r="E1820">
        <v>105.62</v>
      </c>
      <c r="F1820">
        <v>104.12</v>
      </c>
      <c r="G1820">
        <v>102.78</v>
      </c>
      <c r="H1820">
        <v>109.51</v>
      </c>
      <c r="K1820" s="9">
        <f t="shared" si="124"/>
        <v>-0.17000000000000171</v>
      </c>
      <c r="L1820">
        <f t="shared" si="119"/>
        <v>0.93999999999999773</v>
      </c>
      <c r="M1820">
        <f t="shared" si="120"/>
        <v>-0.34000000000000341</v>
      </c>
      <c r="N1820">
        <f t="shared" si="121"/>
        <v>-0.28000000000000114</v>
      </c>
      <c r="O1820">
        <f t="shared" si="122"/>
        <v>-0.21999999999999886</v>
      </c>
      <c r="P1820" s="10">
        <f t="shared" si="123"/>
        <v>-0.23000000000000398</v>
      </c>
    </row>
    <row r="1821" spans="1:16">
      <c r="A1821">
        <v>450</v>
      </c>
      <c r="B1821">
        <v>94.73</v>
      </c>
      <c r="C1821">
        <v>100.9</v>
      </c>
      <c r="D1821">
        <v>89.95</v>
      </c>
      <c r="E1821">
        <v>105.56</v>
      </c>
      <c r="F1821">
        <v>104.01</v>
      </c>
      <c r="G1821">
        <v>102.73</v>
      </c>
      <c r="H1821">
        <v>109.51</v>
      </c>
      <c r="K1821" s="9">
        <f t="shared" si="124"/>
        <v>-0.17000000000000171</v>
      </c>
      <c r="L1821">
        <f t="shared" si="119"/>
        <v>0.56000000000000227</v>
      </c>
      <c r="M1821">
        <f t="shared" si="120"/>
        <v>-0.43999999999999773</v>
      </c>
      <c r="N1821">
        <f t="shared" si="121"/>
        <v>-0.34000000000000341</v>
      </c>
      <c r="O1821">
        <f t="shared" si="122"/>
        <v>-0.10999999999999943</v>
      </c>
      <c r="P1821" s="10">
        <f t="shared" si="123"/>
        <v>-0.45000000000000284</v>
      </c>
    </row>
    <row r="1822" spans="1:16">
      <c r="A1822">
        <v>450.25</v>
      </c>
      <c r="B1822">
        <v>94.67</v>
      </c>
      <c r="C1822">
        <v>100.73</v>
      </c>
      <c r="D1822">
        <v>90.34</v>
      </c>
      <c r="E1822">
        <v>105.4</v>
      </c>
      <c r="F1822">
        <v>103.9</v>
      </c>
      <c r="G1822">
        <v>102.62</v>
      </c>
      <c r="H1822">
        <v>109.4</v>
      </c>
      <c r="K1822" s="9">
        <f t="shared" si="124"/>
        <v>-0.10999999999999943</v>
      </c>
      <c r="L1822">
        <f t="shared" si="119"/>
        <v>0.21999999999999886</v>
      </c>
      <c r="M1822">
        <f t="shared" si="120"/>
        <v>-0.34000000000000341</v>
      </c>
      <c r="N1822">
        <f t="shared" si="121"/>
        <v>-0.28000000000000114</v>
      </c>
      <c r="O1822">
        <f t="shared" si="122"/>
        <v>-6.0000000000002274E-2</v>
      </c>
      <c r="P1822" s="10">
        <f t="shared" si="123"/>
        <v>-0.56000000000000227</v>
      </c>
    </row>
    <row r="1823" spans="1:16">
      <c r="A1823">
        <v>450.5</v>
      </c>
      <c r="B1823">
        <v>94.56</v>
      </c>
      <c r="C1823">
        <v>100.73</v>
      </c>
      <c r="D1823">
        <v>90.28</v>
      </c>
      <c r="E1823">
        <v>105.28</v>
      </c>
      <c r="F1823">
        <v>103.84</v>
      </c>
      <c r="G1823">
        <v>102.56</v>
      </c>
      <c r="H1823">
        <v>109.28</v>
      </c>
      <c r="K1823" s="9">
        <f t="shared" si="124"/>
        <v>-0.17000000000000171</v>
      </c>
      <c r="L1823">
        <f t="shared" si="119"/>
        <v>0.28000000000000114</v>
      </c>
      <c r="M1823">
        <f t="shared" si="120"/>
        <v>-0.37999999999999545</v>
      </c>
      <c r="N1823">
        <f t="shared" si="121"/>
        <v>-0.28000000000000114</v>
      </c>
      <c r="O1823">
        <f t="shared" si="122"/>
        <v>-0.21999999999999886</v>
      </c>
      <c r="P1823" s="10">
        <f t="shared" si="123"/>
        <v>-0.37999999999999545</v>
      </c>
    </row>
    <row r="1824" spans="1:16">
      <c r="A1824">
        <v>450.75</v>
      </c>
      <c r="B1824">
        <v>94.51</v>
      </c>
      <c r="C1824">
        <v>100.73</v>
      </c>
      <c r="D1824">
        <v>90.51</v>
      </c>
      <c r="E1824">
        <v>105.12</v>
      </c>
      <c r="F1824">
        <v>103.67</v>
      </c>
      <c r="G1824">
        <v>102.62</v>
      </c>
      <c r="H1824">
        <v>109.06</v>
      </c>
      <c r="K1824" s="9">
        <f t="shared" si="124"/>
        <v>-0.21999999999999886</v>
      </c>
      <c r="L1824">
        <f t="shared" si="119"/>
        <v>0.82999999999999829</v>
      </c>
      <c r="M1824">
        <f t="shared" si="120"/>
        <v>-0.34000000000000341</v>
      </c>
      <c r="N1824">
        <f t="shared" si="121"/>
        <v>-0.26999999999999602</v>
      </c>
      <c r="O1824">
        <f t="shared" si="122"/>
        <v>-0.17000000000000171</v>
      </c>
      <c r="P1824" s="10">
        <f t="shared" si="123"/>
        <v>-0.32999999999999829</v>
      </c>
    </row>
    <row r="1825" spans="1:16">
      <c r="A1825">
        <v>451</v>
      </c>
      <c r="B1825">
        <v>94.51</v>
      </c>
      <c r="C1825">
        <v>100.62</v>
      </c>
      <c r="D1825">
        <v>90.56</v>
      </c>
      <c r="E1825">
        <v>105.06</v>
      </c>
      <c r="F1825">
        <v>103.62</v>
      </c>
      <c r="G1825">
        <v>102.56</v>
      </c>
      <c r="H1825">
        <v>108.84</v>
      </c>
      <c r="K1825" s="9">
        <f t="shared" si="124"/>
        <v>-0.17000000000000171</v>
      </c>
      <c r="L1825">
        <f t="shared" si="119"/>
        <v>0.95000000000000284</v>
      </c>
      <c r="M1825">
        <f t="shared" si="120"/>
        <v>-0.32999999999999829</v>
      </c>
      <c r="N1825">
        <f t="shared" si="121"/>
        <v>-0.21999999999999886</v>
      </c>
      <c r="O1825">
        <f t="shared" si="122"/>
        <v>-4.9999999999997158E-2</v>
      </c>
      <c r="P1825" s="10">
        <f t="shared" si="123"/>
        <v>-0.28000000000000114</v>
      </c>
    </row>
    <row r="1826" spans="1:16">
      <c r="A1826">
        <v>451.25</v>
      </c>
      <c r="B1826">
        <v>94.28</v>
      </c>
      <c r="C1826">
        <v>100.56</v>
      </c>
      <c r="D1826">
        <v>90.56</v>
      </c>
      <c r="E1826">
        <v>104.9</v>
      </c>
      <c r="F1826">
        <v>103.56</v>
      </c>
      <c r="G1826">
        <v>102.34</v>
      </c>
      <c r="H1826">
        <v>108.9</v>
      </c>
      <c r="K1826" s="9">
        <f t="shared" si="124"/>
        <v>-0.10999999999999943</v>
      </c>
      <c r="L1826">
        <f t="shared" si="119"/>
        <v>0.89000000000000057</v>
      </c>
      <c r="M1826">
        <f t="shared" si="120"/>
        <v>-0.28000000000000114</v>
      </c>
      <c r="N1826">
        <f t="shared" si="121"/>
        <v>-0.21999999999999886</v>
      </c>
      <c r="O1826">
        <f t="shared" si="122"/>
        <v>-0.17000000000000171</v>
      </c>
      <c r="P1826" s="10">
        <f t="shared" si="123"/>
        <v>-0.5</v>
      </c>
    </row>
    <row r="1827" spans="1:16">
      <c r="A1827">
        <v>451.5</v>
      </c>
      <c r="B1827">
        <v>94.28</v>
      </c>
      <c r="C1827">
        <v>100.51</v>
      </c>
      <c r="D1827">
        <v>91.34</v>
      </c>
      <c r="E1827">
        <v>104.78</v>
      </c>
      <c r="F1827">
        <v>103.4</v>
      </c>
      <c r="G1827">
        <v>102.45</v>
      </c>
      <c r="H1827">
        <v>108.73</v>
      </c>
      <c r="K1827" s="9">
        <f t="shared" si="124"/>
        <v>-0.10999999999999943</v>
      </c>
      <c r="L1827">
        <f t="shared" si="119"/>
        <v>0.17000000000000171</v>
      </c>
      <c r="M1827">
        <f t="shared" si="120"/>
        <v>-0.21999999999999886</v>
      </c>
      <c r="N1827">
        <f t="shared" si="121"/>
        <v>-0.12000000000000455</v>
      </c>
      <c r="O1827">
        <f t="shared" si="122"/>
        <v>-0.28000000000000114</v>
      </c>
      <c r="P1827" s="10">
        <f t="shared" si="123"/>
        <v>-0.67000000000000171</v>
      </c>
    </row>
    <row r="1828" spans="1:16">
      <c r="A1828">
        <v>451.75</v>
      </c>
      <c r="B1828">
        <v>94.12</v>
      </c>
      <c r="C1828">
        <v>100.45</v>
      </c>
      <c r="D1828">
        <v>91.51</v>
      </c>
      <c r="E1828">
        <v>104.73</v>
      </c>
      <c r="F1828">
        <v>103.4</v>
      </c>
      <c r="G1828">
        <v>102.51</v>
      </c>
      <c r="H1828">
        <v>108.56</v>
      </c>
      <c r="K1828" s="9">
        <f t="shared" si="124"/>
        <v>-4.9999999999997158E-2</v>
      </c>
      <c r="L1828">
        <f t="shared" si="119"/>
        <v>0.32999999999999829</v>
      </c>
      <c r="M1828">
        <f t="shared" si="120"/>
        <v>-0.21999999999999886</v>
      </c>
      <c r="N1828">
        <f t="shared" si="121"/>
        <v>-0.23000000000000398</v>
      </c>
      <c r="O1828">
        <f t="shared" si="122"/>
        <v>-0.28000000000000114</v>
      </c>
      <c r="P1828" s="10">
        <f t="shared" si="123"/>
        <v>-0.78000000000000114</v>
      </c>
    </row>
    <row r="1829" spans="1:16">
      <c r="A1829">
        <v>452</v>
      </c>
      <c r="B1829">
        <v>94.17</v>
      </c>
      <c r="C1829">
        <v>100.45</v>
      </c>
      <c r="D1829">
        <v>91.45</v>
      </c>
      <c r="E1829">
        <v>104.62</v>
      </c>
      <c r="F1829">
        <v>103.34</v>
      </c>
      <c r="G1829">
        <v>102.17</v>
      </c>
      <c r="H1829">
        <v>108.4</v>
      </c>
      <c r="K1829" s="9">
        <f t="shared" si="124"/>
        <v>-0.17000000000000171</v>
      </c>
      <c r="L1829">
        <f t="shared" si="119"/>
        <v>0.71999999999999886</v>
      </c>
      <c r="M1829">
        <f t="shared" si="120"/>
        <v>-0.28000000000000114</v>
      </c>
      <c r="N1829">
        <f t="shared" si="121"/>
        <v>-0.32999999999999829</v>
      </c>
      <c r="O1829">
        <f t="shared" si="122"/>
        <v>-0.10999999999999943</v>
      </c>
      <c r="P1829" s="10">
        <f t="shared" si="123"/>
        <v>-0.84000000000000341</v>
      </c>
    </row>
    <row r="1830" spans="1:16">
      <c r="A1830">
        <v>452.25</v>
      </c>
      <c r="B1830">
        <v>94.12</v>
      </c>
      <c r="C1830">
        <v>100.4</v>
      </c>
      <c r="D1830">
        <v>91.51</v>
      </c>
      <c r="E1830">
        <v>104.56</v>
      </c>
      <c r="F1830">
        <v>103.28</v>
      </c>
      <c r="G1830">
        <v>102.17</v>
      </c>
      <c r="H1830">
        <v>108.06</v>
      </c>
      <c r="K1830" s="9">
        <f t="shared" si="124"/>
        <v>-0.17000000000000171</v>
      </c>
      <c r="L1830">
        <f t="shared" si="119"/>
        <v>0.82999999999999829</v>
      </c>
      <c r="M1830">
        <f t="shared" si="120"/>
        <v>-0.21999999999999886</v>
      </c>
      <c r="N1830">
        <f t="shared" si="121"/>
        <v>-0.32999999999999829</v>
      </c>
      <c r="O1830">
        <f t="shared" si="122"/>
        <v>-0.10999999999999943</v>
      </c>
      <c r="P1830" s="10">
        <f t="shared" si="123"/>
        <v>-0.93999999999999773</v>
      </c>
    </row>
    <row r="1831" spans="1:16">
      <c r="A1831">
        <v>452.5</v>
      </c>
      <c r="B1831">
        <v>94.06</v>
      </c>
      <c r="C1831">
        <v>100.4</v>
      </c>
      <c r="D1831">
        <v>91.84</v>
      </c>
      <c r="E1831">
        <v>104.51</v>
      </c>
      <c r="F1831">
        <v>103.17</v>
      </c>
      <c r="G1831">
        <v>102.23</v>
      </c>
      <c r="H1831">
        <v>107.78</v>
      </c>
      <c r="K1831" s="9">
        <f t="shared" si="124"/>
        <v>-0.45000000000000284</v>
      </c>
      <c r="L1831">
        <f t="shared" si="119"/>
        <v>0.39000000000000057</v>
      </c>
      <c r="M1831">
        <f t="shared" si="120"/>
        <v>-0.34000000000000341</v>
      </c>
      <c r="N1831">
        <f t="shared" si="121"/>
        <v>-0.39000000000000057</v>
      </c>
      <c r="O1831">
        <f t="shared" si="122"/>
        <v>-0.39000000000000057</v>
      </c>
      <c r="P1831" s="10">
        <f t="shared" si="123"/>
        <v>-1</v>
      </c>
    </row>
    <row r="1832" spans="1:16">
      <c r="A1832">
        <v>452.75</v>
      </c>
      <c r="B1832">
        <v>93.95</v>
      </c>
      <c r="C1832">
        <v>100.28</v>
      </c>
      <c r="D1832">
        <v>92.17</v>
      </c>
      <c r="E1832">
        <v>104.34</v>
      </c>
      <c r="F1832">
        <v>103.01</v>
      </c>
      <c r="G1832">
        <v>102.06</v>
      </c>
      <c r="H1832">
        <v>107.56</v>
      </c>
      <c r="K1832" s="9">
        <f t="shared" si="124"/>
        <v>-0.54999999999999716</v>
      </c>
      <c r="L1832">
        <f t="shared" si="119"/>
        <v>0.10999999999999943</v>
      </c>
      <c r="M1832">
        <f t="shared" si="120"/>
        <v>-0.21999999999999886</v>
      </c>
      <c r="N1832">
        <f t="shared" si="121"/>
        <v>-0.23000000000000398</v>
      </c>
      <c r="O1832">
        <f t="shared" si="122"/>
        <v>-0.54999999999999716</v>
      </c>
      <c r="P1832" s="10">
        <f t="shared" si="123"/>
        <v>-1.1599999999999966</v>
      </c>
    </row>
    <row r="1833" spans="1:16">
      <c r="A1833">
        <v>453</v>
      </c>
      <c r="B1833">
        <v>93.78</v>
      </c>
      <c r="C1833">
        <v>100.23</v>
      </c>
      <c r="D1833">
        <v>92.34</v>
      </c>
      <c r="E1833">
        <v>104.34</v>
      </c>
      <c r="F1833">
        <v>102.95</v>
      </c>
      <c r="G1833">
        <v>102.06</v>
      </c>
      <c r="H1833">
        <v>107.12</v>
      </c>
      <c r="K1833" s="9">
        <f t="shared" si="124"/>
        <v>-0.82999999999999829</v>
      </c>
      <c r="L1833">
        <f t="shared" si="119"/>
        <v>-0.56000000000000227</v>
      </c>
      <c r="M1833">
        <f t="shared" si="120"/>
        <v>-0.39000000000000057</v>
      </c>
      <c r="N1833">
        <f t="shared" si="121"/>
        <v>-0.32999999999999829</v>
      </c>
      <c r="O1833">
        <f t="shared" si="122"/>
        <v>-1.2800000000000011</v>
      </c>
      <c r="P1833" s="10">
        <f t="shared" si="123"/>
        <v>-1.1099999999999994</v>
      </c>
    </row>
    <row r="1834" spans="1:16">
      <c r="A1834">
        <v>453.25</v>
      </c>
      <c r="B1834">
        <v>93.67</v>
      </c>
      <c r="C1834">
        <v>99.95</v>
      </c>
      <c r="D1834">
        <v>92.23</v>
      </c>
      <c r="E1834">
        <v>104.17</v>
      </c>
      <c r="F1834">
        <v>102.78</v>
      </c>
      <c r="G1834">
        <v>101.84</v>
      </c>
      <c r="H1834">
        <v>106.78</v>
      </c>
      <c r="K1834" s="9">
        <f t="shared" si="124"/>
        <v>-0.82999999999999829</v>
      </c>
      <c r="L1834">
        <f t="shared" si="119"/>
        <v>-1.1099999999999994</v>
      </c>
      <c r="M1834">
        <f t="shared" si="120"/>
        <v>-0.26999999999999602</v>
      </c>
      <c r="N1834">
        <f t="shared" si="121"/>
        <v>-0.26999999999999602</v>
      </c>
      <c r="O1834">
        <f t="shared" si="122"/>
        <v>-1.2199999999999989</v>
      </c>
      <c r="P1834" s="10">
        <f t="shared" si="123"/>
        <v>-1.1599999999999966</v>
      </c>
    </row>
    <row r="1835" spans="1:16">
      <c r="A1835">
        <v>453.5</v>
      </c>
      <c r="B1835">
        <v>93.56</v>
      </c>
      <c r="C1835">
        <v>99.73</v>
      </c>
      <c r="D1835">
        <v>92.28</v>
      </c>
      <c r="E1835">
        <v>104.12</v>
      </c>
      <c r="F1835">
        <v>102.78</v>
      </c>
      <c r="G1835">
        <v>101.51</v>
      </c>
      <c r="H1835">
        <v>106.4</v>
      </c>
      <c r="K1835" s="9">
        <f t="shared" si="124"/>
        <v>-1</v>
      </c>
      <c r="L1835">
        <f t="shared" si="119"/>
        <v>-1.0499999999999972</v>
      </c>
      <c r="M1835">
        <f t="shared" si="120"/>
        <v>-0.21999999999999886</v>
      </c>
      <c r="N1835">
        <f t="shared" si="121"/>
        <v>-0.37999999999999545</v>
      </c>
      <c r="O1835">
        <f t="shared" si="122"/>
        <v>-0.78000000000000114</v>
      </c>
      <c r="P1835" s="10">
        <f t="shared" si="123"/>
        <v>-1</v>
      </c>
    </row>
    <row r="1836" spans="1:16">
      <c r="A1836">
        <v>453.75</v>
      </c>
      <c r="B1836">
        <v>93.28</v>
      </c>
      <c r="C1836">
        <v>99.4</v>
      </c>
      <c r="D1836">
        <v>91.78</v>
      </c>
      <c r="E1836">
        <v>103.95</v>
      </c>
      <c r="F1836">
        <v>102.62</v>
      </c>
      <c r="G1836">
        <v>100.78</v>
      </c>
      <c r="H1836">
        <v>106.01</v>
      </c>
      <c r="K1836" s="9">
        <f t="shared" si="124"/>
        <v>-0.73000000000000398</v>
      </c>
      <c r="L1836">
        <f t="shared" si="119"/>
        <v>-0.37999999999999545</v>
      </c>
      <c r="M1836">
        <f t="shared" si="120"/>
        <v>-0.10999999999999943</v>
      </c>
      <c r="N1836">
        <f t="shared" si="121"/>
        <v>-0.34000000000000341</v>
      </c>
      <c r="O1836">
        <f t="shared" si="122"/>
        <v>-0.15999999999999659</v>
      </c>
      <c r="P1836" s="10">
        <f t="shared" si="123"/>
        <v>-1.1099999999999994</v>
      </c>
    </row>
    <row r="1837" spans="1:16">
      <c r="A1837">
        <v>454</v>
      </c>
      <c r="B1837">
        <v>93.06</v>
      </c>
      <c r="C1837">
        <v>99.12</v>
      </c>
      <c r="D1837">
        <v>91.12</v>
      </c>
      <c r="E1837">
        <v>103.9</v>
      </c>
      <c r="F1837">
        <v>102.51</v>
      </c>
      <c r="G1837">
        <v>100.62</v>
      </c>
      <c r="H1837">
        <v>105.62</v>
      </c>
      <c r="K1837" s="9">
        <f t="shared" si="124"/>
        <v>-0.78000000000000114</v>
      </c>
      <c r="L1837">
        <f t="shared" si="119"/>
        <v>0.43999999999999773</v>
      </c>
      <c r="M1837">
        <f t="shared" si="120"/>
        <v>-0.28000000000000114</v>
      </c>
      <c r="N1837">
        <f t="shared" si="121"/>
        <v>-0.28000000000000114</v>
      </c>
      <c r="O1837">
        <f t="shared" si="122"/>
        <v>0.21999999999999886</v>
      </c>
      <c r="P1837" s="10">
        <f t="shared" si="123"/>
        <v>-1.0600000000000023</v>
      </c>
    </row>
    <row r="1838" spans="1:16">
      <c r="A1838">
        <v>454.25</v>
      </c>
      <c r="B1838">
        <v>92.95</v>
      </c>
      <c r="C1838">
        <v>98.73</v>
      </c>
      <c r="D1838">
        <v>91.23</v>
      </c>
      <c r="E1838">
        <v>103.9</v>
      </c>
      <c r="F1838">
        <v>102.4</v>
      </c>
      <c r="G1838">
        <v>100.73</v>
      </c>
      <c r="H1838">
        <v>105.4</v>
      </c>
      <c r="K1838" s="9">
        <f t="shared" si="124"/>
        <v>-0.67000000000000171</v>
      </c>
      <c r="L1838">
        <f t="shared" si="119"/>
        <v>-6.0000000000002274E-2</v>
      </c>
      <c r="M1838">
        <f t="shared" si="120"/>
        <v>-0.39000000000000057</v>
      </c>
      <c r="N1838">
        <f t="shared" si="121"/>
        <v>-0.28000000000000114</v>
      </c>
      <c r="O1838">
        <f t="shared" si="122"/>
        <v>0.21999999999999886</v>
      </c>
      <c r="P1838" s="10">
        <f t="shared" si="123"/>
        <v>-1.0600000000000023</v>
      </c>
    </row>
    <row r="1839" spans="1:16">
      <c r="A1839">
        <v>454.5</v>
      </c>
      <c r="B1839">
        <v>92.95</v>
      </c>
      <c r="C1839">
        <v>98.67</v>
      </c>
      <c r="D1839">
        <v>91.4</v>
      </c>
      <c r="E1839">
        <v>103.84</v>
      </c>
      <c r="F1839">
        <v>102.28</v>
      </c>
      <c r="G1839">
        <v>100.62</v>
      </c>
      <c r="H1839">
        <v>104.9</v>
      </c>
      <c r="K1839" s="9">
        <f t="shared" si="124"/>
        <v>-1</v>
      </c>
      <c r="L1839">
        <f t="shared" si="119"/>
        <v>-1.1700000000000017</v>
      </c>
      <c r="M1839">
        <f t="shared" si="120"/>
        <v>-0.32999999999999829</v>
      </c>
      <c r="N1839">
        <f t="shared" si="121"/>
        <v>-0.21999999999999886</v>
      </c>
      <c r="O1839">
        <f t="shared" si="122"/>
        <v>0.21999999999999886</v>
      </c>
      <c r="P1839" s="10">
        <f t="shared" si="123"/>
        <v>-0.89000000000000057</v>
      </c>
    </row>
    <row r="1840" spans="1:16">
      <c r="A1840">
        <v>454.75</v>
      </c>
      <c r="B1840">
        <v>92.84</v>
      </c>
      <c r="C1840">
        <v>98.34</v>
      </c>
      <c r="D1840">
        <v>91.56</v>
      </c>
      <c r="E1840">
        <v>103.62</v>
      </c>
      <c r="F1840">
        <v>102.23</v>
      </c>
      <c r="G1840">
        <v>100.84</v>
      </c>
      <c r="H1840">
        <v>104.56</v>
      </c>
      <c r="K1840" s="9">
        <f t="shared" si="124"/>
        <v>-0.78000000000000114</v>
      </c>
      <c r="L1840">
        <f t="shared" si="119"/>
        <v>-1.2800000000000011</v>
      </c>
      <c r="M1840">
        <f t="shared" si="120"/>
        <v>-0.21999999999999886</v>
      </c>
      <c r="N1840">
        <f t="shared" si="121"/>
        <v>-0.28000000000000114</v>
      </c>
      <c r="O1840">
        <f t="shared" si="122"/>
        <v>-0.39000000000000057</v>
      </c>
      <c r="P1840" s="10">
        <f t="shared" si="123"/>
        <v>-1</v>
      </c>
    </row>
    <row r="1841" spans="1:16">
      <c r="A1841">
        <v>455</v>
      </c>
      <c r="B1841">
        <v>92.67</v>
      </c>
      <c r="C1841">
        <v>98.06</v>
      </c>
      <c r="D1841">
        <v>91.17</v>
      </c>
      <c r="E1841">
        <v>103.51</v>
      </c>
      <c r="F1841">
        <v>102.12</v>
      </c>
      <c r="G1841">
        <v>100.95</v>
      </c>
      <c r="H1841">
        <v>104.34</v>
      </c>
      <c r="K1841" s="9">
        <f t="shared" si="124"/>
        <v>-0.78000000000000114</v>
      </c>
      <c r="L1841">
        <f t="shared" si="119"/>
        <v>-1.2199999999999989</v>
      </c>
      <c r="M1841">
        <f t="shared" si="120"/>
        <v>-0.28000000000000114</v>
      </c>
      <c r="N1841">
        <f t="shared" si="121"/>
        <v>-0.28000000000000114</v>
      </c>
      <c r="O1841">
        <f t="shared" si="122"/>
        <v>-0.39000000000000057</v>
      </c>
      <c r="P1841" s="10">
        <f t="shared" si="123"/>
        <v>-1.0600000000000023</v>
      </c>
    </row>
    <row r="1842" spans="1:16">
      <c r="A1842">
        <v>455.25</v>
      </c>
      <c r="B1842">
        <v>92.45</v>
      </c>
      <c r="C1842">
        <v>97.67</v>
      </c>
      <c r="D1842">
        <v>90.23</v>
      </c>
      <c r="E1842">
        <v>103.51</v>
      </c>
      <c r="F1842">
        <v>102.06</v>
      </c>
      <c r="G1842">
        <v>100.84</v>
      </c>
      <c r="H1842">
        <v>104.01</v>
      </c>
      <c r="K1842" s="9">
        <f t="shared" si="124"/>
        <v>-0.60999999999999943</v>
      </c>
      <c r="L1842">
        <f t="shared" si="119"/>
        <v>-0.5</v>
      </c>
      <c r="M1842">
        <f t="shared" si="120"/>
        <v>-0.34000000000000341</v>
      </c>
      <c r="N1842">
        <f t="shared" si="121"/>
        <v>-0.39000000000000057</v>
      </c>
      <c r="O1842">
        <f t="shared" si="122"/>
        <v>-0.56000000000000227</v>
      </c>
      <c r="P1842" s="10">
        <f t="shared" si="123"/>
        <v>-0.84000000000000341</v>
      </c>
    </row>
    <row r="1843" spans="1:16">
      <c r="A1843">
        <v>455.5</v>
      </c>
      <c r="B1843">
        <v>92.23</v>
      </c>
      <c r="C1843">
        <v>97.56</v>
      </c>
      <c r="D1843">
        <v>90.28</v>
      </c>
      <c r="E1843">
        <v>103.4</v>
      </c>
      <c r="F1843">
        <v>101.95</v>
      </c>
      <c r="G1843">
        <v>100.45</v>
      </c>
      <c r="H1843">
        <v>103.56</v>
      </c>
      <c r="K1843" s="9">
        <f t="shared" si="124"/>
        <v>-0.71999999999999886</v>
      </c>
      <c r="L1843">
        <f t="shared" si="119"/>
        <v>-0.60999999999999943</v>
      </c>
      <c r="M1843">
        <f t="shared" si="120"/>
        <v>-0.28000000000000114</v>
      </c>
      <c r="N1843">
        <f t="shared" si="121"/>
        <v>-0.39000000000000057</v>
      </c>
      <c r="O1843">
        <f t="shared" si="122"/>
        <v>-0.21999999999999886</v>
      </c>
      <c r="P1843" s="10">
        <f t="shared" si="123"/>
        <v>-0.71999999999999886</v>
      </c>
    </row>
    <row r="1844" spans="1:16">
      <c r="A1844">
        <v>455.75</v>
      </c>
      <c r="B1844">
        <v>92.01</v>
      </c>
      <c r="C1844">
        <v>97.28</v>
      </c>
      <c r="D1844">
        <v>89.95</v>
      </c>
      <c r="E1844">
        <v>103.23</v>
      </c>
      <c r="F1844">
        <v>101.84</v>
      </c>
      <c r="G1844">
        <v>100.56</v>
      </c>
      <c r="H1844">
        <v>103.28</v>
      </c>
      <c r="K1844" s="9">
        <f t="shared" si="124"/>
        <v>-0.54999999999999716</v>
      </c>
      <c r="L1844">
        <f t="shared" si="119"/>
        <v>-1.0499999999999972</v>
      </c>
      <c r="M1844">
        <f t="shared" si="120"/>
        <v>-0.21999999999999886</v>
      </c>
      <c r="N1844">
        <f t="shared" si="121"/>
        <v>-0.39000000000000057</v>
      </c>
      <c r="O1844">
        <f t="shared" si="122"/>
        <v>-0.21999999999999886</v>
      </c>
      <c r="P1844" s="10">
        <f t="shared" si="123"/>
        <v>-0.71999999999999886</v>
      </c>
    </row>
    <row r="1845" spans="1:16">
      <c r="A1845">
        <v>456</v>
      </c>
      <c r="B1845">
        <v>91.84</v>
      </c>
      <c r="C1845">
        <v>97.06</v>
      </c>
      <c r="D1845">
        <v>89.73</v>
      </c>
      <c r="E1845">
        <v>103.17</v>
      </c>
      <c r="F1845">
        <v>101.67</v>
      </c>
      <c r="G1845">
        <v>100.28</v>
      </c>
      <c r="H1845">
        <v>103.17</v>
      </c>
      <c r="K1845" s="9">
        <f t="shared" si="124"/>
        <v>-0.54999999999999716</v>
      </c>
      <c r="L1845">
        <f t="shared" si="119"/>
        <v>-0.56000000000000227</v>
      </c>
      <c r="M1845">
        <f t="shared" si="120"/>
        <v>-0.26999999999999602</v>
      </c>
      <c r="N1845">
        <f t="shared" si="121"/>
        <v>-0.26999999999999602</v>
      </c>
      <c r="O1845">
        <f t="shared" si="122"/>
        <v>6.0000000000002274E-2</v>
      </c>
      <c r="P1845" s="10">
        <f t="shared" si="123"/>
        <v>-0.89000000000000057</v>
      </c>
    </row>
    <row r="1846" spans="1:16">
      <c r="A1846">
        <v>456.25</v>
      </c>
      <c r="B1846">
        <v>91.73</v>
      </c>
      <c r="C1846">
        <v>96.84</v>
      </c>
      <c r="D1846">
        <v>89.67</v>
      </c>
      <c r="E1846">
        <v>103.12</v>
      </c>
      <c r="F1846">
        <v>101.56</v>
      </c>
      <c r="G1846">
        <v>100.23</v>
      </c>
      <c r="H1846">
        <v>102.84</v>
      </c>
      <c r="K1846" s="9">
        <f t="shared" si="124"/>
        <v>-0.56000000000000227</v>
      </c>
      <c r="L1846">
        <f t="shared" si="119"/>
        <v>-1.0499999999999972</v>
      </c>
      <c r="M1846">
        <f t="shared" si="120"/>
        <v>-0.21999999999999886</v>
      </c>
      <c r="N1846">
        <f t="shared" si="121"/>
        <v>-0.21999999999999886</v>
      </c>
      <c r="O1846">
        <f t="shared" si="122"/>
        <v>0</v>
      </c>
      <c r="P1846" s="10">
        <f t="shared" si="123"/>
        <v>-0.82999999999999829</v>
      </c>
    </row>
    <row r="1847" spans="1:16">
      <c r="A1847">
        <v>456.5</v>
      </c>
      <c r="B1847">
        <v>91.51</v>
      </c>
      <c r="C1847">
        <v>96.73</v>
      </c>
      <c r="D1847">
        <v>88.9</v>
      </c>
      <c r="E1847">
        <v>103.01</v>
      </c>
      <c r="F1847">
        <v>101.45</v>
      </c>
      <c r="G1847">
        <v>100.34</v>
      </c>
      <c r="H1847">
        <v>102.56</v>
      </c>
      <c r="K1847" s="9">
        <f t="shared" si="124"/>
        <v>-0.56000000000000227</v>
      </c>
      <c r="L1847">
        <f t="shared" si="119"/>
        <v>-0.5</v>
      </c>
      <c r="M1847">
        <f t="shared" si="120"/>
        <v>-0.17000000000000171</v>
      </c>
      <c r="N1847">
        <f t="shared" si="121"/>
        <v>-0.21999999999999886</v>
      </c>
      <c r="O1847">
        <f t="shared" si="122"/>
        <v>-0.43999999999999773</v>
      </c>
      <c r="P1847" s="10">
        <f t="shared" si="123"/>
        <v>-0.65999999999999659</v>
      </c>
    </row>
    <row r="1848" spans="1:16">
      <c r="A1848">
        <v>456.75</v>
      </c>
      <c r="B1848">
        <v>91.34</v>
      </c>
      <c r="C1848">
        <v>96.51</v>
      </c>
      <c r="D1848">
        <v>89.17</v>
      </c>
      <c r="E1848">
        <v>102.9</v>
      </c>
      <c r="F1848">
        <v>101.4</v>
      </c>
      <c r="G1848">
        <v>100.34</v>
      </c>
      <c r="H1848">
        <v>102.28</v>
      </c>
      <c r="K1848" s="9">
        <f t="shared" si="124"/>
        <v>-0.5</v>
      </c>
      <c r="L1848">
        <f t="shared" si="119"/>
        <v>-0.5</v>
      </c>
      <c r="M1848">
        <f t="shared" si="120"/>
        <v>-0.17000000000000171</v>
      </c>
      <c r="N1848">
        <f t="shared" si="121"/>
        <v>-0.28000000000000114</v>
      </c>
      <c r="O1848">
        <f t="shared" si="122"/>
        <v>-0.93999999999999773</v>
      </c>
      <c r="P1848" s="10">
        <f t="shared" si="123"/>
        <v>-0.54999999999999716</v>
      </c>
    </row>
    <row r="1849" spans="1:16">
      <c r="A1849">
        <v>457</v>
      </c>
      <c r="B1849">
        <v>91.23</v>
      </c>
      <c r="C1849">
        <v>96.28</v>
      </c>
      <c r="D1849">
        <v>88.62</v>
      </c>
      <c r="E1849">
        <v>102.9</v>
      </c>
      <c r="F1849">
        <v>101.34</v>
      </c>
      <c r="G1849">
        <v>100.23</v>
      </c>
      <c r="H1849">
        <v>102.01</v>
      </c>
      <c r="K1849" s="9">
        <f t="shared" si="124"/>
        <v>-0.37999999999999545</v>
      </c>
      <c r="L1849">
        <f t="shared" si="119"/>
        <v>0.15999999999999659</v>
      </c>
      <c r="M1849">
        <f t="shared" si="120"/>
        <v>-0.34000000000000341</v>
      </c>
      <c r="N1849">
        <f t="shared" si="121"/>
        <v>-0.32999999999999829</v>
      </c>
      <c r="O1849">
        <f t="shared" si="122"/>
        <v>-0.56000000000000227</v>
      </c>
      <c r="P1849" s="10">
        <f t="shared" si="123"/>
        <v>-0.45000000000000284</v>
      </c>
    </row>
    <row r="1850" spans="1:16">
      <c r="A1850">
        <v>457.25</v>
      </c>
      <c r="B1850">
        <v>91.01</v>
      </c>
      <c r="C1850">
        <v>96.17</v>
      </c>
      <c r="D1850">
        <v>88.4</v>
      </c>
      <c r="E1850">
        <v>102.84</v>
      </c>
      <c r="F1850">
        <v>101.23</v>
      </c>
      <c r="G1850">
        <v>99.9</v>
      </c>
      <c r="H1850">
        <v>101.9</v>
      </c>
      <c r="K1850" s="9">
        <f t="shared" si="124"/>
        <v>-0.43999999999999773</v>
      </c>
      <c r="L1850">
        <f t="shared" si="119"/>
        <v>0.37999999999999545</v>
      </c>
      <c r="M1850">
        <f t="shared" si="120"/>
        <v>-0.32999999999999829</v>
      </c>
      <c r="N1850">
        <f t="shared" si="121"/>
        <v>-0.39000000000000057</v>
      </c>
      <c r="O1850">
        <f t="shared" si="122"/>
        <v>-0.39000000000000057</v>
      </c>
      <c r="P1850" s="10">
        <f t="shared" si="123"/>
        <v>-0.67000000000000171</v>
      </c>
    </row>
    <row r="1851" spans="1:16">
      <c r="A1851">
        <v>457.5</v>
      </c>
      <c r="B1851">
        <v>90.9</v>
      </c>
      <c r="C1851">
        <v>96.01</v>
      </c>
      <c r="D1851">
        <v>88.67</v>
      </c>
      <c r="E1851">
        <v>102.73</v>
      </c>
      <c r="F1851">
        <v>101.12</v>
      </c>
      <c r="G1851">
        <v>99.4</v>
      </c>
      <c r="H1851">
        <v>101.73</v>
      </c>
      <c r="K1851" s="9">
        <f t="shared" si="124"/>
        <v>-0.28000000000000114</v>
      </c>
      <c r="L1851">
        <f t="shared" si="119"/>
        <v>0.39000000000000057</v>
      </c>
      <c r="M1851">
        <f t="shared" si="120"/>
        <v>-0.21999999999999886</v>
      </c>
      <c r="N1851">
        <f t="shared" si="121"/>
        <v>-0.34000000000000341</v>
      </c>
      <c r="O1851">
        <f t="shared" si="122"/>
        <v>-6.0000000000002274E-2</v>
      </c>
      <c r="P1851" s="10">
        <f t="shared" si="123"/>
        <v>-1</v>
      </c>
    </row>
    <row r="1852" spans="1:16">
      <c r="A1852">
        <v>457.75</v>
      </c>
      <c r="B1852">
        <v>90.78</v>
      </c>
      <c r="C1852">
        <v>95.9</v>
      </c>
      <c r="D1852">
        <v>88.78</v>
      </c>
      <c r="E1852">
        <v>102.56</v>
      </c>
      <c r="F1852">
        <v>101.01</v>
      </c>
      <c r="G1852">
        <v>99.67</v>
      </c>
      <c r="H1852">
        <v>101.56</v>
      </c>
      <c r="K1852" s="9">
        <f t="shared" si="124"/>
        <v>-0.34000000000000341</v>
      </c>
      <c r="L1852">
        <f t="shared" si="119"/>
        <v>0.45000000000000284</v>
      </c>
      <c r="M1852">
        <f t="shared" si="120"/>
        <v>-0.28000000000000114</v>
      </c>
      <c r="N1852">
        <f t="shared" si="121"/>
        <v>-0.39000000000000057</v>
      </c>
      <c r="O1852">
        <f t="shared" si="122"/>
        <v>-0.60999999999999943</v>
      </c>
      <c r="P1852" s="10">
        <f t="shared" si="123"/>
        <v>-0.93999999999999773</v>
      </c>
    </row>
    <row r="1853" spans="1:16">
      <c r="A1853">
        <v>458</v>
      </c>
      <c r="B1853">
        <v>90.67</v>
      </c>
      <c r="C1853">
        <v>95.73</v>
      </c>
      <c r="D1853">
        <v>88.78</v>
      </c>
      <c r="E1853">
        <v>102.51</v>
      </c>
      <c r="F1853">
        <v>100.84</v>
      </c>
      <c r="G1853">
        <v>99.51</v>
      </c>
      <c r="H1853">
        <v>101.23</v>
      </c>
      <c r="K1853" s="9">
        <f t="shared" si="124"/>
        <v>-0.17000000000000171</v>
      </c>
      <c r="L1853">
        <f t="shared" si="119"/>
        <v>0.23000000000000398</v>
      </c>
      <c r="M1853">
        <f t="shared" si="120"/>
        <v>-0.23000000000000398</v>
      </c>
      <c r="N1853">
        <f t="shared" si="121"/>
        <v>-0.32999999999999829</v>
      </c>
      <c r="O1853">
        <f t="shared" si="122"/>
        <v>-0.39000000000000057</v>
      </c>
      <c r="P1853" s="10">
        <f t="shared" si="123"/>
        <v>-0.78000000000000114</v>
      </c>
    </row>
    <row r="1854" spans="1:16">
      <c r="A1854">
        <v>458.25</v>
      </c>
      <c r="B1854">
        <v>90.62</v>
      </c>
      <c r="C1854">
        <v>95.73</v>
      </c>
      <c r="D1854">
        <v>89.06</v>
      </c>
      <c r="E1854">
        <v>102.51</v>
      </c>
      <c r="F1854">
        <v>100.78</v>
      </c>
      <c r="G1854">
        <v>99.34</v>
      </c>
      <c r="H1854">
        <v>100.73</v>
      </c>
      <c r="K1854" s="9">
        <f t="shared" si="124"/>
        <v>-0.32999999999999829</v>
      </c>
      <c r="L1854">
        <f t="shared" si="119"/>
        <v>-0.28000000000000114</v>
      </c>
      <c r="M1854">
        <f t="shared" si="120"/>
        <v>-0.45000000000000284</v>
      </c>
      <c r="N1854">
        <f t="shared" si="121"/>
        <v>-0.37999999999999545</v>
      </c>
      <c r="O1854">
        <f t="shared" si="122"/>
        <v>-0.39000000000000057</v>
      </c>
      <c r="P1854" s="10">
        <f t="shared" si="123"/>
        <v>-0.45000000000000284</v>
      </c>
    </row>
    <row r="1855" spans="1:16">
      <c r="A1855">
        <v>458.5</v>
      </c>
      <c r="B1855">
        <v>90.4</v>
      </c>
      <c r="C1855">
        <v>95.56</v>
      </c>
      <c r="D1855">
        <v>89.23</v>
      </c>
      <c r="E1855">
        <v>102.28</v>
      </c>
      <c r="F1855">
        <v>100.62</v>
      </c>
      <c r="G1855">
        <v>99.06</v>
      </c>
      <c r="H1855">
        <v>100.62</v>
      </c>
      <c r="K1855" s="9">
        <f t="shared" si="124"/>
        <v>-0.32999999999999829</v>
      </c>
      <c r="L1855">
        <f t="shared" si="119"/>
        <v>-0.67000000000000171</v>
      </c>
      <c r="M1855">
        <f t="shared" si="120"/>
        <v>-0.32999999999999829</v>
      </c>
      <c r="N1855">
        <f t="shared" si="121"/>
        <v>-0.39000000000000057</v>
      </c>
      <c r="O1855">
        <f t="shared" si="122"/>
        <v>-0.5</v>
      </c>
      <c r="P1855" s="10">
        <f t="shared" si="123"/>
        <v>-0.5</v>
      </c>
    </row>
    <row r="1856" spans="1:16">
      <c r="A1856">
        <v>458.75</v>
      </c>
      <c r="B1856">
        <v>90.28</v>
      </c>
      <c r="C1856">
        <v>95.56</v>
      </c>
      <c r="D1856">
        <v>89.01</v>
      </c>
      <c r="E1856">
        <v>102.28</v>
      </c>
      <c r="F1856">
        <v>100.51</v>
      </c>
      <c r="G1856">
        <v>99.12</v>
      </c>
      <c r="H1856">
        <v>100.45</v>
      </c>
      <c r="K1856" s="9">
        <f t="shared" si="124"/>
        <v>-0.5</v>
      </c>
      <c r="L1856">
        <f t="shared" si="119"/>
        <v>-0.73000000000000398</v>
      </c>
      <c r="M1856">
        <f t="shared" si="120"/>
        <v>-0.26999999999999602</v>
      </c>
      <c r="N1856">
        <f t="shared" si="121"/>
        <v>-0.39000000000000057</v>
      </c>
      <c r="O1856">
        <f t="shared" si="122"/>
        <v>-0.39000000000000057</v>
      </c>
      <c r="P1856" s="10">
        <f t="shared" si="123"/>
        <v>-0.54999999999999716</v>
      </c>
    </row>
    <row r="1857" spans="1:16">
      <c r="A1857">
        <v>459</v>
      </c>
      <c r="B1857">
        <v>90.17</v>
      </c>
      <c r="C1857">
        <v>95.4</v>
      </c>
      <c r="D1857">
        <v>88.78</v>
      </c>
      <c r="E1857">
        <v>102.06</v>
      </c>
      <c r="F1857">
        <v>100.4</v>
      </c>
      <c r="G1857">
        <v>98.95</v>
      </c>
      <c r="H1857">
        <v>100.28</v>
      </c>
      <c r="K1857" s="9">
        <f t="shared" si="124"/>
        <v>-0.45000000000000284</v>
      </c>
      <c r="L1857">
        <f t="shared" si="119"/>
        <v>-0.65999999999999659</v>
      </c>
      <c r="M1857">
        <f t="shared" si="120"/>
        <v>-0.21999999999999886</v>
      </c>
      <c r="N1857">
        <f t="shared" si="121"/>
        <v>-0.34000000000000341</v>
      </c>
      <c r="O1857">
        <f t="shared" si="122"/>
        <v>-0.54999999999999716</v>
      </c>
      <c r="P1857" s="10">
        <f t="shared" si="123"/>
        <v>-0.54999999999999716</v>
      </c>
    </row>
    <row r="1858" spans="1:16">
      <c r="A1858">
        <v>459.25</v>
      </c>
      <c r="B1858">
        <v>89.78</v>
      </c>
      <c r="C1858">
        <v>95.23</v>
      </c>
      <c r="D1858">
        <v>88.56</v>
      </c>
      <c r="E1858">
        <v>101.95</v>
      </c>
      <c r="F1858">
        <v>100.23</v>
      </c>
      <c r="G1858">
        <v>98.56</v>
      </c>
      <c r="H1858">
        <v>100.12</v>
      </c>
      <c r="K1858" s="9">
        <f t="shared" si="124"/>
        <v>-0.5</v>
      </c>
      <c r="L1858">
        <f t="shared" si="119"/>
        <v>-0.54999999999999716</v>
      </c>
      <c r="M1858">
        <f t="shared" si="120"/>
        <v>-0.17000000000000171</v>
      </c>
      <c r="N1858">
        <f t="shared" si="121"/>
        <v>-0.32999999999999829</v>
      </c>
      <c r="O1858">
        <f t="shared" si="122"/>
        <v>-4.9999999999997158E-2</v>
      </c>
      <c r="P1858" s="10">
        <f t="shared" si="123"/>
        <v>-0.56000000000000227</v>
      </c>
    </row>
    <row r="1859" spans="1:16">
      <c r="A1859">
        <v>459.5</v>
      </c>
      <c r="B1859">
        <v>89.62</v>
      </c>
      <c r="C1859">
        <v>95.06</v>
      </c>
      <c r="D1859">
        <v>88.28</v>
      </c>
      <c r="E1859">
        <v>102.01</v>
      </c>
      <c r="F1859">
        <v>100.12</v>
      </c>
      <c r="G1859">
        <v>98.73</v>
      </c>
      <c r="H1859">
        <v>99.9</v>
      </c>
      <c r="K1859" s="9">
        <f t="shared" si="124"/>
        <v>-0.5</v>
      </c>
      <c r="L1859">
        <f t="shared" si="119"/>
        <v>-0.5</v>
      </c>
      <c r="M1859">
        <f t="shared" si="120"/>
        <v>-0.28000000000000114</v>
      </c>
      <c r="N1859">
        <f t="shared" si="121"/>
        <v>-0.28000000000000114</v>
      </c>
      <c r="O1859">
        <f t="shared" si="122"/>
        <v>-6.0000000000002274E-2</v>
      </c>
      <c r="P1859" s="10">
        <f t="shared" si="123"/>
        <v>-0.45000000000000284</v>
      </c>
    </row>
    <row r="1860" spans="1:16">
      <c r="A1860">
        <v>459.75</v>
      </c>
      <c r="B1860">
        <v>89.4</v>
      </c>
      <c r="C1860">
        <v>94.95</v>
      </c>
      <c r="D1860">
        <v>88.12</v>
      </c>
      <c r="E1860">
        <v>101.84</v>
      </c>
      <c r="F1860">
        <v>100.06</v>
      </c>
      <c r="G1860">
        <v>98.4</v>
      </c>
      <c r="H1860">
        <v>99.73</v>
      </c>
      <c r="K1860" s="9">
        <f t="shared" si="124"/>
        <v>-0.5</v>
      </c>
      <c r="L1860">
        <f t="shared" si="119"/>
        <v>-0.71999999999999886</v>
      </c>
      <c r="M1860">
        <f t="shared" si="120"/>
        <v>-0.28000000000000114</v>
      </c>
      <c r="N1860">
        <f t="shared" si="121"/>
        <v>-0.32999999999999829</v>
      </c>
      <c r="O1860">
        <f t="shared" si="122"/>
        <v>0.15999999999999659</v>
      </c>
      <c r="P1860" s="10">
        <f t="shared" si="123"/>
        <v>-0.5</v>
      </c>
    </row>
    <row r="1861" spans="1:16">
      <c r="A1861">
        <v>460</v>
      </c>
      <c r="B1861">
        <v>89.4</v>
      </c>
      <c r="C1861">
        <v>94.73</v>
      </c>
      <c r="D1861">
        <v>88.01</v>
      </c>
      <c r="E1861">
        <v>101.78</v>
      </c>
      <c r="F1861">
        <v>99.9</v>
      </c>
      <c r="G1861">
        <v>98.51</v>
      </c>
      <c r="H1861">
        <v>99.56</v>
      </c>
      <c r="K1861" s="9">
        <f t="shared" si="124"/>
        <v>-0.45000000000000284</v>
      </c>
      <c r="L1861">
        <f t="shared" si="119"/>
        <v>-0.73000000000000398</v>
      </c>
      <c r="M1861">
        <f t="shared" si="120"/>
        <v>-0.32999999999999829</v>
      </c>
      <c r="N1861">
        <f t="shared" si="121"/>
        <v>-0.34000000000000341</v>
      </c>
      <c r="O1861">
        <f t="shared" si="122"/>
        <v>-0.17000000000000171</v>
      </c>
      <c r="P1861" s="10">
        <f t="shared" si="123"/>
        <v>-0.60999999999999943</v>
      </c>
    </row>
    <row r="1862" spans="1:16">
      <c r="A1862">
        <v>460.25</v>
      </c>
      <c r="B1862">
        <v>89.28</v>
      </c>
      <c r="C1862">
        <v>94.56</v>
      </c>
      <c r="D1862">
        <v>87.78</v>
      </c>
      <c r="E1862">
        <v>101.73</v>
      </c>
      <c r="F1862">
        <v>99.84</v>
      </c>
      <c r="G1862">
        <v>98.67</v>
      </c>
      <c r="H1862">
        <v>99.45</v>
      </c>
      <c r="K1862" s="9">
        <f t="shared" si="124"/>
        <v>-0.43999999999999773</v>
      </c>
      <c r="L1862">
        <f t="shared" si="119"/>
        <v>-0.93999999999999773</v>
      </c>
      <c r="M1862">
        <f t="shared" si="120"/>
        <v>-0.28000000000000114</v>
      </c>
      <c r="N1862">
        <f t="shared" si="121"/>
        <v>-0.28000000000000114</v>
      </c>
      <c r="O1862">
        <f t="shared" si="122"/>
        <v>-0.21999999999999886</v>
      </c>
      <c r="P1862" s="10">
        <f t="shared" si="123"/>
        <v>-0.82999999999999829</v>
      </c>
    </row>
    <row r="1863" spans="1:16">
      <c r="A1863">
        <v>460.5</v>
      </c>
      <c r="B1863">
        <v>89.17</v>
      </c>
      <c r="C1863">
        <v>94.45</v>
      </c>
      <c r="D1863">
        <v>87.4</v>
      </c>
      <c r="E1863">
        <v>101.56</v>
      </c>
      <c r="F1863">
        <v>99.73</v>
      </c>
      <c r="G1863">
        <v>98.56</v>
      </c>
      <c r="H1863">
        <v>99.23</v>
      </c>
      <c r="K1863" s="9">
        <f t="shared" si="124"/>
        <v>-0.32999999999999829</v>
      </c>
      <c r="L1863">
        <f t="shared" si="119"/>
        <v>-0.73000000000000398</v>
      </c>
      <c r="M1863">
        <f t="shared" si="120"/>
        <v>-0.28000000000000114</v>
      </c>
      <c r="N1863">
        <f t="shared" si="121"/>
        <v>-0.32999999999999829</v>
      </c>
      <c r="O1863">
        <f t="shared" si="122"/>
        <v>-0.78000000000000114</v>
      </c>
      <c r="P1863" s="10">
        <f t="shared" si="123"/>
        <v>-0.95000000000000284</v>
      </c>
    </row>
    <row r="1864" spans="1:16">
      <c r="A1864">
        <v>460.75</v>
      </c>
      <c r="B1864">
        <v>89.06</v>
      </c>
      <c r="C1864">
        <v>94.28</v>
      </c>
      <c r="D1864">
        <v>87.28</v>
      </c>
      <c r="E1864">
        <v>101.45</v>
      </c>
      <c r="F1864">
        <v>99.56</v>
      </c>
      <c r="G1864">
        <v>98.34</v>
      </c>
      <c r="H1864">
        <v>98.95</v>
      </c>
      <c r="K1864" s="9">
        <f t="shared" si="124"/>
        <v>-0.21999999999999886</v>
      </c>
      <c r="L1864">
        <f t="shared" si="119"/>
        <v>-0.26999999999999602</v>
      </c>
      <c r="M1864">
        <f t="shared" si="120"/>
        <v>-0.28000000000000114</v>
      </c>
      <c r="N1864">
        <f t="shared" si="121"/>
        <v>-0.28000000000000114</v>
      </c>
      <c r="O1864">
        <f t="shared" si="122"/>
        <v>-0.5</v>
      </c>
      <c r="P1864" s="10">
        <f t="shared" si="123"/>
        <v>-0.89000000000000057</v>
      </c>
    </row>
    <row r="1865" spans="1:16">
      <c r="A1865">
        <v>461</v>
      </c>
      <c r="B1865">
        <v>88.9</v>
      </c>
      <c r="C1865">
        <v>94.12</v>
      </c>
      <c r="D1865">
        <v>86.84</v>
      </c>
      <c r="E1865">
        <v>101.45</v>
      </c>
      <c r="F1865">
        <v>99.56</v>
      </c>
      <c r="G1865">
        <v>98.45</v>
      </c>
      <c r="H1865">
        <v>98.62</v>
      </c>
      <c r="K1865" s="9">
        <f t="shared" si="124"/>
        <v>-0.17000000000000171</v>
      </c>
      <c r="L1865">
        <f t="shared" si="119"/>
        <v>-0.32999999999999829</v>
      </c>
      <c r="M1865">
        <f t="shared" si="120"/>
        <v>-0.43999999999999773</v>
      </c>
      <c r="N1865">
        <f t="shared" si="121"/>
        <v>-0.32999999999999829</v>
      </c>
      <c r="O1865">
        <f t="shared" si="122"/>
        <v>-0.78000000000000114</v>
      </c>
      <c r="P1865" s="10">
        <f t="shared" si="123"/>
        <v>-0.71999999999999886</v>
      </c>
    </row>
    <row r="1866" spans="1:16">
      <c r="A1866">
        <v>461.25</v>
      </c>
      <c r="B1866">
        <v>88.56</v>
      </c>
      <c r="C1866">
        <v>94.12</v>
      </c>
      <c r="D1866">
        <v>86.67</v>
      </c>
      <c r="E1866">
        <v>101.28</v>
      </c>
      <c r="F1866">
        <v>99.4</v>
      </c>
      <c r="G1866">
        <v>97.78</v>
      </c>
      <c r="H1866">
        <v>98.28</v>
      </c>
      <c r="K1866" s="9">
        <f t="shared" si="124"/>
        <v>-0.17000000000000171</v>
      </c>
      <c r="L1866">
        <f t="shared" ref="L1866:L1929" si="125">D1869-D1866</f>
        <v>0.23000000000000398</v>
      </c>
      <c r="M1866">
        <f t="shared" ref="M1866:M1929" si="126">E1869-E1866</f>
        <v>-0.32999999999999829</v>
      </c>
      <c r="N1866">
        <f t="shared" ref="N1866:N1929" si="127">F1869-F1866</f>
        <v>-0.28000000000000114</v>
      </c>
      <c r="O1866">
        <f t="shared" ref="O1866:O1929" si="128">G1869-G1866</f>
        <v>-0.10999999999999943</v>
      </c>
      <c r="P1866" s="10">
        <f t="shared" ref="P1866:P1929" si="129">H1869-H1866</f>
        <v>-0.71999999999999886</v>
      </c>
    </row>
    <row r="1867" spans="1:16">
      <c r="A1867">
        <v>461.5</v>
      </c>
      <c r="B1867">
        <v>88.34</v>
      </c>
      <c r="C1867">
        <v>94.06</v>
      </c>
      <c r="D1867">
        <v>87.01</v>
      </c>
      <c r="E1867">
        <v>101.17</v>
      </c>
      <c r="F1867">
        <v>99.28</v>
      </c>
      <c r="G1867">
        <v>97.84</v>
      </c>
      <c r="H1867">
        <v>98.06</v>
      </c>
      <c r="K1867" s="9">
        <f t="shared" ref="K1867:K1930" si="130">C1870-C1867</f>
        <v>-0.21999999999999886</v>
      </c>
      <c r="L1867">
        <f t="shared" si="125"/>
        <v>-6.0000000000002274E-2</v>
      </c>
      <c r="M1867">
        <f t="shared" si="126"/>
        <v>-0.26999999999999602</v>
      </c>
      <c r="N1867">
        <f t="shared" si="127"/>
        <v>-0.21999999999999886</v>
      </c>
      <c r="O1867">
        <f t="shared" si="128"/>
        <v>-0.32999999999999829</v>
      </c>
      <c r="P1867" s="10">
        <f t="shared" si="129"/>
        <v>-0.71999999999999886</v>
      </c>
    </row>
    <row r="1868" spans="1:16">
      <c r="A1868">
        <v>461.75</v>
      </c>
      <c r="B1868">
        <v>88.17</v>
      </c>
      <c r="C1868">
        <v>93.95</v>
      </c>
      <c r="D1868">
        <v>86.51</v>
      </c>
      <c r="E1868">
        <v>101.01</v>
      </c>
      <c r="F1868">
        <v>99.23</v>
      </c>
      <c r="G1868">
        <v>97.67</v>
      </c>
      <c r="H1868">
        <v>97.9</v>
      </c>
      <c r="K1868" s="9">
        <f t="shared" si="130"/>
        <v>-0.10999999999999943</v>
      </c>
      <c r="L1868">
        <f t="shared" si="125"/>
        <v>0.43999999999999773</v>
      </c>
      <c r="M1868">
        <f t="shared" si="126"/>
        <v>-0.28000000000000114</v>
      </c>
      <c r="N1868">
        <f t="shared" si="127"/>
        <v>-0.32999999999999829</v>
      </c>
      <c r="O1868">
        <f t="shared" si="128"/>
        <v>-0.39000000000000057</v>
      </c>
      <c r="P1868" s="10">
        <f t="shared" si="129"/>
        <v>-0.84000000000000341</v>
      </c>
    </row>
    <row r="1869" spans="1:16">
      <c r="A1869">
        <v>462</v>
      </c>
      <c r="B1869">
        <v>88.01</v>
      </c>
      <c r="C1869">
        <v>93.95</v>
      </c>
      <c r="D1869">
        <v>86.9</v>
      </c>
      <c r="E1869">
        <v>100.95</v>
      </c>
      <c r="F1869">
        <v>99.12</v>
      </c>
      <c r="G1869">
        <v>97.67</v>
      </c>
      <c r="H1869">
        <v>97.56</v>
      </c>
      <c r="K1869" s="9">
        <f t="shared" si="130"/>
        <v>-4.9999999999997158E-2</v>
      </c>
      <c r="L1869">
        <f t="shared" si="125"/>
        <v>0.5</v>
      </c>
      <c r="M1869">
        <f t="shared" si="126"/>
        <v>-0.28000000000000114</v>
      </c>
      <c r="N1869">
        <f t="shared" si="127"/>
        <v>-0.39000000000000057</v>
      </c>
      <c r="O1869">
        <f t="shared" si="128"/>
        <v>-0.39000000000000057</v>
      </c>
      <c r="P1869" s="10">
        <f t="shared" si="129"/>
        <v>-0.43999999999999773</v>
      </c>
    </row>
    <row r="1870" spans="1:16">
      <c r="A1870">
        <v>462.25</v>
      </c>
      <c r="B1870">
        <v>87.84</v>
      </c>
      <c r="C1870">
        <v>93.84</v>
      </c>
      <c r="D1870">
        <v>86.95</v>
      </c>
      <c r="E1870">
        <v>100.9</v>
      </c>
      <c r="F1870">
        <v>99.06</v>
      </c>
      <c r="G1870">
        <v>97.51</v>
      </c>
      <c r="H1870">
        <v>97.34</v>
      </c>
      <c r="K1870" s="9">
        <f t="shared" si="130"/>
        <v>-0.10999999999999943</v>
      </c>
      <c r="L1870">
        <f t="shared" si="125"/>
        <v>0.5</v>
      </c>
      <c r="M1870">
        <f t="shared" si="126"/>
        <v>-0.34000000000000341</v>
      </c>
      <c r="N1870">
        <f t="shared" si="127"/>
        <v>-0.43999999999999773</v>
      </c>
      <c r="O1870">
        <f t="shared" si="128"/>
        <v>-0.45000000000000284</v>
      </c>
      <c r="P1870" s="10">
        <f t="shared" si="129"/>
        <v>-0.28000000000000114</v>
      </c>
    </row>
    <row r="1871" spans="1:16">
      <c r="A1871">
        <v>462.5</v>
      </c>
      <c r="B1871">
        <v>87.62</v>
      </c>
      <c r="C1871">
        <v>93.84</v>
      </c>
      <c r="D1871">
        <v>86.95</v>
      </c>
      <c r="E1871">
        <v>100.73</v>
      </c>
      <c r="F1871">
        <v>98.9</v>
      </c>
      <c r="G1871">
        <v>97.28</v>
      </c>
      <c r="H1871">
        <v>97.06</v>
      </c>
      <c r="K1871" s="9">
        <f t="shared" si="130"/>
        <v>-0.10999999999999943</v>
      </c>
      <c r="L1871">
        <f t="shared" si="125"/>
        <v>0.45000000000000284</v>
      </c>
      <c r="M1871">
        <f t="shared" si="126"/>
        <v>-0.21999999999999886</v>
      </c>
      <c r="N1871">
        <f t="shared" si="127"/>
        <v>-0.34000000000000341</v>
      </c>
      <c r="O1871">
        <f t="shared" si="128"/>
        <v>-4.9999999999997158E-2</v>
      </c>
      <c r="P1871" s="10">
        <f t="shared" si="129"/>
        <v>-0.15999999999999659</v>
      </c>
    </row>
    <row r="1872" spans="1:16">
      <c r="A1872">
        <v>462.75</v>
      </c>
      <c r="B1872">
        <v>87.51</v>
      </c>
      <c r="C1872">
        <v>93.9</v>
      </c>
      <c r="D1872">
        <v>87.4</v>
      </c>
      <c r="E1872">
        <v>100.67</v>
      </c>
      <c r="F1872">
        <v>98.73</v>
      </c>
      <c r="G1872">
        <v>97.28</v>
      </c>
      <c r="H1872">
        <v>97.12</v>
      </c>
      <c r="K1872" s="9">
        <f t="shared" si="130"/>
        <v>-0.17000000000000171</v>
      </c>
      <c r="L1872">
        <f t="shared" si="125"/>
        <v>-0.28000000000000114</v>
      </c>
      <c r="M1872">
        <f t="shared" si="126"/>
        <v>-0.21999999999999886</v>
      </c>
      <c r="N1872">
        <f t="shared" si="127"/>
        <v>-0.28000000000000114</v>
      </c>
      <c r="O1872">
        <f t="shared" si="128"/>
        <v>-0.15999999999999659</v>
      </c>
      <c r="P1872" s="10">
        <f t="shared" si="129"/>
        <v>-0.21999999999999886</v>
      </c>
    </row>
    <row r="1873" spans="1:16">
      <c r="A1873">
        <v>463</v>
      </c>
      <c r="B1873">
        <v>87.51</v>
      </c>
      <c r="C1873">
        <v>93.73</v>
      </c>
      <c r="D1873">
        <v>87.45</v>
      </c>
      <c r="E1873">
        <v>100.56</v>
      </c>
      <c r="F1873">
        <v>98.62</v>
      </c>
      <c r="G1873">
        <v>97.06</v>
      </c>
      <c r="H1873">
        <v>97.06</v>
      </c>
      <c r="K1873" s="9">
        <f t="shared" si="130"/>
        <v>-0.10999999999999943</v>
      </c>
      <c r="L1873">
        <f t="shared" si="125"/>
        <v>-0.32999999999999829</v>
      </c>
      <c r="M1873">
        <f t="shared" si="126"/>
        <v>-0.21999999999999886</v>
      </c>
      <c r="N1873">
        <f t="shared" si="127"/>
        <v>-0.17000000000000171</v>
      </c>
      <c r="O1873">
        <f t="shared" si="128"/>
        <v>0.17000000000000171</v>
      </c>
      <c r="P1873" s="10">
        <f t="shared" si="129"/>
        <v>-0.10999999999999943</v>
      </c>
    </row>
    <row r="1874" spans="1:16">
      <c r="A1874">
        <v>463.25</v>
      </c>
      <c r="B1874">
        <v>87.51</v>
      </c>
      <c r="C1874">
        <v>93.73</v>
      </c>
      <c r="D1874">
        <v>87.4</v>
      </c>
      <c r="E1874">
        <v>100.51</v>
      </c>
      <c r="F1874">
        <v>98.56</v>
      </c>
      <c r="G1874">
        <v>97.23</v>
      </c>
      <c r="H1874">
        <v>96.9</v>
      </c>
      <c r="K1874" s="9">
        <f t="shared" si="130"/>
        <v>-0.21999999999999886</v>
      </c>
      <c r="L1874">
        <f t="shared" si="125"/>
        <v>-0.45000000000000284</v>
      </c>
      <c r="M1874">
        <f t="shared" si="126"/>
        <v>-0.28000000000000114</v>
      </c>
      <c r="N1874">
        <f t="shared" si="127"/>
        <v>-0.21999999999999886</v>
      </c>
      <c r="O1874">
        <f t="shared" si="128"/>
        <v>-0.21999999999999886</v>
      </c>
      <c r="P1874" s="10">
        <f t="shared" si="129"/>
        <v>-0.17000000000000171</v>
      </c>
    </row>
    <row r="1875" spans="1:16">
      <c r="A1875">
        <v>463.5</v>
      </c>
      <c r="B1875">
        <v>87.34</v>
      </c>
      <c r="C1875">
        <v>93.73</v>
      </c>
      <c r="D1875">
        <v>87.12</v>
      </c>
      <c r="E1875">
        <v>100.45</v>
      </c>
      <c r="F1875">
        <v>98.45</v>
      </c>
      <c r="G1875">
        <v>97.12</v>
      </c>
      <c r="H1875">
        <v>96.9</v>
      </c>
      <c r="K1875" s="9">
        <f t="shared" si="130"/>
        <v>-0.32999999999999829</v>
      </c>
      <c r="L1875">
        <f t="shared" si="125"/>
        <v>0</v>
      </c>
      <c r="M1875">
        <f t="shared" si="126"/>
        <v>-0.28000000000000114</v>
      </c>
      <c r="N1875">
        <f t="shared" si="127"/>
        <v>-0.21999999999999886</v>
      </c>
      <c r="O1875">
        <f t="shared" si="128"/>
        <v>-0.45000000000000284</v>
      </c>
      <c r="P1875" s="10">
        <f t="shared" si="129"/>
        <v>-0.34000000000000341</v>
      </c>
    </row>
    <row r="1876" spans="1:16">
      <c r="A1876">
        <v>463.75</v>
      </c>
      <c r="B1876">
        <v>87.28</v>
      </c>
      <c r="C1876">
        <v>93.62</v>
      </c>
      <c r="D1876">
        <v>87.12</v>
      </c>
      <c r="E1876">
        <v>100.34</v>
      </c>
      <c r="F1876">
        <v>98.45</v>
      </c>
      <c r="G1876">
        <v>97.23</v>
      </c>
      <c r="H1876">
        <v>96.95</v>
      </c>
      <c r="K1876" s="9">
        <f t="shared" si="130"/>
        <v>-0.28000000000000114</v>
      </c>
      <c r="L1876">
        <f t="shared" si="125"/>
        <v>0.10999999999999943</v>
      </c>
      <c r="M1876">
        <f t="shared" si="126"/>
        <v>-0.28000000000000114</v>
      </c>
      <c r="N1876">
        <f t="shared" si="127"/>
        <v>-0.28000000000000114</v>
      </c>
      <c r="O1876">
        <f t="shared" si="128"/>
        <v>-0.5</v>
      </c>
      <c r="P1876" s="10">
        <f t="shared" si="129"/>
        <v>-0.43999999999999773</v>
      </c>
    </row>
    <row r="1877" spans="1:16">
      <c r="A1877">
        <v>464</v>
      </c>
      <c r="B1877">
        <v>87.12</v>
      </c>
      <c r="C1877">
        <v>93.51</v>
      </c>
      <c r="D1877">
        <v>86.95</v>
      </c>
      <c r="E1877">
        <v>100.23</v>
      </c>
      <c r="F1877">
        <v>98.34</v>
      </c>
      <c r="G1877">
        <v>97.01</v>
      </c>
      <c r="H1877">
        <v>96.73</v>
      </c>
      <c r="K1877" s="9">
        <f t="shared" si="130"/>
        <v>-0.28000000000000114</v>
      </c>
      <c r="L1877">
        <f t="shared" si="125"/>
        <v>0.28000000000000114</v>
      </c>
      <c r="M1877">
        <f t="shared" si="126"/>
        <v>-0.32999999999999829</v>
      </c>
      <c r="N1877">
        <f t="shared" si="127"/>
        <v>-0.32999999999999829</v>
      </c>
      <c r="O1877">
        <f t="shared" si="128"/>
        <v>-0.10999999999999943</v>
      </c>
      <c r="P1877" s="10">
        <f t="shared" si="129"/>
        <v>-0.45000000000000284</v>
      </c>
    </row>
    <row r="1878" spans="1:16">
      <c r="A1878">
        <v>464.25</v>
      </c>
      <c r="B1878">
        <v>86.84</v>
      </c>
      <c r="C1878">
        <v>93.4</v>
      </c>
      <c r="D1878">
        <v>87.12</v>
      </c>
      <c r="E1878">
        <v>100.17</v>
      </c>
      <c r="F1878">
        <v>98.23</v>
      </c>
      <c r="G1878">
        <v>96.67</v>
      </c>
      <c r="H1878">
        <v>96.56</v>
      </c>
      <c r="K1878" s="9">
        <f t="shared" si="130"/>
        <v>-0.39000000000000057</v>
      </c>
      <c r="L1878">
        <f t="shared" si="125"/>
        <v>0.32999999999999829</v>
      </c>
      <c r="M1878">
        <f t="shared" si="126"/>
        <v>-0.26999999999999602</v>
      </c>
      <c r="N1878">
        <f t="shared" si="127"/>
        <v>-0.21999999999999886</v>
      </c>
      <c r="O1878">
        <f t="shared" si="128"/>
        <v>0.23000000000000398</v>
      </c>
      <c r="P1878" s="10">
        <f t="shared" si="129"/>
        <v>-0.5</v>
      </c>
    </row>
    <row r="1879" spans="1:16">
      <c r="A1879">
        <v>464.5</v>
      </c>
      <c r="B1879">
        <v>86.78</v>
      </c>
      <c r="C1879">
        <v>93.34</v>
      </c>
      <c r="D1879">
        <v>87.23</v>
      </c>
      <c r="E1879">
        <v>100.06</v>
      </c>
      <c r="F1879">
        <v>98.17</v>
      </c>
      <c r="G1879">
        <v>96.73</v>
      </c>
      <c r="H1879">
        <v>96.51</v>
      </c>
      <c r="K1879" s="9">
        <f t="shared" si="130"/>
        <v>-0.39000000000000057</v>
      </c>
      <c r="L1879">
        <f t="shared" si="125"/>
        <v>0</v>
      </c>
      <c r="M1879">
        <f t="shared" si="126"/>
        <v>-0.32999999999999829</v>
      </c>
      <c r="N1879">
        <f t="shared" si="127"/>
        <v>-0.26999999999999602</v>
      </c>
      <c r="O1879">
        <f t="shared" si="128"/>
        <v>-0.32999999999999829</v>
      </c>
      <c r="P1879" s="10">
        <f t="shared" si="129"/>
        <v>-0.5</v>
      </c>
    </row>
    <row r="1880" spans="1:16">
      <c r="A1880">
        <v>464.75</v>
      </c>
      <c r="B1880">
        <v>86.78</v>
      </c>
      <c r="C1880">
        <v>93.23</v>
      </c>
      <c r="D1880">
        <v>87.23</v>
      </c>
      <c r="E1880">
        <v>99.9</v>
      </c>
      <c r="F1880">
        <v>98.01</v>
      </c>
      <c r="G1880">
        <v>96.9</v>
      </c>
      <c r="H1880">
        <v>96.28</v>
      </c>
      <c r="K1880" s="9">
        <f t="shared" si="130"/>
        <v>-0.45000000000000284</v>
      </c>
      <c r="L1880">
        <f t="shared" si="125"/>
        <v>-6.0000000000002274E-2</v>
      </c>
      <c r="M1880">
        <f t="shared" si="126"/>
        <v>-0.23000000000000398</v>
      </c>
      <c r="N1880">
        <f t="shared" si="127"/>
        <v>-0.17000000000000171</v>
      </c>
      <c r="O1880">
        <f t="shared" si="128"/>
        <v>-0.62000000000000455</v>
      </c>
      <c r="P1880" s="10">
        <f t="shared" si="129"/>
        <v>-0.5</v>
      </c>
    </row>
    <row r="1881" spans="1:16">
      <c r="A1881">
        <v>465</v>
      </c>
      <c r="B1881">
        <v>86.78</v>
      </c>
      <c r="C1881">
        <v>93.01</v>
      </c>
      <c r="D1881">
        <v>87.45</v>
      </c>
      <c r="E1881">
        <v>99.9</v>
      </c>
      <c r="F1881">
        <v>98.01</v>
      </c>
      <c r="G1881">
        <v>96.9</v>
      </c>
      <c r="H1881">
        <v>96.06</v>
      </c>
      <c r="K1881" s="9">
        <f t="shared" si="130"/>
        <v>-0.34000000000000341</v>
      </c>
      <c r="L1881">
        <f t="shared" si="125"/>
        <v>-0.5</v>
      </c>
      <c r="M1881">
        <f t="shared" si="126"/>
        <v>-0.34000000000000341</v>
      </c>
      <c r="N1881">
        <f t="shared" si="127"/>
        <v>-0.34000000000000341</v>
      </c>
      <c r="O1881">
        <f t="shared" si="128"/>
        <v>-0.67000000000000171</v>
      </c>
      <c r="P1881" s="10">
        <f t="shared" si="129"/>
        <v>-0.39000000000000057</v>
      </c>
    </row>
    <row r="1882" spans="1:16">
      <c r="A1882">
        <v>465.25</v>
      </c>
      <c r="B1882">
        <v>86.56</v>
      </c>
      <c r="C1882">
        <v>92.95</v>
      </c>
      <c r="D1882">
        <v>87.23</v>
      </c>
      <c r="E1882">
        <v>99.73</v>
      </c>
      <c r="F1882">
        <v>97.9</v>
      </c>
      <c r="G1882">
        <v>96.4</v>
      </c>
      <c r="H1882">
        <v>96.01</v>
      </c>
      <c r="K1882" s="9">
        <f t="shared" si="130"/>
        <v>-0.54999999999999716</v>
      </c>
      <c r="L1882">
        <f t="shared" si="125"/>
        <v>-0.28000000000000114</v>
      </c>
      <c r="M1882">
        <f t="shared" si="126"/>
        <v>-0.28000000000000114</v>
      </c>
      <c r="N1882">
        <f t="shared" si="127"/>
        <v>-0.34000000000000341</v>
      </c>
      <c r="O1882">
        <f t="shared" si="128"/>
        <v>-0.73000000000000398</v>
      </c>
      <c r="P1882" s="10">
        <f t="shared" si="129"/>
        <v>-0.39000000000000057</v>
      </c>
    </row>
    <row r="1883" spans="1:16">
      <c r="A1883">
        <v>465.5</v>
      </c>
      <c r="B1883">
        <v>86.45</v>
      </c>
      <c r="C1883">
        <v>92.78</v>
      </c>
      <c r="D1883">
        <v>87.17</v>
      </c>
      <c r="E1883">
        <v>99.67</v>
      </c>
      <c r="F1883">
        <v>97.84</v>
      </c>
      <c r="G1883">
        <v>96.28</v>
      </c>
      <c r="H1883">
        <v>95.78</v>
      </c>
      <c r="K1883" s="9">
        <f t="shared" si="130"/>
        <v>-0.60999999999999943</v>
      </c>
      <c r="L1883">
        <f t="shared" si="125"/>
        <v>-0.54999999999999716</v>
      </c>
      <c r="M1883">
        <f t="shared" si="126"/>
        <v>-0.21999999999999886</v>
      </c>
      <c r="N1883">
        <f t="shared" si="127"/>
        <v>-0.28000000000000114</v>
      </c>
      <c r="O1883">
        <f t="shared" si="128"/>
        <v>-0.60999999999999943</v>
      </c>
      <c r="P1883" s="10">
        <f t="shared" si="129"/>
        <v>-0.26999999999999602</v>
      </c>
    </row>
    <row r="1884" spans="1:16">
      <c r="A1884">
        <v>465.75</v>
      </c>
      <c r="B1884">
        <v>86.28</v>
      </c>
      <c r="C1884">
        <v>92.67</v>
      </c>
      <c r="D1884">
        <v>86.95</v>
      </c>
      <c r="E1884">
        <v>99.56</v>
      </c>
      <c r="F1884">
        <v>97.67</v>
      </c>
      <c r="G1884">
        <v>96.23</v>
      </c>
      <c r="H1884">
        <v>95.67</v>
      </c>
      <c r="K1884" s="9">
        <f t="shared" si="130"/>
        <v>-0.71999999999999886</v>
      </c>
      <c r="L1884">
        <f t="shared" si="125"/>
        <v>-0.32999999999999829</v>
      </c>
      <c r="M1884">
        <f t="shared" si="126"/>
        <v>-0.28000000000000114</v>
      </c>
      <c r="N1884">
        <f t="shared" si="127"/>
        <v>-0.26999999999999602</v>
      </c>
      <c r="O1884">
        <f t="shared" si="128"/>
        <v>-0.82999999999999829</v>
      </c>
      <c r="P1884" s="10">
        <f t="shared" si="129"/>
        <v>-0.32999999999999829</v>
      </c>
    </row>
    <row r="1885" spans="1:16">
      <c r="A1885">
        <v>466</v>
      </c>
      <c r="B1885">
        <v>86.06</v>
      </c>
      <c r="C1885">
        <v>92.4</v>
      </c>
      <c r="D1885">
        <v>86.95</v>
      </c>
      <c r="E1885">
        <v>99.45</v>
      </c>
      <c r="F1885">
        <v>97.56</v>
      </c>
      <c r="G1885">
        <v>95.67</v>
      </c>
      <c r="H1885">
        <v>95.62</v>
      </c>
      <c r="K1885" s="9">
        <f t="shared" si="130"/>
        <v>-0.67000000000000171</v>
      </c>
      <c r="L1885">
        <f t="shared" si="125"/>
        <v>-0.39000000000000057</v>
      </c>
      <c r="M1885">
        <f t="shared" si="126"/>
        <v>-0.21999999999999886</v>
      </c>
      <c r="N1885">
        <f t="shared" si="127"/>
        <v>-0.32999999999999829</v>
      </c>
      <c r="O1885">
        <f t="shared" si="128"/>
        <v>-0.10999999999999943</v>
      </c>
      <c r="P1885" s="10">
        <f t="shared" si="129"/>
        <v>-0.21999999999999886</v>
      </c>
    </row>
    <row r="1886" spans="1:16">
      <c r="A1886">
        <v>466.25</v>
      </c>
      <c r="B1886">
        <v>85.9</v>
      </c>
      <c r="C1886">
        <v>92.17</v>
      </c>
      <c r="D1886">
        <v>86.62</v>
      </c>
      <c r="E1886">
        <v>99.45</v>
      </c>
      <c r="F1886">
        <v>97.56</v>
      </c>
      <c r="G1886">
        <v>95.67</v>
      </c>
      <c r="H1886">
        <v>95.51</v>
      </c>
      <c r="K1886" s="9">
        <f t="shared" si="130"/>
        <v>-0.54999999999999716</v>
      </c>
      <c r="L1886">
        <f t="shared" si="125"/>
        <v>-0.10999999999999943</v>
      </c>
      <c r="M1886">
        <f t="shared" si="126"/>
        <v>-0.32999999999999829</v>
      </c>
      <c r="N1886">
        <f t="shared" si="127"/>
        <v>-0.28000000000000114</v>
      </c>
      <c r="O1886">
        <f t="shared" si="128"/>
        <v>-0.21999999999999886</v>
      </c>
      <c r="P1886" s="10">
        <f t="shared" si="129"/>
        <v>-0.10999999999999943</v>
      </c>
    </row>
    <row r="1887" spans="1:16">
      <c r="A1887">
        <v>466.5</v>
      </c>
      <c r="B1887">
        <v>85.73</v>
      </c>
      <c r="C1887">
        <v>91.95</v>
      </c>
      <c r="D1887">
        <v>86.62</v>
      </c>
      <c r="E1887">
        <v>99.28</v>
      </c>
      <c r="F1887">
        <v>97.4</v>
      </c>
      <c r="G1887">
        <v>95.4</v>
      </c>
      <c r="H1887">
        <v>95.34</v>
      </c>
      <c r="K1887" s="9">
        <f t="shared" si="130"/>
        <v>-0.43999999999999773</v>
      </c>
      <c r="L1887">
        <f t="shared" si="125"/>
        <v>-0.17000000000000171</v>
      </c>
      <c r="M1887">
        <f t="shared" si="126"/>
        <v>-0.26999999999999602</v>
      </c>
      <c r="N1887">
        <f t="shared" si="127"/>
        <v>-0.23000000000000398</v>
      </c>
      <c r="O1887">
        <f t="shared" si="128"/>
        <v>0.21999999999999886</v>
      </c>
      <c r="P1887" s="10">
        <f t="shared" si="129"/>
        <v>-6.0000000000002274E-2</v>
      </c>
    </row>
    <row r="1888" spans="1:16">
      <c r="A1888">
        <v>466.75</v>
      </c>
      <c r="B1888">
        <v>85.62</v>
      </c>
      <c r="C1888">
        <v>91.73</v>
      </c>
      <c r="D1888">
        <v>86.56</v>
      </c>
      <c r="E1888">
        <v>99.23</v>
      </c>
      <c r="F1888">
        <v>97.23</v>
      </c>
      <c r="G1888">
        <v>95.56</v>
      </c>
      <c r="H1888">
        <v>95.4</v>
      </c>
      <c r="K1888" s="9">
        <f t="shared" si="130"/>
        <v>-0.5</v>
      </c>
      <c r="L1888">
        <f t="shared" si="125"/>
        <v>-0.32999999999999829</v>
      </c>
      <c r="M1888">
        <f t="shared" si="126"/>
        <v>-0.28000000000000114</v>
      </c>
      <c r="N1888">
        <f t="shared" si="127"/>
        <v>-0.17000000000000171</v>
      </c>
      <c r="O1888">
        <f t="shared" si="128"/>
        <v>-0.32999999999999829</v>
      </c>
      <c r="P1888" s="10">
        <f t="shared" si="129"/>
        <v>-0.34000000000000341</v>
      </c>
    </row>
    <row r="1889" spans="1:16">
      <c r="A1889">
        <v>467</v>
      </c>
      <c r="B1889">
        <v>85.62</v>
      </c>
      <c r="C1889">
        <v>91.62</v>
      </c>
      <c r="D1889">
        <v>86.51</v>
      </c>
      <c r="E1889">
        <v>99.12</v>
      </c>
      <c r="F1889">
        <v>97.28</v>
      </c>
      <c r="G1889">
        <v>95.45</v>
      </c>
      <c r="H1889">
        <v>95.4</v>
      </c>
      <c r="K1889" s="9">
        <f t="shared" si="130"/>
        <v>-0.5</v>
      </c>
      <c r="L1889">
        <f t="shared" si="125"/>
        <v>-0.78000000000000114</v>
      </c>
      <c r="M1889">
        <f t="shared" si="126"/>
        <v>-0.34000000000000341</v>
      </c>
      <c r="N1889">
        <f t="shared" si="127"/>
        <v>-0.37999999999999545</v>
      </c>
      <c r="O1889">
        <f t="shared" si="128"/>
        <v>-0.54999999999999716</v>
      </c>
      <c r="P1889" s="10">
        <f t="shared" si="129"/>
        <v>-0.39000000000000057</v>
      </c>
    </row>
    <row r="1890" spans="1:16">
      <c r="A1890">
        <v>467.25</v>
      </c>
      <c r="B1890">
        <v>85.4</v>
      </c>
      <c r="C1890">
        <v>91.51</v>
      </c>
      <c r="D1890">
        <v>86.45</v>
      </c>
      <c r="E1890">
        <v>99.01</v>
      </c>
      <c r="F1890">
        <v>97.17</v>
      </c>
      <c r="G1890">
        <v>95.62</v>
      </c>
      <c r="H1890">
        <v>95.28</v>
      </c>
      <c r="K1890" s="9">
        <f t="shared" si="130"/>
        <v>-0.56000000000000227</v>
      </c>
      <c r="L1890">
        <f t="shared" si="125"/>
        <v>-0.54999999999999716</v>
      </c>
      <c r="M1890">
        <f t="shared" si="126"/>
        <v>-0.10999999999999943</v>
      </c>
      <c r="N1890">
        <f t="shared" si="127"/>
        <v>-0.32999999999999829</v>
      </c>
      <c r="O1890">
        <f t="shared" si="128"/>
        <v>-0.84000000000000341</v>
      </c>
      <c r="P1890" s="10">
        <f t="shared" si="129"/>
        <v>-0.37999999999999545</v>
      </c>
    </row>
    <row r="1891" spans="1:16">
      <c r="A1891">
        <v>467.5</v>
      </c>
      <c r="B1891">
        <v>85.28</v>
      </c>
      <c r="C1891">
        <v>91.23</v>
      </c>
      <c r="D1891">
        <v>86.23</v>
      </c>
      <c r="E1891">
        <v>98.95</v>
      </c>
      <c r="F1891">
        <v>97.06</v>
      </c>
      <c r="G1891">
        <v>95.23</v>
      </c>
      <c r="H1891">
        <v>95.06</v>
      </c>
      <c r="K1891" s="9">
        <f t="shared" si="130"/>
        <v>-0.5</v>
      </c>
      <c r="L1891">
        <f t="shared" si="125"/>
        <v>-0.10999999999999943</v>
      </c>
      <c r="M1891">
        <f t="shared" si="126"/>
        <v>-0.17000000000000171</v>
      </c>
      <c r="N1891">
        <f t="shared" si="127"/>
        <v>-0.32999999999999829</v>
      </c>
      <c r="O1891">
        <f t="shared" si="128"/>
        <v>-0.56000000000000227</v>
      </c>
      <c r="P1891" s="10">
        <f t="shared" si="129"/>
        <v>-0.15999999999999659</v>
      </c>
    </row>
    <row r="1892" spans="1:16">
      <c r="A1892">
        <v>467.75</v>
      </c>
      <c r="B1892">
        <v>85.12</v>
      </c>
      <c r="C1892">
        <v>91.12</v>
      </c>
      <c r="D1892">
        <v>85.73</v>
      </c>
      <c r="E1892">
        <v>98.78</v>
      </c>
      <c r="F1892">
        <v>96.9</v>
      </c>
      <c r="G1892">
        <v>94.9</v>
      </c>
      <c r="H1892">
        <v>95.01</v>
      </c>
      <c r="K1892" s="9">
        <f t="shared" si="130"/>
        <v>-0.39000000000000057</v>
      </c>
      <c r="L1892">
        <f t="shared" si="125"/>
        <v>0.32999999999999829</v>
      </c>
      <c r="M1892">
        <f t="shared" si="126"/>
        <v>-0.10999999999999943</v>
      </c>
      <c r="N1892">
        <f t="shared" si="127"/>
        <v>-0.17000000000000171</v>
      </c>
      <c r="O1892">
        <f t="shared" si="128"/>
        <v>-6.0000000000002274E-2</v>
      </c>
      <c r="P1892" s="10">
        <f t="shared" si="129"/>
        <v>-0.17000000000000171</v>
      </c>
    </row>
    <row r="1893" spans="1:16">
      <c r="A1893">
        <v>468</v>
      </c>
      <c r="B1893">
        <v>84.9</v>
      </c>
      <c r="C1893">
        <v>90.95</v>
      </c>
      <c r="D1893">
        <v>85.9</v>
      </c>
      <c r="E1893">
        <v>98.9</v>
      </c>
      <c r="F1893">
        <v>96.84</v>
      </c>
      <c r="G1893">
        <v>94.78</v>
      </c>
      <c r="H1893">
        <v>94.9</v>
      </c>
      <c r="K1893" s="9">
        <f t="shared" si="130"/>
        <v>-0.54999999999999716</v>
      </c>
      <c r="L1893">
        <f t="shared" si="125"/>
        <v>0.26999999999999602</v>
      </c>
      <c r="M1893">
        <f t="shared" si="126"/>
        <v>-0.34000000000000341</v>
      </c>
      <c r="N1893">
        <f t="shared" si="127"/>
        <v>-0.28000000000000114</v>
      </c>
      <c r="O1893">
        <f t="shared" si="128"/>
        <v>-0.37999999999999545</v>
      </c>
      <c r="P1893" s="10">
        <f t="shared" si="129"/>
        <v>-6.0000000000002274E-2</v>
      </c>
    </row>
    <row r="1894" spans="1:16">
      <c r="A1894">
        <v>468.25</v>
      </c>
      <c r="B1894">
        <v>84.78</v>
      </c>
      <c r="C1894">
        <v>90.73</v>
      </c>
      <c r="D1894">
        <v>86.12</v>
      </c>
      <c r="E1894">
        <v>98.78</v>
      </c>
      <c r="F1894">
        <v>96.73</v>
      </c>
      <c r="G1894">
        <v>94.67</v>
      </c>
      <c r="H1894">
        <v>94.9</v>
      </c>
      <c r="K1894" s="9">
        <f t="shared" si="130"/>
        <v>-0.39000000000000057</v>
      </c>
      <c r="L1894">
        <f t="shared" si="125"/>
        <v>-0.5</v>
      </c>
      <c r="M1894">
        <f t="shared" si="126"/>
        <v>-0.32999999999999829</v>
      </c>
      <c r="N1894">
        <f t="shared" si="127"/>
        <v>-0.39000000000000057</v>
      </c>
      <c r="O1894">
        <f t="shared" si="128"/>
        <v>-0.65999999999999659</v>
      </c>
      <c r="P1894" s="10">
        <f t="shared" si="129"/>
        <v>-0.12000000000000455</v>
      </c>
    </row>
    <row r="1895" spans="1:16">
      <c r="A1895">
        <v>468.5</v>
      </c>
      <c r="B1895">
        <v>84.84</v>
      </c>
      <c r="C1895">
        <v>90.73</v>
      </c>
      <c r="D1895">
        <v>86.06</v>
      </c>
      <c r="E1895">
        <v>98.67</v>
      </c>
      <c r="F1895">
        <v>96.73</v>
      </c>
      <c r="G1895">
        <v>94.84</v>
      </c>
      <c r="H1895">
        <v>94.84</v>
      </c>
      <c r="K1895" s="9">
        <f t="shared" si="130"/>
        <v>-0.56000000000000227</v>
      </c>
      <c r="L1895">
        <f t="shared" si="125"/>
        <v>-0.10999999999999943</v>
      </c>
      <c r="M1895">
        <f t="shared" si="126"/>
        <v>-0.26999999999999602</v>
      </c>
      <c r="N1895">
        <f t="shared" si="127"/>
        <v>-0.45000000000000284</v>
      </c>
      <c r="O1895">
        <f t="shared" si="128"/>
        <v>-0.43999999999999773</v>
      </c>
      <c r="P1895" s="10">
        <f t="shared" si="129"/>
        <v>-0.10999999999999943</v>
      </c>
    </row>
    <row r="1896" spans="1:16">
      <c r="A1896">
        <v>468.75</v>
      </c>
      <c r="B1896">
        <v>84.56</v>
      </c>
      <c r="C1896">
        <v>90.4</v>
      </c>
      <c r="D1896">
        <v>86.17</v>
      </c>
      <c r="E1896">
        <v>98.56</v>
      </c>
      <c r="F1896">
        <v>96.56</v>
      </c>
      <c r="G1896">
        <v>94.4</v>
      </c>
      <c r="H1896">
        <v>94.84</v>
      </c>
      <c r="K1896" s="9">
        <f t="shared" si="130"/>
        <v>-0.23000000000000398</v>
      </c>
      <c r="L1896">
        <f t="shared" si="125"/>
        <v>-0.32999999999999829</v>
      </c>
      <c r="M1896">
        <f t="shared" si="126"/>
        <v>-0.32999999999999829</v>
      </c>
      <c r="N1896">
        <f t="shared" si="127"/>
        <v>-0.32999999999999829</v>
      </c>
      <c r="O1896">
        <f t="shared" si="128"/>
        <v>0.10999999999999943</v>
      </c>
      <c r="P1896" s="10">
        <f t="shared" si="129"/>
        <v>-0.17000000000000171</v>
      </c>
    </row>
    <row r="1897" spans="1:16">
      <c r="A1897">
        <v>469</v>
      </c>
      <c r="B1897">
        <v>84.56</v>
      </c>
      <c r="C1897">
        <v>90.34</v>
      </c>
      <c r="D1897">
        <v>85.62</v>
      </c>
      <c r="E1897">
        <v>98.45</v>
      </c>
      <c r="F1897">
        <v>96.34</v>
      </c>
      <c r="G1897">
        <v>94.01</v>
      </c>
      <c r="H1897">
        <v>94.78</v>
      </c>
      <c r="K1897" s="9">
        <f t="shared" si="130"/>
        <v>-0.32999999999999829</v>
      </c>
      <c r="L1897">
        <f t="shared" si="125"/>
        <v>-6.0000000000002274E-2</v>
      </c>
      <c r="M1897">
        <f t="shared" si="126"/>
        <v>-0.28000000000000114</v>
      </c>
      <c r="N1897">
        <f t="shared" si="127"/>
        <v>-0.17000000000000171</v>
      </c>
      <c r="O1897">
        <f t="shared" si="128"/>
        <v>0.32999999999999829</v>
      </c>
      <c r="P1897" s="10">
        <f t="shared" si="129"/>
        <v>-0.15999999999999659</v>
      </c>
    </row>
    <row r="1898" spans="1:16">
      <c r="A1898">
        <v>469.25</v>
      </c>
      <c r="B1898">
        <v>84.4</v>
      </c>
      <c r="C1898">
        <v>90.17</v>
      </c>
      <c r="D1898">
        <v>85.95</v>
      </c>
      <c r="E1898">
        <v>98.4</v>
      </c>
      <c r="F1898">
        <v>96.28</v>
      </c>
      <c r="G1898">
        <v>94.4</v>
      </c>
      <c r="H1898">
        <v>94.73</v>
      </c>
      <c r="K1898" s="9">
        <f t="shared" si="130"/>
        <v>-0.21999999999999886</v>
      </c>
      <c r="L1898">
        <f t="shared" si="125"/>
        <v>-0.54999999999999716</v>
      </c>
      <c r="M1898">
        <f t="shared" si="126"/>
        <v>-0.23000000000000398</v>
      </c>
      <c r="N1898">
        <f t="shared" si="127"/>
        <v>-0.21999999999999886</v>
      </c>
      <c r="O1898">
        <f t="shared" si="128"/>
        <v>0.15999999999999659</v>
      </c>
      <c r="P1898" s="10">
        <f t="shared" si="129"/>
        <v>-0.17000000000000171</v>
      </c>
    </row>
    <row r="1899" spans="1:16">
      <c r="A1899">
        <v>469.5</v>
      </c>
      <c r="B1899">
        <v>84.4</v>
      </c>
      <c r="C1899">
        <v>90.17</v>
      </c>
      <c r="D1899">
        <v>85.84</v>
      </c>
      <c r="E1899">
        <v>98.23</v>
      </c>
      <c r="F1899">
        <v>96.23</v>
      </c>
      <c r="G1899">
        <v>94.51</v>
      </c>
      <c r="H1899">
        <v>94.67</v>
      </c>
      <c r="K1899" s="9">
        <f t="shared" si="130"/>
        <v>-0.39000000000000057</v>
      </c>
      <c r="L1899">
        <f t="shared" si="125"/>
        <v>-0.67000000000000171</v>
      </c>
      <c r="M1899">
        <f t="shared" si="126"/>
        <v>-0.21999999999999886</v>
      </c>
      <c r="N1899">
        <f t="shared" si="127"/>
        <v>-0.28000000000000114</v>
      </c>
      <c r="O1899">
        <f t="shared" si="128"/>
        <v>0.10999999999999943</v>
      </c>
      <c r="P1899" s="10">
        <f t="shared" si="129"/>
        <v>-4.9999999999997158E-2</v>
      </c>
    </row>
    <row r="1900" spans="1:16">
      <c r="A1900">
        <v>469.75</v>
      </c>
      <c r="B1900">
        <v>84.23</v>
      </c>
      <c r="C1900">
        <v>90.01</v>
      </c>
      <c r="D1900">
        <v>85.56</v>
      </c>
      <c r="E1900">
        <v>98.17</v>
      </c>
      <c r="F1900">
        <v>96.17</v>
      </c>
      <c r="G1900">
        <v>94.34</v>
      </c>
      <c r="H1900">
        <v>94.62</v>
      </c>
      <c r="K1900" s="9">
        <f t="shared" si="130"/>
        <v>-0.34000000000000341</v>
      </c>
      <c r="L1900">
        <f t="shared" si="125"/>
        <v>-0.43999999999999773</v>
      </c>
      <c r="M1900">
        <f t="shared" si="126"/>
        <v>-0.15999999999999659</v>
      </c>
      <c r="N1900">
        <f t="shared" si="127"/>
        <v>-0.21999999999999886</v>
      </c>
      <c r="O1900">
        <f t="shared" si="128"/>
        <v>0.10999999999999943</v>
      </c>
      <c r="P1900" s="10">
        <f t="shared" si="129"/>
        <v>-0.10999999999999943</v>
      </c>
    </row>
    <row r="1901" spans="1:16">
      <c r="A1901">
        <v>470</v>
      </c>
      <c r="B1901">
        <v>84.12</v>
      </c>
      <c r="C1901">
        <v>89.95</v>
      </c>
      <c r="D1901">
        <v>85.4</v>
      </c>
      <c r="E1901">
        <v>98.17</v>
      </c>
      <c r="F1901">
        <v>96.06</v>
      </c>
      <c r="G1901">
        <v>94.56</v>
      </c>
      <c r="H1901">
        <v>94.56</v>
      </c>
      <c r="K1901" s="9">
        <f t="shared" si="130"/>
        <v>-0.32999999999999829</v>
      </c>
      <c r="L1901">
        <f t="shared" si="125"/>
        <v>-0.89000000000000057</v>
      </c>
      <c r="M1901">
        <f t="shared" si="126"/>
        <v>-0.21999999999999886</v>
      </c>
      <c r="N1901">
        <f t="shared" si="127"/>
        <v>-0.15999999999999659</v>
      </c>
      <c r="O1901">
        <f t="shared" si="128"/>
        <v>-0.15999999999999659</v>
      </c>
      <c r="P1901" s="10">
        <f t="shared" si="129"/>
        <v>-0.10999999999999943</v>
      </c>
    </row>
    <row r="1902" spans="1:16">
      <c r="A1902">
        <v>470.25</v>
      </c>
      <c r="B1902">
        <v>84.12</v>
      </c>
      <c r="C1902">
        <v>89.78</v>
      </c>
      <c r="D1902">
        <v>85.17</v>
      </c>
      <c r="E1902">
        <v>98.01</v>
      </c>
      <c r="F1902">
        <v>95.95</v>
      </c>
      <c r="G1902">
        <v>94.62</v>
      </c>
      <c r="H1902">
        <v>94.62</v>
      </c>
      <c r="K1902" s="9">
        <f t="shared" si="130"/>
        <v>-0.37999999999999545</v>
      </c>
      <c r="L1902">
        <f t="shared" si="125"/>
        <v>-0.60999999999999943</v>
      </c>
      <c r="M1902">
        <f t="shared" si="126"/>
        <v>-0.10999999999999943</v>
      </c>
      <c r="N1902">
        <f t="shared" si="127"/>
        <v>-0.10999999999999943</v>
      </c>
      <c r="O1902">
        <f t="shared" si="128"/>
        <v>-0.10999999999999943</v>
      </c>
      <c r="P1902" s="10">
        <f t="shared" si="129"/>
        <v>-0.21999999999999886</v>
      </c>
    </row>
    <row r="1903" spans="1:16">
      <c r="A1903">
        <v>470.5</v>
      </c>
      <c r="B1903">
        <v>83.9</v>
      </c>
      <c r="C1903">
        <v>89.67</v>
      </c>
      <c r="D1903">
        <v>85.12</v>
      </c>
      <c r="E1903">
        <v>98.01</v>
      </c>
      <c r="F1903">
        <v>95.95</v>
      </c>
      <c r="G1903">
        <v>94.45</v>
      </c>
      <c r="H1903">
        <v>94.51</v>
      </c>
      <c r="K1903" s="9">
        <f t="shared" si="130"/>
        <v>-0.32999999999999829</v>
      </c>
      <c r="L1903">
        <f t="shared" si="125"/>
        <v>-0.89000000000000057</v>
      </c>
      <c r="M1903">
        <f t="shared" si="126"/>
        <v>-0.17000000000000171</v>
      </c>
      <c r="N1903">
        <f t="shared" si="127"/>
        <v>-0.17000000000000171</v>
      </c>
      <c r="O1903">
        <f t="shared" si="128"/>
        <v>0</v>
      </c>
      <c r="P1903" s="10">
        <f t="shared" si="129"/>
        <v>-0.28000000000000114</v>
      </c>
    </row>
    <row r="1904" spans="1:16">
      <c r="A1904">
        <v>470.75</v>
      </c>
      <c r="B1904">
        <v>83.84</v>
      </c>
      <c r="C1904">
        <v>89.62</v>
      </c>
      <c r="D1904">
        <v>84.51</v>
      </c>
      <c r="E1904">
        <v>97.95</v>
      </c>
      <c r="F1904">
        <v>95.9</v>
      </c>
      <c r="G1904">
        <v>94.4</v>
      </c>
      <c r="H1904">
        <v>94.45</v>
      </c>
      <c r="K1904" s="9">
        <f t="shared" si="130"/>
        <v>-0.5</v>
      </c>
      <c r="L1904">
        <f t="shared" si="125"/>
        <v>-1</v>
      </c>
      <c r="M1904">
        <f t="shared" si="126"/>
        <v>-0.28000000000000114</v>
      </c>
      <c r="N1904">
        <f t="shared" si="127"/>
        <v>-0.28000000000000114</v>
      </c>
      <c r="O1904">
        <f t="shared" si="128"/>
        <v>-0.17000000000000171</v>
      </c>
      <c r="P1904" s="10">
        <f t="shared" si="129"/>
        <v>-0.43999999999999773</v>
      </c>
    </row>
    <row r="1905" spans="1:16">
      <c r="A1905">
        <v>471</v>
      </c>
      <c r="B1905">
        <v>83.56</v>
      </c>
      <c r="C1905">
        <v>89.4</v>
      </c>
      <c r="D1905">
        <v>84.56</v>
      </c>
      <c r="E1905">
        <v>97.9</v>
      </c>
      <c r="F1905">
        <v>95.84</v>
      </c>
      <c r="G1905">
        <v>94.51</v>
      </c>
      <c r="H1905">
        <v>94.4</v>
      </c>
      <c r="K1905" s="9">
        <f t="shared" si="130"/>
        <v>-0.5</v>
      </c>
      <c r="L1905">
        <f t="shared" si="125"/>
        <v>-1.2199999999999989</v>
      </c>
      <c r="M1905">
        <f t="shared" si="126"/>
        <v>-0.34000000000000341</v>
      </c>
      <c r="N1905">
        <f t="shared" si="127"/>
        <v>-0.28000000000000114</v>
      </c>
      <c r="O1905">
        <f t="shared" si="128"/>
        <v>-0.5</v>
      </c>
      <c r="P1905" s="10">
        <f t="shared" si="129"/>
        <v>-0.45000000000000284</v>
      </c>
    </row>
    <row r="1906" spans="1:16">
      <c r="A1906">
        <v>471.25</v>
      </c>
      <c r="B1906">
        <v>83.51</v>
      </c>
      <c r="C1906">
        <v>89.34</v>
      </c>
      <c r="D1906">
        <v>84.23</v>
      </c>
      <c r="E1906">
        <v>97.84</v>
      </c>
      <c r="F1906">
        <v>95.78</v>
      </c>
      <c r="G1906">
        <v>94.45</v>
      </c>
      <c r="H1906">
        <v>94.23</v>
      </c>
      <c r="K1906" s="9">
        <f t="shared" si="130"/>
        <v>-0.67000000000000171</v>
      </c>
      <c r="L1906">
        <f t="shared" si="125"/>
        <v>-1.1099999999999994</v>
      </c>
      <c r="M1906">
        <f t="shared" si="126"/>
        <v>-0.28000000000000114</v>
      </c>
      <c r="N1906">
        <f t="shared" si="127"/>
        <v>-0.32999999999999829</v>
      </c>
      <c r="O1906">
        <f t="shared" si="128"/>
        <v>-0.5</v>
      </c>
      <c r="P1906" s="10">
        <f t="shared" si="129"/>
        <v>-0.45000000000000284</v>
      </c>
    </row>
    <row r="1907" spans="1:16">
      <c r="A1907">
        <v>471.5</v>
      </c>
      <c r="B1907">
        <v>83.28</v>
      </c>
      <c r="C1907">
        <v>89.12</v>
      </c>
      <c r="D1907">
        <v>83.51</v>
      </c>
      <c r="E1907">
        <v>97.67</v>
      </c>
      <c r="F1907">
        <v>95.62</v>
      </c>
      <c r="G1907">
        <v>94.23</v>
      </c>
      <c r="H1907">
        <v>94.01</v>
      </c>
      <c r="K1907" s="9">
        <f t="shared" si="130"/>
        <v>-0.67000000000000171</v>
      </c>
      <c r="L1907">
        <f t="shared" si="125"/>
        <v>-0.60999999999999943</v>
      </c>
      <c r="M1907">
        <f t="shared" si="126"/>
        <v>-0.21999999999999886</v>
      </c>
      <c r="N1907">
        <f t="shared" si="127"/>
        <v>-0.17000000000000171</v>
      </c>
      <c r="O1907">
        <f t="shared" si="128"/>
        <v>-0.32999999999999829</v>
      </c>
      <c r="P1907" s="10">
        <f t="shared" si="129"/>
        <v>-0.45000000000000284</v>
      </c>
    </row>
    <row r="1908" spans="1:16">
      <c r="A1908">
        <v>471.75</v>
      </c>
      <c r="B1908">
        <v>83.01</v>
      </c>
      <c r="C1908">
        <v>88.9</v>
      </c>
      <c r="D1908">
        <v>83.34</v>
      </c>
      <c r="E1908">
        <v>97.56</v>
      </c>
      <c r="F1908">
        <v>95.56</v>
      </c>
      <c r="G1908">
        <v>94.01</v>
      </c>
      <c r="H1908">
        <v>93.95</v>
      </c>
      <c r="K1908" s="9">
        <f t="shared" si="130"/>
        <v>-0.67000000000000171</v>
      </c>
      <c r="L1908">
        <f t="shared" si="125"/>
        <v>-0.93999999999999773</v>
      </c>
      <c r="M1908">
        <f t="shared" si="126"/>
        <v>-0.21999999999999886</v>
      </c>
      <c r="N1908">
        <f t="shared" si="127"/>
        <v>-0.32999999999999829</v>
      </c>
      <c r="O1908">
        <f t="shared" si="128"/>
        <v>-0.34000000000000341</v>
      </c>
      <c r="P1908" s="10">
        <f t="shared" si="129"/>
        <v>-0.39000000000000057</v>
      </c>
    </row>
    <row r="1909" spans="1:16">
      <c r="A1909">
        <v>472</v>
      </c>
      <c r="B1909">
        <v>83.01</v>
      </c>
      <c r="C1909">
        <v>88.67</v>
      </c>
      <c r="D1909">
        <v>83.12</v>
      </c>
      <c r="E1909">
        <v>97.56</v>
      </c>
      <c r="F1909">
        <v>95.45</v>
      </c>
      <c r="G1909">
        <v>93.95</v>
      </c>
      <c r="H1909">
        <v>93.78</v>
      </c>
      <c r="K1909" s="9">
        <f t="shared" si="130"/>
        <v>-0.5</v>
      </c>
      <c r="L1909">
        <f t="shared" si="125"/>
        <v>-4.7199999999999989</v>
      </c>
      <c r="M1909">
        <f t="shared" si="126"/>
        <v>-0.32999999999999829</v>
      </c>
      <c r="N1909">
        <f t="shared" si="127"/>
        <v>-0.32999999999999829</v>
      </c>
      <c r="O1909">
        <f t="shared" si="128"/>
        <v>-0.5</v>
      </c>
      <c r="P1909" s="10">
        <f t="shared" si="129"/>
        <v>-0.21999999999999886</v>
      </c>
    </row>
    <row r="1910" spans="1:16">
      <c r="A1910">
        <v>472.25</v>
      </c>
      <c r="B1910">
        <v>82.9</v>
      </c>
      <c r="C1910">
        <v>88.45</v>
      </c>
      <c r="D1910">
        <v>82.9</v>
      </c>
      <c r="E1910">
        <v>97.45</v>
      </c>
      <c r="F1910">
        <v>95.45</v>
      </c>
      <c r="G1910">
        <v>93.9</v>
      </c>
      <c r="H1910">
        <v>93.56</v>
      </c>
      <c r="K1910" s="9">
        <f t="shared" si="130"/>
        <v>-0.5</v>
      </c>
      <c r="L1910">
        <f t="shared" si="125"/>
        <v>-6.6700000000000017</v>
      </c>
      <c r="M1910">
        <f t="shared" si="126"/>
        <v>-0.28000000000000114</v>
      </c>
      <c r="N1910">
        <f t="shared" si="127"/>
        <v>-0.28000000000000114</v>
      </c>
      <c r="O1910">
        <f t="shared" si="128"/>
        <v>-0.45000000000000284</v>
      </c>
      <c r="P1910" s="10">
        <f t="shared" si="129"/>
        <v>0.28000000000000114</v>
      </c>
    </row>
    <row r="1911" spans="1:16">
      <c r="A1911">
        <v>472.5</v>
      </c>
      <c r="B1911">
        <v>82.78</v>
      </c>
      <c r="C1911">
        <v>88.23</v>
      </c>
      <c r="D1911">
        <v>82.4</v>
      </c>
      <c r="E1911">
        <v>97.34</v>
      </c>
      <c r="F1911">
        <v>95.23</v>
      </c>
      <c r="G1911">
        <v>93.67</v>
      </c>
      <c r="H1911">
        <v>93.56</v>
      </c>
      <c r="K1911" s="9">
        <f t="shared" si="130"/>
        <v>-0.5</v>
      </c>
      <c r="L1911">
        <f t="shared" si="125"/>
        <v>-7.8400000000000034</v>
      </c>
      <c r="M1911">
        <f t="shared" si="126"/>
        <v>-0.28000000000000114</v>
      </c>
      <c r="N1911">
        <f t="shared" si="127"/>
        <v>-0.21999999999999886</v>
      </c>
      <c r="O1911">
        <f t="shared" si="128"/>
        <v>-0.15999999999999659</v>
      </c>
      <c r="P1911" s="10">
        <f t="shared" si="129"/>
        <v>0.34000000000000341</v>
      </c>
    </row>
    <row r="1912" spans="1:16">
      <c r="A1912">
        <v>472.75</v>
      </c>
      <c r="B1912">
        <v>82.67</v>
      </c>
      <c r="C1912">
        <v>88.17</v>
      </c>
      <c r="D1912">
        <v>78.400000000000006</v>
      </c>
      <c r="E1912">
        <v>97.23</v>
      </c>
      <c r="F1912">
        <v>95.12</v>
      </c>
      <c r="G1912">
        <v>93.45</v>
      </c>
      <c r="H1912">
        <v>93.56</v>
      </c>
      <c r="K1912" s="9">
        <f t="shared" si="130"/>
        <v>-0.5</v>
      </c>
      <c r="L1912">
        <f t="shared" si="125"/>
        <v>-5.9500000000000028</v>
      </c>
      <c r="M1912">
        <f t="shared" si="126"/>
        <v>-0.17000000000000171</v>
      </c>
      <c r="N1912">
        <f t="shared" si="127"/>
        <v>-0.21999999999999886</v>
      </c>
      <c r="O1912">
        <f t="shared" si="128"/>
        <v>0.10999999999999943</v>
      </c>
      <c r="P1912" s="10">
        <f t="shared" si="129"/>
        <v>0.71999999999999886</v>
      </c>
    </row>
    <row r="1913" spans="1:16">
      <c r="A1913">
        <v>473</v>
      </c>
      <c r="B1913">
        <v>82.62</v>
      </c>
      <c r="C1913">
        <v>87.95</v>
      </c>
      <c r="D1913">
        <v>76.23</v>
      </c>
      <c r="E1913">
        <v>97.17</v>
      </c>
      <c r="F1913">
        <v>95.17</v>
      </c>
      <c r="G1913">
        <v>93.45</v>
      </c>
      <c r="H1913">
        <v>93.84</v>
      </c>
      <c r="K1913" s="9">
        <f t="shared" si="130"/>
        <v>-0.28000000000000114</v>
      </c>
      <c r="L1913">
        <f t="shared" si="125"/>
        <v>-4.8299999999999983</v>
      </c>
      <c r="M1913">
        <f t="shared" si="126"/>
        <v>-0.21999999999999886</v>
      </c>
      <c r="N1913">
        <f t="shared" si="127"/>
        <v>-0.32999999999999829</v>
      </c>
      <c r="O1913">
        <f t="shared" si="128"/>
        <v>0.17000000000000171</v>
      </c>
      <c r="P1913" s="10">
        <f t="shared" si="129"/>
        <v>0.39000000000000057</v>
      </c>
    </row>
    <row r="1914" spans="1:16">
      <c r="A1914">
        <v>473.25</v>
      </c>
      <c r="B1914">
        <v>82.56</v>
      </c>
      <c r="C1914">
        <v>87.73</v>
      </c>
      <c r="D1914">
        <v>74.56</v>
      </c>
      <c r="E1914">
        <v>97.06</v>
      </c>
      <c r="F1914">
        <v>95.01</v>
      </c>
      <c r="G1914">
        <v>93.51</v>
      </c>
      <c r="H1914">
        <v>93.9</v>
      </c>
      <c r="K1914" s="9">
        <f t="shared" si="130"/>
        <v>-0.10999999999999943</v>
      </c>
      <c r="L1914">
        <f t="shared" si="125"/>
        <v>-3.1599999999999966</v>
      </c>
      <c r="M1914">
        <f t="shared" si="126"/>
        <v>-0.32999999999999829</v>
      </c>
      <c r="N1914">
        <f t="shared" si="127"/>
        <v>-0.17000000000000171</v>
      </c>
      <c r="O1914">
        <f t="shared" si="128"/>
        <v>0</v>
      </c>
      <c r="P1914" s="10">
        <f t="shared" si="129"/>
        <v>0.5</v>
      </c>
    </row>
    <row r="1915" spans="1:16">
      <c r="A1915">
        <v>473.5</v>
      </c>
      <c r="B1915">
        <v>82.51</v>
      </c>
      <c r="C1915">
        <v>87.67</v>
      </c>
      <c r="D1915">
        <v>72.45</v>
      </c>
      <c r="E1915">
        <v>97.06</v>
      </c>
      <c r="F1915">
        <v>94.9</v>
      </c>
      <c r="G1915">
        <v>93.56</v>
      </c>
      <c r="H1915">
        <v>94.28</v>
      </c>
      <c r="K1915" s="9">
        <f t="shared" si="130"/>
        <v>-0.15999999999999659</v>
      </c>
      <c r="L1915">
        <f t="shared" si="125"/>
        <v>-0.10999999999999943</v>
      </c>
      <c r="M1915">
        <f t="shared" si="126"/>
        <v>-0.39000000000000057</v>
      </c>
      <c r="N1915">
        <f t="shared" si="127"/>
        <v>-0.17000000000000171</v>
      </c>
      <c r="O1915">
        <f t="shared" si="128"/>
        <v>-0.10999999999999943</v>
      </c>
      <c r="P1915" s="10">
        <f t="shared" si="129"/>
        <v>1.1200000000000045</v>
      </c>
    </row>
    <row r="1916" spans="1:16">
      <c r="A1916">
        <v>473.75</v>
      </c>
      <c r="B1916">
        <v>82.4</v>
      </c>
      <c r="C1916">
        <v>87.67</v>
      </c>
      <c r="D1916">
        <v>71.400000000000006</v>
      </c>
      <c r="E1916">
        <v>96.95</v>
      </c>
      <c r="F1916">
        <v>94.84</v>
      </c>
      <c r="G1916">
        <v>93.62</v>
      </c>
      <c r="H1916">
        <v>94.23</v>
      </c>
      <c r="K1916" s="9">
        <f t="shared" si="130"/>
        <v>-0.10999999999999943</v>
      </c>
      <c r="L1916">
        <f t="shared" si="125"/>
        <v>1.3299999999999983</v>
      </c>
      <c r="M1916">
        <f t="shared" si="126"/>
        <v>-0.39000000000000057</v>
      </c>
      <c r="N1916">
        <f t="shared" si="127"/>
        <v>-0.21999999999999886</v>
      </c>
      <c r="O1916">
        <f t="shared" si="128"/>
        <v>-6.0000000000002274E-2</v>
      </c>
      <c r="P1916" s="10">
        <f t="shared" si="129"/>
        <v>3.1099999999999994</v>
      </c>
    </row>
    <row r="1917" spans="1:16">
      <c r="A1917">
        <v>474</v>
      </c>
      <c r="B1917">
        <v>82.28</v>
      </c>
      <c r="C1917">
        <v>87.62</v>
      </c>
      <c r="D1917">
        <v>71.400000000000006</v>
      </c>
      <c r="E1917">
        <v>96.73</v>
      </c>
      <c r="F1917">
        <v>94.84</v>
      </c>
      <c r="G1917">
        <v>93.51</v>
      </c>
      <c r="H1917">
        <v>94.4</v>
      </c>
      <c r="K1917" s="9">
        <f t="shared" si="130"/>
        <v>0</v>
      </c>
      <c r="L1917">
        <f t="shared" si="125"/>
        <v>1.269999999999996</v>
      </c>
      <c r="M1917">
        <f t="shared" si="126"/>
        <v>-0.21999999999999886</v>
      </c>
      <c r="N1917">
        <f t="shared" si="127"/>
        <v>-0.32999999999999829</v>
      </c>
      <c r="O1917">
        <f t="shared" si="128"/>
        <v>-0.23000000000000398</v>
      </c>
      <c r="P1917" s="10">
        <f t="shared" si="129"/>
        <v>4.0499999999999972</v>
      </c>
    </row>
    <row r="1918" spans="1:16">
      <c r="A1918">
        <v>474.25</v>
      </c>
      <c r="B1918">
        <v>82.17</v>
      </c>
      <c r="C1918">
        <v>87.51</v>
      </c>
      <c r="D1918">
        <v>72.34</v>
      </c>
      <c r="E1918">
        <v>96.67</v>
      </c>
      <c r="F1918">
        <v>94.73</v>
      </c>
      <c r="G1918">
        <v>93.45</v>
      </c>
      <c r="H1918">
        <v>95.4</v>
      </c>
      <c r="K1918" s="9">
        <f t="shared" si="130"/>
        <v>0.10999999999999943</v>
      </c>
      <c r="L1918">
        <f t="shared" si="125"/>
        <v>0.56000000000000227</v>
      </c>
      <c r="M1918">
        <f t="shared" si="126"/>
        <v>-0.39000000000000057</v>
      </c>
      <c r="N1918">
        <f t="shared" si="127"/>
        <v>-0.32999999999999829</v>
      </c>
      <c r="O1918">
        <f t="shared" si="128"/>
        <v>-0.43999999999999773</v>
      </c>
      <c r="P1918" s="10">
        <f t="shared" si="129"/>
        <v>3.6599999999999966</v>
      </c>
    </row>
    <row r="1919" spans="1:16">
      <c r="A1919">
        <v>474.5</v>
      </c>
      <c r="B1919">
        <v>82.17</v>
      </c>
      <c r="C1919">
        <v>87.56</v>
      </c>
      <c r="D1919">
        <v>72.73</v>
      </c>
      <c r="E1919">
        <v>96.56</v>
      </c>
      <c r="F1919">
        <v>94.62</v>
      </c>
      <c r="G1919">
        <v>93.56</v>
      </c>
      <c r="H1919">
        <v>97.34</v>
      </c>
      <c r="K1919" s="9">
        <f t="shared" si="130"/>
        <v>6.0000000000002274E-2</v>
      </c>
      <c r="L1919">
        <f t="shared" si="125"/>
        <v>1.1099999999999994</v>
      </c>
      <c r="M1919">
        <f t="shared" si="126"/>
        <v>-0.39000000000000057</v>
      </c>
      <c r="N1919">
        <f t="shared" si="127"/>
        <v>-0.39000000000000057</v>
      </c>
      <c r="O1919">
        <f t="shared" si="128"/>
        <v>-0.54999999999999716</v>
      </c>
      <c r="P1919" s="10">
        <f t="shared" si="129"/>
        <v>1.7199999999999989</v>
      </c>
    </row>
    <row r="1920" spans="1:16">
      <c r="A1920">
        <v>474.75</v>
      </c>
      <c r="B1920">
        <v>82.06</v>
      </c>
      <c r="C1920">
        <v>87.62</v>
      </c>
      <c r="D1920">
        <v>72.67</v>
      </c>
      <c r="E1920">
        <v>96.51</v>
      </c>
      <c r="F1920">
        <v>94.51</v>
      </c>
      <c r="G1920">
        <v>93.28</v>
      </c>
      <c r="H1920">
        <v>98.45</v>
      </c>
      <c r="K1920" s="9">
        <f t="shared" si="130"/>
        <v>0</v>
      </c>
      <c r="L1920">
        <f t="shared" si="125"/>
        <v>1.9500000000000028</v>
      </c>
      <c r="M1920">
        <f t="shared" si="126"/>
        <v>-0.45000000000000284</v>
      </c>
      <c r="N1920">
        <f t="shared" si="127"/>
        <v>-0.34000000000000341</v>
      </c>
      <c r="O1920">
        <f t="shared" si="128"/>
        <v>-0.26999999999999602</v>
      </c>
      <c r="P1920" s="10">
        <f t="shared" si="129"/>
        <v>0.45000000000000284</v>
      </c>
    </row>
    <row r="1921" spans="1:16">
      <c r="A1921">
        <v>475</v>
      </c>
      <c r="B1921">
        <v>81.95</v>
      </c>
      <c r="C1921">
        <v>87.62</v>
      </c>
      <c r="D1921">
        <v>72.900000000000006</v>
      </c>
      <c r="E1921">
        <v>96.28</v>
      </c>
      <c r="F1921">
        <v>94.4</v>
      </c>
      <c r="G1921">
        <v>93.01</v>
      </c>
      <c r="H1921">
        <v>99.06</v>
      </c>
      <c r="K1921" s="9">
        <f t="shared" si="130"/>
        <v>-0.10999999999999943</v>
      </c>
      <c r="L1921">
        <f t="shared" si="125"/>
        <v>2.4399999999999977</v>
      </c>
      <c r="M1921">
        <f t="shared" si="126"/>
        <v>-0.37999999999999545</v>
      </c>
      <c r="N1921">
        <f t="shared" si="127"/>
        <v>-0.39000000000000057</v>
      </c>
      <c r="O1921">
        <f t="shared" si="128"/>
        <v>-6.0000000000002274E-2</v>
      </c>
      <c r="P1921" s="10">
        <f t="shared" si="129"/>
        <v>-0.43999999999999773</v>
      </c>
    </row>
    <row r="1922" spans="1:16">
      <c r="A1922">
        <v>475.25</v>
      </c>
      <c r="B1922">
        <v>81.900000000000006</v>
      </c>
      <c r="C1922">
        <v>87.62</v>
      </c>
      <c r="D1922">
        <v>73.84</v>
      </c>
      <c r="E1922">
        <v>96.17</v>
      </c>
      <c r="F1922">
        <v>94.23</v>
      </c>
      <c r="G1922">
        <v>93.01</v>
      </c>
      <c r="H1922">
        <v>99.06</v>
      </c>
      <c r="K1922" s="9">
        <f t="shared" si="130"/>
        <v>0</v>
      </c>
      <c r="L1922">
        <f t="shared" si="125"/>
        <v>2</v>
      </c>
      <c r="M1922">
        <f t="shared" si="126"/>
        <v>-0.5</v>
      </c>
      <c r="N1922">
        <f t="shared" si="127"/>
        <v>-0.21999999999999886</v>
      </c>
      <c r="O1922">
        <f t="shared" si="128"/>
        <v>0</v>
      </c>
      <c r="P1922" s="10">
        <f t="shared" si="129"/>
        <v>-0.65999999999999659</v>
      </c>
    </row>
    <row r="1923" spans="1:16">
      <c r="A1923">
        <v>475.5</v>
      </c>
      <c r="B1923">
        <v>81.73</v>
      </c>
      <c r="C1923">
        <v>87.62</v>
      </c>
      <c r="D1923">
        <v>74.62</v>
      </c>
      <c r="E1923">
        <v>96.06</v>
      </c>
      <c r="F1923">
        <v>94.17</v>
      </c>
      <c r="G1923">
        <v>93.01</v>
      </c>
      <c r="H1923">
        <v>98.9</v>
      </c>
      <c r="K1923" s="9">
        <f t="shared" si="130"/>
        <v>-0.17000000000000171</v>
      </c>
      <c r="L1923">
        <f t="shared" si="125"/>
        <v>1.3900000000000006</v>
      </c>
      <c r="M1923">
        <f t="shared" si="126"/>
        <v>-0.39000000000000057</v>
      </c>
      <c r="N1923">
        <f t="shared" si="127"/>
        <v>-0.26999999999999602</v>
      </c>
      <c r="O1923">
        <f t="shared" si="128"/>
        <v>-0.17000000000000171</v>
      </c>
      <c r="P1923" s="10">
        <f t="shared" si="129"/>
        <v>-0.73000000000000398</v>
      </c>
    </row>
    <row r="1924" spans="1:16">
      <c r="A1924">
        <v>475.75</v>
      </c>
      <c r="B1924">
        <v>81.67</v>
      </c>
      <c r="C1924">
        <v>87.51</v>
      </c>
      <c r="D1924">
        <v>75.34</v>
      </c>
      <c r="E1924">
        <v>95.9</v>
      </c>
      <c r="F1924">
        <v>94.01</v>
      </c>
      <c r="G1924">
        <v>92.95</v>
      </c>
      <c r="H1924">
        <v>98.62</v>
      </c>
      <c r="K1924" s="9">
        <f t="shared" si="130"/>
        <v>4.9999999999997158E-2</v>
      </c>
      <c r="L1924">
        <f t="shared" si="125"/>
        <v>1.1700000000000017</v>
      </c>
      <c r="M1924">
        <f t="shared" si="126"/>
        <v>-0.34000000000000341</v>
      </c>
      <c r="N1924">
        <f t="shared" si="127"/>
        <v>-0.17000000000000171</v>
      </c>
      <c r="O1924">
        <f t="shared" si="128"/>
        <v>-0.21999999999999886</v>
      </c>
      <c r="P1924" s="10">
        <f t="shared" si="129"/>
        <v>-0.56000000000000227</v>
      </c>
    </row>
    <row r="1925" spans="1:16">
      <c r="A1925">
        <v>476</v>
      </c>
      <c r="B1925">
        <v>81.56</v>
      </c>
      <c r="C1925">
        <v>87.62</v>
      </c>
      <c r="D1925">
        <v>75.84</v>
      </c>
      <c r="E1925">
        <v>95.67</v>
      </c>
      <c r="F1925">
        <v>94.01</v>
      </c>
      <c r="G1925">
        <v>93.01</v>
      </c>
      <c r="H1925">
        <v>98.4</v>
      </c>
      <c r="K1925" s="9">
        <f t="shared" si="130"/>
        <v>0</v>
      </c>
      <c r="L1925">
        <f t="shared" si="125"/>
        <v>1.3299999999999983</v>
      </c>
      <c r="M1925">
        <f t="shared" si="126"/>
        <v>-0.26999999999999602</v>
      </c>
      <c r="N1925">
        <f t="shared" si="127"/>
        <v>-0.23000000000000398</v>
      </c>
      <c r="O1925">
        <f t="shared" si="128"/>
        <v>-0.39000000000000057</v>
      </c>
      <c r="P1925" s="10">
        <f t="shared" si="129"/>
        <v>-0.5</v>
      </c>
    </row>
    <row r="1926" spans="1:16">
      <c r="A1926">
        <v>476.25</v>
      </c>
      <c r="B1926">
        <v>81.510000000000005</v>
      </c>
      <c r="C1926">
        <v>87.45</v>
      </c>
      <c r="D1926">
        <v>76.010000000000005</v>
      </c>
      <c r="E1926">
        <v>95.67</v>
      </c>
      <c r="F1926">
        <v>93.9</v>
      </c>
      <c r="G1926">
        <v>92.84</v>
      </c>
      <c r="H1926">
        <v>98.17</v>
      </c>
      <c r="K1926" s="9">
        <f t="shared" si="130"/>
        <v>0.17000000000000171</v>
      </c>
      <c r="L1926">
        <f t="shared" si="125"/>
        <v>1.6599999999999966</v>
      </c>
      <c r="M1926">
        <f t="shared" si="126"/>
        <v>-0.43999999999999773</v>
      </c>
      <c r="N1926">
        <f t="shared" si="127"/>
        <v>-0.23000000000000398</v>
      </c>
      <c r="O1926">
        <f t="shared" si="128"/>
        <v>-0.28000000000000114</v>
      </c>
      <c r="P1926" s="10">
        <f t="shared" si="129"/>
        <v>-0.43999999999999773</v>
      </c>
    </row>
    <row r="1927" spans="1:16">
      <c r="A1927">
        <v>476.5</v>
      </c>
      <c r="B1927">
        <v>81.28</v>
      </c>
      <c r="C1927">
        <v>87.56</v>
      </c>
      <c r="D1927">
        <v>76.510000000000005</v>
      </c>
      <c r="E1927">
        <v>95.56</v>
      </c>
      <c r="F1927">
        <v>93.84</v>
      </c>
      <c r="G1927">
        <v>92.73</v>
      </c>
      <c r="H1927">
        <v>98.06</v>
      </c>
      <c r="K1927" s="9">
        <f t="shared" si="130"/>
        <v>6.0000000000002274E-2</v>
      </c>
      <c r="L1927">
        <f t="shared" si="125"/>
        <v>1.1599999999999966</v>
      </c>
      <c r="M1927">
        <f t="shared" si="126"/>
        <v>-0.43999999999999773</v>
      </c>
      <c r="N1927">
        <f t="shared" si="127"/>
        <v>-0.32999999999999829</v>
      </c>
      <c r="O1927">
        <f t="shared" si="128"/>
        <v>-0.17000000000000171</v>
      </c>
      <c r="P1927" s="10">
        <f t="shared" si="129"/>
        <v>-0.54999999999999716</v>
      </c>
    </row>
    <row r="1928" spans="1:16">
      <c r="A1928">
        <v>476.75</v>
      </c>
      <c r="B1928">
        <v>81.34</v>
      </c>
      <c r="C1928">
        <v>87.62</v>
      </c>
      <c r="D1928">
        <v>77.17</v>
      </c>
      <c r="E1928">
        <v>95.4</v>
      </c>
      <c r="F1928">
        <v>93.78</v>
      </c>
      <c r="G1928">
        <v>92.62</v>
      </c>
      <c r="H1928">
        <v>97.9</v>
      </c>
      <c r="K1928" s="9">
        <f t="shared" si="130"/>
        <v>0</v>
      </c>
      <c r="L1928">
        <f t="shared" si="125"/>
        <v>0.67000000000000171</v>
      </c>
      <c r="M1928">
        <f t="shared" si="126"/>
        <v>-0.5</v>
      </c>
      <c r="N1928">
        <f t="shared" si="127"/>
        <v>-0.37999999999999545</v>
      </c>
      <c r="O1928">
        <f t="shared" si="128"/>
        <v>-0.17000000000000171</v>
      </c>
      <c r="P1928" s="10">
        <f t="shared" si="129"/>
        <v>-0.62000000000000455</v>
      </c>
    </row>
    <row r="1929" spans="1:16">
      <c r="A1929">
        <v>477</v>
      </c>
      <c r="B1929">
        <v>81.17</v>
      </c>
      <c r="C1929">
        <v>87.62</v>
      </c>
      <c r="D1929">
        <v>77.67</v>
      </c>
      <c r="E1929">
        <v>95.23</v>
      </c>
      <c r="F1929">
        <v>93.67</v>
      </c>
      <c r="G1929">
        <v>92.56</v>
      </c>
      <c r="H1929">
        <v>97.73</v>
      </c>
      <c r="K1929" s="9">
        <f t="shared" si="130"/>
        <v>-6.0000000000002274E-2</v>
      </c>
      <c r="L1929">
        <f t="shared" si="125"/>
        <v>0.17000000000000171</v>
      </c>
      <c r="M1929">
        <f t="shared" si="126"/>
        <v>-0.45000000000000284</v>
      </c>
      <c r="N1929">
        <f t="shared" si="127"/>
        <v>-0.26999999999999602</v>
      </c>
      <c r="O1929">
        <f t="shared" si="128"/>
        <v>-0.15999999999999659</v>
      </c>
      <c r="P1929" s="10">
        <f t="shared" si="129"/>
        <v>-0.10999999999999943</v>
      </c>
    </row>
    <row r="1930" spans="1:16">
      <c r="A1930">
        <v>477.25</v>
      </c>
      <c r="B1930">
        <v>81.12</v>
      </c>
      <c r="C1930">
        <v>87.62</v>
      </c>
      <c r="D1930">
        <v>77.67</v>
      </c>
      <c r="E1930">
        <v>95.12</v>
      </c>
      <c r="F1930">
        <v>93.51</v>
      </c>
      <c r="G1930">
        <v>92.56</v>
      </c>
      <c r="H1930">
        <v>97.51</v>
      </c>
      <c r="K1930" s="9">
        <f t="shared" si="130"/>
        <v>-0.10999999999999943</v>
      </c>
      <c r="L1930">
        <f t="shared" ref="L1930:L1993" si="131">D1933-D1930</f>
        <v>0.17000000000000171</v>
      </c>
      <c r="M1930">
        <f t="shared" ref="M1930:M1993" si="132">E1933-E1930</f>
        <v>-0.45000000000000284</v>
      </c>
      <c r="N1930">
        <f t="shared" ref="N1930:N1993" si="133">F1933-F1930</f>
        <v>-0.10999999999999943</v>
      </c>
      <c r="O1930">
        <f t="shared" ref="O1930:O1993" si="134">G1933-G1930</f>
        <v>-0.28000000000000114</v>
      </c>
      <c r="P1930" s="10">
        <f t="shared" ref="P1930:P1993" si="135">H1933-H1930</f>
        <v>0.43999999999999773</v>
      </c>
    </row>
    <row r="1931" spans="1:16">
      <c r="A1931">
        <v>477.5</v>
      </c>
      <c r="B1931">
        <v>80.95</v>
      </c>
      <c r="C1931">
        <v>87.62</v>
      </c>
      <c r="D1931">
        <v>77.84</v>
      </c>
      <c r="E1931">
        <v>94.9</v>
      </c>
      <c r="F1931">
        <v>93.4</v>
      </c>
      <c r="G1931">
        <v>92.45</v>
      </c>
      <c r="H1931">
        <v>97.28</v>
      </c>
      <c r="K1931" s="9">
        <f t="shared" ref="K1931:K1994" si="136">C1934-C1931</f>
        <v>-0.17000000000000171</v>
      </c>
      <c r="L1931">
        <f t="shared" si="131"/>
        <v>0</v>
      </c>
      <c r="M1931">
        <f t="shared" si="132"/>
        <v>-0.45000000000000284</v>
      </c>
      <c r="N1931">
        <f t="shared" si="133"/>
        <v>-0.17000000000000171</v>
      </c>
      <c r="O1931">
        <f t="shared" si="134"/>
        <v>-0.39000000000000057</v>
      </c>
      <c r="P1931" s="10">
        <f t="shared" si="135"/>
        <v>0.56000000000000227</v>
      </c>
    </row>
    <row r="1932" spans="1:16">
      <c r="A1932">
        <v>477.75</v>
      </c>
      <c r="B1932">
        <v>80.78</v>
      </c>
      <c r="C1932">
        <v>87.56</v>
      </c>
      <c r="D1932">
        <v>77.84</v>
      </c>
      <c r="E1932">
        <v>94.78</v>
      </c>
      <c r="F1932">
        <v>93.4</v>
      </c>
      <c r="G1932">
        <v>92.4</v>
      </c>
      <c r="H1932">
        <v>97.62</v>
      </c>
      <c r="K1932" s="9">
        <f t="shared" si="136"/>
        <v>-0.21999999999999886</v>
      </c>
      <c r="L1932">
        <f t="shared" si="131"/>
        <v>0</v>
      </c>
      <c r="M1932">
        <f t="shared" si="132"/>
        <v>-0.5</v>
      </c>
      <c r="N1932">
        <f t="shared" si="133"/>
        <v>-0.23000000000000398</v>
      </c>
      <c r="O1932">
        <f t="shared" si="134"/>
        <v>-0.56000000000000227</v>
      </c>
      <c r="P1932" s="10">
        <f t="shared" si="135"/>
        <v>-0.17000000000000171</v>
      </c>
    </row>
    <row r="1933" spans="1:16">
      <c r="A1933">
        <v>478</v>
      </c>
      <c r="B1933">
        <v>80.67</v>
      </c>
      <c r="C1933">
        <v>87.51</v>
      </c>
      <c r="D1933">
        <v>77.84</v>
      </c>
      <c r="E1933">
        <v>94.67</v>
      </c>
      <c r="F1933">
        <v>93.4</v>
      </c>
      <c r="G1933">
        <v>92.28</v>
      </c>
      <c r="H1933">
        <v>97.95</v>
      </c>
      <c r="K1933" s="9">
        <f t="shared" si="136"/>
        <v>-0.23000000000000398</v>
      </c>
      <c r="L1933">
        <f t="shared" si="131"/>
        <v>-0.5</v>
      </c>
      <c r="M1933">
        <f t="shared" si="132"/>
        <v>-0.43999999999999773</v>
      </c>
      <c r="N1933">
        <f t="shared" si="133"/>
        <v>-0.34000000000000341</v>
      </c>
      <c r="O1933">
        <f t="shared" si="134"/>
        <v>-0.21999999999999886</v>
      </c>
      <c r="P1933" s="10">
        <f t="shared" si="135"/>
        <v>-0.71999999999999886</v>
      </c>
    </row>
    <row r="1934" spans="1:16">
      <c r="A1934">
        <v>478.25</v>
      </c>
      <c r="B1934">
        <v>80.56</v>
      </c>
      <c r="C1934">
        <v>87.45</v>
      </c>
      <c r="D1934">
        <v>77.84</v>
      </c>
      <c r="E1934">
        <v>94.45</v>
      </c>
      <c r="F1934">
        <v>93.23</v>
      </c>
      <c r="G1934">
        <v>92.06</v>
      </c>
      <c r="H1934">
        <v>97.84</v>
      </c>
      <c r="K1934" s="9">
        <f t="shared" si="136"/>
        <v>-0.21999999999999886</v>
      </c>
      <c r="L1934">
        <f t="shared" si="131"/>
        <v>-0.5</v>
      </c>
      <c r="M1934">
        <f t="shared" si="132"/>
        <v>-0.32999999999999829</v>
      </c>
      <c r="N1934">
        <f t="shared" si="133"/>
        <v>-0.21999999999999886</v>
      </c>
      <c r="O1934">
        <f t="shared" si="134"/>
        <v>-0.15999999999999659</v>
      </c>
      <c r="P1934" s="10">
        <f t="shared" si="135"/>
        <v>-0.78000000000000114</v>
      </c>
    </row>
    <row r="1935" spans="1:16">
      <c r="A1935">
        <v>478.5</v>
      </c>
      <c r="B1935">
        <v>80.45</v>
      </c>
      <c r="C1935">
        <v>87.34</v>
      </c>
      <c r="D1935">
        <v>77.84</v>
      </c>
      <c r="E1935">
        <v>94.28</v>
      </c>
      <c r="F1935">
        <v>93.17</v>
      </c>
      <c r="G1935">
        <v>91.84</v>
      </c>
      <c r="H1935">
        <v>97.45</v>
      </c>
      <c r="K1935" s="9">
        <f t="shared" si="136"/>
        <v>-0.17000000000000171</v>
      </c>
      <c r="L1935">
        <f t="shared" si="131"/>
        <v>-0.60999999999999943</v>
      </c>
      <c r="M1935">
        <f t="shared" si="132"/>
        <v>-0.21999999999999886</v>
      </c>
      <c r="N1935">
        <f t="shared" si="133"/>
        <v>-0.21999999999999886</v>
      </c>
      <c r="O1935">
        <f t="shared" si="134"/>
        <v>-0.17000000000000171</v>
      </c>
      <c r="P1935" s="10">
        <f t="shared" si="135"/>
        <v>-0.5</v>
      </c>
    </row>
    <row r="1936" spans="1:16">
      <c r="A1936">
        <v>478.75</v>
      </c>
      <c r="B1936">
        <v>80.23</v>
      </c>
      <c r="C1936">
        <v>87.28</v>
      </c>
      <c r="D1936">
        <v>77.34</v>
      </c>
      <c r="E1936">
        <v>94.23</v>
      </c>
      <c r="F1936">
        <v>93.06</v>
      </c>
      <c r="G1936">
        <v>92.06</v>
      </c>
      <c r="H1936">
        <v>97.23</v>
      </c>
      <c r="K1936" s="9">
        <f t="shared" si="136"/>
        <v>-0.15999999999999659</v>
      </c>
      <c r="L1936">
        <f t="shared" si="131"/>
        <v>-0.17000000000000171</v>
      </c>
      <c r="M1936">
        <f t="shared" si="132"/>
        <v>-0.39000000000000057</v>
      </c>
      <c r="N1936">
        <f t="shared" si="133"/>
        <v>-0.21999999999999886</v>
      </c>
      <c r="O1936">
        <f t="shared" si="134"/>
        <v>-0.39000000000000057</v>
      </c>
      <c r="P1936" s="10">
        <f t="shared" si="135"/>
        <v>-0.5</v>
      </c>
    </row>
    <row r="1937" spans="1:16">
      <c r="A1937">
        <v>479</v>
      </c>
      <c r="B1937">
        <v>80.06</v>
      </c>
      <c r="C1937">
        <v>87.23</v>
      </c>
      <c r="D1937">
        <v>77.34</v>
      </c>
      <c r="E1937">
        <v>94.12</v>
      </c>
      <c r="F1937">
        <v>93.01</v>
      </c>
      <c r="G1937">
        <v>91.9</v>
      </c>
      <c r="H1937">
        <v>97.06</v>
      </c>
      <c r="K1937" s="9">
        <f t="shared" si="136"/>
        <v>-0.17000000000000171</v>
      </c>
      <c r="L1937">
        <f t="shared" si="131"/>
        <v>-0.28000000000000114</v>
      </c>
      <c r="M1937">
        <f t="shared" si="132"/>
        <v>-0.34000000000000341</v>
      </c>
      <c r="N1937">
        <f t="shared" si="133"/>
        <v>-0.17000000000000171</v>
      </c>
      <c r="O1937">
        <f t="shared" si="134"/>
        <v>-0.28000000000000114</v>
      </c>
      <c r="P1937" s="10">
        <f t="shared" si="135"/>
        <v>-0.32999999999999829</v>
      </c>
    </row>
    <row r="1938" spans="1:16">
      <c r="A1938">
        <v>479.25</v>
      </c>
      <c r="B1938">
        <v>80.06</v>
      </c>
      <c r="C1938">
        <v>87.17</v>
      </c>
      <c r="D1938">
        <v>77.23</v>
      </c>
      <c r="E1938">
        <v>94.06</v>
      </c>
      <c r="F1938">
        <v>92.95</v>
      </c>
      <c r="G1938">
        <v>91.67</v>
      </c>
      <c r="H1938">
        <v>96.95</v>
      </c>
      <c r="K1938" s="9">
        <f t="shared" si="136"/>
        <v>-4.9999999999997158E-2</v>
      </c>
      <c r="L1938">
        <f t="shared" si="131"/>
        <v>-0.17000000000000171</v>
      </c>
      <c r="M1938">
        <f t="shared" si="132"/>
        <v>-0.32999999999999829</v>
      </c>
      <c r="N1938">
        <f t="shared" si="133"/>
        <v>-0.21999999999999886</v>
      </c>
      <c r="O1938">
        <f t="shared" si="134"/>
        <v>-0.10999999999999943</v>
      </c>
      <c r="P1938" s="10">
        <f t="shared" si="135"/>
        <v>-0.39000000000000057</v>
      </c>
    </row>
    <row r="1939" spans="1:16">
      <c r="A1939">
        <v>479.5</v>
      </c>
      <c r="B1939">
        <v>79.900000000000006</v>
      </c>
      <c r="C1939">
        <v>87.12</v>
      </c>
      <c r="D1939">
        <v>77.17</v>
      </c>
      <c r="E1939">
        <v>93.84</v>
      </c>
      <c r="F1939">
        <v>92.84</v>
      </c>
      <c r="G1939">
        <v>91.67</v>
      </c>
      <c r="H1939">
        <v>96.73</v>
      </c>
      <c r="K1939" s="9">
        <f t="shared" si="136"/>
        <v>4.9999999999997158E-2</v>
      </c>
      <c r="L1939">
        <f t="shared" si="131"/>
        <v>-0.76999999999999602</v>
      </c>
      <c r="M1939">
        <f t="shared" si="132"/>
        <v>-0.21999999999999886</v>
      </c>
      <c r="N1939">
        <f t="shared" si="133"/>
        <v>-0.10999999999999943</v>
      </c>
      <c r="O1939">
        <f t="shared" si="134"/>
        <v>-0.15999999999999659</v>
      </c>
      <c r="P1939" s="10">
        <f t="shared" si="135"/>
        <v>-0.28000000000000114</v>
      </c>
    </row>
    <row r="1940" spans="1:16">
      <c r="A1940">
        <v>479.75</v>
      </c>
      <c r="B1940">
        <v>79.84</v>
      </c>
      <c r="C1940">
        <v>87.06</v>
      </c>
      <c r="D1940">
        <v>77.06</v>
      </c>
      <c r="E1940">
        <v>93.78</v>
      </c>
      <c r="F1940">
        <v>92.84</v>
      </c>
      <c r="G1940">
        <v>91.62</v>
      </c>
      <c r="H1940">
        <v>96.73</v>
      </c>
      <c r="K1940" s="9">
        <f t="shared" si="136"/>
        <v>0</v>
      </c>
      <c r="L1940">
        <f t="shared" si="131"/>
        <v>-0.60999999999999943</v>
      </c>
      <c r="M1940">
        <f t="shared" si="132"/>
        <v>-0.32999999999999829</v>
      </c>
      <c r="N1940">
        <f t="shared" si="133"/>
        <v>-0.21999999999999886</v>
      </c>
      <c r="O1940">
        <f t="shared" si="134"/>
        <v>-0.17000000000000171</v>
      </c>
      <c r="P1940" s="10">
        <f t="shared" si="135"/>
        <v>-0.56000000000000227</v>
      </c>
    </row>
    <row r="1941" spans="1:16">
      <c r="A1941">
        <v>480</v>
      </c>
      <c r="B1941">
        <v>79.67</v>
      </c>
      <c r="C1941">
        <v>87.12</v>
      </c>
      <c r="D1941">
        <v>77.06</v>
      </c>
      <c r="E1941">
        <v>93.73</v>
      </c>
      <c r="F1941">
        <v>92.73</v>
      </c>
      <c r="G1941">
        <v>91.56</v>
      </c>
      <c r="H1941">
        <v>96.56</v>
      </c>
      <c r="K1941" s="9">
        <f t="shared" si="136"/>
        <v>0</v>
      </c>
      <c r="L1941">
        <f t="shared" si="131"/>
        <v>-1.0499999999999972</v>
      </c>
      <c r="M1941">
        <f t="shared" si="132"/>
        <v>-0.32999999999999829</v>
      </c>
      <c r="N1941">
        <f t="shared" si="133"/>
        <v>-0.28000000000000114</v>
      </c>
      <c r="O1941">
        <f t="shared" si="134"/>
        <v>-0.21999999999999886</v>
      </c>
      <c r="P1941" s="10">
        <f t="shared" si="135"/>
        <v>-0.65999999999999659</v>
      </c>
    </row>
    <row r="1942" spans="1:16">
      <c r="A1942">
        <v>480.25</v>
      </c>
      <c r="B1942">
        <v>79.56</v>
      </c>
      <c r="C1942">
        <v>87.17</v>
      </c>
      <c r="D1942">
        <v>76.400000000000006</v>
      </c>
      <c r="E1942">
        <v>93.62</v>
      </c>
      <c r="F1942">
        <v>92.73</v>
      </c>
      <c r="G1942">
        <v>91.51</v>
      </c>
      <c r="H1942">
        <v>96.45</v>
      </c>
      <c r="K1942" s="9">
        <f t="shared" si="136"/>
        <v>-0.10999999999999943</v>
      </c>
      <c r="L1942">
        <f t="shared" si="131"/>
        <v>-0.62000000000000455</v>
      </c>
      <c r="M1942">
        <f t="shared" si="132"/>
        <v>-0.39000000000000057</v>
      </c>
      <c r="N1942">
        <f t="shared" si="133"/>
        <v>-0.28000000000000114</v>
      </c>
      <c r="O1942">
        <f t="shared" si="134"/>
        <v>-0.17000000000000171</v>
      </c>
      <c r="P1942" s="10">
        <f t="shared" si="135"/>
        <v>-0.60999999999999943</v>
      </c>
    </row>
    <row r="1943" spans="1:16">
      <c r="A1943">
        <v>480.5</v>
      </c>
      <c r="B1943">
        <v>79.34</v>
      </c>
      <c r="C1943">
        <v>87.06</v>
      </c>
      <c r="D1943">
        <v>76.45</v>
      </c>
      <c r="E1943">
        <v>93.45</v>
      </c>
      <c r="F1943">
        <v>92.62</v>
      </c>
      <c r="G1943">
        <v>91.45</v>
      </c>
      <c r="H1943">
        <v>96.17</v>
      </c>
      <c r="K1943" s="9">
        <f t="shared" si="136"/>
        <v>6.0000000000002274E-2</v>
      </c>
      <c r="L1943">
        <f t="shared" si="131"/>
        <v>-1.3299999999999983</v>
      </c>
      <c r="M1943">
        <f t="shared" si="132"/>
        <v>-0.28000000000000114</v>
      </c>
      <c r="N1943">
        <f t="shared" si="133"/>
        <v>-0.34000000000000341</v>
      </c>
      <c r="O1943">
        <f t="shared" si="134"/>
        <v>-0.28000000000000114</v>
      </c>
      <c r="P1943" s="10">
        <f t="shared" si="135"/>
        <v>-0.82999999999999829</v>
      </c>
    </row>
    <row r="1944" spans="1:16">
      <c r="A1944">
        <v>480.75</v>
      </c>
      <c r="B1944">
        <v>79.23</v>
      </c>
      <c r="C1944">
        <v>87.12</v>
      </c>
      <c r="D1944">
        <v>76.010000000000005</v>
      </c>
      <c r="E1944">
        <v>93.4</v>
      </c>
      <c r="F1944">
        <v>92.45</v>
      </c>
      <c r="G1944">
        <v>91.34</v>
      </c>
      <c r="H1944">
        <v>95.9</v>
      </c>
      <c r="K1944" s="9">
        <f t="shared" si="136"/>
        <v>-6.0000000000002274E-2</v>
      </c>
      <c r="L1944">
        <f t="shared" si="131"/>
        <v>-0.67000000000000171</v>
      </c>
      <c r="M1944">
        <f t="shared" si="132"/>
        <v>-0.28000000000000114</v>
      </c>
      <c r="N1944">
        <f t="shared" si="133"/>
        <v>-0.17000000000000171</v>
      </c>
      <c r="O1944">
        <f t="shared" si="134"/>
        <v>-0.28000000000000114</v>
      </c>
      <c r="P1944" s="10">
        <f t="shared" si="135"/>
        <v>-0.84000000000000341</v>
      </c>
    </row>
    <row r="1945" spans="1:16">
      <c r="A1945">
        <v>481</v>
      </c>
      <c r="B1945">
        <v>79.06</v>
      </c>
      <c r="C1945">
        <v>87.06</v>
      </c>
      <c r="D1945">
        <v>75.78</v>
      </c>
      <c r="E1945">
        <v>93.23</v>
      </c>
      <c r="F1945">
        <v>92.45</v>
      </c>
      <c r="G1945">
        <v>91.34</v>
      </c>
      <c r="H1945">
        <v>95.84</v>
      </c>
      <c r="K1945" s="9">
        <f t="shared" si="136"/>
        <v>0</v>
      </c>
      <c r="L1945">
        <f t="shared" si="131"/>
        <v>-0.43999999999999773</v>
      </c>
      <c r="M1945">
        <f t="shared" si="132"/>
        <v>-0.21999999999999886</v>
      </c>
      <c r="N1945">
        <f t="shared" si="133"/>
        <v>-0.21999999999999886</v>
      </c>
      <c r="O1945">
        <f t="shared" si="134"/>
        <v>-0.21999999999999886</v>
      </c>
      <c r="P1945" s="10">
        <f t="shared" si="135"/>
        <v>-0.71999999999999886</v>
      </c>
    </row>
    <row r="1946" spans="1:16">
      <c r="A1946">
        <v>481.25</v>
      </c>
      <c r="B1946">
        <v>78.95</v>
      </c>
      <c r="C1946">
        <v>87.12</v>
      </c>
      <c r="D1946">
        <v>75.12</v>
      </c>
      <c r="E1946">
        <v>93.17</v>
      </c>
      <c r="F1946">
        <v>92.28</v>
      </c>
      <c r="G1946">
        <v>91.17</v>
      </c>
      <c r="H1946">
        <v>95.34</v>
      </c>
      <c r="K1946" s="9">
        <f t="shared" si="136"/>
        <v>0.10999999999999943</v>
      </c>
      <c r="L1946">
        <f t="shared" si="131"/>
        <v>0.54999999999999716</v>
      </c>
      <c r="M1946">
        <f t="shared" si="132"/>
        <v>-0.32999999999999829</v>
      </c>
      <c r="N1946">
        <f t="shared" si="133"/>
        <v>-4.9999999999997158E-2</v>
      </c>
      <c r="O1946">
        <f t="shared" si="134"/>
        <v>-0.21999999999999886</v>
      </c>
      <c r="P1946" s="10">
        <f t="shared" si="135"/>
        <v>-0.28000000000000114</v>
      </c>
    </row>
    <row r="1947" spans="1:16">
      <c r="A1947">
        <v>481.5</v>
      </c>
      <c r="B1947">
        <v>78.78</v>
      </c>
      <c r="C1947">
        <v>87.06</v>
      </c>
      <c r="D1947">
        <v>75.34</v>
      </c>
      <c r="E1947">
        <v>93.12</v>
      </c>
      <c r="F1947">
        <v>92.28</v>
      </c>
      <c r="G1947">
        <v>91.06</v>
      </c>
      <c r="H1947">
        <v>95.06</v>
      </c>
      <c r="K1947" s="9">
        <f t="shared" si="136"/>
        <v>0.10999999999999943</v>
      </c>
      <c r="L1947">
        <f t="shared" si="131"/>
        <v>0.28000000000000114</v>
      </c>
      <c r="M1947">
        <f t="shared" si="132"/>
        <v>-0.34000000000000341</v>
      </c>
      <c r="N1947">
        <f t="shared" si="133"/>
        <v>-0.21999999999999886</v>
      </c>
      <c r="O1947">
        <f t="shared" si="134"/>
        <v>-0.21999999999999886</v>
      </c>
      <c r="P1947" s="10">
        <f t="shared" si="135"/>
        <v>-0.21999999999999886</v>
      </c>
    </row>
    <row r="1948" spans="1:16">
      <c r="A1948">
        <v>481.75</v>
      </c>
      <c r="B1948">
        <v>78.84</v>
      </c>
      <c r="C1948">
        <v>87.06</v>
      </c>
      <c r="D1948">
        <v>75.34</v>
      </c>
      <c r="E1948">
        <v>93.01</v>
      </c>
      <c r="F1948">
        <v>92.23</v>
      </c>
      <c r="G1948">
        <v>91.12</v>
      </c>
      <c r="H1948">
        <v>95.12</v>
      </c>
      <c r="K1948" s="9">
        <f t="shared" si="136"/>
        <v>6.0000000000002274E-2</v>
      </c>
      <c r="L1948">
        <f t="shared" si="131"/>
        <v>0.10999999999999943</v>
      </c>
      <c r="M1948">
        <f t="shared" si="132"/>
        <v>-0.28000000000000114</v>
      </c>
      <c r="N1948">
        <f t="shared" si="133"/>
        <v>-0.17000000000000171</v>
      </c>
      <c r="O1948">
        <f t="shared" si="134"/>
        <v>-0.34000000000000341</v>
      </c>
      <c r="P1948" s="10">
        <f t="shared" si="135"/>
        <v>-0.39000000000000057</v>
      </c>
    </row>
    <row r="1949" spans="1:16">
      <c r="A1949">
        <v>482</v>
      </c>
      <c r="B1949">
        <v>78.62</v>
      </c>
      <c r="C1949">
        <v>87.23</v>
      </c>
      <c r="D1949">
        <v>75.67</v>
      </c>
      <c r="E1949">
        <v>92.84</v>
      </c>
      <c r="F1949">
        <v>92.23</v>
      </c>
      <c r="G1949">
        <v>90.95</v>
      </c>
      <c r="H1949">
        <v>95.06</v>
      </c>
      <c r="K1949" s="9">
        <f t="shared" si="136"/>
        <v>-0.10999999999999943</v>
      </c>
      <c r="L1949">
        <f t="shared" si="131"/>
        <v>-0.60999999999999943</v>
      </c>
      <c r="M1949">
        <f t="shared" si="132"/>
        <v>-0.21999999999999886</v>
      </c>
      <c r="N1949">
        <f t="shared" si="133"/>
        <v>-0.32999999999999829</v>
      </c>
      <c r="O1949">
        <f t="shared" si="134"/>
        <v>-0.28000000000000114</v>
      </c>
      <c r="P1949" s="10">
        <f t="shared" si="135"/>
        <v>-0.5</v>
      </c>
    </row>
    <row r="1950" spans="1:16">
      <c r="A1950">
        <v>482.25</v>
      </c>
      <c r="B1950">
        <v>78.510000000000005</v>
      </c>
      <c r="C1950">
        <v>87.17</v>
      </c>
      <c r="D1950">
        <v>75.62</v>
      </c>
      <c r="E1950">
        <v>92.78</v>
      </c>
      <c r="F1950">
        <v>92.06</v>
      </c>
      <c r="G1950">
        <v>90.84</v>
      </c>
      <c r="H1950">
        <v>94.84</v>
      </c>
      <c r="K1950" s="9">
        <f t="shared" si="136"/>
        <v>-4.9999999999997158E-2</v>
      </c>
      <c r="L1950">
        <f t="shared" si="131"/>
        <v>-0.5</v>
      </c>
      <c r="M1950">
        <f t="shared" si="132"/>
        <v>-0.32999999999999829</v>
      </c>
      <c r="N1950">
        <f t="shared" si="133"/>
        <v>-0.21999999999999886</v>
      </c>
      <c r="O1950">
        <f t="shared" si="134"/>
        <v>-0.21999999999999886</v>
      </c>
      <c r="P1950" s="10">
        <f t="shared" si="135"/>
        <v>-0.32999999999999829</v>
      </c>
    </row>
    <row r="1951" spans="1:16">
      <c r="A1951">
        <v>482.5</v>
      </c>
      <c r="B1951">
        <v>78.400000000000006</v>
      </c>
      <c r="C1951">
        <v>87.12</v>
      </c>
      <c r="D1951">
        <v>75.45</v>
      </c>
      <c r="E1951">
        <v>92.73</v>
      </c>
      <c r="F1951">
        <v>92.06</v>
      </c>
      <c r="G1951">
        <v>90.78</v>
      </c>
      <c r="H1951">
        <v>94.73</v>
      </c>
      <c r="K1951" s="9">
        <f t="shared" si="136"/>
        <v>-6.0000000000002274E-2</v>
      </c>
      <c r="L1951">
        <f t="shared" si="131"/>
        <v>-0.43999999999999773</v>
      </c>
      <c r="M1951">
        <f t="shared" si="132"/>
        <v>-0.32999999999999829</v>
      </c>
      <c r="N1951">
        <f t="shared" si="133"/>
        <v>-0.28000000000000114</v>
      </c>
      <c r="O1951">
        <f t="shared" si="134"/>
        <v>-0.10999999999999943</v>
      </c>
      <c r="P1951" s="10">
        <f t="shared" si="135"/>
        <v>-0.39000000000000057</v>
      </c>
    </row>
    <row r="1952" spans="1:16">
      <c r="A1952">
        <v>482.75</v>
      </c>
      <c r="B1952">
        <v>78.28</v>
      </c>
      <c r="C1952">
        <v>87.12</v>
      </c>
      <c r="D1952">
        <v>75.06</v>
      </c>
      <c r="E1952">
        <v>92.62</v>
      </c>
      <c r="F1952">
        <v>91.9</v>
      </c>
      <c r="G1952">
        <v>90.67</v>
      </c>
      <c r="H1952">
        <v>94.56</v>
      </c>
      <c r="K1952" s="9">
        <f t="shared" si="136"/>
        <v>-0.10999999999999943</v>
      </c>
      <c r="L1952">
        <f t="shared" si="131"/>
        <v>-0.60999999999999943</v>
      </c>
      <c r="M1952">
        <f t="shared" si="132"/>
        <v>-0.34000000000000341</v>
      </c>
      <c r="N1952">
        <f t="shared" si="133"/>
        <v>-0.17000000000000171</v>
      </c>
      <c r="O1952">
        <f t="shared" si="134"/>
        <v>-4.9999999999997158E-2</v>
      </c>
      <c r="P1952" s="10">
        <f t="shared" si="135"/>
        <v>-0.32999999999999829</v>
      </c>
    </row>
    <row r="1953" spans="1:16">
      <c r="A1953">
        <v>483</v>
      </c>
      <c r="B1953">
        <v>78.12</v>
      </c>
      <c r="C1953">
        <v>87.12</v>
      </c>
      <c r="D1953">
        <v>75.12</v>
      </c>
      <c r="E1953">
        <v>92.45</v>
      </c>
      <c r="F1953">
        <v>91.84</v>
      </c>
      <c r="G1953">
        <v>90.62</v>
      </c>
      <c r="H1953">
        <v>94.51</v>
      </c>
      <c r="K1953" s="9">
        <f t="shared" si="136"/>
        <v>0</v>
      </c>
      <c r="L1953">
        <f t="shared" si="131"/>
        <v>-0.56000000000000227</v>
      </c>
      <c r="M1953">
        <f t="shared" si="132"/>
        <v>-0.32999999999999829</v>
      </c>
      <c r="N1953">
        <f t="shared" si="133"/>
        <v>-0.17000000000000171</v>
      </c>
      <c r="O1953">
        <f t="shared" si="134"/>
        <v>-6.0000000000002274E-2</v>
      </c>
      <c r="P1953" s="10">
        <f t="shared" si="135"/>
        <v>-0.39000000000000057</v>
      </c>
    </row>
    <row r="1954" spans="1:16">
      <c r="A1954">
        <v>483.25</v>
      </c>
      <c r="B1954">
        <v>77.95</v>
      </c>
      <c r="C1954">
        <v>87.06</v>
      </c>
      <c r="D1954">
        <v>75.010000000000005</v>
      </c>
      <c r="E1954">
        <v>92.4</v>
      </c>
      <c r="F1954">
        <v>91.78</v>
      </c>
      <c r="G1954">
        <v>90.67</v>
      </c>
      <c r="H1954">
        <v>94.34</v>
      </c>
      <c r="K1954" s="9">
        <f t="shared" si="136"/>
        <v>-4.9999999999997158E-2</v>
      </c>
      <c r="L1954">
        <f t="shared" si="131"/>
        <v>-0.5</v>
      </c>
      <c r="M1954">
        <f t="shared" si="132"/>
        <v>-0.34000000000000341</v>
      </c>
      <c r="N1954">
        <f t="shared" si="133"/>
        <v>-0.21999999999999886</v>
      </c>
      <c r="O1954">
        <f t="shared" si="134"/>
        <v>-0.15999999999999659</v>
      </c>
      <c r="P1954" s="10">
        <f t="shared" si="135"/>
        <v>-0.21999999999999886</v>
      </c>
    </row>
    <row r="1955" spans="1:16">
      <c r="A1955">
        <v>483.5</v>
      </c>
      <c r="B1955">
        <v>77.900000000000006</v>
      </c>
      <c r="C1955">
        <v>87.01</v>
      </c>
      <c r="D1955">
        <v>74.45</v>
      </c>
      <c r="E1955">
        <v>92.28</v>
      </c>
      <c r="F1955">
        <v>91.73</v>
      </c>
      <c r="G1955">
        <v>90.62</v>
      </c>
      <c r="H1955">
        <v>94.23</v>
      </c>
      <c r="K1955" s="9">
        <f t="shared" si="136"/>
        <v>0</v>
      </c>
      <c r="L1955">
        <f t="shared" si="131"/>
        <v>0.32999999999999829</v>
      </c>
      <c r="M1955">
        <f t="shared" si="132"/>
        <v>-0.26999999999999602</v>
      </c>
      <c r="N1955">
        <f t="shared" si="133"/>
        <v>-0.17000000000000171</v>
      </c>
      <c r="O1955">
        <f t="shared" si="134"/>
        <v>-0.17000000000000171</v>
      </c>
      <c r="P1955" s="10">
        <f t="shared" si="135"/>
        <v>-0.17000000000000171</v>
      </c>
    </row>
    <row r="1956" spans="1:16">
      <c r="A1956">
        <v>483.75</v>
      </c>
      <c r="B1956">
        <v>77.78</v>
      </c>
      <c r="C1956">
        <v>87.12</v>
      </c>
      <c r="D1956">
        <v>74.56</v>
      </c>
      <c r="E1956">
        <v>92.12</v>
      </c>
      <c r="F1956">
        <v>91.67</v>
      </c>
      <c r="G1956">
        <v>90.56</v>
      </c>
      <c r="H1956">
        <v>94.12</v>
      </c>
      <c r="K1956" s="9">
        <f t="shared" si="136"/>
        <v>-0.10999999999999943</v>
      </c>
      <c r="L1956">
        <f t="shared" si="131"/>
        <v>0.5</v>
      </c>
      <c r="M1956">
        <f t="shared" si="132"/>
        <v>-0.10999999999999943</v>
      </c>
      <c r="N1956">
        <f t="shared" si="133"/>
        <v>-0.10999999999999943</v>
      </c>
      <c r="O1956">
        <f t="shared" si="134"/>
        <v>-0.28000000000000114</v>
      </c>
      <c r="P1956" s="10">
        <f t="shared" si="135"/>
        <v>-6.0000000000002274E-2</v>
      </c>
    </row>
    <row r="1957" spans="1:16">
      <c r="A1957">
        <v>484</v>
      </c>
      <c r="B1957">
        <v>77.62</v>
      </c>
      <c r="C1957">
        <v>87.01</v>
      </c>
      <c r="D1957">
        <v>74.510000000000005</v>
      </c>
      <c r="E1957">
        <v>92.06</v>
      </c>
      <c r="F1957">
        <v>91.56</v>
      </c>
      <c r="G1957">
        <v>90.51</v>
      </c>
      <c r="H1957">
        <v>94.12</v>
      </c>
      <c r="K1957" s="9">
        <f t="shared" si="136"/>
        <v>-6.0000000000002274E-2</v>
      </c>
      <c r="L1957">
        <f t="shared" si="131"/>
        <v>0.60999999999999943</v>
      </c>
      <c r="M1957">
        <f t="shared" si="132"/>
        <v>-0.15999999999999659</v>
      </c>
      <c r="N1957">
        <f t="shared" si="133"/>
        <v>-4.9999999999997158E-2</v>
      </c>
      <c r="O1957">
        <f t="shared" si="134"/>
        <v>-0.34000000000000341</v>
      </c>
      <c r="P1957" s="10">
        <f t="shared" si="135"/>
        <v>-0.28000000000000114</v>
      </c>
    </row>
    <row r="1958" spans="1:16">
      <c r="A1958">
        <v>484.25</v>
      </c>
      <c r="B1958">
        <v>77.510000000000005</v>
      </c>
      <c r="C1958">
        <v>87.01</v>
      </c>
      <c r="D1958">
        <v>74.78</v>
      </c>
      <c r="E1958">
        <v>92.01</v>
      </c>
      <c r="F1958">
        <v>91.56</v>
      </c>
      <c r="G1958">
        <v>90.45</v>
      </c>
      <c r="H1958">
        <v>94.06</v>
      </c>
      <c r="K1958" s="9">
        <f t="shared" si="136"/>
        <v>0</v>
      </c>
      <c r="L1958">
        <f t="shared" si="131"/>
        <v>0.56000000000000227</v>
      </c>
      <c r="M1958">
        <f t="shared" si="132"/>
        <v>-0.17000000000000171</v>
      </c>
      <c r="N1958">
        <f t="shared" si="133"/>
        <v>-0.10999999999999943</v>
      </c>
      <c r="O1958">
        <f t="shared" si="134"/>
        <v>-0.28000000000000114</v>
      </c>
      <c r="P1958" s="10">
        <f t="shared" si="135"/>
        <v>-0.28000000000000114</v>
      </c>
    </row>
    <row r="1959" spans="1:16">
      <c r="A1959">
        <v>484.5</v>
      </c>
      <c r="B1959">
        <v>77.56</v>
      </c>
      <c r="C1959">
        <v>87.01</v>
      </c>
      <c r="D1959">
        <v>75.06</v>
      </c>
      <c r="E1959">
        <v>92.01</v>
      </c>
      <c r="F1959">
        <v>91.56</v>
      </c>
      <c r="G1959">
        <v>90.28</v>
      </c>
      <c r="H1959">
        <v>94.06</v>
      </c>
      <c r="K1959" s="9">
        <f t="shared" si="136"/>
        <v>-6.0000000000002274E-2</v>
      </c>
      <c r="L1959">
        <f t="shared" si="131"/>
        <v>0.21999999999999886</v>
      </c>
      <c r="M1959">
        <f t="shared" si="132"/>
        <v>-0.34000000000000341</v>
      </c>
      <c r="N1959">
        <f t="shared" si="133"/>
        <v>-0.21999999999999886</v>
      </c>
      <c r="O1959">
        <f t="shared" si="134"/>
        <v>-0.10999999999999943</v>
      </c>
      <c r="P1959" s="10">
        <f t="shared" si="135"/>
        <v>-0.32999999999999829</v>
      </c>
    </row>
    <row r="1960" spans="1:16">
      <c r="A1960">
        <v>484.75</v>
      </c>
      <c r="B1960">
        <v>77.400000000000006</v>
      </c>
      <c r="C1960">
        <v>86.95</v>
      </c>
      <c r="D1960">
        <v>75.12</v>
      </c>
      <c r="E1960">
        <v>91.9</v>
      </c>
      <c r="F1960">
        <v>91.51</v>
      </c>
      <c r="G1960">
        <v>90.17</v>
      </c>
      <c r="H1960">
        <v>93.84</v>
      </c>
      <c r="K1960" s="9">
        <f t="shared" si="136"/>
        <v>0</v>
      </c>
      <c r="L1960">
        <f t="shared" si="131"/>
        <v>-0.28000000000000114</v>
      </c>
      <c r="M1960">
        <f t="shared" si="132"/>
        <v>-0.34000000000000341</v>
      </c>
      <c r="N1960">
        <f t="shared" si="133"/>
        <v>-0.28000000000000114</v>
      </c>
      <c r="O1960">
        <f t="shared" si="134"/>
        <v>-0.15999999999999659</v>
      </c>
      <c r="P1960" s="10">
        <f t="shared" si="135"/>
        <v>-0.60999999999999943</v>
      </c>
    </row>
    <row r="1961" spans="1:16">
      <c r="A1961">
        <v>485</v>
      </c>
      <c r="B1961">
        <v>77.28</v>
      </c>
      <c r="C1961">
        <v>87.01</v>
      </c>
      <c r="D1961">
        <v>75.34</v>
      </c>
      <c r="E1961">
        <v>91.84</v>
      </c>
      <c r="F1961">
        <v>91.45</v>
      </c>
      <c r="G1961">
        <v>90.17</v>
      </c>
      <c r="H1961">
        <v>93.78</v>
      </c>
      <c r="K1961" s="9">
        <f t="shared" si="136"/>
        <v>-6.0000000000002274E-2</v>
      </c>
      <c r="L1961">
        <f t="shared" si="131"/>
        <v>-0.56000000000000227</v>
      </c>
      <c r="M1961">
        <f t="shared" si="132"/>
        <v>-0.32999999999999829</v>
      </c>
      <c r="N1961">
        <f t="shared" si="133"/>
        <v>-0.28000000000000114</v>
      </c>
      <c r="O1961">
        <f t="shared" si="134"/>
        <v>-0.32999999999999829</v>
      </c>
      <c r="P1961" s="10">
        <f t="shared" si="135"/>
        <v>-0.71999999999999886</v>
      </c>
    </row>
    <row r="1962" spans="1:16">
      <c r="A1962">
        <v>485.25</v>
      </c>
      <c r="B1962">
        <v>77.12</v>
      </c>
      <c r="C1962">
        <v>86.95</v>
      </c>
      <c r="D1962">
        <v>75.28</v>
      </c>
      <c r="E1962">
        <v>91.67</v>
      </c>
      <c r="F1962">
        <v>91.34</v>
      </c>
      <c r="G1962">
        <v>90.17</v>
      </c>
      <c r="H1962">
        <v>93.73</v>
      </c>
      <c r="K1962" s="9">
        <f t="shared" si="136"/>
        <v>-0.17000000000000171</v>
      </c>
      <c r="L1962">
        <f t="shared" si="131"/>
        <v>-0.43999999999999773</v>
      </c>
      <c r="M1962">
        <f t="shared" si="132"/>
        <v>-0.26999999999999602</v>
      </c>
      <c r="N1962">
        <f t="shared" si="133"/>
        <v>-0.32999999999999829</v>
      </c>
      <c r="O1962">
        <f t="shared" si="134"/>
        <v>-0.39000000000000057</v>
      </c>
      <c r="P1962" s="10">
        <f t="shared" si="135"/>
        <v>-0.89000000000000057</v>
      </c>
    </row>
    <row r="1963" spans="1:16">
      <c r="A1963">
        <v>485.5</v>
      </c>
      <c r="B1963">
        <v>77.010000000000005</v>
      </c>
      <c r="C1963">
        <v>86.95</v>
      </c>
      <c r="D1963">
        <v>74.84</v>
      </c>
      <c r="E1963">
        <v>91.56</v>
      </c>
      <c r="F1963">
        <v>91.23</v>
      </c>
      <c r="G1963">
        <v>90.01</v>
      </c>
      <c r="H1963">
        <v>93.23</v>
      </c>
      <c r="K1963" s="9">
        <f t="shared" si="136"/>
        <v>-0.17000000000000171</v>
      </c>
      <c r="L1963">
        <f t="shared" si="131"/>
        <v>-0.28000000000000114</v>
      </c>
      <c r="M1963">
        <f t="shared" si="132"/>
        <v>-0.28000000000000114</v>
      </c>
      <c r="N1963">
        <f t="shared" si="133"/>
        <v>-0.28000000000000114</v>
      </c>
      <c r="O1963">
        <f t="shared" si="134"/>
        <v>-0.28000000000000114</v>
      </c>
      <c r="P1963" s="10">
        <f t="shared" si="135"/>
        <v>-0.45000000000000284</v>
      </c>
    </row>
    <row r="1964" spans="1:16">
      <c r="A1964">
        <v>485.75</v>
      </c>
      <c r="B1964">
        <v>77.010000000000005</v>
      </c>
      <c r="C1964">
        <v>86.95</v>
      </c>
      <c r="D1964">
        <v>74.78</v>
      </c>
      <c r="E1964">
        <v>91.51</v>
      </c>
      <c r="F1964">
        <v>91.17</v>
      </c>
      <c r="G1964">
        <v>89.84</v>
      </c>
      <c r="H1964">
        <v>93.06</v>
      </c>
      <c r="K1964" s="9">
        <f t="shared" si="136"/>
        <v>-0.21999999999999886</v>
      </c>
      <c r="L1964">
        <f t="shared" si="131"/>
        <v>-0.21999999999999886</v>
      </c>
      <c r="M1964">
        <f t="shared" si="132"/>
        <v>-0.23000000000000398</v>
      </c>
      <c r="N1964">
        <f t="shared" si="133"/>
        <v>-0.15999999999999659</v>
      </c>
      <c r="O1964">
        <f t="shared" si="134"/>
        <v>-6.0000000000002274E-2</v>
      </c>
      <c r="P1964" s="10">
        <f t="shared" si="135"/>
        <v>-0.43999999999999773</v>
      </c>
    </row>
    <row r="1965" spans="1:16">
      <c r="A1965">
        <v>486</v>
      </c>
      <c r="B1965">
        <v>76.84</v>
      </c>
      <c r="C1965">
        <v>86.78</v>
      </c>
      <c r="D1965">
        <v>74.84</v>
      </c>
      <c r="E1965">
        <v>91.4</v>
      </c>
      <c r="F1965">
        <v>91.01</v>
      </c>
      <c r="G1965">
        <v>89.78</v>
      </c>
      <c r="H1965">
        <v>92.84</v>
      </c>
      <c r="K1965" s="9">
        <f t="shared" si="136"/>
        <v>-0.10999999999999943</v>
      </c>
      <c r="L1965">
        <f t="shared" si="131"/>
        <v>-0.39000000000000057</v>
      </c>
      <c r="M1965">
        <f t="shared" si="132"/>
        <v>-0.28000000000000114</v>
      </c>
      <c r="N1965">
        <f t="shared" si="133"/>
        <v>-0.10999999999999943</v>
      </c>
      <c r="O1965">
        <f t="shared" si="134"/>
        <v>6.0000000000002274E-2</v>
      </c>
      <c r="P1965" s="10">
        <f t="shared" si="135"/>
        <v>-0.28000000000000114</v>
      </c>
    </row>
    <row r="1966" spans="1:16">
      <c r="A1966">
        <v>486.25</v>
      </c>
      <c r="B1966">
        <v>76.78</v>
      </c>
      <c r="C1966">
        <v>86.78</v>
      </c>
      <c r="D1966">
        <v>74.56</v>
      </c>
      <c r="E1966">
        <v>91.28</v>
      </c>
      <c r="F1966">
        <v>90.95</v>
      </c>
      <c r="G1966">
        <v>89.73</v>
      </c>
      <c r="H1966">
        <v>92.78</v>
      </c>
      <c r="K1966" s="9">
        <f t="shared" si="136"/>
        <v>-4.9999999999997158E-2</v>
      </c>
      <c r="L1966">
        <f t="shared" si="131"/>
        <v>-0.10999999999999943</v>
      </c>
      <c r="M1966">
        <f t="shared" si="132"/>
        <v>-0.15999999999999659</v>
      </c>
      <c r="N1966">
        <f t="shared" si="133"/>
        <v>-0.10999999999999943</v>
      </c>
      <c r="O1966">
        <f t="shared" si="134"/>
        <v>-0.17000000000000171</v>
      </c>
      <c r="P1966" s="10">
        <f t="shared" si="135"/>
        <v>-0.37999999999999545</v>
      </c>
    </row>
    <row r="1967" spans="1:16">
      <c r="A1967">
        <v>486.5</v>
      </c>
      <c r="B1967">
        <v>76.67</v>
      </c>
      <c r="C1967">
        <v>86.73</v>
      </c>
      <c r="D1967">
        <v>74.56</v>
      </c>
      <c r="E1967">
        <v>91.28</v>
      </c>
      <c r="F1967">
        <v>91.01</v>
      </c>
      <c r="G1967">
        <v>89.78</v>
      </c>
      <c r="H1967">
        <v>92.62</v>
      </c>
      <c r="K1967" s="9">
        <f t="shared" si="136"/>
        <v>-0.10999999999999943</v>
      </c>
      <c r="L1967">
        <f t="shared" si="131"/>
        <v>-4.9999999999997158E-2</v>
      </c>
      <c r="M1967">
        <f t="shared" si="132"/>
        <v>-0.26999999999999602</v>
      </c>
      <c r="N1967">
        <f t="shared" si="133"/>
        <v>-0.23000000000000398</v>
      </c>
      <c r="O1967">
        <f t="shared" si="134"/>
        <v>-0.26999999999999602</v>
      </c>
      <c r="P1967" s="10">
        <f t="shared" si="135"/>
        <v>-0.17000000000000171</v>
      </c>
    </row>
    <row r="1968" spans="1:16">
      <c r="A1968">
        <v>486.75</v>
      </c>
      <c r="B1968">
        <v>76.56</v>
      </c>
      <c r="C1968">
        <v>86.67</v>
      </c>
      <c r="D1968">
        <v>74.45</v>
      </c>
      <c r="E1968">
        <v>91.12</v>
      </c>
      <c r="F1968">
        <v>90.9</v>
      </c>
      <c r="G1968">
        <v>89.84</v>
      </c>
      <c r="H1968">
        <v>92.56</v>
      </c>
      <c r="K1968" s="9">
        <f t="shared" si="136"/>
        <v>-0.10999999999999943</v>
      </c>
      <c r="L1968">
        <f t="shared" si="131"/>
        <v>0.32999999999999829</v>
      </c>
      <c r="M1968">
        <f t="shared" si="132"/>
        <v>-0.17000000000000171</v>
      </c>
      <c r="N1968">
        <f t="shared" si="133"/>
        <v>-0.23000000000000398</v>
      </c>
      <c r="O1968">
        <f t="shared" si="134"/>
        <v>-0.28000000000000114</v>
      </c>
      <c r="P1968" s="10">
        <f t="shared" si="135"/>
        <v>-0.32999999999999829</v>
      </c>
    </row>
    <row r="1969" spans="1:16">
      <c r="A1969">
        <v>487</v>
      </c>
      <c r="B1969">
        <v>76.400000000000006</v>
      </c>
      <c r="C1969">
        <v>86.73</v>
      </c>
      <c r="D1969">
        <v>74.45</v>
      </c>
      <c r="E1969">
        <v>91.12</v>
      </c>
      <c r="F1969">
        <v>90.84</v>
      </c>
      <c r="G1969">
        <v>89.56</v>
      </c>
      <c r="H1969">
        <v>92.4</v>
      </c>
      <c r="K1969" s="9">
        <f t="shared" si="136"/>
        <v>-0.10999999999999943</v>
      </c>
      <c r="L1969">
        <f t="shared" si="131"/>
        <v>0.32999999999999829</v>
      </c>
      <c r="M1969">
        <f t="shared" si="132"/>
        <v>-0.17000000000000171</v>
      </c>
      <c r="N1969">
        <f t="shared" si="133"/>
        <v>-0.17000000000000171</v>
      </c>
      <c r="O1969">
        <f t="shared" si="134"/>
        <v>0</v>
      </c>
      <c r="P1969" s="10">
        <f t="shared" si="135"/>
        <v>-0.17000000000000171</v>
      </c>
    </row>
    <row r="1970" spans="1:16">
      <c r="A1970">
        <v>487.25</v>
      </c>
      <c r="B1970">
        <v>76.23</v>
      </c>
      <c r="C1970">
        <v>86.62</v>
      </c>
      <c r="D1970">
        <v>74.510000000000005</v>
      </c>
      <c r="E1970">
        <v>91.01</v>
      </c>
      <c r="F1970">
        <v>90.78</v>
      </c>
      <c r="G1970">
        <v>89.51</v>
      </c>
      <c r="H1970">
        <v>92.45</v>
      </c>
      <c r="K1970" s="9">
        <f t="shared" si="136"/>
        <v>0</v>
      </c>
      <c r="L1970">
        <f t="shared" si="131"/>
        <v>0.39000000000000057</v>
      </c>
      <c r="M1970">
        <f t="shared" si="132"/>
        <v>-0.23000000000000398</v>
      </c>
      <c r="N1970">
        <f t="shared" si="133"/>
        <v>-0.10999999999999943</v>
      </c>
      <c r="O1970">
        <f t="shared" si="134"/>
        <v>-0.10999999999999943</v>
      </c>
      <c r="P1970" s="10">
        <f t="shared" si="135"/>
        <v>-0.32999999999999829</v>
      </c>
    </row>
    <row r="1971" spans="1:16">
      <c r="A1971">
        <v>487.5</v>
      </c>
      <c r="B1971">
        <v>76.12</v>
      </c>
      <c r="C1971">
        <v>86.56</v>
      </c>
      <c r="D1971">
        <v>74.78</v>
      </c>
      <c r="E1971">
        <v>90.95</v>
      </c>
      <c r="F1971">
        <v>90.67</v>
      </c>
      <c r="G1971">
        <v>89.56</v>
      </c>
      <c r="H1971">
        <v>92.23</v>
      </c>
      <c r="K1971" s="9">
        <f t="shared" si="136"/>
        <v>6.0000000000002274E-2</v>
      </c>
      <c r="L1971">
        <f t="shared" si="131"/>
        <v>0.17000000000000171</v>
      </c>
      <c r="M1971">
        <f t="shared" si="132"/>
        <v>-0.28000000000000114</v>
      </c>
      <c r="N1971">
        <f t="shared" si="133"/>
        <v>-4.9999999999997158E-2</v>
      </c>
      <c r="O1971">
        <f t="shared" si="134"/>
        <v>0</v>
      </c>
      <c r="P1971" s="10">
        <f t="shared" si="135"/>
        <v>0</v>
      </c>
    </row>
    <row r="1972" spans="1:16">
      <c r="A1972">
        <v>487.75</v>
      </c>
      <c r="B1972">
        <v>76.12</v>
      </c>
      <c r="C1972">
        <v>86.62</v>
      </c>
      <c r="D1972">
        <v>74.78</v>
      </c>
      <c r="E1972">
        <v>90.95</v>
      </c>
      <c r="F1972">
        <v>90.67</v>
      </c>
      <c r="G1972">
        <v>89.56</v>
      </c>
      <c r="H1972">
        <v>92.23</v>
      </c>
      <c r="K1972" s="9">
        <f t="shared" si="136"/>
        <v>-0.17000000000000171</v>
      </c>
      <c r="L1972">
        <f t="shared" si="131"/>
        <v>0.5</v>
      </c>
      <c r="M1972">
        <f t="shared" si="132"/>
        <v>-0.21999999999999886</v>
      </c>
      <c r="N1972">
        <f t="shared" si="133"/>
        <v>-4.9999999999997158E-2</v>
      </c>
      <c r="O1972">
        <f t="shared" si="134"/>
        <v>-4.9999999999997158E-2</v>
      </c>
      <c r="P1972" s="10">
        <f t="shared" si="135"/>
        <v>4.9999999999997158E-2</v>
      </c>
    </row>
    <row r="1973" spans="1:16">
      <c r="A1973">
        <v>488</v>
      </c>
      <c r="B1973">
        <v>75.95</v>
      </c>
      <c r="C1973">
        <v>86.62</v>
      </c>
      <c r="D1973">
        <v>74.900000000000006</v>
      </c>
      <c r="E1973">
        <v>90.78</v>
      </c>
      <c r="F1973">
        <v>90.67</v>
      </c>
      <c r="G1973">
        <v>89.4</v>
      </c>
      <c r="H1973">
        <v>92.12</v>
      </c>
      <c r="K1973" s="9">
        <f t="shared" si="136"/>
        <v>-0.10999999999999943</v>
      </c>
      <c r="L1973">
        <f t="shared" si="131"/>
        <v>0.26999999999999602</v>
      </c>
      <c r="M1973">
        <f t="shared" si="132"/>
        <v>-0.21999999999999886</v>
      </c>
      <c r="N1973">
        <f t="shared" si="133"/>
        <v>-0.15999999999999659</v>
      </c>
      <c r="O1973">
        <f t="shared" si="134"/>
        <v>0</v>
      </c>
      <c r="P1973" s="10">
        <f t="shared" si="135"/>
        <v>0.10999999999999943</v>
      </c>
    </row>
    <row r="1974" spans="1:16">
      <c r="A1974">
        <v>488.25</v>
      </c>
      <c r="B1974">
        <v>75.84</v>
      </c>
      <c r="C1974">
        <v>86.62</v>
      </c>
      <c r="D1974">
        <v>74.95</v>
      </c>
      <c r="E1974">
        <v>90.67</v>
      </c>
      <c r="F1974">
        <v>90.62</v>
      </c>
      <c r="G1974">
        <v>89.56</v>
      </c>
      <c r="H1974">
        <v>92.23</v>
      </c>
      <c r="K1974" s="9">
        <f t="shared" si="136"/>
        <v>-0.17000000000000171</v>
      </c>
      <c r="L1974">
        <f t="shared" si="131"/>
        <v>0.5</v>
      </c>
      <c r="M1974">
        <f t="shared" si="132"/>
        <v>-0.10999999999999943</v>
      </c>
      <c r="N1974">
        <f t="shared" si="133"/>
        <v>-0.10999999999999943</v>
      </c>
      <c r="O1974">
        <f t="shared" si="134"/>
        <v>-0.28000000000000114</v>
      </c>
      <c r="P1974" s="10">
        <f t="shared" si="135"/>
        <v>0</v>
      </c>
    </row>
    <row r="1975" spans="1:16">
      <c r="A1975">
        <v>488.5</v>
      </c>
      <c r="B1975">
        <v>75.84</v>
      </c>
      <c r="C1975">
        <v>86.45</v>
      </c>
      <c r="D1975">
        <v>75.28</v>
      </c>
      <c r="E1975">
        <v>90.73</v>
      </c>
      <c r="F1975">
        <v>90.62</v>
      </c>
      <c r="G1975">
        <v>89.51</v>
      </c>
      <c r="H1975">
        <v>92.28</v>
      </c>
      <c r="K1975" s="9">
        <f t="shared" si="136"/>
        <v>0</v>
      </c>
      <c r="L1975">
        <f t="shared" si="131"/>
        <v>0.28000000000000114</v>
      </c>
      <c r="M1975">
        <f t="shared" si="132"/>
        <v>-0.21999999999999886</v>
      </c>
      <c r="N1975">
        <f t="shared" si="133"/>
        <v>-0.17000000000000171</v>
      </c>
      <c r="O1975">
        <f t="shared" si="134"/>
        <v>-0.34000000000000341</v>
      </c>
      <c r="P1975" s="10">
        <f t="shared" si="135"/>
        <v>-4.9999999999997158E-2</v>
      </c>
    </row>
    <row r="1976" spans="1:16">
      <c r="A1976">
        <v>488.75</v>
      </c>
      <c r="B1976">
        <v>75.67</v>
      </c>
      <c r="C1976">
        <v>86.51</v>
      </c>
      <c r="D1976">
        <v>75.17</v>
      </c>
      <c r="E1976">
        <v>90.56</v>
      </c>
      <c r="F1976">
        <v>90.51</v>
      </c>
      <c r="G1976">
        <v>89.4</v>
      </c>
      <c r="H1976">
        <v>92.23</v>
      </c>
      <c r="K1976" s="9">
        <f t="shared" si="136"/>
        <v>-0.23000000000000398</v>
      </c>
      <c r="L1976">
        <f t="shared" si="131"/>
        <v>0.34000000000000341</v>
      </c>
      <c r="M1976">
        <f t="shared" si="132"/>
        <v>-0.32999999999999829</v>
      </c>
      <c r="N1976">
        <f t="shared" si="133"/>
        <v>-0.17000000000000171</v>
      </c>
      <c r="O1976">
        <f t="shared" si="134"/>
        <v>-0.34000000000000341</v>
      </c>
      <c r="P1976" s="10">
        <f t="shared" si="135"/>
        <v>-0.28000000000000114</v>
      </c>
    </row>
    <row r="1977" spans="1:16">
      <c r="A1977">
        <v>489</v>
      </c>
      <c r="B1977">
        <v>75.62</v>
      </c>
      <c r="C1977">
        <v>86.45</v>
      </c>
      <c r="D1977">
        <v>75.45</v>
      </c>
      <c r="E1977">
        <v>90.56</v>
      </c>
      <c r="F1977">
        <v>90.51</v>
      </c>
      <c r="G1977">
        <v>89.28</v>
      </c>
      <c r="H1977">
        <v>92.23</v>
      </c>
      <c r="K1977" s="9">
        <f t="shared" si="136"/>
        <v>-0.17000000000000171</v>
      </c>
      <c r="L1977">
        <f t="shared" si="131"/>
        <v>-0.21999999999999886</v>
      </c>
      <c r="M1977">
        <f t="shared" si="132"/>
        <v>-0.32999999999999829</v>
      </c>
      <c r="N1977">
        <f t="shared" si="133"/>
        <v>-0.28000000000000114</v>
      </c>
      <c r="O1977">
        <f t="shared" si="134"/>
        <v>-0.37999999999999545</v>
      </c>
      <c r="P1977" s="10">
        <f t="shared" si="135"/>
        <v>-0.5</v>
      </c>
    </row>
    <row r="1978" spans="1:16">
      <c r="A1978">
        <v>489.25</v>
      </c>
      <c r="B1978">
        <v>75.510000000000005</v>
      </c>
      <c r="C1978">
        <v>86.45</v>
      </c>
      <c r="D1978">
        <v>75.56</v>
      </c>
      <c r="E1978">
        <v>90.51</v>
      </c>
      <c r="F1978">
        <v>90.45</v>
      </c>
      <c r="G1978">
        <v>89.17</v>
      </c>
      <c r="H1978">
        <v>92.23</v>
      </c>
      <c r="K1978" s="9">
        <f t="shared" si="136"/>
        <v>-0.17000000000000171</v>
      </c>
      <c r="L1978">
        <f t="shared" si="131"/>
        <v>-0.28000000000000114</v>
      </c>
      <c r="M1978">
        <f t="shared" si="132"/>
        <v>-0.34000000000000341</v>
      </c>
      <c r="N1978">
        <f t="shared" si="133"/>
        <v>-0.21999999999999886</v>
      </c>
      <c r="O1978">
        <f t="shared" si="134"/>
        <v>-0.32999999999999829</v>
      </c>
      <c r="P1978" s="10">
        <f t="shared" si="135"/>
        <v>-0.56000000000000227</v>
      </c>
    </row>
    <row r="1979" spans="1:16">
      <c r="A1979">
        <v>489.5</v>
      </c>
      <c r="B1979">
        <v>75.28</v>
      </c>
      <c r="C1979">
        <v>86.28</v>
      </c>
      <c r="D1979">
        <v>75.510000000000005</v>
      </c>
      <c r="E1979">
        <v>90.23</v>
      </c>
      <c r="F1979">
        <v>90.34</v>
      </c>
      <c r="G1979">
        <v>89.06</v>
      </c>
      <c r="H1979">
        <v>91.95</v>
      </c>
      <c r="K1979" s="9">
        <f t="shared" si="136"/>
        <v>-4.9999999999997158E-2</v>
      </c>
      <c r="L1979">
        <f t="shared" si="131"/>
        <v>-0.5</v>
      </c>
      <c r="M1979">
        <f t="shared" si="132"/>
        <v>-6.0000000000002274E-2</v>
      </c>
      <c r="N1979">
        <f t="shared" si="133"/>
        <v>-0.17000000000000171</v>
      </c>
      <c r="O1979">
        <f t="shared" si="134"/>
        <v>-0.21999999999999886</v>
      </c>
      <c r="P1979" s="10">
        <f t="shared" si="135"/>
        <v>-0.43999999999999773</v>
      </c>
    </row>
    <row r="1980" spans="1:16">
      <c r="A1980">
        <v>489.75</v>
      </c>
      <c r="B1980">
        <v>75.28</v>
      </c>
      <c r="C1980">
        <v>86.28</v>
      </c>
      <c r="D1980">
        <v>75.23</v>
      </c>
      <c r="E1980">
        <v>90.23</v>
      </c>
      <c r="F1980">
        <v>90.23</v>
      </c>
      <c r="G1980">
        <v>88.9</v>
      </c>
      <c r="H1980">
        <v>91.73</v>
      </c>
      <c r="K1980" s="9">
        <f t="shared" si="136"/>
        <v>-0.15999999999999659</v>
      </c>
      <c r="L1980">
        <f t="shared" si="131"/>
        <v>-0.45000000000000284</v>
      </c>
      <c r="M1980">
        <f t="shared" si="132"/>
        <v>-0.17000000000000171</v>
      </c>
      <c r="N1980">
        <f t="shared" si="133"/>
        <v>-0.10999999999999943</v>
      </c>
      <c r="O1980">
        <f t="shared" si="134"/>
        <v>-6.0000000000002274E-2</v>
      </c>
      <c r="P1980" s="10">
        <f t="shared" si="135"/>
        <v>-0.28000000000000114</v>
      </c>
    </row>
    <row r="1981" spans="1:16">
      <c r="A1981">
        <v>490</v>
      </c>
      <c r="B1981">
        <v>75.17</v>
      </c>
      <c r="C1981">
        <v>86.28</v>
      </c>
      <c r="D1981">
        <v>75.28</v>
      </c>
      <c r="E1981">
        <v>90.17</v>
      </c>
      <c r="F1981">
        <v>90.23</v>
      </c>
      <c r="G1981">
        <v>88.84</v>
      </c>
      <c r="H1981">
        <v>91.67</v>
      </c>
      <c r="K1981" s="9">
        <f t="shared" si="136"/>
        <v>-0.15999999999999659</v>
      </c>
      <c r="L1981">
        <f t="shared" si="131"/>
        <v>-0.65999999999999659</v>
      </c>
      <c r="M1981">
        <f t="shared" si="132"/>
        <v>-0.15999999999999659</v>
      </c>
      <c r="N1981">
        <f t="shared" si="133"/>
        <v>-0.21999999999999886</v>
      </c>
      <c r="O1981">
        <f t="shared" si="134"/>
        <v>-6.0000000000002274E-2</v>
      </c>
      <c r="P1981" s="10">
        <f t="shared" si="135"/>
        <v>-0.43999999999999773</v>
      </c>
    </row>
    <row r="1982" spans="1:16">
      <c r="A1982">
        <v>490.25</v>
      </c>
      <c r="B1982">
        <v>75.12</v>
      </c>
      <c r="C1982">
        <v>86.23</v>
      </c>
      <c r="D1982">
        <v>75.010000000000005</v>
      </c>
      <c r="E1982">
        <v>90.17</v>
      </c>
      <c r="F1982">
        <v>90.17</v>
      </c>
      <c r="G1982">
        <v>88.84</v>
      </c>
      <c r="H1982">
        <v>91.51</v>
      </c>
      <c r="K1982" s="9">
        <f t="shared" si="136"/>
        <v>-0.28000000000000114</v>
      </c>
      <c r="L1982">
        <f t="shared" si="131"/>
        <v>-0.5</v>
      </c>
      <c r="M1982">
        <f t="shared" si="132"/>
        <v>-0.26999999999999602</v>
      </c>
      <c r="N1982">
        <f t="shared" si="133"/>
        <v>-0.26999999999999602</v>
      </c>
      <c r="O1982">
        <f t="shared" si="134"/>
        <v>0</v>
      </c>
      <c r="P1982" s="10">
        <f t="shared" si="135"/>
        <v>-0.39000000000000057</v>
      </c>
    </row>
    <row r="1983" spans="1:16">
      <c r="A1983">
        <v>490.5</v>
      </c>
      <c r="B1983">
        <v>74.95</v>
      </c>
      <c r="C1983">
        <v>86.12</v>
      </c>
      <c r="D1983">
        <v>74.78</v>
      </c>
      <c r="E1983">
        <v>90.06</v>
      </c>
      <c r="F1983">
        <v>90.12</v>
      </c>
      <c r="G1983">
        <v>88.84</v>
      </c>
      <c r="H1983">
        <v>91.45</v>
      </c>
      <c r="K1983" s="9">
        <f t="shared" si="136"/>
        <v>-0.10999999999999943</v>
      </c>
      <c r="L1983">
        <f t="shared" si="131"/>
        <v>-0.5</v>
      </c>
      <c r="M1983">
        <f t="shared" si="132"/>
        <v>-0.32999999999999829</v>
      </c>
      <c r="N1983">
        <f t="shared" si="133"/>
        <v>-0.28000000000000114</v>
      </c>
      <c r="O1983">
        <f t="shared" si="134"/>
        <v>-0.28000000000000114</v>
      </c>
      <c r="P1983" s="10">
        <f t="shared" si="135"/>
        <v>-0.32999999999999829</v>
      </c>
    </row>
    <row r="1984" spans="1:16">
      <c r="A1984">
        <v>490.75</v>
      </c>
      <c r="B1984">
        <v>74.84</v>
      </c>
      <c r="C1984">
        <v>86.12</v>
      </c>
      <c r="D1984">
        <v>74.62</v>
      </c>
      <c r="E1984">
        <v>90.01</v>
      </c>
      <c r="F1984">
        <v>90.01</v>
      </c>
      <c r="G1984">
        <v>88.78</v>
      </c>
      <c r="H1984">
        <v>91.23</v>
      </c>
      <c r="K1984" s="9">
        <f t="shared" si="136"/>
        <v>-0.17000000000000171</v>
      </c>
      <c r="L1984">
        <f t="shared" si="131"/>
        <v>-0.21999999999999886</v>
      </c>
      <c r="M1984">
        <f t="shared" si="132"/>
        <v>-0.34000000000000341</v>
      </c>
      <c r="N1984">
        <f t="shared" si="133"/>
        <v>-0.17000000000000171</v>
      </c>
      <c r="O1984">
        <f t="shared" si="134"/>
        <v>-0.32999999999999829</v>
      </c>
      <c r="P1984" s="10">
        <f t="shared" si="135"/>
        <v>-0.10999999999999943</v>
      </c>
    </row>
    <row r="1985" spans="1:16">
      <c r="A1985">
        <v>491</v>
      </c>
      <c r="B1985">
        <v>74.73</v>
      </c>
      <c r="C1985">
        <v>85.95</v>
      </c>
      <c r="D1985">
        <v>74.510000000000005</v>
      </c>
      <c r="E1985">
        <v>89.9</v>
      </c>
      <c r="F1985">
        <v>89.9</v>
      </c>
      <c r="G1985">
        <v>88.84</v>
      </c>
      <c r="H1985">
        <v>91.12</v>
      </c>
      <c r="K1985" s="9">
        <f t="shared" si="136"/>
        <v>-4.9999999999997158E-2</v>
      </c>
      <c r="L1985">
        <f t="shared" si="131"/>
        <v>-0.45000000000000284</v>
      </c>
      <c r="M1985">
        <f t="shared" si="132"/>
        <v>-0.34000000000000341</v>
      </c>
      <c r="N1985">
        <f t="shared" si="133"/>
        <v>-0.12000000000000455</v>
      </c>
      <c r="O1985">
        <f t="shared" si="134"/>
        <v>-0.5</v>
      </c>
      <c r="P1985" s="10">
        <f t="shared" si="135"/>
        <v>-6.0000000000002274E-2</v>
      </c>
    </row>
    <row r="1986" spans="1:16">
      <c r="A1986">
        <v>491.25</v>
      </c>
      <c r="B1986">
        <v>74.67</v>
      </c>
      <c r="C1986">
        <v>86.01</v>
      </c>
      <c r="D1986">
        <v>74.28</v>
      </c>
      <c r="E1986">
        <v>89.73</v>
      </c>
      <c r="F1986">
        <v>89.84</v>
      </c>
      <c r="G1986">
        <v>88.56</v>
      </c>
      <c r="H1986">
        <v>91.12</v>
      </c>
      <c r="K1986" s="9">
        <f t="shared" si="136"/>
        <v>-0.23000000000000398</v>
      </c>
      <c r="L1986">
        <f t="shared" si="131"/>
        <v>-0.10999999999999943</v>
      </c>
      <c r="M1986">
        <f t="shared" si="132"/>
        <v>-0.21999999999999886</v>
      </c>
      <c r="N1986">
        <f t="shared" si="133"/>
        <v>-0.17000000000000171</v>
      </c>
      <c r="O1986">
        <f t="shared" si="134"/>
        <v>-4.9999999999997158E-2</v>
      </c>
      <c r="P1986" s="10">
        <f t="shared" si="135"/>
        <v>-0.17000000000000171</v>
      </c>
    </row>
    <row r="1987" spans="1:16">
      <c r="A1987">
        <v>491.5</v>
      </c>
      <c r="B1987">
        <v>74.56</v>
      </c>
      <c r="C1987">
        <v>85.95</v>
      </c>
      <c r="D1987">
        <v>74.400000000000006</v>
      </c>
      <c r="E1987">
        <v>89.67</v>
      </c>
      <c r="F1987">
        <v>89.84</v>
      </c>
      <c r="G1987">
        <v>88.45</v>
      </c>
      <c r="H1987">
        <v>91.12</v>
      </c>
      <c r="K1987" s="9">
        <f t="shared" si="136"/>
        <v>-0.21999999999999886</v>
      </c>
      <c r="L1987">
        <f t="shared" si="131"/>
        <v>-0.28000000000000114</v>
      </c>
      <c r="M1987">
        <f t="shared" si="132"/>
        <v>-0.21999999999999886</v>
      </c>
      <c r="N1987">
        <f t="shared" si="133"/>
        <v>-0.21999999999999886</v>
      </c>
      <c r="O1987">
        <f t="shared" si="134"/>
        <v>0</v>
      </c>
      <c r="P1987" s="10">
        <f t="shared" si="135"/>
        <v>-0.21999999999999886</v>
      </c>
    </row>
    <row r="1988" spans="1:16">
      <c r="A1988">
        <v>491.75</v>
      </c>
      <c r="B1988">
        <v>74.34</v>
      </c>
      <c r="C1988">
        <v>85.9</v>
      </c>
      <c r="D1988">
        <v>74.06</v>
      </c>
      <c r="E1988">
        <v>89.56</v>
      </c>
      <c r="F1988">
        <v>89.78</v>
      </c>
      <c r="G1988">
        <v>88.34</v>
      </c>
      <c r="H1988">
        <v>91.06</v>
      </c>
      <c r="K1988" s="9">
        <f t="shared" si="136"/>
        <v>-0.28000000000000114</v>
      </c>
      <c r="L1988">
        <f t="shared" si="131"/>
        <v>-4.9999999999997158E-2</v>
      </c>
      <c r="M1988">
        <f t="shared" si="132"/>
        <v>-0.28000000000000114</v>
      </c>
      <c r="N1988">
        <f t="shared" si="133"/>
        <v>-0.32999999999999829</v>
      </c>
      <c r="O1988">
        <f t="shared" si="134"/>
        <v>0</v>
      </c>
      <c r="P1988" s="10">
        <f t="shared" si="135"/>
        <v>-0.15999999999999659</v>
      </c>
    </row>
    <row r="1989" spans="1:16">
      <c r="A1989">
        <v>492</v>
      </c>
      <c r="B1989">
        <v>74.28</v>
      </c>
      <c r="C1989">
        <v>85.78</v>
      </c>
      <c r="D1989">
        <v>74.17</v>
      </c>
      <c r="E1989">
        <v>89.51</v>
      </c>
      <c r="F1989">
        <v>89.67</v>
      </c>
      <c r="G1989">
        <v>88.51</v>
      </c>
      <c r="H1989">
        <v>90.95</v>
      </c>
      <c r="K1989" s="9">
        <f t="shared" si="136"/>
        <v>-0.15999999999999659</v>
      </c>
      <c r="L1989">
        <f t="shared" si="131"/>
        <v>-0.15999999999999659</v>
      </c>
      <c r="M1989">
        <f t="shared" si="132"/>
        <v>-0.28000000000000114</v>
      </c>
      <c r="N1989">
        <f t="shared" si="133"/>
        <v>-0.21999999999999886</v>
      </c>
      <c r="O1989">
        <f t="shared" si="134"/>
        <v>-0.28000000000000114</v>
      </c>
      <c r="P1989" s="10">
        <f t="shared" si="135"/>
        <v>-0.10999999999999943</v>
      </c>
    </row>
    <row r="1990" spans="1:16">
      <c r="A1990">
        <v>492.25</v>
      </c>
      <c r="B1990">
        <v>74.23</v>
      </c>
      <c r="C1990">
        <v>85.73</v>
      </c>
      <c r="D1990">
        <v>74.12</v>
      </c>
      <c r="E1990">
        <v>89.45</v>
      </c>
      <c r="F1990">
        <v>89.62</v>
      </c>
      <c r="G1990">
        <v>88.45</v>
      </c>
      <c r="H1990">
        <v>90.9</v>
      </c>
      <c r="K1990" s="9">
        <f t="shared" si="136"/>
        <v>-0.17000000000000171</v>
      </c>
      <c r="L1990">
        <f t="shared" si="131"/>
        <v>4.9999999999997158E-2</v>
      </c>
      <c r="M1990">
        <f t="shared" si="132"/>
        <v>-0.32999999999999829</v>
      </c>
      <c r="N1990">
        <f t="shared" si="133"/>
        <v>-0.17000000000000171</v>
      </c>
      <c r="O1990">
        <f t="shared" si="134"/>
        <v>-0.21999999999999886</v>
      </c>
      <c r="P1990" s="10">
        <f t="shared" si="135"/>
        <v>-0.17000000000000171</v>
      </c>
    </row>
    <row r="1991" spans="1:16">
      <c r="A1991">
        <v>492.5</v>
      </c>
      <c r="B1991">
        <v>74.12</v>
      </c>
      <c r="C1991">
        <v>85.62</v>
      </c>
      <c r="D1991">
        <v>74.010000000000005</v>
      </c>
      <c r="E1991">
        <v>89.28</v>
      </c>
      <c r="F1991">
        <v>89.45</v>
      </c>
      <c r="G1991">
        <v>88.34</v>
      </c>
      <c r="H1991">
        <v>90.9</v>
      </c>
      <c r="K1991" s="9">
        <f t="shared" si="136"/>
        <v>-0.17000000000000171</v>
      </c>
      <c r="L1991">
        <f t="shared" si="131"/>
        <v>-0.10999999999999943</v>
      </c>
      <c r="M1991">
        <f t="shared" si="132"/>
        <v>-0.21999999999999886</v>
      </c>
      <c r="N1991">
        <f t="shared" si="133"/>
        <v>-0.10999999999999943</v>
      </c>
      <c r="O1991">
        <f t="shared" si="134"/>
        <v>-0.17000000000000171</v>
      </c>
      <c r="P1991" s="10">
        <f t="shared" si="135"/>
        <v>-0.28000000000000114</v>
      </c>
    </row>
    <row r="1992" spans="1:16">
      <c r="A1992">
        <v>492.75</v>
      </c>
      <c r="B1992">
        <v>73.95</v>
      </c>
      <c r="C1992">
        <v>85.62</v>
      </c>
      <c r="D1992">
        <v>74.010000000000005</v>
      </c>
      <c r="E1992">
        <v>89.23</v>
      </c>
      <c r="F1992">
        <v>89.45</v>
      </c>
      <c r="G1992">
        <v>88.23</v>
      </c>
      <c r="H1992">
        <v>90.84</v>
      </c>
      <c r="K1992" s="9">
        <f t="shared" si="136"/>
        <v>-0.21999999999999886</v>
      </c>
      <c r="L1992">
        <f t="shared" si="131"/>
        <v>-0.10999999999999943</v>
      </c>
      <c r="M1992">
        <f t="shared" si="132"/>
        <v>-0.28000000000000114</v>
      </c>
      <c r="N1992">
        <f t="shared" si="133"/>
        <v>-0.28000000000000114</v>
      </c>
      <c r="O1992">
        <f t="shared" si="134"/>
        <v>-0.21999999999999886</v>
      </c>
      <c r="P1992" s="10">
        <f t="shared" si="135"/>
        <v>-0.28000000000000114</v>
      </c>
    </row>
    <row r="1993" spans="1:16">
      <c r="A1993">
        <v>493</v>
      </c>
      <c r="B1993">
        <v>73.95</v>
      </c>
      <c r="C1993">
        <v>85.56</v>
      </c>
      <c r="D1993">
        <v>74.17</v>
      </c>
      <c r="E1993">
        <v>89.12</v>
      </c>
      <c r="F1993">
        <v>89.45</v>
      </c>
      <c r="G1993">
        <v>88.23</v>
      </c>
      <c r="H1993">
        <v>90.73</v>
      </c>
      <c r="K1993" s="9">
        <f t="shared" si="136"/>
        <v>-0.10999999999999943</v>
      </c>
      <c r="L1993">
        <f t="shared" si="131"/>
        <v>-0.43999999999999773</v>
      </c>
      <c r="M1993">
        <f t="shared" si="132"/>
        <v>-0.21999999999999886</v>
      </c>
      <c r="N1993">
        <f t="shared" si="133"/>
        <v>-0.28000000000000114</v>
      </c>
      <c r="O1993">
        <f t="shared" si="134"/>
        <v>-0.10999999999999943</v>
      </c>
      <c r="P1993" s="10">
        <f t="shared" si="135"/>
        <v>-0.32999999999999829</v>
      </c>
    </row>
    <row r="1994" spans="1:16">
      <c r="A1994">
        <v>493.25</v>
      </c>
      <c r="B1994">
        <v>73.900000000000006</v>
      </c>
      <c r="C1994">
        <v>85.45</v>
      </c>
      <c r="D1994">
        <v>73.900000000000006</v>
      </c>
      <c r="E1994">
        <v>89.06</v>
      </c>
      <c r="F1994">
        <v>89.34</v>
      </c>
      <c r="G1994">
        <v>88.17</v>
      </c>
      <c r="H1994">
        <v>90.62</v>
      </c>
      <c r="K1994" s="9">
        <f t="shared" si="136"/>
        <v>-0.10999999999999943</v>
      </c>
      <c r="L1994">
        <f t="shared" ref="L1994:L2057" si="137">D1997-D1994</f>
        <v>-6.0000000000002274E-2</v>
      </c>
      <c r="M1994">
        <f t="shared" ref="M1994:M2057" si="138">E1997-E1994</f>
        <v>-0.15999999999999659</v>
      </c>
      <c r="N1994">
        <f t="shared" ref="N1994:N2057" si="139">F1997-F1994</f>
        <v>-0.10999999999999943</v>
      </c>
      <c r="O1994">
        <f t="shared" ref="O1994:O2057" si="140">G1997-G1994</f>
        <v>-4.9999999999997158E-2</v>
      </c>
      <c r="P1994" s="10">
        <f t="shared" ref="P1994:P2057" si="141">H1997-H1994</f>
        <v>-0.21999999999999886</v>
      </c>
    </row>
    <row r="1995" spans="1:16">
      <c r="A1995">
        <v>493.5</v>
      </c>
      <c r="B1995">
        <v>73.67</v>
      </c>
      <c r="C1995">
        <v>85.4</v>
      </c>
      <c r="D1995">
        <v>73.900000000000006</v>
      </c>
      <c r="E1995">
        <v>88.95</v>
      </c>
      <c r="F1995">
        <v>89.17</v>
      </c>
      <c r="G1995">
        <v>88.01</v>
      </c>
      <c r="H1995">
        <v>90.56</v>
      </c>
      <c r="K1995" s="9">
        <f t="shared" ref="K1995:K2058" si="142">C1998-C1995</f>
        <v>-6.0000000000002274E-2</v>
      </c>
      <c r="L1995">
        <f t="shared" si="137"/>
        <v>-0.28000000000000114</v>
      </c>
      <c r="M1995">
        <f t="shared" si="138"/>
        <v>-0.17000000000000171</v>
      </c>
      <c r="N1995">
        <f t="shared" si="139"/>
        <v>-4.9999999999997158E-2</v>
      </c>
      <c r="O1995">
        <f t="shared" si="140"/>
        <v>-6.0000000000002274E-2</v>
      </c>
      <c r="P1995" s="10">
        <f t="shared" si="141"/>
        <v>-0.28000000000000114</v>
      </c>
    </row>
    <row r="1996" spans="1:16">
      <c r="A1996">
        <v>493.75</v>
      </c>
      <c r="B1996">
        <v>73.67</v>
      </c>
      <c r="C1996">
        <v>85.45</v>
      </c>
      <c r="D1996">
        <v>73.73</v>
      </c>
      <c r="E1996">
        <v>88.9</v>
      </c>
      <c r="F1996">
        <v>89.17</v>
      </c>
      <c r="G1996">
        <v>88.12</v>
      </c>
      <c r="H1996">
        <v>90.4</v>
      </c>
      <c r="K1996" s="9">
        <f t="shared" si="142"/>
        <v>-0.21999999999999886</v>
      </c>
      <c r="L1996">
        <f t="shared" si="137"/>
        <v>4.9999999999997158E-2</v>
      </c>
      <c r="M1996">
        <f t="shared" si="138"/>
        <v>-0.17000000000000171</v>
      </c>
      <c r="N1996">
        <f t="shared" si="139"/>
        <v>-4.9999999999997158E-2</v>
      </c>
      <c r="O1996">
        <f t="shared" si="140"/>
        <v>-0.10999999999999943</v>
      </c>
      <c r="P1996" s="10">
        <f t="shared" si="141"/>
        <v>-0.17000000000000171</v>
      </c>
    </row>
    <row r="1997" spans="1:16">
      <c r="A1997">
        <v>494</v>
      </c>
      <c r="B1997">
        <v>73.510000000000005</v>
      </c>
      <c r="C1997">
        <v>85.34</v>
      </c>
      <c r="D1997">
        <v>73.84</v>
      </c>
      <c r="E1997">
        <v>88.9</v>
      </c>
      <c r="F1997">
        <v>89.23</v>
      </c>
      <c r="G1997">
        <v>88.12</v>
      </c>
      <c r="H1997">
        <v>90.4</v>
      </c>
      <c r="K1997" s="9">
        <f t="shared" si="142"/>
        <v>-0.10999999999999943</v>
      </c>
      <c r="L1997">
        <f t="shared" si="137"/>
        <v>-0.21999999999999886</v>
      </c>
      <c r="M1997">
        <f t="shared" si="138"/>
        <v>-0.17000000000000171</v>
      </c>
      <c r="N1997">
        <f t="shared" si="139"/>
        <v>-0.17000000000000171</v>
      </c>
      <c r="O1997">
        <f t="shared" si="140"/>
        <v>-0.10999999999999943</v>
      </c>
      <c r="P1997" s="10">
        <f t="shared" si="141"/>
        <v>-0.23000000000000398</v>
      </c>
    </row>
    <row r="1998" spans="1:16">
      <c r="A1998">
        <v>494.25</v>
      </c>
      <c r="B1998">
        <v>73.45</v>
      </c>
      <c r="C1998">
        <v>85.34</v>
      </c>
      <c r="D1998">
        <v>73.62</v>
      </c>
      <c r="E1998">
        <v>88.78</v>
      </c>
      <c r="F1998">
        <v>89.12</v>
      </c>
      <c r="G1998">
        <v>87.95</v>
      </c>
      <c r="H1998">
        <v>90.28</v>
      </c>
      <c r="K1998" s="9">
        <f t="shared" si="142"/>
        <v>-0.10999999999999943</v>
      </c>
      <c r="L1998">
        <f t="shared" si="137"/>
        <v>0.32999999999999829</v>
      </c>
      <c r="M1998">
        <f t="shared" si="138"/>
        <v>-0.26999999999999602</v>
      </c>
      <c r="N1998">
        <f t="shared" si="139"/>
        <v>-6.0000000000002274E-2</v>
      </c>
      <c r="O1998">
        <f t="shared" si="140"/>
        <v>-4.9999999999997158E-2</v>
      </c>
      <c r="P1998" s="10">
        <f t="shared" si="141"/>
        <v>-0.10999999999999943</v>
      </c>
    </row>
    <row r="1999" spans="1:16">
      <c r="A1999">
        <v>494.5</v>
      </c>
      <c r="B1999">
        <v>73.34</v>
      </c>
      <c r="C1999">
        <v>85.23</v>
      </c>
      <c r="D1999">
        <v>73.78</v>
      </c>
      <c r="E1999">
        <v>88.73</v>
      </c>
      <c r="F1999">
        <v>89.12</v>
      </c>
      <c r="G1999">
        <v>88.01</v>
      </c>
      <c r="H1999">
        <v>90.23</v>
      </c>
      <c r="K1999" s="9">
        <f t="shared" si="142"/>
        <v>0</v>
      </c>
      <c r="L1999">
        <f t="shared" si="137"/>
        <v>6.0000000000002274E-2</v>
      </c>
      <c r="M1999">
        <f t="shared" si="138"/>
        <v>-0.21999999999999886</v>
      </c>
      <c r="N1999">
        <f t="shared" si="139"/>
        <v>-0.17000000000000171</v>
      </c>
      <c r="O1999">
        <f t="shared" si="140"/>
        <v>-0.17000000000000171</v>
      </c>
      <c r="P1999" s="10">
        <f t="shared" si="141"/>
        <v>-0.21999999999999886</v>
      </c>
    </row>
    <row r="2000" spans="1:16">
      <c r="A2000">
        <v>494.75</v>
      </c>
      <c r="B2000">
        <v>73.28</v>
      </c>
      <c r="C2000">
        <v>85.23</v>
      </c>
      <c r="D2000">
        <v>73.62</v>
      </c>
      <c r="E2000">
        <v>88.73</v>
      </c>
      <c r="F2000">
        <v>89.06</v>
      </c>
      <c r="G2000">
        <v>88.01</v>
      </c>
      <c r="H2000">
        <v>90.17</v>
      </c>
      <c r="K2000" s="9">
        <f t="shared" si="142"/>
        <v>-6.0000000000002274E-2</v>
      </c>
      <c r="L2000">
        <f t="shared" si="137"/>
        <v>0.21999999999999886</v>
      </c>
      <c r="M2000">
        <f t="shared" si="138"/>
        <v>-0.28000000000000114</v>
      </c>
      <c r="N2000">
        <f t="shared" si="139"/>
        <v>-0.15999999999999659</v>
      </c>
      <c r="O2000">
        <f t="shared" si="140"/>
        <v>-0.34000000000000341</v>
      </c>
      <c r="P2000" s="10">
        <f t="shared" si="141"/>
        <v>-0.10999999999999943</v>
      </c>
    </row>
    <row r="2001" spans="1:16">
      <c r="A2001">
        <v>495</v>
      </c>
      <c r="B2001">
        <v>73.23</v>
      </c>
      <c r="C2001">
        <v>85.23</v>
      </c>
      <c r="D2001">
        <v>73.95</v>
      </c>
      <c r="E2001">
        <v>88.51</v>
      </c>
      <c r="F2001">
        <v>89.06</v>
      </c>
      <c r="G2001">
        <v>87.9</v>
      </c>
      <c r="H2001">
        <v>90.17</v>
      </c>
      <c r="K2001" s="9">
        <f t="shared" si="142"/>
        <v>-0.10999999999999943</v>
      </c>
      <c r="L2001">
        <f t="shared" si="137"/>
        <v>-0.28000000000000114</v>
      </c>
      <c r="M2001">
        <f t="shared" si="138"/>
        <v>-0.23000000000000398</v>
      </c>
      <c r="N2001">
        <f t="shared" si="139"/>
        <v>-0.21999999999999886</v>
      </c>
      <c r="O2001">
        <f t="shared" si="140"/>
        <v>-0.23000000000000398</v>
      </c>
      <c r="P2001" s="10">
        <f t="shared" si="141"/>
        <v>-0.10999999999999943</v>
      </c>
    </row>
    <row r="2002" spans="1:16">
      <c r="A2002">
        <v>495.25</v>
      </c>
      <c r="B2002">
        <v>73.17</v>
      </c>
      <c r="C2002">
        <v>85.23</v>
      </c>
      <c r="D2002">
        <v>73.84</v>
      </c>
      <c r="E2002">
        <v>88.51</v>
      </c>
      <c r="F2002">
        <v>88.95</v>
      </c>
      <c r="G2002">
        <v>87.84</v>
      </c>
      <c r="H2002">
        <v>90.01</v>
      </c>
      <c r="K2002" s="9">
        <f t="shared" si="142"/>
        <v>-0.17000000000000171</v>
      </c>
      <c r="L2002">
        <f t="shared" si="137"/>
        <v>-6.0000000000002274E-2</v>
      </c>
      <c r="M2002">
        <f t="shared" si="138"/>
        <v>-0.28000000000000114</v>
      </c>
      <c r="N2002">
        <f t="shared" si="139"/>
        <v>-0.21999999999999886</v>
      </c>
      <c r="O2002">
        <f t="shared" si="140"/>
        <v>-0.32999999999999829</v>
      </c>
      <c r="P2002" s="10">
        <f t="shared" si="141"/>
        <v>4.9999999999997158E-2</v>
      </c>
    </row>
    <row r="2003" spans="1:16">
      <c r="A2003">
        <v>495.5</v>
      </c>
      <c r="B2003">
        <v>73.06</v>
      </c>
      <c r="C2003">
        <v>85.17</v>
      </c>
      <c r="D2003">
        <v>73.84</v>
      </c>
      <c r="E2003">
        <v>88.45</v>
      </c>
      <c r="F2003">
        <v>88.9</v>
      </c>
      <c r="G2003">
        <v>87.67</v>
      </c>
      <c r="H2003">
        <v>90.06</v>
      </c>
      <c r="K2003" s="9">
        <f t="shared" si="142"/>
        <v>-0.15999999999999659</v>
      </c>
      <c r="L2003">
        <f t="shared" si="137"/>
        <v>-0.43999999999999773</v>
      </c>
      <c r="M2003">
        <f t="shared" si="138"/>
        <v>-0.28000000000000114</v>
      </c>
      <c r="N2003">
        <f t="shared" si="139"/>
        <v>-0.17000000000000171</v>
      </c>
      <c r="O2003">
        <f t="shared" si="140"/>
        <v>-0.21999999999999886</v>
      </c>
      <c r="P2003" s="10">
        <f t="shared" si="141"/>
        <v>-4.9999999999997158E-2</v>
      </c>
    </row>
    <row r="2004" spans="1:16">
      <c r="A2004">
        <v>495.75</v>
      </c>
      <c r="B2004">
        <v>72.95</v>
      </c>
      <c r="C2004">
        <v>85.12</v>
      </c>
      <c r="D2004">
        <v>73.67</v>
      </c>
      <c r="E2004">
        <v>88.28</v>
      </c>
      <c r="F2004">
        <v>88.84</v>
      </c>
      <c r="G2004">
        <v>87.67</v>
      </c>
      <c r="H2004">
        <v>90.06</v>
      </c>
      <c r="K2004" s="9">
        <f t="shared" si="142"/>
        <v>-0.10999999999999943</v>
      </c>
      <c r="L2004">
        <f t="shared" si="137"/>
        <v>-0.21999999999999886</v>
      </c>
      <c r="M2004">
        <f t="shared" si="138"/>
        <v>-0.15999999999999659</v>
      </c>
      <c r="N2004">
        <f t="shared" si="139"/>
        <v>-0.17000000000000171</v>
      </c>
      <c r="O2004">
        <f t="shared" si="140"/>
        <v>-0.26999999999999602</v>
      </c>
      <c r="P2004" s="10">
        <f t="shared" si="141"/>
        <v>-0.15999999999999659</v>
      </c>
    </row>
    <row r="2005" spans="1:16">
      <c r="A2005">
        <v>496</v>
      </c>
      <c r="B2005">
        <v>72.84</v>
      </c>
      <c r="C2005">
        <v>85.06</v>
      </c>
      <c r="D2005">
        <v>73.78</v>
      </c>
      <c r="E2005">
        <v>88.23</v>
      </c>
      <c r="F2005">
        <v>88.73</v>
      </c>
      <c r="G2005">
        <v>87.51</v>
      </c>
      <c r="H2005">
        <v>90.06</v>
      </c>
      <c r="K2005" s="9">
        <f t="shared" si="142"/>
        <v>-85.06</v>
      </c>
      <c r="L2005">
        <f t="shared" si="137"/>
        <v>-73.78</v>
      </c>
      <c r="M2005">
        <f t="shared" si="138"/>
        <v>-88.23</v>
      </c>
      <c r="N2005">
        <f t="shared" si="139"/>
        <v>-88.73</v>
      </c>
      <c r="O2005">
        <f t="shared" si="140"/>
        <v>-87.51</v>
      </c>
      <c r="P2005" s="10">
        <f t="shared" si="141"/>
        <v>-90.06</v>
      </c>
    </row>
    <row r="2006" spans="1:16">
      <c r="A2006">
        <v>496.25</v>
      </c>
      <c r="B2006">
        <v>72.67</v>
      </c>
      <c r="C2006">
        <v>85.01</v>
      </c>
      <c r="D2006">
        <v>73.400000000000006</v>
      </c>
      <c r="E2006">
        <v>88.17</v>
      </c>
      <c r="F2006">
        <v>88.73</v>
      </c>
      <c r="G2006">
        <v>87.45</v>
      </c>
      <c r="H2006">
        <v>90.01</v>
      </c>
      <c r="K2006" s="9">
        <f t="shared" si="142"/>
        <v>-85.01</v>
      </c>
      <c r="L2006">
        <f t="shared" si="137"/>
        <v>-73.400000000000006</v>
      </c>
      <c r="M2006">
        <f t="shared" si="138"/>
        <v>-88.17</v>
      </c>
      <c r="N2006">
        <f t="shared" si="139"/>
        <v>-88.73</v>
      </c>
      <c r="O2006">
        <f t="shared" si="140"/>
        <v>-87.45</v>
      </c>
      <c r="P2006" s="10">
        <f t="shared" si="141"/>
        <v>-90.01</v>
      </c>
    </row>
    <row r="2007" spans="1:16">
      <c r="A2007">
        <v>496.5</v>
      </c>
      <c r="B2007">
        <v>72.67</v>
      </c>
      <c r="C2007">
        <v>85.01</v>
      </c>
      <c r="D2007">
        <v>73.45</v>
      </c>
      <c r="E2007">
        <v>88.12</v>
      </c>
      <c r="F2007">
        <v>88.67</v>
      </c>
      <c r="G2007">
        <v>87.4</v>
      </c>
      <c r="H2007">
        <v>89.9</v>
      </c>
      <c r="K2007" s="9">
        <f t="shared" si="142"/>
        <v>-85.01</v>
      </c>
      <c r="L2007">
        <f t="shared" si="137"/>
        <v>-73.45</v>
      </c>
      <c r="M2007">
        <f t="shared" si="138"/>
        <v>-88.12</v>
      </c>
      <c r="N2007">
        <f t="shared" si="139"/>
        <v>-88.67</v>
      </c>
      <c r="O2007">
        <f t="shared" si="140"/>
        <v>-87.4</v>
      </c>
      <c r="P2007" s="10">
        <f t="shared" si="141"/>
        <v>-89.9</v>
      </c>
    </row>
    <row r="2008" spans="1:16">
      <c r="B2008" s="42"/>
      <c r="K2008" s="9">
        <f t="shared" si="142"/>
        <v>0</v>
      </c>
      <c r="L2008">
        <f t="shared" si="137"/>
        <v>0</v>
      </c>
      <c r="M2008">
        <f t="shared" si="138"/>
        <v>0</v>
      </c>
      <c r="N2008">
        <f t="shared" si="139"/>
        <v>0</v>
      </c>
      <c r="O2008">
        <f t="shared" si="140"/>
        <v>0</v>
      </c>
      <c r="P2008" s="10">
        <f t="shared" si="141"/>
        <v>0</v>
      </c>
    </row>
    <row r="2009" spans="1:16">
      <c r="B2009" s="42"/>
      <c r="K2009" s="9">
        <f t="shared" si="142"/>
        <v>0</v>
      </c>
      <c r="L2009">
        <f t="shared" si="137"/>
        <v>0</v>
      </c>
      <c r="M2009">
        <f t="shared" si="138"/>
        <v>0</v>
      </c>
      <c r="N2009">
        <f t="shared" si="139"/>
        <v>0</v>
      </c>
      <c r="O2009">
        <f t="shared" si="140"/>
        <v>0</v>
      </c>
      <c r="P2009" s="10">
        <f t="shared" si="141"/>
        <v>0</v>
      </c>
    </row>
    <row r="2010" spans="1:16">
      <c r="B2010" s="42"/>
      <c r="K2010" s="9">
        <f t="shared" si="142"/>
        <v>0</v>
      </c>
      <c r="L2010">
        <f t="shared" si="137"/>
        <v>0</v>
      </c>
      <c r="M2010">
        <f t="shared" si="138"/>
        <v>0</v>
      </c>
      <c r="N2010">
        <f t="shared" si="139"/>
        <v>0</v>
      </c>
      <c r="O2010">
        <f t="shared" si="140"/>
        <v>0</v>
      </c>
      <c r="P2010" s="10">
        <f t="shared" si="141"/>
        <v>0</v>
      </c>
    </row>
    <row r="2011" spans="1:16">
      <c r="B2011" s="42"/>
      <c r="K2011" s="9">
        <f t="shared" si="142"/>
        <v>0</v>
      </c>
      <c r="L2011">
        <f t="shared" si="137"/>
        <v>0</v>
      </c>
      <c r="M2011">
        <f t="shared" si="138"/>
        <v>0</v>
      </c>
      <c r="N2011">
        <f t="shared" si="139"/>
        <v>0</v>
      </c>
      <c r="O2011">
        <f t="shared" si="140"/>
        <v>0</v>
      </c>
      <c r="P2011" s="10">
        <f t="shared" si="141"/>
        <v>0</v>
      </c>
    </row>
    <row r="2012" spans="1:16">
      <c r="B2012" s="42"/>
      <c r="K2012" s="9">
        <f t="shared" si="142"/>
        <v>0</v>
      </c>
      <c r="L2012">
        <f t="shared" si="137"/>
        <v>0</v>
      </c>
      <c r="M2012">
        <f t="shared" si="138"/>
        <v>0</v>
      </c>
      <c r="N2012">
        <f t="shared" si="139"/>
        <v>0</v>
      </c>
      <c r="O2012">
        <f t="shared" si="140"/>
        <v>0</v>
      </c>
      <c r="P2012" s="10">
        <f t="shared" si="141"/>
        <v>0</v>
      </c>
    </row>
    <row r="2013" spans="1:16">
      <c r="B2013" s="42"/>
      <c r="K2013" s="9">
        <f t="shared" si="142"/>
        <v>0</v>
      </c>
      <c r="L2013">
        <f t="shared" si="137"/>
        <v>0</v>
      </c>
      <c r="M2013">
        <f t="shared" si="138"/>
        <v>0</v>
      </c>
      <c r="N2013">
        <f t="shared" si="139"/>
        <v>0</v>
      </c>
      <c r="O2013">
        <f t="shared" si="140"/>
        <v>0</v>
      </c>
      <c r="P2013" s="10">
        <f t="shared" si="141"/>
        <v>0</v>
      </c>
    </row>
    <row r="2014" spans="1:16">
      <c r="B2014" s="42"/>
      <c r="K2014" s="9">
        <f t="shared" si="142"/>
        <v>0</v>
      </c>
      <c r="L2014">
        <f t="shared" si="137"/>
        <v>0</v>
      </c>
      <c r="M2014">
        <f t="shared" si="138"/>
        <v>0</v>
      </c>
      <c r="N2014">
        <f t="shared" si="139"/>
        <v>0</v>
      </c>
      <c r="O2014">
        <f t="shared" si="140"/>
        <v>0</v>
      </c>
      <c r="P2014" s="10">
        <f t="shared" si="141"/>
        <v>0</v>
      </c>
    </row>
    <row r="2015" spans="1:16">
      <c r="B2015" s="42"/>
      <c r="K2015" s="9">
        <f t="shared" si="142"/>
        <v>0</v>
      </c>
      <c r="L2015">
        <f t="shared" si="137"/>
        <v>0</v>
      </c>
      <c r="M2015">
        <f t="shared" si="138"/>
        <v>0</v>
      </c>
      <c r="N2015">
        <f t="shared" si="139"/>
        <v>0</v>
      </c>
      <c r="O2015">
        <f t="shared" si="140"/>
        <v>0</v>
      </c>
      <c r="P2015" s="10">
        <f t="shared" si="141"/>
        <v>0</v>
      </c>
    </row>
    <row r="2016" spans="1:16">
      <c r="B2016" s="42"/>
      <c r="K2016" s="9">
        <f t="shared" si="142"/>
        <v>0</v>
      </c>
      <c r="L2016">
        <f t="shared" si="137"/>
        <v>0</v>
      </c>
      <c r="M2016">
        <f t="shared" si="138"/>
        <v>0</v>
      </c>
      <c r="N2016">
        <f t="shared" si="139"/>
        <v>0</v>
      </c>
      <c r="O2016">
        <f t="shared" si="140"/>
        <v>0</v>
      </c>
      <c r="P2016" s="10">
        <f t="shared" si="141"/>
        <v>0</v>
      </c>
    </row>
    <row r="2017" spans="2:16">
      <c r="B2017" s="42"/>
      <c r="K2017" s="9">
        <f t="shared" si="142"/>
        <v>0</v>
      </c>
      <c r="L2017">
        <f t="shared" si="137"/>
        <v>0</v>
      </c>
      <c r="M2017">
        <f t="shared" si="138"/>
        <v>0</v>
      </c>
      <c r="N2017">
        <f t="shared" si="139"/>
        <v>0</v>
      </c>
      <c r="O2017">
        <f t="shared" si="140"/>
        <v>0</v>
      </c>
      <c r="P2017" s="10">
        <f t="shared" si="141"/>
        <v>0</v>
      </c>
    </row>
    <row r="2018" spans="2:16">
      <c r="B2018" s="42"/>
      <c r="K2018" s="9">
        <f t="shared" si="142"/>
        <v>0</v>
      </c>
      <c r="L2018">
        <f t="shared" si="137"/>
        <v>0</v>
      </c>
      <c r="M2018">
        <f t="shared" si="138"/>
        <v>0</v>
      </c>
      <c r="N2018">
        <f t="shared" si="139"/>
        <v>0</v>
      </c>
      <c r="O2018">
        <f t="shared" si="140"/>
        <v>0</v>
      </c>
      <c r="P2018" s="10">
        <f t="shared" si="141"/>
        <v>0</v>
      </c>
    </row>
    <row r="2019" spans="2:16">
      <c r="B2019" s="42"/>
      <c r="K2019" s="9">
        <f t="shared" si="142"/>
        <v>0</v>
      </c>
      <c r="L2019">
        <f t="shared" si="137"/>
        <v>0</v>
      </c>
      <c r="M2019">
        <f t="shared" si="138"/>
        <v>0</v>
      </c>
      <c r="N2019">
        <f t="shared" si="139"/>
        <v>0</v>
      </c>
      <c r="O2019">
        <f t="shared" si="140"/>
        <v>0</v>
      </c>
      <c r="P2019" s="10">
        <f t="shared" si="141"/>
        <v>0</v>
      </c>
    </row>
    <row r="2020" spans="2:16">
      <c r="B2020" s="42"/>
      <c r="K2020" s="9">
        <f t="shared" si="142"/>
        <v>0</v>
      </c>
      <c r="L2020">
        <f t="shared" si="137"/>
        <v>0</v>
      </c>
      <c r="M2020">
        <f t="shared" si="138"/>
        <v>0</v>
      </c>
      <c r="N2020">
        <f t="shared" si="139"/>
        <v>0</v>
      </c>
      <c r="O2020">
        <f t="shared" si="140"/>
        <v>0</v>
      </c>
      <c r="P2020" s="10">
        <f t="shared" si="141"/>
        <v>0</v>
      </c>
    </row>
    <row r="2021" spans="2:16">
      <c r="B2021" s="42"/>
      <c r="K2021" s="9">
        <f t="shared" si="142"/>
        <v>0</v>
      </c>
      <c r="L2021">
        <f t="shared" si="137"/>
        <v>0</v>
      </c>
      <c r="M2021">
        <f t="shared" si="138"/>
        <v>0</v>
      </c>
      <c r="N2021">
        <f t="shared" si="139"/>
        <v>0</v>
      </c>
      <c r="O2021">
        <f t="shared" si="140"/>
        <v>0</v>
      </c>
      <c r="P2021" s="10">
        <f t="shared" si="141"/>
        <v>0</v>
      </c>
    </row>
    <row r="2022" spans="2:16">
      <c r="B2022" s="42"/>
      <c r="K2022" s="9">
        <f t="shared" si="142"/>
        <v>0</v>
      </c>
      <c r="L2022">
        <f t="shared" si="137"/>
        <v>0</v>
      </c>
      <c r="M2022">
        <f t="shared" si="138"/>
        <v>0</v>
      </c>
      <c r="N2022">
        <f t="shared" si="139"/>
        <v>0</v>
      </c>
      <c r="O2022">
        <f t="shared" si="140"/>
        <v>0</v>
      </c>
      <c r="P2022" s="10">
        <f t="shared" si="141"/>
        <v>0</v>
      </c>
    </row>
    <row r="2023" spans="2:16">
      <c r="B2023" s="42"/>
      <c r="K2023" s="9">
        <f t="shared" si="142"/>
        <v>0</v>
      </c>
      <c r="L2023">
        <f t="shared" si="137"/>
        <v>0</v>
      </c>
      <c r="M2023">
        <f t="shared" si="138"/>
        <v>0</v>
      </c>
      <c r="N2023">
        <f t="shared" si="139"/>
        <v>0</v>
      </c>
      <c r="O2023">
        <f t="shared" si="140"/>
        <v>0</v>
      </c>
      <c r="P2023" s="10">
        <f t="shared" si="141"/>
        <v>0</v>
      </c>
    </row>
    <row r="2024" spans="2:16">
      <c r="B2024" s="42"/>
      <c r="K2024" s="9">
        <f t="shared" si="142"/>
        <v>0</v>
      </c>
      <c r="L2024">
        <f t="shared" si="137"/>
        <v>0</v>
      </c>
      <c r="M2024">
        <f t="shared" si="138"/>
        <v>0</v>
      </c>
      <c r="N2024">
        <f t="shared" si="139"/>
        <v>0</v>
      </c>
      <c r="O2024">
        <f t="shared" si="140"/>
        <v>0</v>
      </c>
      <c r="P2024" s="10">
        <f t="shared" si="141"/>
        <v>0</v>
      </c>
    </row>
    <row r="2025" spans="2:16">
      <c r="B2025" s="42"/>
      <c r="K2025" s="9">
        <f t="shared" si="142"/>
        <v>0</v>
      </c>
      <c r="L2025">
        <f t="shared" si="137"/>
        <v>0</v>
      </c>
      <c r="M2025">
        <f t="shared" si="138"/>
        <v>0</v>
      </c>
      <c r="N2025">
        <f t="shared" si="139"/>
        <v>0</v>
      </c>
      <c r="O2025">
        <f t="shared" si="140"/>
        <v>0</v>
      </c>
      <c r="P2025" s="10">
        <f t="shared" si="141"/>
        <v>0</v>
      </c>
    </row>
    <row r="2026" spans="2:16">
      <c r="B2026" s="42"/>
      <c r="K2026" s="9">
        <f t="shared" si="142"/>
        <v>0</v>
      </c>
      <c r="L2026">
        <f t="shared" si="137"/>
        <v>0</v>
      </c>
      <c r="M2026">
        <f t="shared" si="138"/>
        <v>0</v>
      </c>
      <c r="N2026">
        <f t="shared" si="139"/>
        <v>0</v>
      </c>
      <c r="O2026">
        <f t="shared" si="140"/>
        <v>0</v>
      </c>
      <c r="P2026" s="10">
        <f t="shared" si="141"/>
        <v>0</v>
      </c>
    </row>
    <row r="2027" spans="2:16">
      <c r="B2027" s="42"/>
      <c r="K2027" s="9">
        <f t="shared" si="142"/>
        <v>0</v>
      </c>
      <c r="L2027">
        <f t="shared" si="137"/>
        <v>0</v>
      </c>
      <c r="M2027">
        <f t="shared" si="138"/>
        <v>0</v>
      </c>
      <c r="N2027">
        <f t="shared" si="139"/>
        <v>0</v>
      </c>
      <c r="O2027">
        <f t="shared" si="140"/>
        <v>0</v>
      </c>
      <c r="P2027" s="10">
        <f t="shared" si="141"/>
        <v>0</v>
      </c>
    </row>
    <row r="2028" spans="2:16">
      <c r="B2028" s="42"/>
      <c r="K2028" s="9">
        <f t="shared" si="142"/>
        <v>0</v>
      </c>
      <c r="L2028">
        <f t="shared" si="137"/>
        <v>0</v>
      </c>
      <c r="M2028">
        <f t="shared" si="138"/>
        <v>0</v>
      </c>
      <c r="N2028">
        <f t="shared" si="139"/>
        <v>0</v>
      </c>
      <c r="O2028">
        <f t="shared" si="140"/>
        <v>0</v>
      </c>
      <c r="P2028" s="10">
        <f t="shared" si="141"/>
        <v>0</v>
      </c>
    </row>
    <row r="2029" spans="2:16">
      <c r="B2029" s="42"/>
      <c r="K2029" s="9">
        <f t="shared" si="142"/>
        <v>0</v>
      </c>
      <c r="L2029">
        <f t="shared" si="137"/>
        <v>0</v>
      </c>
      <c r="M2029">
        <f t="shared" si="138"/>
        <v>0</v>
      </c>
      <c r="N2029">
        <f t="shared" si="139"/>
        <v>0</v>
      </c>
      <c r="O2029">
        <f t="shared" si="140"/>
        <v>0</v>
      </c>
      <c r="P2029" s="10">
        <f t="shared" si="141"/>
        <v>0</v>
      </c>
    </row>
    <row r="2030" spans="2:16">
      <c r="B2030" s="42"/>
      <c r="K2030" s="9">
        <f t="shared" si="142"/>
        <v>0</v>
      </c>
      <c r="L2030">
        <f t="shared" si="137"/>
        <v>0</v>
      </c>
      <c r="M2030">
        <f t="shared" si="138"/>
        <v>0</v>
      </c>
      <c r="N2030">
        <f t="shared" si="139"/>
        <v>0</v>
      </c>
      <c r="O2030">
        <f t="shared" si="140"/>
        <v>0</v>
      </c>
      <c r="P2030" s="10">
        <f t="shared" si="141"/>
        <v>0</v>
      </c>
    </row>
    <row r="2031" spans="2:16">
      <c r="B2031" s="42"/>
      <c r="K2031" s="9">
        <f t="shared" si="142"/>
        <v>0</v>
      </c>
      <c r="L2031">
        <f t="shared" si="137"/>
        <v>0</v>
      </c>
      <c r="M2031">
        <f t="shared" si="138"/>
        <v>0</v>
      </c>
      <c r="N2031">
        <f t="shared" si="139"/>
        <v>0</v>
      </c>
      <c r="O2031">
        <f t="shared" si="140"/>
        <v>0</v>
      </c>
      <c r="P2031" s="10">
        <f t="shared" si="141"/>
        <v>0</v>
      </c>
    </row>
    <row r="2032" spans="2:16">
      <c r="B2032" s="42"/>
      <c r="K2032" s="9">
        <f t="shared" si="142"/>
        <v>0</v>
      </c>
      <c r="L2032">
        <f t="shared" si="137"/>
        <v>0</v>
      </c>
      <c r="M2032">
        <f t="shared" si="138"/>
        <v>0</v>
      </c>
      <c r="N2032">
        <f t="shared" si="139"/>
        <v>0</v>
      </c>
      <c r="O2032">
        <f t="shared" si="140"/>
        <v>0</v>
      </c>
      <c r="P2032" s="10">
        <f t="shared" si="141"/>
        <v>0</v>
      </c>
    </row>
    <row r="2033" spans="2:16">
      <c r="B2033" s="42"/>
      <c r="K2033" s="9">
        <f t="shared" si="142"/>
        <v>0</v>
      </c>
      <c r="L2033">
        <f t="shared" si="137"/>
        <v>0</v>
      </c>
      <c r="M2033">
        <f t="shared" si="138"/>
        <v>0</v>
      </c>
      <c r="N2033">
        <f t="shared" si="139"/>
        <v>0</v>
      </c>
      <c r="O2033">
        <f t="shared" si="140"/>
        <v>0</v>
      </c>
      <c r="P2033" s="10">
        <f t="shared" si="141"/>
        <v>0</v>
      </c>
    </row>
    <row r="2034" spans="2:16">
      <c r="B2034" s="42"/>
      <c r="K2034" s="9">
        <f t="shared" si="142"/>
        <v>0</v>
      </c>
      <c r="L2034">
        <f t="shared" si="137"/>
        <v>0</v>
      </c>
      <c r="M2034">
        <f t="shared" si="138"/>
        <v>0</v>
      </c>
      <c r="N2034">
        <f t="shared" si="139"/>
        <v>0</v>
      </c>
      <c r="O2034">
        <f t="shared" si="140"/>
        <v>0</v>
      </c>
      <c r="P2034" s="10">
        <f t="shared" si="141"/>
        <v>0</v>
      </c>
    </row>
    <row r="2035" spans="2:16">
      <c r="B2035" s="42"/>
      <c r="K2035" s="9">
        <f t="shared" si="142"/>
        <v>0</v>
      </c>
      <c r="L2035">
        <f t="shared" si="137"/>
        <v>0</v>
      </c>
      <c r="M2035">
        <f t="shared" si="138"/>
        <v>0</v>
      </c>
      <c r="N2035">
        <f t="shared" si="139"/>
        <v>0</v>
      </c>
      <c r="O2035">
        <f t="shared" si="140"/>
        <v>0</v>
      </c>
      <c r="P2035" s="10">
        <f t="shared" si="141"/>
        <v>0</v>
      </c>
    </row>
    <row r="2036" spans="2:16">
      <c r="B2036" s="42"/>
      <c r="K2036" s="9">
        <f t="shared" si="142"/>
        <v>0</v>
      </c>
      <c r="L2036">
        <f t="shared" si="137"/>
        <v>0</v>
      </c>
      <c r="M2036">
        <f t="shared" si="138"/>
        <v>0</v>
      </c>
      <c r="N2036">
        <f t="shared" si="139"/>
        <v>0</v>
      </c>
      <c r="O2036">
        <f t="shared" si="140"/>
        <v>0</v>
      </c>
      <c r="P2036" s="10">
        <f t="shared" si="141"/>
        <v>0</v>
      </c>
    </row>
    <row r="2037" spans="2:16">
      <c r="B2037" s="42"/>
      <c r="K2037" s="9">
        <f t="shared" si="142"/>
        <v>0</v>
      </c>
      <c r="L2037">
        <f t="shared" si="137"/>
        <v>0</v>
      </c>
      <c r="M2037">
        <f t="shared" si="138"/>
        <v>0</v>
      </c>
      <c r="N2037">
        <f t="shared" si="139"/>
        <v>0</v>
      </c>
      <c r="O2037">
        <f t="shared" si="140"/>
        <v>0</v>
      </c>
      <c r="P2037" s="10">
        <f t="shared" si="141"/>
        <v>0</v>
      </c>
    </row>
    <row r="2038" spans="2:16">
      <c r="B2038" s="42"/>
      <c r="K2038" s="9">
        <f t="shared" si="142"/>
        <v>0</v>
      </c>
      <c r="L2038">
        <f t="shared" si="137"/>
        <v>0</v>
      </c>
      <c r="M2038">
        <f t="shared" si="138"/>
        <v>0</v>
      </c>
      <c r="N2038">
        <f t="shared" si="139"/>
        <v>0</v>
      </c>
      <c r="O2038">
        <f t="shared" si="140"/>
        <v>0</v>
      </c>
      <c r="P2038" s="10">
        <f t="shared" si="141"/>
        <v>0</v>
      </c>
    </row>
    <row r="2039" spans="2:16">
      <c r="B2039" s="42"/>
      <c r="K2039" s="9">
        <f t="shared" si="142"/>
        <v>0</v>
      </c>
      <c r="L2039">
        <f t="shared" si="137"/>
        <v>0</v>
      </c>
      <c r="M2039">
        <f t="shared" si="138"/>
        <v>0</v>
      </c>
      <c r="N2039">
        <f t="shared" si="139"/>
        <v>0</v>
      </c>
      <c r="O2039">
        <f t="shared" si="140"/>
        <v>0</v>
      </c>
      <c r="P2039" s="10">
        <f t="shared" si="141"/>
        <v>0</v>
      </c>
    </row>
    <row r="2040" spans="2:16">
      <c r="B2040" s="42"/>
      <c r="K2040" s="9">
        <f t="shared" si="142"/>
        <v>0</v>
      </c>
      <c r="L2040">
        <f t="shared" si="137"/>
        <v>0</v>
      </c>
      <c r="M2040">
        <f t="shared" si="138"/>
        <v>0</v>
      </c>
      <c r="N2040">
        <f t="shared" si="139"/>
        <v>0</v>
      </c>
      <c r="O2040">
        <f t="shared" si="140"/>
        <v>0</v>
      </c>
      <c r="P2040" s="10">
        <f t="shared" si="141"/>
        <v>0</v>
      </c>
    </row>
    <row r="2041" spans="2:16">
      <c r="B2041" s="42"/>
      <c r="K2041" s="9">
        <f t="shared" si="142"/>
        <v>0</v>
      </c>
      <c r="L2041">
        <f t="shared" si="137"/>
        <v>0</v>
      </c>
      <c r="M2041">
        <f t="shared" si="138"/>
        <v>0</v>
      </c>
      <c r="N2041">
        <f t="shared" si="139"/>
        <v>0</v>
      </c>
      <c r="O2041">
        <f t="shared" si="140"/>
        <v>0</v>
      </c>
      <c r="P2041" s="10">
        <f t="shared" si="141"/>
        <v>0</v>
      </c>
    </row>
    <row r="2042" spans="2:16">
      <c r="B2042" s="42"/>
      <c r="K2042" s="9">
        <f t="shared" si="142"/>
        <v>0</v>
      </c>
      <c r="L2042">
        <f t="shared" si="137"/>
        <v>0</v>
      </c>
      <c r="M2042">
        <f t="shared" si="138"/>
        <v>0</v>
      </c>
      <c r="N2042">
        <f t="shared" si="139"/>
        <v>0</v>
      </c>
      <c r="O2042">
        <f t="shared" si="140"/>
        <v>0</v>
      </c>
      <c r="P2042" s="10">
        <f t="shared" si="141"/>
        <v>0</v>
      </c>
    </row>
    <row r="2043" spans="2:16">
      <c r="B2043" s="42"/>
      <c r="K2043" s="9">
        <f t="shared" si="142"/>
        <v>0</v>
      </c>
      <c r="L2043">
        <f t="shared" si="137"/>
        <v>0</v>
      </c>
      <c r="M2043">
        <f t="shared" si="138"/>
        <v>0</v>
      </c>
      <c r="N2043">
        <f t="shared" si="139"/>
        <v>0</v>
      </c>
      <c r="O2043">
        <f t="shared" si="140"/>
        <v>0</v>
      </c>
      <c r="P2043" s="10">
        <f t="shared" si="141"/>
        <v>0</v>
      </c>
    </row>
    <row r="2044" spans="2:16">
      <c r="B2044" s="42"/>
      <c r="K2044" s="9">
        <f t="shared" si="142"/>
        <v>0</v>
      </c>
      <c r="L2044">
        <f t="shared" si="137"/>
        <v>0</v>
      </c>
      <c r="M2044">
        <f t="shared" si="138"/>
        <v>0</v>
      </c>
      <c r="N2044">
        <f t="shared" si="139"/>
        <v>0</v>
      </c>
      <c r="O2044">
        <f t="shared" si="140"/>
        <v>0</v>
      </c>
      <c r="P2044" s="10">
        <f t="shared" si="141"/>
        <v>0</v>
      </c>
    </row>
    <row r="2045" spans="2:16">
      <c r="B2045" s="42"/>
      <c r="K2045" s="9">
        <f t="shared" si="142"/>
        <v>0</v>
      </c>
      <c r="L2045">
        <f t="shared" si="137"/>
        <v>0</v>
      </c>
      <c r="M2045">
        <f t="shared" si="138"/>
        <v>0</v>
      </c>
      <c r="N2045">
        <f t="shared" si="139"/>
        <v>0</v>
      </c>
      <c r="O2045">
        <f t="shared" si="140"/>
        <v>0</v>
      </c>
      <c r="P2045" s="10">
        <f t="shared" si="141"/>
        <v>0</v>
      </c>
    </row>
    <row r="2046" spans="2:16">
      <c r="B2046" s="42"/>
      <c r="K2046" s="9">
        <f t="shared" si="142"/>
        <v>0</v>
      </c>
      <c r="L2046">
        <f t="shared" si="137"/>
        <v>0</v>
      </c>
      <c r="M2046">
        <f t="shared" si="138"/>
        <v>0</v>
      </c>
      <c r="N2046">
        <f t="shared" si="139"/>
        <v>0</v>
      </c>
      <c r="O2046">
        <f t="shared" si="140"/>
        <v>0</v>
      </c>
      <c r="P2046" s="10">
        <f t="shared" si="141"/>
        <v>0</v>
      </c>
    </row>
    <row r="2047" spans="2:16">
      <c r="B2047" s="42"/>
      <c r="K2047" s="9">
        <f t="shared" si="142"/>
        <v>0</v>
      </c>
      <c r="L2047">
        <f t="shared" si="137"/>
        <v>0</v>
      </c>
      <c r="M2047">
        <f t="shared" si="138"/>
        <v>0</v>
      </c>
      <c r="N2047">
        <f t="shared" si="139"/>
        <v>0</v>
      </c>
      <c r="O2047">
        <f t="shared" si="140"/>
        <v>0</v>
      </c>
      <c r="P2047" s="10">
        <f t="shared" si="141"/>
        <v>0</v>
      </c>
    </row>
    <row r="2048" spans="2:16">
      <c r="B2048" s="42"/>
      <c r="K2048" s="9">
        <f t="shared" si="142"/>
        <v>0</v>
      </c>
      <c r="L2048">
        <f t="shared" si="137"/>
        <v>0</v>
      </c>
      <c r="M2048">
        <f t="shared" si="138"/>
        <v>0</v>
      </c>
      <c r="N2048">
        <f t="shared" si="139"/>
        <v>0</v>
      </c>
      <c r="O2048">
        <f t="shared" si="140"/>
        <v>0</v>
      </c>
      <c r="P2048" s="10">
        <f t="shared" si="141"/>
        <v>0</v>
      </c>
    </row>
    <row r="2049" spans="2:16">
      <c r="B2049" s="42"/>
      <c r="K2049" s="9">
        <f t="shared" si="142"/>
        <v>0</v>
      </c>
      <c r="L2049">
        <f t="shared" si="137"/>
        <v>0</v>
      </c>
      <c r="M2049">
        <f t="shared" si="138"/>
        <v>0</v>
      </c>
      <c r="N2049">
        <f t="shared" si="139"/>
        <v>0</v>
      </c>
      <c r="O2049">
        <f t="shared" si="140"/>
        <v>0</v>
      </c>
      <c r="P2049" s="10">
        <f t="shared" si="141"/>
        <v>0</v>
      </c>
    </row>
    <row r="2050" spans="2:16">
      <c r="B2050" s="42"/>
      <c r="K2050" s="9">
        <f t="shared" si="142"/>
        <v>0</v>
      </c>
      <c r="L2050">
        <f t="shared" si="137"/>
        <v>0</v>
      </c>
      <c r="M2050">
        <f t="shared" si="138"/>
        <v>0</v>
      </c>
      <c r="N2050">
        <f t="shared" si="139"/>
        <v>0</v>
      </c>
      <c r="O2050">
        <f t="shared" si="140"/>
        <v>0</v>
      </c>
      <c r="P2050" s="10">
        <f t="shared" si="141"/>
        <v>0</v>
      </c>
    </row>
    <row r="2051" spans="2:16">
      <c r="B2051" s="42"/>
      <c r="K2051" s="9">
        <f t="shared" si="142"/>
        <v>0</v>
      </c>
      <c r="L2051">
        <f t="shared" si="137"/>
        <v>0</v>
      </c>
      <c r="M2051">
        <f t="shared" si="138"/>
        <v>0</v>
      </c>
      <c r="N2051">
        <f t="shared" si="139"/>
        <v>0</v>
      </c>
      <c r="O2051">
        <f t="shared" si="140"/>
        <v>0</v>
      </c>
      <c r="P2051" s="10">
        <f t="shared" si="141"/>
        <v>0</v>
      </c>
    </row>
    <row r="2052" spans="2:16">
      <c r="B2052" s="42"/>
      <c r="K2052" s="9">
        <f t="shared" si="142"/>
        <v>0</v>
      </c>
      <c r="L2052">
        <f t="shared" si="137"/>
        <v>0</v>
      </c>
      <c r="M2052">
        <f t="shared" si="138"/>
        <v>0</v>
      </c>
      <c r="N2052">
        <f t="shared" si="139"/>
        <v>0</v>
      </c>
      <c r="O2052">
        <f t="shared" si="140"/>
        <v>0</v>
      </c>
      <c r="P2052" s="10">
        <f t="shared" si="141"/>
        <v>0</v>
      </c>
    </row>
    <row r="2053" spans="2:16">
      <c r="B2053" s="42"/>
      <c r="K2053" s="9">
        <f t="shared" si="142"/>
        <v>0</v>
      </c>
      <c r="L2053">
        <f t="shared" si="137"/>
        <v>0</v>
      </c>
      <c r="M2053">
        <f t="shared" si="138"/>
        <v>0</v>
      </c>
      <c r="N2053">
        <f t="shared" si="139"/>
        <v>0</v>
      </c>
      <c r="O2053">
        <f t="shared" si="140"/>
        <v>0</v>
      </c>
      <c r="P2053" s="10">
        <f t="shared" si="141"/>
        <v>0</v>
      </c>
    </row>
    <row r="2054" spans="2:16">
      <c r="B2054" s="42"/>
      <c r="K2054" s="9">
        <f t="shared" si="142"/>
        <v>0</v>
      </c>
      <c r="L2054">
        <f t="shared" si="137"/>
        <v>0</v>
      </c>
      <c r="M2054">
        <f t="shared" si="138"/>
        <v>0</v>
      </c>
      <c r="N2054">
        <f t="shared" si="139"/>
        <v>0</v>
      </c>
      <c r="O2054">
        <f t="shared" si="140"/>
        <v>0</v>
      </c>
      <c r="P2054" s="10">
        <f t="shared" si="141"/>
        <v>0</v>
      </c>
    </row>
    <row r="2055" spans="2:16">
      <c r="B2055" s="42"/>
      <c r="K2055" s="9">
        <f t="shared" si="142"/>
        <v>0</v>
      </c>
      <c r="L2055">
        <f t="shared" si="137"/>
        <v>0</v>
      </c>
      <c r="M2055">
        <f t="shared" si="138"/>
        <v>0</v>
      </c>
      <c r="N2055">
        <f t="shared" si="139"/>
        <v>0</v>
      </c>
      <c r="O2055">
        <f t="shared" si="140"/>
        <v>0</v>
      </c>
      <c r="P2055" s="10">
        <f t="shared" si="141"/>
        <v>0</v>
      </c>
    </row>
    <row r="2056" spans="2:16">
      <c r="B2056" s="42"/>
      <c r="K2056" s="9">
        <f t="shared" si="142"/>
        <v>0</v>
      </c>
      <c r="L2056">
        <f t="shared" si="137"/>
        <v>0</v>
      </c>
      <c r="M2056">
        <f t="shared" si="138"/>
        <v>0</v>
      </c>
      <c r="N2056">
        <f t="shared" si="139"/>
        <v>0</v>
      </c>
      <c r="O2056">
        <f t="shared" si="140"/>
        <v>0</v>
      </c>
      <c r="P2056" s="10">
        <f t="shared" si="141"/>
        <v>0</v>
      </c>
    </row>
    <row r="2057" spans="2:16">
      <c r="B2057" s="42"/>
      <c r="K2057" s="9">
        <f t="shared" si="142"/>
        <v>0</v>
      </c>
      <c r="L2057">
        <f t="shared" si="137"/>
        <v>0</v>
      </c>
      <c r="M2057">
        <f t="shared" si="138"/>
        <v>0</v>
      </c>
      <c r="N2057">
        <f t="shared" si="139"/>
        <v>0</v>
      </c>
      <c r="O2057">
        <f t="shared" si="140"/>
        <v>0</v>
      </c>
      <c r="P2057" s="10">
        <f t="shared" si="141"/>
        <v>0</v>
      </c>
    </row>
    <row r="2058" spans="2:16">
      <c r="B2058" s="42"/>
      <c r="K2058" s="9">
        <f t="shared" si="142"/>
        <v>0</v>
      </c>
      <c r="L2058">
        <f t="shared" ref="L2058:L2102" si="143">D2061-D2058</f>
        <v>0</v>
      </c>
      <c r="M2058">
        <f t="shared" ref="M2058:M2102" si="144">E2061-E2058</f>
        <v>0</v>
      </c>
      <c r="N2058">
        <f t="shared" ref="N2058:N2102" si="145">F2061-F2058</f>
        <v>0</v>
      </c>
      <c r="O2058">
        <f t="shared" ref="O2058:O2102" si="146">G2061-G2058</f>
        <v>0</v>
      </c>
      <c r="P2058" s="10">
        <f t="shared" ref="P2058:P2102" si="147">H2061-H2058</f>
        <v>0</v>
      </c>
    </row>
    <row r="2059" spans="2:16">
      <c r="B2059" s="42"/>
      <c r="K2059" s="9">
        <f t="shared" ref="K2059:K2102" si="148">C2062-C2059</f>
        <v>0</v>
      </c>
      <c r="L2059">
        <f t="shared" si="143"/>
        <v>0</v>
      </c>
      <c r="M2059">
        <f t="shared" si="144"/>
        <v>0</v>
      </c>
      <c r="N2059">
        <f t="shared" si="145"/>
        <v>0</v>
      </c>
      <c r="O2059">
        <f t="shared" si="146"/>
        <v>0</v>
      </c>
      <c r="P2059" s="10">
        <f t="shared" si="147"/>
        <v>0</v>
      </c>
    </row>
    <row r="2060" spans="2:16">
      <c r="B2060" s="42"/>
      <c r="K2060" s="9">
        <f t="shared" si="148"/>
        <v>0</v>
      </c>
      <c r="L2060">
        <f t="shared" si="143"/>
        <v>0</v>
      </c>
      <c r="M2060">
        <f t="shared" si="144"/>
        <v>0</v>
      </c>
      <c r="N2060">
        <f t="shared" si="145"/>
        <v>0</v>
      </c>
      <c r="O2060">
        <f t="shared" si="146"/>
        <v>0</v>
      </c>
      <c r="P2060" s="10">
        <f t="shared" si="147"/>
        <v>0</v>
      </c>
    </row>
    <row r="2061" spans="2:16">
      <c r="B2061" s="42"/>
      <c r="K2061" s="9">
        <f t="shared" si="148"/>
        <v>0</v>
      </c>
      <c r="L2061">
        <f t="shared" si="143"/>
        <v>0</v>
      </c>
      <c r="M2061">
        <f t="shared" si="144"/>
        <v>0</v>
      </c>
      <c r="N2061">
        <f t="shared" si="145"/>
        <v>0</v>
      </c>
      <c r="O2061">
        <f t="shared" si="146"/>
        <v>0</v>
      </c>
      <c r="P2061" s="10">
        <f t="shared" si="147"/>
        <v>0</v>
      </c>
    </row>
    <row r="2062" spans="2:16">
      <c r="B2062" s="42"/>
      <c r="K2062" s="9">
        <f t="shared" si="148"/>
        <v>0</v>
      </c>
      <c r="L2062">
        <f t="shared" si="143"/>
        <v>0</v>
      </c>
      <c r="M2062">
        <f t="shared" si="144"/>
        <v>0</v>
      </c>
      <c r="N2062">
        <f t="shared" si="145"/>
        <v>0</v>
      </c>
      <c r="O2062">
        <f t="shared" si="146"/>
        <v>0</v>
      </c>
      <c r="P2062" s="10">
        <f t="shared" si="147"/>
        <v>0</v>
      </c>
    </row>
    <row r="2063" spans="2:16">
      <c r="B2063" s="42"/>
      <c r="K2063" s="9">
        <f t="shared" si="148"/>
        <v>0</v>
      </c>
      <c r="L2063">
        <f t="shared" si="143"/>
        <v>0</v>
      </c>
      <c r="M2063">
        <f t="shared" si="144"/>
        <v>0</v>
      </c>
      <c r="N2063">
        <f t="shared" si="145"/>
        <v>0</v>
      </c>
      <c r="O2063">
        <f t="shared" si="146"/>
        <v>0</v>
      </c>
      <c r="P2063" s="10">
        <f t="shared" si="147"/>
        <v>0</v>
      </c>
    </row>
    <row r="2064" spans="2:16">
      <c r="B2064" s="42"/>
      <c r="K2064" s="9">
        <f t="shared" si="148"/>
        <v>0</v>
      </c>
      <c r="L2064">
        <f t="shared" si="143"/>
        <v>0</v>
      </c>
      <c r="M2064">
        <f t="shared" si="144"/>
        <v>0</v>
      </c>
      <c r="N2064">
        <f t="shared" si="145"/>
        <v>0</v>
      </c>
      <c r="O2064">
        <f t="shared" si="146"/>
        <v>0</v>
      </c>
      <c r="P2064" s="10">
        <f t="shared" si="147"/>
        <v>0</v>
      </c>
    </row>
    <row r="2065" spans="2:16">
      <c r="B2065" s="42"/>
      <c r="K2065" s="9">
        <f t="shared" si="148"/>
        <v>0</v>
      </c>
      <c r="L2065">
        <f t="shared" si="143"/>
        <v>0</v>
      </c>
      <c r="M2065">
        <f t="shared" si="144"/>
        <v>0</v>
      </c>
      <c r="N2065">
        <f t="shared" si="145"/>
        <v>0</v>
      </c>
      <c r="O2065">
        <f t="shared" si="146"/>
        <v>0</v>
      </c>
      <c r="P2065" s="10">
        <f t="shared" si="147"/>
        <v>0</v>
      </c>
    </row>
    <row r="2066" spans="2:16">
      <c r="B2066" s="42"/>
      <c r="K2066" s="9">
        <f t="shared" si="148"/>
        <v>0</v>
      </c>
      <c r="L2066">
        <f t="shared" si="143"/>
        <v>0</v>
      </c>
      <c r="M2066">
        <f t="shared" si="144"/>
        <v>0</v>
      </c>
      <c r="N2066">
        <f t="shared" si="145"/>
        <v>0</v>
      </c>
      <c r="O2066">
        <f t="shared" si="146"/>
        <v>0</v>
      </c>
      <c r="P2066" s="10">
        <f t="shared" si="147"/>
        <v>0</v>
      </c>
    </row>
    <row r="2067" spans="2:16">
      <c r="B2067" s="42"/>
      <c r="K2067" s="9">
        <f t="shared" si="148"/>
        <v>0</v>
      </c>
      <c r="L2067">
        <f t="shared" si="143"/>
        <v>0</v>
      </c>
      <c r="M2067">
        <f t="shared" si="144"/>
        <v>0</v>
      </c>
      <c r="N2067">
        <f t="shared" si="145"/>
        <v>0</v>
      </c>
      <c r="O2067">
        <f t="shared" si="146"/>
        <v>0</v>
      </c>
      <c r="P2067" s="10">
        <f t="shared" si="147"/>
        <v>0</v>
      </c>
    </row>
    <row r="2068" spans="2:16">
      <c r="B2068" s="42"/>
      <c r="K2068" s="9">
        <f t="shared" si="148"/>
        <v>0</v>
      </c>
      <c r="L2068">
        <f t="shared" si="143"/>
        <v>0</v>
      </c>
      <c r="M2068">
        <f t="shared" si="144"/>
        <v>0</v>
      </c>
      <c r="N2068">
        <f t="shared" si="145"/>
        <v>0</v>
      </c>
      <c r="O2068">
        <f t="shared" si="146"/>
        <v>0</v>
      </c>
      <c r="P2068" s="10">
        <f t="shared" si="147"/>
        <v>0</v>
      </c>
    </row>
    <row r="2069" spans="2:16">
      <c r="B2069" s="42"/>
      <c r="K2069" s="9">
        <f t="shared" si="148"/>
        <v>0</v>
      </c>
      <c r="L2069">
        <f t="shared" si="143"/>
        <v>0</v>
      </c>
      <c r="M2069">
        <f t="shared" si="144"/>
        <v>0</v>
      </c>
      <c r="N2069">
        <f t="shared" si="145"/>
        <v>0</v>
      </c>
      <c r="O2069">
        <f t="shared" si="146"/>
        <v>0</v>
      </c>
      <c r="P2069" s="10">
        <f t="shared" si="147"/>
        <v>0</v>
      </c>
    </row>
    <row r="2070" spans="2:16">
      <c r="B2070" s="42"/>
      <c r="K2070" s="9">
        <f t="shared" si="148"/>
        <v>0</v>
      </c>
      <c r="L2070">
        <f t="shared" si="143"/>
        <v>0</v>
      </c>
      <c r="M2070">
        <f t="shared" si="144"/>
        <v>0</v>
      </c>
      <c r="N2070">
        <f t="shared" si="145"/>
        <v>0</v>
      </c>
      <c r="O2070">
        <f t="shared" si="146"/>
        <v>0</v>
      </c>
      <c r="P2070" s="10">
        <f t="shared" si="147"/>
        <v>0</v>
      </c>
    </row>
    <row r="2071" spans="2:16">
      <c r="B2071" s="42"/>
      <c r="K2071" s="9">
        <f t="shared" si="148"/>
        <v>0</v>
      </c>
      <c r="L2071">
        <f t="shared" si="143"/>
        <v>0</v>
      </c>
      <c r="M2071">
        <f t="shared" si="144"/>
        <v>0</v>
      </c>
      <c r="N2071">
        <f t="shared" si="145"/>
        <v>0</v>
      </c>
      <c r="O2071">
        <f t="shared" si="146"/>
        <v>0</v>
      </c>
      <c r="P2071" s="10">
        <f t="shared" si="147"/>
        <v>0</v>
      </c>
    </row>
    <row r="2072" spans="2:16">
      <c r="B2072" s="42"/>
      <c r="K2072" s="9">
        <f t="shared" si="148"/>
        <v>0</v>
      </c>
      <c r="L2072">
        <f t="shared" si="143"/>
        <v>0</v>
      </c>
      <c r="M2072">
        <f t="shared" si="144"/>
        <v>0</v>
      </c>
      <c r="N2072">
        <f t="shared" si="145"/>
        <v>0</v>
      </c>
      <c r="O2072">
        <f t="shared" si="146"/>
        <v>0</v>
      </c>
      <c r="P2072" s="10">
        <f t="shared" si="147"/>
        <v>0</v>
      </c>
    </row>
    <row r="2073" spans="2:16">
      <c r="B2073" s="42"/>
      <c r="K2073" s="9">
        <f t="shared" si="148"/>
        <v>0</v>
      </c>
      <c r="L2073">
        <f t="shared" si="143"/>
        <v>0</v>
      </c>
      <c r="M2073">
        <f t="shared" si="144"/>
        <v>0</v>
      </c>
      <c r="N2073">
        <f t="shared" si="145"/>
        <v>0</v>
      </c>
      <c r="O2073">
        <f t="shared" si="146"/>
        <v>0</v>
      </c>
      <c r="P2073" s="10">
        <f t="shared" si="147"/>
        <v>0</v>
      </c>
    </row>
    <row r="2074" spans="2:16">
      <c r="B2074" s="42"/>
      <c r="K2074" s="9">
        <f t="shared" si="148"/>
        <v>0</v>
      </c>
      <c r="L2074">
        <f t="shared" si="143"/>
        <v>0</v>
      </c>
      <c r="M2074">
        <f t="shared" si="144"/>
        <v>0</v>
      </c>
      <c r="N2074">
        <f t="shared" si="145"/>
        <v>0</v>
      </c>
      <c r="O2074">
        <f t="shared" si="146"/>
        <v>0</v>
      </c>
      <c r="P2074" s="10">
        <f t="shared" si="147"/>
        <v>0</v>
      </c>
    </row>
    <row r="2075" spans="2:16">
      <c r="B2075" s="42"/>
      <c r="K2075" s="9">
        <f t="shared" si="148"/>
        <v>0</v>
      </c>
      <c r="L2075">
        <f t="shared" si="143"/>
        <v>0</v>
      </c>
      <c r="M2075">
        <f t="shared" si="144"/>
        <v>0</v>
      </c>
      <c r="N2075">
        <f t="shared" si="145"/>
        <v>0</v>
      </c>
      <c r="O2075">
        <f t="shared" si="146"/>
        <v>0</v>
      </c>
      <c r="P2075" s="10">
        <f t="shared" si="147"/>
        <v>0</v>
      </c>
    </row>
    <row r="2076" spans="2:16">
      <c r="B2076" s="42"/>
      <c r="K2076" s="9">
        <f t="shared" si="148"/>
        <v>0</v>
      </c>
      <c r="L2076">
        <f t="shared" si="143"/>
        <v>0</v>
      </c>
      <c r="M2076">
        <f t="shared" si="144"/>
        <v>0</v>
      </c>
      <c r="N2076">
        <f t="shared" si="145"/>
        <v>0</v>
      </c>
      <c r="O2076">
        <f t="shared" si="146"/>
        <v>0</v>
      </c>
      <c r="P2076" s="10">
        <f t="shared" si="147"/>
        <v>0</v>
      </c>
    </row>
    <row r="2077" spans="2:16">
      <c r="B2077" s="42"/>
      <c r="K2077" s="9">
        <f t="shared" si="148"/>
        <v>0</v>
      </c>
      <c r="L2077">
        <f t="shared" si="143"/>
        <v>0</v>
      </c>
      <c r="M2077">
        <f t="shared" si="144"/>
        <v>0</v>
      </c>
      <c r="N2077">
        <f t="shared" si="145"/>
        <v>0</v>
      </c>
      <c r="O2077">
        <f t="shared" si="146"/>
        <v>0</v>
      </c>
      <c r="P2077" s="10">
        <f t="shared" si="147"/>
        <v>0</v>
      </c>
    </row>
    <row r="2078" spans="2:16">
      <c r="B2078" s="42"/>
      <c r="K2078" s="9">
        <f t="shared" si="148"/>
        <v>0</v>
      </c>
      <c r="L2078">
        <f t="shared" si="143"/>
        <v>0</v>
      </c>
      <c r="M2078">
        <f t="shared" si="144"/>
        <v>0</v>
      </c>
      <c r="N2078">
        <f t="shared" si="145"/>
        <v>0</v>
      </c>
      <c r="O2078">
        <f t="shared" si="146"/>
        <v>0</v>
      </c>
      <c r="P2078" s="10">
        <f t="shared" si="147"/>
        <v>0</v>
      </c>
    </row>
    <row r="2079" spans="2:16">
      <c r="B2079" s="42"/>
      <c r="K2079" s="9">
        <f t="shared" si="148"/>
        <v>0</v>
      </c>
      <c r="L2079">
        <f t="shared" si="143"/>
        <v>0</v>
      </c>
      <c r="M2079">
        <f t="shared" si="144"/>
        <v>0</v>
      </c>
      <c r="N2079">
        <f t="shared" si="145"/>
        <v>0</v>
      </c>
      <c r="O2079">
        <f t="shared" si="146"/>
        <v>0</v>
      </c>
      <c r="P2079" s="10">
        <f t="shared" si="147"/>
        <v>0</v>
      </c>
    </row>
    <row r="2080" spans="2:16">
      <c r="B2080" s="42"/>
      <c r="K2080" s="9">
        <f t="shared" si="148"/>
        <v>0</v>
      </c>
      <c r="L2080">
        <f t="shared" si="143"/>
        <v>0</v>
      </c>
      <c r="M2080">
        <f t="shared" si="144"/>
        <v>0</v>
      </c>
      <c r="N2080">
        <f t="shared" si="145"/>
        <v>0</v>
      </c>
      <c r="O2080">
        <f t="shared" si="146"/>
        <v>0</v>
      </c>
      <c r="P2080" s="10">
        <f t="shared" si="147"/>
        <v>0</v>
      </c>
    </row>
    <row r="2081" spans="2:16">
      <c r="B2081" s="42"/>
      <c r="K2081" s="9">
        <f t="shared" si="148"/>
        <v>0</v>
      </c>
      <c r="L2081">
        <f t="shared" si="143"/>
        <v>0</v>
      </c>
      <c r="M2081">
        <f t="shared" si="144"/>
        <v>0</v>
      </c>
      <c r="N2081">
        <f t="shared" si="145"/>
        <v>0</v>
      </c>
      <c r="O2081">
        <f t="shared" si="146"/>
        <v>0</v>
      </c>
      <c r="P2081" s="10">
        <f t="shared" si="147"/>
        <v>0</v>
      </c>
    </row>
    <row r="2082" spans="2:16">
      <c r="B2082" s="42"/>
      <c r="K2082" s="9">
        <f t="shared" si="148"/>
        <v>0</v>
      </c>
      <c r="L2082">
        <f t="shared" si="143"/>
        <v>0</v>
      </c>
      <c r="M2082">
        <f t="shared" si="144"/>
        <v>0</v>
      </c>
      <c r="N2082">
        <f t="shared" si="145"/>
        <v>0</v>
      </c>
      <c r="O2082">
        <f t="shared" si="146"/>
        <v>0</v>
      </c>
      <c r="P2082" s="10">
        <f t="shared" si="147"/>
        <v>0</v>
      </c>
    </row>
    <row r="2083" spans="2:16">
      <c r="B2083" s="42"/>
      <c r="K2083" s="9">
        <f t="shared" si="148"/>
        <v>0</v>
      </c>
      <c r="L2083">
        <f t="shared" si="143"/>
        <v>0</v>
      </c>
      <c r="M2083">
        <f t="shared" si="144"/>
        <v>0</v>
      </c>
      <c r="N2083">
        <f t="shared" si="145"/>
        <v>0</v>
      </c>
      <c r="O2083">
        <f t="shared" si="146"/>
        <v>0</v>
      </c>
      <c r="P2083" s="10">
        <f t="shared" si="147"/>
        <v>0</v>
      </c>
    </row>
    <row r="2084" spans="2:16">
      <c r="B2084" s="42"/>
      <c r="K2084" s="9">
        <f t="shared" si="148"/>
        <v>0</v>
      </c>
      <c r="L2084">
        <f t="shared" si="143"/>
        <v>0</v>
      </c>
      <c r="M2084">
        <f t="shared" si="144"/>
        <v>0</v>
      </c>
      <c r="N2084">
        <f t="shared" si="145"/>
        <v>0</v>
      </c>
      <c r="O2084">
        <f t="shared" si="146"/>
        <v>0</v>
      </c>
      <c r="P2084" s="10">
        <f t="shared" si="147"/>
        <v>0</v>
      </c>
    </row>
    <row r="2085" spans="2:16">
      <c r="B2085" s="42"/>
      <c r="K2085" s="9">
        <f t="shared" si="148"/>
        <v>0</v>
      </c>
      <c r="L2085">
        <f t="shared" si="143"/>
        <v>0</v>
      </c>
      <c r="M2085">
        <f t="shared" si="144"/>
        <v>0</v>
      </c>
      <c r="N2085">
        <f t="shared" si="145"/>
        <v>0</v>
      </c>
      <c r="O2085">
        <f t="shared" si="146"/>
        <v>0</v>
      </c>
      <c r="P2085" s="10">
        <f t="shared" si="147"/>
        <v>0</v>
      </c>
    </row>
    <row r="2086" spans="2:16">
      <c r="B2086" s="42"/>
      <c r="K2086" s="9">
        <f t="shared" si="148"/>
        <v>0</v>
      </c>
      <c r="L2086">
        <f t="shared" si="143"/>
        <v>0</v>
      </c>
      <c r="M2086">
        <f t="shared" si="144"/>
        <v>0</v>
      </c>
      <c r="N2086">
        <f t="shared" si="145"/>
        <v>0</v>
      </c>
      <c r="O2086">
        <f t="shared" si="146"/>
        <v>0</v>
      </c>
      <c r="P2086" s="10">
        <f t="shared" si="147"/>
        <v>0</v>
      </c>
    </row>
    <row r="2087" spans="2:16">
      <c r="B2087" s="42"/>
      <c r="K2087" s="9">
        <f t="shared" si="148"/>
        <v>0</v>
      </c>
      <c r="L2087">
        <f t="shared" si="143"/>
        <v>0</v>
      </c>
      <c r="M2087">
        <f t="shared" si="144"/>
        <v>0</v>
      </c>
      <c r="N2087">
        <f t="shared" si="145"/>
        <v>0</v>
      </c>
      <c r="O2087">
        <f t="shared" si="146"/>
        <v>0</v>
      </c>
      <c r="P2087" s="10">
        <f t="shared" si="147"/>
        <v>0</v>
      </c>
    </row>
    <row r="2088" spans="2:16">
      <c r="B2088" s="42"/>
      <c r="K2088" s="9">
        <f t="shared" si="148"/>
        <v>0</v>
      </c>
      <c r="L2088">
        <f t="shared" si="143"/>
        <v>0</v>
      </c>
      <c r="M2088">
        <f t="shared" si="144"/>
        <v>0</v>
      </c>
      <c r="N2088">
        <f t="shared" si="145"/>
        <v>0</v>
      </c>
      <c r="O2088">
        <f t="shared" si="146"/>
        <v>0</v>
      </c>
      <c r="P2088" s="10">
        <f t="shared" si="147"/>
        <v>0</v>
      </c>
    </row>
    <row r="2089" spans="2:16">
      <c r="B2089" s="42"/>
      <c r="K2089" s="9">
        <f t="shared" si="148"/>
        <v>0</v>
      </c>
      <c r="L2089">
        <f t="shared" si="143"/>
        <v>0</v>
      </c>
      <c r="M2089">
        <f t="shared" si="144"/>
        <v>0</v>
      </c>
      <c r="N2089">
        <f t="shared" si="145"/>
        <v>0</v>
      </c>
      <c r="O2089">
        <f t="shared" si="146"/>
        <v>0</v>
      </c>
      <c r="P2089" s="10">
        <f t="shared" si="147"/>
        <v>0</v>
      </c>
    </row>
    <row r="2090" spans="2:16">
      <c r="B2090" s="42"/>
      <c r="K2090" s="9">
        <f t="shared" si="148"/>
        <v>0</v>
      </c>
      <c r="L2090">
        <f t="shared" si="143"/>
        <v>0</v>
      </c>
      <c r="M2090">
        <f t="shared" si="144"/>
        <v>0</v>
      </c>
      <c r="N2090">
        <f t="shared" si="145"/>
        <v>0</v>
      </c>
      <c r="O2090">
        <f t="shared" si="146"/>
        <v>0</v>
      </c>
      <c r="P2090" s="10">
        <f t="shared" si="147"/>
        <v>0</v>
      </c>
    </row>
    <row r="2091" spans="2:16">
      <c r="B2091" s="42"/>
      <c r="K2091" s="9">
        <f t="shared" si="148"/>
        <v>0</v>
      </c>
      <c r="L2091">
        <f t="shared" si="143"/>
        <v>0</v>
      </c>
      <c r="M2091">
        <f t="shared" si="144"/>
        <v>0</v>
      </c>
      <c r="N2091">
        <f t="shared" si="145"/>
        <v>0</v>
      </c>
      <c r="O2091">
        <f t="shared" si="146"/>
        <v>0</v>
      </c>
      <c r="P2091" s="10">
        <f t="shared" si="147"/>
        <v>0</v>
      </c>
    </row>
    <row r="2092" spans="2:16">
      <c r="B2092" s="42"/>
      <c r="K2092" s="9">
        <f t="shared" si="148"/>
        <v>0</v>
      </c>
      <c r="L2092">
        <f t="shared" si="143"/>
        <v>0</v>
      </c>
      <c r="M2092">
        <f t="shared" si="144"/>
        <v>0</v>
      </c>
      <c r="N2092">
        <f t="shared" si="145"/>
        <v>0</v>
      </c>
      <c r="O2092">
        <f t="shared" si="146"/>
        <v>0</v>
      </c>
      <c r="P2092" s="10">
        <f t="shared" si="147"/>
        <v>0</v>
      </c>
    </row>
    <row r="2093" spans="2:16">
      <c r="B2093" s="42"/>
      <c r="K2093" s="9">
        <f t="shared" si="148"/>
        <v>0</v>
      </c>
      <c r="L2093">
        <f t="shared" si="143"/>
        <v>0</v>
      </c>
      <c r="M2093">
        <f t="shared" si="144"/>
        <v>0</v>
      </c>
      <c r="N2093">
        <f t="shared" si="145"/>
        <v>0</v>
      </c>
      <c r="O2093">
        <f t="shared" si="146"/>
        <v>0</v>
      </c>
      <c r="P2093" s="10">
        <f t="shared" si="147"/>
        <v>0</v>
      </c>
    </row>
    <row r="2094" spans="2:16">
      <c r="B2094" s="42"/>
      <c r="K2094" s="9">
        <f t="shared" si="148"/>
        <v>0</v>
      </c>
      <c r="L2094">
        <f t="shared" si="143"/>
        <v>0</v>
      </c>
      <c r="M2094">
        <f t="shared" si="144"/>
        <v>0</v>
      </c>
      <c r="N2094">
        <f t="shared" si="145"/>
        <v>0</v>
      </c>
      <c r="O2094">
        <f t="shared" si="146"/>
        <v>0</v>
      </c>
      <c r="P2094" s="10">
        <f t="shared" si="147"/>
        <v>0</v>
      </c>
    </row>
    <row r="2095" spans="2:16">
      <c r="B2095" s="42"/>
      <c r="K2095" s="9">
        <f t="shared" si="148"/>
        <v>0</v>
      </c>
      <c r="L2095">
        <f t="shared" si="143"/>
        <v>0</v>
      </c>
      <c r="M2095">
        <f t="shared" si="144"/>
        <v>0</v>
      </c>
      <c r="N2095">
        <f t="shared" si="145"/>
        <v>0</v>
      </c>
      <c r="O2095">
        <f t="shared" si="146"/>
        <v>0</v>
      </c>
      <c r="P2095" s="10">
        <f t="shared" si="147"/>
        <v>0</v>
      </c>
    </row>
    <row r="2096" spans="2:16">
      <c r="B2096" s="42"/>
      <c r="K2096" s="9">
        <f t="shared" si="148"/>
        <v>0</v>
      </c>
      <c r="L2096">
        <f t="shared" si="143"/>
        <v>0</v>
      </c>
      <c r="M2096">
        <f t="shared" si="144"/>
        <v>0</v>
      </c>
      <c r="N2096">
        <f t="shared" si="145"/>
        <v>0</v>
      </c>
      <c r="O2096">
        <f t="shared" si="146"/>
        <v>0</v>
      </c>
      <c r="P2096" s="10">
        <f t="shared" si="147"/>
        <v>0</v>
      </c>
    </row>
    <row r="2097" spans="2:16">
      <c r="B2097" s="42"/>
      <c r="K2097" s="9">
        <f t="shared" si="148"/>
        <v>0</v>
      </c>
      <c r="L2097">
        <f t="shared" si="143"/>
        <v>0</v>
      </c>
      <c r="M2097">
        <f t="shared" si="144"/>
        <v>0</v>
      </c>
      <c r="N2097">
        <f t="shared" si="145"/>
        <v>0</v>
      </c>
      <c r="O2097">
        <f t="shared" si="146"/>
        <v>0</v>
      </c>
      <c r="P2097" s="10">
        <f t="shared" si="147"/>
        <v>0</v>
      </c>
    </row>
    <row r="2098" spans="2:16">
      <c r="B2098" s="42"/>
      <c r="K2098" s="9">
        <f t="shared" si="148"/>
        <v>0</v>
      </c>
      <c r="L2098">
        <f t="shared" si="143"/>
        <v>0</v>
      </c>
      <c r="M2098">
        <f t="shared" si="144"/>
        <v>0</v>
      </c>
      <c r="N2098">
        <f t="shared" si="145"/>
        <v>0</v>
      </c>
      <c r="O2098">
        <f t="shared" si="146"/>
        <v>0</v>
      </c>
      <c r="P2098" s="10">
        <f t="shared" si="147"/>
        <v>0</v>
      </c>
    </row>
    <row r="2099" spans="2:16">
      <c r="B2099" s="42"/>
      <c r="K2099" s="9">
        <f t="shared" si="148"/>
        <v>0</v>
      </c>
      <c r="L2099">
        <f t="shared" si="143"/>
        <v>0</v>
      </c>
      <c r="M2099">
        <f t="shared" si="144"/>
        <v>0</v>
      </c>
      <c r="N2099">
        <f t="shared" si="145"/>
        <v>0</v>
      </c>
      <c r="O2099">
        <f t="shared" si="146"/>
        <v>0</v>
      </c>
      <c r="P2099" s="10">
        <f t="shared" si="147"/>
        <v>0</v>
      </c>
    </row>
    <row r="2100" spans="2:16">
      <c r="B2100" s="42"/>
      <c r="K2100" s="9">
        <f t="shared" si="148"/>
        <v>0</v>
      </c>
      <c r="L2100">
        <f t="shared" si="143"/>
        <v>0</v>
      </c>
      <c r="M2100">
        <f t="shared" si="144"/>
        <v>0</v>
      </c>
      <c r="N2100">
        <f t="shared" si="145"/>
        <v>0</v>
      </c>
      <c r="O2100">
        <f t="shared" si="146"/>
        <v>0</v>
      </c>
      <c r="P2100" s="10">
        <f t="shared" si="147"/>
        <v>0</v>
      </c>
    </row>
    <row r="2101" spans="2:16">
      <c r="B2101" s="42"/>
      <c r="K2101" s="9">
        <f t="shared" si="148"/>
        <v>0</v>
      </c>
      <c r="L2101">
        <f t="shared" si="143"/>
        <v>0</v>
      </c>
      <c r="M2101">
        <f t="shared" si="144"/>
        <v>0</v>
      </c>
      <c r="N2101">
        <f t="shared" si="145"/>
        <v>0</v>
      </c>
      <c r="O2101">
        <f t="shared" si="146"/>
        <v>0</v>
      </c>
      <c r="P2101" s="10">
        <f t="shared" si="147"/>
        <v>0</v>
      </c>
    </row>
    <row r="2102" spans="2:16" ht="15.75" thickBot="1">
      <c r="B2102" s="42"/>
      <c r="K2102" s="11">
        <f t="shared" si="148"/>
        <v>0</v>
      </c>
      <c r="L2102" s="12">
        <f t="shared" si="143"/>
        <v>0</v>
      </c>
      <c r="M2102" s="12">
        <f t="shared" si="144"/>
        <v>0</v>
      </c>
      <c r="N2102" s="12">
        <f t="shared" si="145"/>
        <v>0</v>
      </c>
      <c r="O2102" s="12">
        <f t="shared" si="146"/>
        <v>0</v>
      </c>
      <c r="P2102" s="13">
        <f t="shared" si="147"/>
        <v>0</v>
      </c>
    </row>
  </sheetData>
  <mergeCells count="1">
    <mergeCell ref="M19:N19"/>
  </mergeCells>
  <phoneticPr fontId="8" type="noConversion"/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84011-3364-4386-9527-D77679D171DA}">
  <sheetPr>
    <tabColor rgb="FFFFC000"/>
  </sheetPr>
  <dimension ref="A1:AX2315"/>
  <sheetViews>
    <sheetView workbookViewId="0">
      <selection activeCell="D5" sqref="D5"/>
    </sheetView>
  </sheetViews>
  <sheetFormatPr defaultRowHeight="15"/>
  <sheetData>
    <row r="1" spans="1:12">
      <c r="A1" t="s">
        <v>27</v>
      </c>
      <c r="D1" t="s">
        <v>172</v>
      </c>
      <c r="F1" t="s">
        <v>173</v>
      </c>
      <c r="K1" t="s">
        <v>152</v>
      </c>
    </row>
    <row r="2" spans="1:12" ht="15" customHeight="1">
      <c r="A2" t="s">
        <v>28</v>
      </c>
      <c r="B2" s="3"/>
      <c r="E2" t="s">
        <v>29</v>
      </c>
    </row>
    <row r="4" spans="1:12">
      <c r="A4" t="s">
        <v>30</v>
      </c>
      <c r="D4" t="s">
        <v>174</v>
      </c>
    </row>
    <row r="5" spans="1:12">
      <c r="A5" t="s">
        <v>31</v>
      </c>
      <c r="B5" s="2"/>
      <c r="D5" t="s">
        <v>175</v>
      </c>
    </row>
    <row r="6" spans="1:12">
      <c r="A6" t="s">
        <v>32</v>
      </c>
      <c r="B6" s="4"/>
      <c r="D6" t="s">
        <v>176</v>
      </c>
    </row>
    <row r="7" spans="1:12">
      <c r="A7" t="s">
        <v>33</v>
      </c>
      <c r="D7" t="s">
        <v>177</v>
      </c>
    </row>
    <row r="8" spans="1:12">
      <c r="A8" t="s">
        <v>34</v>
      </c>
    </row>
    <row r="9" spans="1:12">
      <c r="A9" t="s">
        <v>35</v>
      </c>
    </row>
    <row r="10" spans="1:12">
      <c r="A10" t="s">
        <v>36</v>
      </c>
      <c r="D10" t="s">
        <v>178</v>
      </c>
    </row>
    <row r="11" spans="1:12">
      <c r="A11" t="s">
        <v>37</v>
      </c>
      <c r="D11">
        <v>0</v>
      </c>
    </row>
    <row r="12" spans="1:12">
      <c r="A12" t="s">
        <v>38</v>
      </c>
      <c r="D12">
        <v>0</v>
      </c>
    </row>
    <row r="13" spans="1:12">
      <c r="A13" t="s">
        <v>39</v>
      </c>
      <c r="D13">
        <v>0</v>
      </c>
    </row>
    <row r="15" spans="1:12">
      <c r="A15" t="s">
        <v>40</v>
      </c>
      <c r="D15">
        <v>1</v>
      </c>
      <c r="E15">
        <v>2</v>
      </c>
      <c r="F15">
        <v>3</v>
      </c>
      <c r="G15">
        <v>4</v>
      </c>
      <c r="H15">
        <v>5</v>
      </c>
      <c r="I15">
        <v>6</v>
      </c>
      <c r="J15">
        <v>7</v>
      </c>
      <c r="K15">
        <v>8</v>
      </c>
      <c r="L15">
        <v>9</v>
      </c>
    </row>
    <row r="16" spans="1:12">
      <c r="A16" t="s">
        <v>41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1">
      <c r="A17" t="s">
        <v>42</v>
      </c>
      <c r="F17">
        <v>16</v>
      </c>
    </row>
    <row r="19" spans="1:11">
      <c r="A19" t="s">
        <v>43</v>
      </c>
      <c r="D19" t="s">
        <v>44</v>
      </c>
    </row>
    <row r="20" spans="1:11">
      <c r="A20" t="s">
        <v>45</v>
      </c>
      <c r="D20" t="s">
        <v>46</v>
      </c>
    </row>
    <row r="21" spans="1:11">
      <c r="A21" t="s">
        <v>47</v>
      </c>
      <c r="D21" t="s">
        <v>48</v>
      </c>
    </row>
    <row r="22" spans="1:11">
      <c r="A22" t="s">
        <v>49</v>
      </c>
      <c r="F22" t="s">
        <v>50</v>
      </c>
      <c r="K22" t="s">
        <v>51</v>
      </c>
    </row>
    <row r="23" spans="1:11">
      <c r="A23" t="s">
        <v>52</v>
      </c>
      <c r="F23" t="s">
        <v>53</v>
      </c>
    </row>
    <row r="24" spans="1:11">
      <c r="A24" t="s">
        <v>54</v>
      </c>
    </row>
    <row r="26" spans="1:11">
      <c r="A26" t="s">
        <v>55</v>
      </c>
      <c r="E26" t="s">
        <v>56</v>
      </c>
      <c r="J26" t="s">
        <v>153</v>
      </c>
    </row>
    <row r="27" spans="1:11">
      <c r="A27" t="s">
        <v>179</v>
      </c>
      <c r="D27" t="s">
        <v>180</v>
      </c>
      <c r="G27" t="s">
        <v>181</v>
      </c>
    </row>
    <row r="29" spans="1:11">
      <c r="A29" t="s">
        <v>57</v>
      </c>
    </row>
    <row r="30" spans="1:11">
      <c r="B30" t="s">
        <v>58</v>
      </c>
    </row>
    <row r="31" spans="1:11">
      <c r="B31" t="s">
        <v>59</v>
      </c>
      <c r="F31" t="s">
        <v>60</v>
      </c>
      <c r="J31" t="s">
        <v>61</v>
      </c>
    </row>
    <row r="32" spans="1:11">
      <c r="B32" t="s">
        <v>62</v>
      </c>
    </row>
    <row r="37" spans="1:7">
      <c r="A37" t="s">
        <v>63</v>
      </c>
      <c r="D37">
        <v>1</v>
      </c>
      <c r="E37">
        <v>2</v>
      </c>
      <c r="F37">
        <v>3</v>
      </c>
      <c r="G37">
        <v>4</v>
      </c>
    </row>
    <row r="39" spans="1:7">
      <c r="A39" t="s">
        <v>64</v>
      </c>
      <c r="D39">
        <v>42.16</v>
      </c>
      <c r="E39">
        <v>52.16</v>
      </c>
      <c r="F39">
        <v>62.16</v>
      </c>
      <c r="G39">
        <v>72.16</v>
      </c>
    </row>
    <row r="40" spans="1:7">
      <c r="A40" t="s">
        <v>65</v>
      </c>
      <c r="D40">
        <v>10</v>
      </c>
      <c r="E40">
        <v>10</v>
      </c>
      <c r="F40">
        <v>10</v>
      </c>
      <c r="G40">
        <v>10</v>
      </c>
    </row>
    <row r="41" spans="1:7">
      <c r="A41" t="s">
        <v>66</v>
      </c>
      <c r="D41">
        <v>350</v>
      </c>
      <c r="E41">
        <v>350</v>
      </c>
      <c r="F41">
        <v>350</v>
      </c>
      <c r="G41">
        <v>350</v>
      </c>
    </row>
    <row r="42" spans="1:7">
      <c r="A42" t="s">
        <v>67</v>
      </c>
      <c r="D42">
        <v>70</v>
      </c>
      <c r="E42">
        <v>70</v>
      </c>
      <c r="F42">
        <v>70</v>
      </c>
      <c r="G42">
        <v>70</v>
      </c>
    </row>
    <row r="44" spans="1:7">
      <c r="A44" t="s">
        <v>68</v>
      </c>
      <c r="D44">
        <v>100</v>
      </c>
      <c r="E44">
        <v>100</v>
      </c>
      <c r="F44">
        <v>100</v>
      </c>
    </row>
    <row r="45" spans="1:7">
      <c r="A45" t="s">
        <v>69</v>
      </c>
      <c r="D45">
        <v>60</v>
      </c>
      <c r="E45">
        <v>60</v>
      </c>
      <c r="F45">
        <v>60</v>
      </c>
    </row>
    <row r="46" spans="1:7">
      <c r="A46" t="s">
        <v>70</v>
      </c>
      <c r="D46">
        <v>1</v>
      </c>
      <c r="E46">
        <v>1</v>
      </c>
      <c r="F46">
        <v>1</v>
      </c>
    </row>
    <row r="47" spans="1:7">
      <c r="A47" t="s">
        <v>71</v>
      </c>
      <c r="D47">
        <v>0.4</v>
      </c>
      <c r="E47">
        <v>-20</v>
      </c>
    </row>
    <row r="49" spans="1:7">
      <c r="A49" t="s">
        <v>72</v>
      </c>
      <c r="E49">
        <v>100</v>
      </c>
      <c r="F49">
        <v>100</v>
      </c>
      <c r="G49">
        <v>100</v>
      </c>
    </row>
    <row r="50" spans="1:7">
      <c r="A50" t="s">
        <v>73</v>
      </c>
      <c r="E50">
        <v>50</v>
      </c>
      <c r="F50">
        <v>50</v>
      </c>
      <c r="G50">
        <v>50</v>
      </c>
    </row>
    <row r="51" spans="1:7">
      <c r="A51" t="s">
        <v>74</v>
      </c>
      <c r="E51">
        <v>1</v>
      </c>
      <c r="F51">
        <v>1</v>
      </c>
      <c r="G51">
        <v>1</v>
      </c>
    </row>
    <row r="52" spans="1:7">
      <c r="A52" t="s">
        <v>75</v>
      </c>
      <c r="E52">
        <v>0.3</v>
      </c>
      <c r="F52">
        <v>-20</v>
      </c>
    </row>
    <row r="54" spans="1:7">
      <c r="A54" t="s">
        <v>76</v>
      </c>
      <c r="E54">
        <v>100</v>
      </c>
      <c r="F54">
        <v>100</v>
      </c>
    </row>
    <row r="55" spans="1:7">
      <c r="A55" t="s">
        <v>77</v>
      </c>
      <c r="E55">
        <v>50</v>
      </c>
      <c r="F55">
        <v>50</v>
      </c>
    </row>
    <row r="56" spans="1:7">
      <c r="A56" t="s">
        <v>78</v>
      </c>
      <c r="E56">
        <v>2.5</v>
      </c>
      <c r="F56">
        <v>2.5</v>
      </c>
    </row>
    <row r="57" spans="1:7">
      <c r="A57" t="s">
        <v>79</v>
      </c>
      <c r="E57">
        <v>0</v>
      </c>
      <c r="F57">
        <v>-20</v>
      </c>
    </row>
    <row r="59" spans="1:7">
      <c r="A59" t="s">
        <v>80</v>
      </c>
      <c r="D59">
        <v>220</v>
      </c>
      <c r="E59">
        <v>230</v>
      </c>
      <c r="F59">
        <v>230</v>
      </c>
      <c r="G59">
        <v>240</v>
      </c>
    </row>
    <row r="60" spans="1:7">
      <c r="A60" t="s">
        <v>81</v>
      </c>
      <c r="D60">
        <v>220</v>
      </c>
      <c r="E60">
        <v>230</v>
      </c>
      <c r="F60">
        <v>230</v>
      </c>
      <c r="G60">
        <v>240</v>
      </c>
    </row>
    <row r="62" spans="1:7">
      <c r="A62" t="s">
        <v>82</v>
      </c>
      <c r="D62">
        <v>220</v>
      </c>
      <c r="E62">
        <v>230</v>
      </c>
      <c r="F62">
        <v>230</v>
      </c>
      <c r="G62">
        <v>240</v>
      </c>
    </row>
    <row r="63" spans="1:7">
      <c r="A63" t="s">
        <v>83</v>
      </c>
      <c r="D63">
        <v>335</v>
      </c>
      <c r="E63">
        <v>245</v>
      </c>
      <c r="F63">
        <v>241</v>
      </c>
      <c r="G63">
        <v>243</v>
      </c>
    </row>
    <row r="64" spans="1:7">
      <c r="A64" t="s">
        <v>84</v>
      </c>
      <c r="D64">
        <v>37.4</v>
      </c>
    </row>
    <row r="66" spans="1:11">
      <c r="A66" t="s">
        <v>85</v>
      </c>
      <c r="D66" s="28">
        <v>1.7188000000000001</v>
      </c>
    </row>
    <row r="67" spans="1:11">
      <c r="A67" t="s">
        <v>182</v>
      </c>
      <c r="D67" t="s">
        <v>183</v>
      </c>
      <c r="G67" t="s">
        <v>184</v>
      </c>
    </row>
    <row r="69" spans="1:11">
      <c r="A69" t="s">
        <v>86</v>
      </c>
      <c r="D69" t="s">
        <v>87</v>
      </c>
      <c r="E69" t="s">
        <v>88</v>
      </c>
      <c r="F69" t="s">
        <v>89</v>
      </c>
      <c r="G69" t="s">
        <v>90</v>
      </c>
      <c r="H69" t="s">
        <v>91</v>
      </c>
      <c r="I69" t="s">
        <v>92</v>
      </c>
      <c r="J69" t="s">
        <v>155</v>
      </c>
      <c r="K69" t="s">
        <v>156</v>
      </c>
    </row>
    <row r="70" spans="1:11">
      <c r="A70" t="s">
        <v>157</v>
      </c>
      <c r="D70">
        <v>4.05</v>
      </c>
      <c r="E70">
        <v>5.58</v>
      </c>
      <c r="F70">
        <v>5</v>
      </c>
      <c r="G70">
        <v>4.7</v>
      </c>
      <c r="H70">
        <v>5.01</v>
      </c>
      <c r="I70">
        <v>4.72</v>
      </c>
      <c r="J70">
        <v>0.82</v>
      </c>
      <c r="K70">
        <v>1.1399999999999999</v>
      </c>
    </row>
    <row r="71" spans="1:11">
      <c r="A71" t="s">
        <v>185</v>
      </c>
      <c r="D71">
        <v>26.67</v>
      </c>
      <c r="E71">
        <v>29.36</v>
      </c>
      <c r="F71">
        <v>18.18</v>
      </c>
      <c r="G71">
        <v>20.51</v>
      </c>
      <c r="H71">
        <v>17.89</v>
      </c>
      <c r="I71">
        <v>20.14</v>
      </c>
      <c r="J71">
        <v>4.84</v>
      </c>
      <c r="K71">
        <v>56.1</v>
      </c>
    </row>
    <row r="72" spans="1:11">
      <c r="A72" t="s">
        <v>97</v>
      </c>
      <c r="J72">
        <v>102.51</v>
      </c>
      <c r="K72">
        <v>124.44</v>
      </c>
    </row>
    <row r="123" spans="1:32">
      <c r="A123" t="s">
        <v>98</v>
      </c>
      <c r="B123" t="s">
        <v>99</v>
      </c>
      <c r="D123">
        <v>4.68</v>
      </c>
      <c r="F123" t="s">
        <v>100</v>
      </c>
      <c r="H123">
        <v>4.68</v>
      </c>
      <c r="J123" t="s">
        <v>101</v>
      </c>
      <c r="L123">
        <v>0</v>
      </c>
      <c r="N123" t="s">
        <v>102</v>
      </c>
      <c r="P123">
        <v>1.7</v>
      </c>
      <c r="R123" t="s">
        <v>103</v>
      </c>
      <c r="T123">
        <v>1.7</v>
      </c>
      <c r="V123" t="s">
        <v>104</v>
      </c>
      <c r="X123">
        <v>0</v>
      </c>
      <c r="Z123" t="s">
        <v>105</v>
      </c>
      <c r="AB123">
        <v>270</v>
      </c>
      <c r="AD123" t="s">
        <v>106</v>
      </c>
      <c r="AF123">
        <v>270.39999999999998</v>
      </c>
    </row>
    <row r="124" spans="1:32">
      <c r="A124" t="s">
        <v>107</v>
      </c>
      <c r="D124" t="s">
        <v>108</v>
      </c>
      <c r="E124" t="s">
        <v>109</v>
      </c>
      <c r="F124" t="s">
        <v>110</v>
      </c>
      <c r="G124" t="s">
        <v>111</v>
      </c>
      <c r="H124" t="s">
        <v>112</v>
      </c>
      <c r="I124" t="s">
        <v>113</v>
      </c>
      <c r="J124" t="s">
        <v>114</v>
      </c>
      <c r="K124" t="s">
        <v>115</v>
      </c>
      <c r="L124" t="s">
        <v>116</v>
      </c>
      <c r="M124" t="s">
        <v>158</v>
      </c>
      <c r="N124" t="s">
        <v>159</v>
      </c>
      <c r="O124" t="s">
        <v>160</v>
      </c>
    </row>
    <row r="125" spans="1:32">
      <c r="A125" t="s">
        <v>157</v>
      </c>
      <c r="D125">
        <v>1</v>
      </c>
      <c r="E125">
        <v>2</v>
      </c>
      <c r="F125">
        <v>3</v>
      </c>
      <c r="G125">
        <v>1</v>
      </c>
      <c r="H125">
        <v>2</v>
      </c>
      <c r="I125">
        <v>3</v>
      </c>
      <c r="J125">
        <v>1</v>
      </c>
      <c r="K125">
        <v>2</v>
      </c>
      <c r="L125">
        <v>3</v>
      </c>
      <c r="M125">
        <v>1</v>
      </c>
      <c r="N125">
        <v>2</v>
      </c>
      <c r="O125">
        <v>3</v>
      </c>
    </row>
    <row r="126" spans="1:32">
      <c r="A126" t="s">
        <v>185</v>
      </c>
      <c r="D126">
        <v>30</v>
      </c>
      <c r="E126">
        <v>65</v>
      </c>
      <c r="F126">
        <v>100</v>
      </c>
      <c r="G126">
        <v>30</v>
      </c>
      <c r="H126">
        <v>65</v>
      </c>
      <c r="I126">
        <v>100</v>
      </c>
      <c r="J126">
        <v>30</v>
      </c>
      <c r="K126">
        <v>65</v>
      </c>
      <c r="L126">
        <v>100</v>
      </c>
      <c r="M126">
        <v>30</v>
      </c>
      <c r="N126">
        <v>65</v>
      </c>
      <c r="O126">
        <v>100</v>
      </c>
    </row>
    <row r="127" spans="1:32">
      <c r="A127" t="s">
        <v>97</v>
      </c>
      <c r="M127">
        <v>100</v>
      </c>
      <c r="N127">
        <v>120</v>
      </c>
      <c r="O127">
        <v>140</v>
      </c>
    </row>
    <row r="175" spans="1:30">
      <c r="A175" t="s">
        <v>117</v>
      </c>
      <c r="D175" t="s">
        <v>118</v>
      </c>
      <c r="E175" t="s">
        <v>119</v>
      </c>
      <c r="F175" t="s">
        <v>88</v>
      </c>
      <c r="G175" t="s">
        <v>120</v>
      </c>
      <c r="H175" t="s">
        <v>121</v>
      </c>
      <c r="I175" t="s">
        <v>90</v>
      </c>
      <c r="J175" t="s">
        <v>122</v>
      </c>
      <c r="K175" t="s">
        <v>123</v>
      </c>
      <c r="L175" t="s">
        <v>92</v>
      </c>
      <c r="M175" t="s">
        <v>124</v>
      </c>
      <c r="N175" t="s">
        <v>125</v>
      </c>
      <c r="O175" t="s">
        <v>93</v>
      </c>
      <c r="P175" t="s">
        <v>126</v>
      </c>
      <c r="Q175" t="s">
        <v>127</v>
      </c>
      <c r="R175" t="s">
        <v>94</v>
      </c>
      <c r="S175" t="s">
        <v>128</v>
      </c>
      <c r="T175" t="s">
        <v>129</v>
      </c>
      <c r="U175" t="s">
        <v>95</v>
      </c>
      <c r="V175" t="s">
        <v>130</v>
      </c>
      <c r="W175" t="s">
        <v>131</v>
      </c>
      <c r="X175" t="s">
        <v>96</v>
      </c>
      <c r="Y175" t="s">
        <v>161</v>
      </c>
      <c r="Z175" t="s">
        <v>162</v>
      </c>
      <c r="AA175" t="s">
        <v>154</v>
      </c>
      <c r="AB175" t="s">
        <v>163</v>
      </c>
      <c r="AC175" t="s">
        <v>164</v>
      </c>
      <c r="AD175" t="s">
        <v>156</v>
      </c>
    </row>
    <row r="176" spans="1:30">
      <c r="A176" t="s">
        <v>157</v>
      </c>
      <c r="D176">
        <v>0</v>
      </c>
      <c r="E176" s="28">
        <v>0</v>
      </c>
      <c r="F176" s="28">
        <v>0</v>
      </c>
      <c r="G176">
        <v>-0.01</v>
      </c>
      <c r="H176" s="28">
        <v>0</v>
      </c>
      <c r="I176" s="28">
        <v>0</v>
      </c>
      <c r="J176">
        <v>-0.01</v>
      </c>
      <c r="K176" s="28">
        <v>0</v>
      </c>
      <c r="L176" s="28">
        <v>0</v>
      </c>
      <c r="N176" s="28"/>
      <c r="O176" s="28"/>
      <c r="P176">
        <v>0</v>
      </c>
      <c r="Q176" s="28">
        <v>0</v>
      </c>
      <c r="R176" s="28">
        <v>0</v>
      </c>
      <c r="S176">
        <v>0</v>
      </c>
      <c r="T176" s="28">
        <v>0</v>
      </c>
      <c r="U176" s="28">
        <v>0</v>
      </c>
      <c r="V176">
        <v>0</v>
      </c>
      <c r="W176" s="28">
        <v>0</v>
      </c>
      <c r="X176" s="28">
        <v>0</v>
      </c>
      <c r="Y176">
        <v>0</v>
      </c>
      <c r="Z176" s="28">
        <v>0</v>
      </c>
      <c r="AA176" s="28">
        <v>0</v>
      </c>
      <c r="AB176">
        <v>0</v>
      </c>
      <c r="AC176" s="28">
        <v>-1.1833</v>
      </c>
      <c r="AD176" s="28">
        <v>-0.86370000000000002</v>
      </c>
    </row>
    <row r="177" spans="1:30">
      <c r="A177" t="s">
        <v>185</v>
      </c>
      <c r="D177">
        <v>0</v>
      </c>
      <c r="E177" s="28">
        <v>0</v>
      </c>
      <c r="F177" s="28">
        <v>0</v>
      </c>
      <c r="G177">
        <v>0.48</v>
      </c>
      <c r="H177" s="28">
        <v>0</v>
      </c>
      <c r="I177" s="28">
        <v>0</v>
      </c>
      <c r="J177">
        <v>0.16</v>
      </c>
      <c r="K177" s="28">
        <v>0</v>
      </c>
      <c r="L177" s="28">
        <v>0</v>
      </c>
      <c r="N177" s="28"/>
      <c r="O177" s="28"/>
      <c r="P177">
        <v>0</v>
      </c>
      <c r="Q177" s="28">
        <v>0</v>
      </c>
      <c r="R177" s="28">
        <v>0</v>
      </c>
      <c r="S177">
        <v>0</v>
      </c>
      <c r="T177" s="28">
        <v>0</v>
      </c>
      <c r="U177" s="28">
        <v>0</v>
      </c>
      <c r="V177">
        <v>0</v>
      </c>
      <c r="W177" s="28">
        <v>0</v>
      </c>
      <c r="X177" s="28">
        <v>0</v>
      </c>
      <c r="Y177">
        <v>0</v>
      </c>
      <c r="Z177" s="28">
        <v>0</v>
      </c>
      <c r="AA177" s="28">
        <v>0</v>
      </c>
      <c r="AB177">
        <v>-11.22</v>
      </c>
      <c r="AC177" s="28">
        <v>-1.7188000000000001</v>
      </c>
      <c r="AD177" s="28">
        <v>-0.25419999999999998</v>
      </c>
    </row>
    <row r="178" spans="1:30">
      <c r="A178" t="s">
        <v>97</v>
      </c>
      <c r="P178">
        <v>0</v>
      </c>
      <c r="Q178" s="28">
        <v>0</v>
      </c>
      <c r="R178" s="28">
        <v>0</v>
      </c>
      <c r="S178">
        <v>0</v>
      </c>
      <c r="T178" s="28">
        <v>0</v>
      </c>
      <c r="U178" s="28">
        <v>0</v>
      </c>
      <c r="V178">
        <v>0</v>
      </c>
      <c r="W178" s="28">
        <v>0</v>
      </c>
      <c r="X178" s="28">
        <v>0</v>
      </c>
      <c r="Y178">
        <v>0</v>
      </c>
      <c r="Z178" s="28">
        <v>0</v>
      </c>
      <c r="AA178" s="28">
        <v>0</v>
      </c>
      <c r="AB178">
        <v>-5.56</v>
      </c>
      <c r="AC178" s="28">
        <v>-0.87470000000000003</v>
      </c>
      <c r="AD178" s="28">
        <v>0.22189999999999999</v>
      </c>
    </row>
    <row r="226" spans="1:50">
      <c r="A226" t="s">
        <v>165</v>
      </c>
      <c r="E226" t="s">
        <v>166</v>
      </c>
    </row>
    <row r="227" spans="1:50">
      <c r="A227" t="s">
        <v>132</v>
      </c>
    </row>
    <row r="228" spans="1:50">
      <c r="A228" t="s">
        <v>186</v>
      </c>
      <c r="G228" t="s">
        <v>187</v>
      </c>
    </row>
    <row r="230" spans="1:50">
      <c r="A230" t="s">
        <v>133</v>
      </c>
    </row>
    <row r="231" spans="1:50">
      <c r="A231" t="s">
        <v>134</v>
      </c>
    </row>
    <row r="232" spans="1:50">
      <c r="A232" t="s">
        <v>135</v>
      </c>
      <c r="B232" t="s">
        <v>136</v>
      </c>
      <c r="K232" t="s">
        <v>137</v>
      </c>
      <c r="L232" t="s">
        <v>138</v>
      </c>
      <c r="U232" t="s">
        <v>139</v>
      </c>
      <c r="AD232" t="s">
        <v>140</v>
      </c>
      <c r="AE232" t="s">
        <v>141</v>
      </c>
      <c r="AN232" t="s">
        <v>142</v>
      </c>
    </row>
    <row r="233" spans="1:50">
      <c r="A233" t="s">
        <v>3</v>
      </c>
      <c r="B233" t="s">
        <v>4</v>
      </c>
      <c r="C233" t="s">
        <v>5</v>
      </c>
      <c r="D233" t="s">
        <v>6</v>
      </c>
      <c r="E233" t="s">
        <v>7</v>
      </c>
      <c r="F233" t="s">
        <v>8</v>
      </c>
      <c r="G233" t="s">
        <v>9</v>
      </c>
      <c r="H233" t="s">
        <v>10</v>
      </c>
      <c r="I233" t="s">
        <v>167</v>
      </c>
      <c r="J233" t="s">
        <v>168</v>
      </c>
      <c r="L233" t="s">
        <v>4</v>
      </c>
      <c r="M233" t="s">
        <v>5</v>
      </c>
      <c r="N233" t="s">
        <v>6</v>
      </c>
      <c r="O233" t="s">
        <v>7</v>
      </c>
      <c r="P233" t="s">
        <v>8</v>
      </c>
      <c r="Q233" t="s">
        <v>9</v>
      </c>
      <c r="R233" t="s">
        <v>10</v>
      </c>
      <c r="S233" t="s">
        <v>167</v>
      </c>
      <c r="T233" t="s">
        <v>168</v>
      </c>
      <c r="U233" t="s">
        <v>4</v>
      </c>
      <c r="V233" t="s">
        <v>5</v>
      </c>
      <c r="W233" t="s">
        <v>6</v>
      </c>
      <c r="X233" t="s">
        <v>7</v>
      </c>
      <c r="Y233" t="s">
        <v>8</v>
      </c>
      <c r="Z233" t="s">
        <v>9</v>
      </c>
      <c r="AA233" t="s">
        <v>10</v>
      </c>
      <c r="AB233" t="s">
        <v>167</v>
      </c>
      <c r="AC233" t="s">
        <v>168</v>
      </c>
      <c r="AD233" t="s">
        <v>3</v>
      </c>
      <c r="AE233" t="s">
        <v>4</v>
      </c>
      <c r="AF233" t="s">
        <v>5</v>
      </c>
      <c r="AG233" t="s">
        <v>6</v>
      </c>
      <c r="AH233" t="s">
        <v>7</v>
      </c>
      <c r="AI233" t="s">
        <v>8</v>
      </c>
      <c r="AJ233" t="s">
        <v>9</v>
      </c>
      <c r="AK233" t="s">
        <v>10</v>
      </c>
      <c r="AL233" t="s">
        <v>167</v>
      </c>
      <c r="AM233" t="s">
        <v>168</v>
      </c>
      <c r="AN233" t="s">
        <v>143</v>
      </c>
      <c r="AO233" t="s">
        <v>144</v>
      </c>
      <c r="AP233" t="s">
        <v>145</v>
      </c>
      <c r="AQ233" t="s">
        <v>146</v>
      </c>
      <c r="AR233" t="s">
        <v>147</v>
      </c>
      <c r="AS233" t="s">
        <v>148</v>
      </c>
      <c r="AT233" t="s">
        <v>149</v>
      </c>
      <c r="AU233" t="s">
        <v>169</v>
      </c>
      <c r="AV233" t="s">
        <v>170</v>
      </c>
      <c r="AW233" t="s">
        <v>150</v>
      </c>
      <c r="AX233" t="s">
        <v>151</v>
      </c>
    </row>
    <row r="234" spans="1:50">
      <c r="A234">
        <v>0</v>
      </c>
      <c r="B234">
        <v>43.73</v>
      </c>
      <c r="C234">
        <v>37.51</v>
      </c>
      <c r="D234">
        <v>37.729999999999997</v>
      </c>
      <c r="E234">
        <v>41.73</v>
      </c>
      <c r="F234">
        <v>30.23</v>
      </c>
      <c r="G234">
        <v>30.17</v>
      </c>
      <c r="H234">
        <v>31.01</v>
      </c>
      <c r="I234">
        <v>31.78</v>
      </c>
      <c r="J234">
        <v>28.62</v>
      </c>
      <c r="K234">
        <v>28.95</v>
      </c>
      <c r="L234">
        <v>0</v>
      </c>
      <c r="M234">
        <v>0.28999999999999998</v>
      </c>
      <c r="N234">
        <v>0.28999999999999998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5.17</v>
      </c>
      <c r="W234">
        <v>4.82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43.73</v>
      </c>
      <c r="AF234">
        <v>37.51</v>
      </c>
      <c r="AG234">
        <v>37.729999999999997</v>
      </c>
      <c r="AM234">
        <v>28.62</v>
      </c>
      <c r="AN234">
        <v>43.73</v>
      </c>
      <c r="AO234">
        <v>37.51</v>
      </c>
      <c r="AP234">
        <v>37.729999999999997</v>
      </c>
      <c r="AV234">
        <v>28.62</v>
      </c>
      <c r="AW234">
        <v>32</v>
      </c>
      <c r="AX234">
        <v>32</v>
      </c>
    </row>
    <row r="235" spans="1:50">
      <c r="A235">
        <v>0.17</v>
      </c>
      <c r="B235">
        <v>46.4</v>
      </c>
      <c r="C235">
        <v>38.450000000000003</v>
      </c>
      <c r="D235">
        <v>38.729999999999997</v>
      </c>
      <c r="E235">
        <v>41.62</v>
      </c>
      <c r="F235">
        <v>30.23</v>
      </c>
      <c r="G235">
        <v>30.28</v>
      </c>
      <c r="H235">
        <v>31.06</v>
      </c>
      <c r="I235">
        <v>31.9</v>
      </c>
      <c r="J235">
        <v>28.62</v>
      </c>
      <c r="K235">
        <v>28.95</v>
      </c>
      <c r="L235">
        <v>0</v>
      </c>
      <c r="M235">
        <v>0.28999999999999998</v>
      </c>
      <c r="N235">
        <v>0.28999999999999998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38.840000000000003</v>
      </c>
      <c r="W235">
        <v>36.28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-44.31</v>
      </c>
      <c r="AD235">
        <v>0.71</v>
      </c>
      <c r="AE235">
        <v>53.05</v>
      </c>
      <c r="AF235">
        <v>40.79</v>
      </c>
      <c r="AG235">
        <v>40.9</v>
      </c>
      <c r="AM235">
        <v>28.67</v>
      </c>
      <c r="AN235">
        <v>53.05</v>
      </c>
      <c r="AO235">
        <v>41.16</v>
      </c>
      <c r="AP235">
        <v>41.26</v>
      </c>
      <c r="AV235">
        <v>28.68</v>
      </c>
      <c r="AW235">
        <v>33.97</v>
      </c>
      <c r="AX235">
        <v>32</v>
      </c>
    </row>
    <row r="236" spans="1:50">
      <c r="A236">
        <v>0.33</v>
      </c>
      <c r="B236">
        <v>50.01</v>
      </c>
      <c r="C236">
        <v>39.340000000000003</v>
      </c>
      <c r="D236">
        <v>39.51</v>
      </c>
      <c r="E236">
        <v>42.17</v>
      </c>
      <c r="F236">
        <v>30.34</v>
      </c>
      <c r="G236">
        <v>30.34</v>
      </c>
      <c r="H236">
        <v>31.23</v>
      </c>
      <c r="I236">
        <v>32.06</v>
      </c>
      <c r="J236">
        <v>28.67</v>
      </c>
      <c r="K236">
        <v>28.95</v>
      </c>
      <c r="L236">
        <v>0</v>
      </c>
      <c r="M236">
        <v>0.28999999999999998</v>
      </c>
      <c r="N236">
        <v>0.28999999999999998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8.18</v>
      </c>
      <c r="W236">
        <v>10.15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-7.71</v>
      </c>
      <c r="AD236">
        <v>1.42</v>
      </c>
      <c r="AE236">
        <v>56.28</v>
      </c>
      <c r="AF236">
        <v>55.5</v>
      </c>
      <c r="AG236">
        <v>55.09</v>
      </c>
      <c r="AM236">
        <v>28.64</v>
      </c>
      <c r="AN236">
        <v>56.28</v>
      </c>
      <c r="AO236">
        <v>57.41</v>
      </c>
      <c r="AP236">
        <v>56.93</v>
      </c>
      <c r="AV236">
        <v>28.64</v>
      </c>
      <c r="AW236">
        <v>35.93</v>
      </c>
      <c r="AX236">
        <v>32</v>
      </c>
    </row>
    <row r="237" spans="1:50">
      <c r="A237">
        <v>0.5</v>
      </c>
      <c r="B237">
        <v>52.12</v>
      </c>
      <c r="C237">
        <v>39.950000000000003</v>
      </c>
      <c r="D237">
        <v>40.119999999999997</v>
      </c>
      <c r="E237">
        <v>42.73</v>
      </c>
      <c r="F237">
        <v>30.28</v>
      </c>
      <c r="G237">
        <v>30.34</v>
      </c>
      <c r="H237">
        <v>31.28</v>
      </c>
      <c r="I237">
        <v>32.06</v>
      </c>
      <c r="J237">
        <v>28.67</v>
      </c>
      <c r="K237">
        <v>28.95</v>
      </c>
      <c r="L237">
        <v>0</v>
      </c>
      <c r="M237">
        <v>0.28999999999999998</v>
      </c>
      <c r="N237">
        <v>0.28999999999999998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5.94</v>
      </c>
      <c r="W237">
        <v>5.58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-20.55</v>
      </c>
      <c r="AD237">
        <v>2.12</v>
      </c>
      <c r="AE237">
        <v>59.72</v>
      </c>
      <c r="AF237">
        <v>58.08</v>
      </c>
      <c r="AG237">
        <v>58.42</v>
      </c>
      <c r="AM237">
        <v>28.67</v>
      </c>
      <c r="AN237">
        <v>59.72</v>
      </c>
      <c r="AO237">
        <v>59.67</v>
      </c>
      <c r="AP237">
        <v>60.03</v>
      </c>
      <c r="AV237">
        <v>28.68</v>
      </c>
      <c r="AW237">
        <v>37.9</v>
      </c>
      <c r="AX237">
        <v>32.01</v>
      </c>
    </row>
    <row r="238" spans="1:50">
      <c r="A238">
        <v>0.67</v>
      </c>
      <c r="B238">
        <v>52.9</v>
      </c>
      <c r="C238">
        <v>40.619999999999997</v>
      </c>
      <c r="D238">
        <v>40.78</v>
      </c>
      <c r="E238">
        <v>43.34</v>
      </c>
      <c r="F238">
        <v>30.34</v>
      </c>
      <c r="G238">
        <v>30.45</v>
      </c>
      <c r="H238">
        <v>31.28</v>
      </c>
      <c r="I238">
        <v>32.119999999999997</v>
      </c>
      <c r="J238">
        <v>28.67</v>
      </c>
      <c r="K238">
        <v>28.95</v>
      </c>
      <c r="L238">
        <v>0</v>
      </c>
      <c r="M238">
        <v>0.28999999999999998</v>
      </c>
      <c r="N238">
        <v>0.28999999999999998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11.4</v>
      </c>
      <c r="W238">
        <v>10.46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-16.12</v>
      </c>
      <c r="AD238">
        <v>2.83</v>
      </c>
      <c r="AE238">
        <v>64.06</v>
      </c>
      <c r="AF238">
        <v>60.26</v>
      </c>
      <c r="AG238">
        <v>60.43</v>
      </c>
      <c r="AM238">
        <v>28.69</v>
      </c>
      <c r="AN238">
        <v>64.06</v>
      </c>
      <c r="AO238">
        <v>61.59</v>
      </c>
      <c r="AP238">
        <v>61.75</v>
      </c>
      <c r="AV238">
        <v>28.7</v>
      </c>
      <c r="AW238">
        <v>39.869999999999997</v>
      </c>
      <c r="AX238">
        <v>32.020000000000003</v>
      </c>
    </row>
    <row r="239" spans="1:50">
      <c r="A239">
        <v>0.83</v>
      </c>
      <c r="B239">
        <v>53.84</v>
      </c>
      <c r="C239">
        <v>41.67</v>
      </c>
      <c r="D239">
        <v>41.51</v>
      </c>
      <c r="E239">
        <v>44.34</v>
      </c>
      <c r="F239">
        <v>30.51</v>
      </c>
      <c r="G239">
        <v>30.51</v>
      </c>
      <c r="H239">
        <v>31.4</v>
      </c>
      <c r="I239">
        <v>32.229999999999997</v>
      </c>
      <c r="J239">
        <v>28.67</v>
      </c>
      <c r="K239">
        <v>28.95</v>
      </c>
      <c r="L239">
        <v>0</v>
      </c>
      <c r="M239">
        <v>0.28999999999999998</v>
      </c>
      <c r="N239">
        <v>0.28999999999999998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32.54</v>
      </c>
      <c r="W239">
        <v>34.840000000000003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-50.15</v>
      </c>
      <c r="AD239">
        <v>3.54</v>
      </c>
      <c r="AE239">
        <v>79.75</v>
      </c>
      <c r="AF239">
        <v>64.64</v>
      </c>
      <c r="AG239">
        <v>64.56</v>
      </c>
      <c r="AM239">
        <v>28.73</v>
      </c>
      <c r="AN239">
        <v>79.75</v>
      </c>
      <c r="AO239">
        <v>66.040000000000006</v>
      </c>
      <c r="AP239">
        <v>65.91</v>
      </c>
      <c r="AV239">
        <v>28.74</v>
      </c>
      <c r="AW239">
        <v>41.83</v>
      </c>
      <c r="AX239">
        <v>32.04</v>
      </c>
    </row>
    <row r="240" spans="1:50">
      <c r="A240">
        <v>1</v>
      </c>
      <c r="B240">
        <v>54.51</v>
      </c>
      <c r="C240">
        <v>45.56</v>
      </c>
      <c r="D240">
        <v>44.84</v>
      </c>
      <c r="E240">
        <v>45.17</v>
      </c>
      <c r="F240">
        <v>30.51</v>
      </c>
      <c r="G240">
        <v>30.62</v>
      </c>
      <c r="H240">
        <v>31.45</v>
      </c>
      <c r="I240">
        <v>32.229999999999997</v>
      </c>
      <c r="J240">
        <v>28.67</v>
      </c>
      <c r="K240">
        <v>28.95</v>
      </c>
      <c r="L240">
        <v>0</v>
      </c>
      <c r="M240">
        <v>0.28999999999999998</v>
      </c>
      <c r="N240">
        <v>0.28999999999999998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3.39</v>
      </c>
      <c r="W240">
        <v>4.71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-19.98</v>
      </c>
      <c r="AD240">
        <v>4.25</v>
      </c>
      <c r="AE240">
        <v>81.44</v>
      </c>
      <c r="AF240">
        <v>78.36</v>
      </c>
      <c r="AG240">
        <v>79.22</v>
      </c>
      <c r="AM240">
        <v>28.73</v>
      </c>
      <c r="AN240">
        <v>81.44</v>
      </c>
      <c r="AO240">
        <v>80.86</v>
      </c>
      <c r="AP240">
        <v>81.790000000000006</v>
      </c>
      <c r="AV240">
        <v>28.74</v>
      </c>
      <c r="AW240">
        <v>43.8</v>
      </c>
      <c r="AX240">
        <v>32.08</v>
      </c>
    </row>
    <row r="241" spans="1:50">
      <c r="A241">
        <v>1.17</v>
      </c>
      <c r="B241">
        <v>55.4</v>
      </c>
      <c r="C241">
        <v>50.84</v>
      </c>
      <c r="D241">
        <v>49.73</v>
      </c>
      <c r="E241">
        <v>45.62</v>
      </c>
      <c r="F241">
        <v>30.51</v>
      </c>
      <c r="G241">
        <v>30.62</v>
      </c>
      <c r="H241">
        <v>31.45</v>
      </c>
      <c r="I241">
        <v>32.340000000000003</v>
      </c>
      <c r="J241">
        <v>28.67</v>
      </c>
      <c r="K241">
        <v>28.95</v>
      </c>
      <c r="L241">
        <v>0</v>
      </c>
      <c r="M241">
        <v>0.28999999999999998</v>
      </c>
      <c r="N241">
        <v>0.28999999999999998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5.82</v>
      </c>
      <c r="W241">
        <v>6.03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-37.94</v>
      </c>
      <c r="AD241">
        <v>4.95</v>
      </c>
      <c r="AE241">
        <v>83.68</v>
      </c>
      <c r="AF241">
        <v>80.23</v>
      </c>
      <c r="AG241">
        <v>81.25</v>
      </c>
      <c r="AM241">
        <v>28.79</v>
      </c>
      <c r="AN241">
        <v>83.68</v>
      </c>
      <c r="AO241">
        <v>82.13</v>
      </c>
      <c r="AP241">
        <v>83.21</v>
      </c>
      <c r="AV241">
        <v>28.81</v>
      </c>
      <c r="AW241">
        <v>45.77</v>
      </c>
      <c r="AX241">
        <v>32.130000000000003</v>
      </c>
    </row>
    <row r="242" spans="1:50">
      <c r="A242">
        <v>1.33</v>
      </c>
      <c r="B242">
        <v>56.01</v>
      </c>
      <c r="C242">
        <v>55.06</v>
      </c>
      <c r="D242">
        <v>54.45</v>
      </c>
      <c r="E242">
        <v>46.45</v>
      </c>
      <c r="F242">
        <v>30.62</v>
      </c>
      <c r="G242">
        <v>30.62</v>
      </c>
      <c r="H242">
        <v>31.51</v>
      </c>
      <c r="I242">
        <v>32.51</v>
      </c>
      <c r="J242">
        <v>28.62</v>
      </c>
      <c r="K242">
        <v>28.95</v>
      </c>
      <c r="L242">
        <v>0</v>
      </c>
      <c r="M242">
        <v>0.28999999999999998</v>
      </c>
      <c r="N242">
        <v>0.28999999999999998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7.93</v>
      </c>
      <c r="W242">
        <v>5.36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-62.24</v>
      </c>
      <c r="AD242">
        <v>5.66</v>
      </c>
      <c r="AE242">
        <v>86.42</v>
      </c>
      <c r="AF242">
        <v>82.9</v>
      </c>
      <c r="AG242">
        <v>83.73</v>
      </c>
      <c r="AM242">
        <v>28.82</v>
      </c>
      <c r="AN242">
        <v>86.42</v>
      </c>
      <c r="AO242">
        <v>84.49</v>
      </c>
      <c r="AP242">
        <v>85.33</v>
      </c>
      <c r="AV242">
        <v>28.85</v>
      </c>
      <c r="AW242">
        <v>47.73</v>
      </c>
      <c r="AX242">
        <v>32.21</v>
      </c>
    </row>
    <row r="243" spans="1:50">
      <c r="A243">
        <v>1.5</v>
      </c>
      <c r="B243">
        <v>56.84</v>
      </c>
      <c r="C243">
        <v>56.4</v>
      </c>
      <c r="D243">
        <v>56.4</v>
      </c>
      <c r="E243">
        <v>47.51</v>
      </c>
      <c r="F243">
        <v>30.67</v>
      </c>
      <c r="G243">
        <v>30.73</v>
      </c>
      <c r="H243">
        <v>31.62</v>
      </c>
      <c r="I243">
        <v>32.56</v>
      </c>
      <c r="J243">
        <v>28.67</v>
      </c>
      <c r="K243">
        <v>28.95</v>
      </c>
      <c r="L243">
        <v>0</v>
      </c>
      <c r="M243">
        <v>0.28999999999999998</v>
      </c>
      <c r="N243">
        <v>0.28999999999999998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34.79</v>
      </c>
      <c r="W243">
        <v>33.47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-65.84</v>
      </c>
      <c r="AD243">
        <v>6.37</v>
      </c>
      <c r="AE243">
        <v>96.85</v>
      </c>
      <c r="AF243">
        <v>86.19</v>
      </c>
      <c r="AG243">
        <v>86.09</v>
      </c>
      <c r="AM243">
        <v>28.81</v>
      </c>
      <c r="AN243">
        <v>96.85</v>
      </c>
      <c r="AO243">
        <v>87.65</v>
      </c>
      <c r="AP243">
        <v>87.43</v>
      </c>
      <c r="AV243">
        <v>28.84</v>
      </c>
      <c r="AW243">
        <v>49.7</v>
      </c>
      <c r="AX243">
        <v>32.31</v>
      </c>
    </row>
    <row r="244" spans="1:50">
      <c r="A244">
        <v>1.67</v>
      </c>
      <c r="B244">
        <v>57.67</v>
      </c>
      <c r="C244">
        <v>57.06</v>
      </c>
      <c r="D244">
        <v>57.28</v>
      </c>
      <c r="E244">
        <v>49.06</v>
      </c>
      <c r="F244">
        <v>30.78</v>
      </c>
      <c r="G244">
        <v>30.73</v>
      </c>
      <c r="H244">
        <v>31.67</v>
      </c>
      <c r="I244">
        <v>32.67</v>
      </c>
      <c r="J244">
        <v>28.67</v>
      </c>
      <c r="K244">
        <v>28.95</v>
      </c>
      <c r="L244">
        <v>0</v>
      </c>
      <c r="M244">
        <v>0.28999999999999998</v>
      </c>
      <c r="N244">
        <v>0.28999999999999998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5.5</v>
      </c>
      <c r="W244">
        <v>8.6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-36.380000000000003</v>
      </c>
      <c r="AD244">
        <v>7.08</v>
      </c>
      <c r="AE244">
        <v>99.79</v>
      </c>
      <c r="AF244">
        <v>99.28</v>
      </c>
      <c r="AG244">
        <v>99.05</v>
      </c>
      <c r="AM244">
        <v>28.82</v>
      </c>
      <c r="AN244">
        <v>99.79</v>
      </c>
      <c r="AO244">
        <v>101.75</v>
      </c>
      <c r="AP244">
        <v>101.42</v>
      </c>
      <c r="AV244">
        <v>28.84</v>
      </c>
      <c r="AW244">
        <v>51.67</v>
      </c>
      <c r="AX244">
        <v>32.450000000000003</v>
      </c>
    </row>
    <row r="245" spans="1:50">
      <c r="A245">
        <v>1.83</v>
      </c>
      <c r="B245">
        <v>58.51</v>
      </c>
      <c r="C245">
        <v>57.45</v>
      </c>
      <c r="D245">
        <v>57.78</v>
      </c>
      <c r="E245">
        <v>50.84</v>
      </c>
      <c r="F245">
        <v>30.78</v>
      </c>
      <c r="G245">
        <v>30.78</v>
      </c>
      <c r="H245">
        <v>31.67</v>
      </c>
      <c r="I245">
        <v>32.78</v>
      </c>
      <c r="J245">
        <v>28.67</v>
      </c>
      <c r="K245">
        <v>28.95</v>
      </c>
      <c r="L245">
        <v>0</v>
      </c>
      <c r="M245">
        <v>0.28999999999999998</v>
      </c>
      <c r="N245">
        <v>0.14000000000000001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3.56</v>
      </c>
      <c r="W245">
        <v>8.2899999999999991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-65.88</v>
      </c>
      <c r="AD245">
        <v>7.78</v>
      </c>
      <c r="AE245">
        <v>101.27</v>
      </c>
      <c r="AF245">
        <v>101.01</v>
      </c>
      <c r="AG245">
        <v>101.79</v>
      </c>
      <c r="AM245">
        <v>28.88</v>
      </c>
      <c r="AN245">
        <v>101.27</v>
      </c>
      <c r="AO245">
        <v>102.88</v>
      </c>
      <c r="AP245">
        <v>103.69</v>
      </c>
      <c r="AV245">
        <v>28.91</v>
      </c>
      <c r="AW245">
        <v>53.63</v>
      </c>
      <c r="AX245">
        <v>32.630000000000003</v>
      </c>
    </row>
    <row r="246" spans="1:50">
      <c r="A246">
        <v>2</v>
      </c>
      <c r="B246">
        <v>59.45</v>
      </c>
      <c r="C246">
        <v>57.78</v>
      </c>
      <c r="D246">
        <v>58.17</v>
      </c>
      <c r="E246">
        <v>52.23</v>
      </c>
      <c r="F246">
        <v>30.9</v>
      </c>
      <c r="G246">
        <v>30.9</v>
      </c>
      <c r="H246">
        <v>31.67</v>
      </c>
      <c r="I246">
        <v>32.840000000000003</v>
      </c>
      <c r="J246">
        <v>28.67</v>
      </c>
      <c r="K246">
        <v>28.95</v>
      </c>
      <c r="L246">
        <v>0</v>
      </c>
      <c r="M246">
        <v>0.16</v>
      </c>
      <c r="N246">
        <v>0.14000000000000001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-1.92</v>
      </c>
      <c r="W246">
        <v>-1.82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-71.239999999999995</v>
      </c>
      <c r="AD246">
        <v>8.49</v>
      </c>
      <c r="AE246">
        <v>103.13</v>
      </c>
      <c r="AF246">
        <v>102.11</v>
      </c>
      <c r="AG246">
        <v>102.89</v>
      </c>
      <c r="AM246">
        <v>28.9</v>
      </c>
      <c r="AN246">
        <v>103.13</v>
      </c>
      <c r="AO246">
        <v>103.5</v>
      </c>
      <c r="AP246">
        <v>104.61</v>
      </c>
      <c r="AV246">
        <v>28.93</v>
      </c>
      <c r="AW246">
        <v>55.6</v>
      </c>
      <c r="AX246">
        <v>32.85</v>
      </c>
    </row>
    <row r="247" spans="1:50">
      <c r="A247">
        <v>2.17</v>
      </c>
      <c r="B247">
        <v>60.01</v>
      </c>
      <c r="C247">
        <v>58.4</v>
      </c>
      <c r="D247">
        <v>58.67</v>
      </c>
      <c r="E247">
        <v>53.06</v>
      </c>
      <c r="F247">
        <v>30.9</v>
      </c>
      <c r="G247">
        <v>30.95</v>
      </c>
      <c r="H247">
        <v>31.67</v>
      </c>
      <c r="I247">
        <v>32.950000000000003</v>
      </c>
      <c r="J247">
        <v>28.67</v>
      </c>
      <c r="K247">
        <v>28.95</v>
      </c>
      <c r="L247">
        <v>0</v>
      </c>
      <c r="M247">
        <v>0.28999999999999998</v>
      </c>
      <c r="N247">
        <v>0.28999999999999998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14.5</v>
      </c>
      <c r="W247">
        <v>11.02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-19.48</v>
      </c>
      <c r="AD247">
        <v>9.1999999999999993</v>
      </c>
      <c r="AE247">
        <v>104.85</v>
      </c>
      <c r="AF247">
        <v>101.96</v>
      </c>
      <c r="AG247">
        <v>102.66</v>
      </c>
      <c r="AM247">
        <v>28.9</v>
      </c>
      <c r="AN247">
        <v>104.85</v>
      </c>
      <c r="AO247">
        <v>103.09</v>
      </c>
      <c r="AP247">
        <v>104.09</v>
      </c>
      <c r="AV247">
        <v>28.93</v>
      </c>
      <c r="AW247">
        <v>57.57</v>
      </c>
      <c r="AX247">
        <v>33.130000000000003</v>
      </c>
    </row>
    <row r="248" spans="1:50">
      <c r="A248">
        <v>2.33</v>
      </c>
      <c r="B248">
        <v>60.62</v>
      </c>
      <c r="C248">
        <v>58.62</v>
      </c>
      <c r="D248">
        <v>58.95</v>
      </c>
      <c r="E248">
        <v>54.17</v>
      </c>
      <c r="F248">
        <v>31.01</v>
      </c>
      <c r="G248">
        <v>31.06</v>
      </c>
      <c r="H248">
        <v>31.73</v>
      </c>
      <c r="I248">
        <v>33.119999999999997</v>
      </c>
      <c r="J248">
        <v>28.67</v>
      </c>
      <c r="K248">
        <v>28.95</v>
      </c>
      <c r="L248">
        <v>0</v>
      </c>
      <c r="M248">
        <v>0.16</v>
      </c>
      <c r="N248">
        <v>0.14000000000000001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39.22</v>
      </c>
      <c r="W248">
        <v>48.74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-80.790000000000006</v>
      </c>
      <c r="AD248">
        <v>9.91</v>
      </c>
      <c r="AE248">
        <v>105.79</v>
      </c>
      <c r="AF248">
        <v>106.97</v>
      </c>
      <c r="AG248">
        <v>106.53</v>
      </c>
      <c r="AM248">
        <v>29.01</v>
      </c>
      <c r="AN248">
        <v>105.79</v>
      </c>
      <c r="AO248">
        <v>108.3</v>
      </c>
      <c r="AP248">
        <v>107.93</v>
      </c>
      <c r="AV248">
        <v>29.05</v>
      </c>
      <c r="AW248">
        <v>59.53</v>
      </c>
      <c r="AX248">
        <v>33.46</v>
      </c>
    </row>
    <row r="249" spans="1:50">
      <c r="A249">
        <v>2.5</v>
      </c>
      <c r="B249">
        <v>61.67</v>
      </c>
      <c r="C249">
        <v>59.01</v>
      </c>
      <c r="D249">
        <v>59.34</v>
      </c>
      <c r="E249">
        <v>56.01</v>
      </c>
      <c r="F249">
        <v>31.12</v>
      </c>
      <c r="G249">
        <v>31.12</v>
      </c>
      <c r="H249">
        <v>31.84</v>
      </c>
      <c r="I249">
        <v>33.28</v>
      </c>
      <c r="J249">
        <v>28.73</v>
      </c>
      <c r="K249">
        <v>28.95</v>
      </c>
      <c r="L249">
        <v>0</v>
      </c>
      <c r="M249">
        <v>0.16</v>
      </c>
      <c r="N249">
        <v>0.14000000000000001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11.91</v>
      </c>
      <c r="W249">
        <v>15.41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-44.3</v>
      </c>
      <c r="AD249">
        <v>10.61</v>
      </c>
      <c r="AE249">
        <v>107.03</v>
      </c>
      <c r="AF249">
        <v>113.12</v>
      </c>
      <c r="AG249">
        <v>113.33</v>
      </c>
      <c r="AM249">
        <v>29</v>
      </c>
      <c r="AN249">
        <v>107.03</v>
      </c>
      <c r="AO249">
        <v>114.9</v>
      </c>
      <c r="AP249">
        <v>115.27</v>
      </c>
      <c r="AV249">
        <v>29.04</v>
      </c>
      <c r="AW249">
        <v>61.5</v>
      </c>
      <c r="AX249">
        <v>33.86</v>
      </c>
    </row>
    <row r="250" spans="1:50">
      <c r="A250">
        <v>2.67</v>
      </c>
      <c r="B250">
        <v>62.62</v>
      </c>
      <c r="C250">
        <v>59.62</v>
      </c>
      <c r="D250">
        <v>59.9</v>
      </c>
      <c r="E250">
        <v>61.4</v>
      </c>
      <c r="F250">
        <v>31.17</v>
      </c>
      <c r="G250">
        <v>31.23</v>
      </c>
      <c r="H250">
        <v>31.9</v>
      </c>
      <c r="I250">
        <v>33.340000000000003</v>
      </c>
      <c r="J250">
        <v>28.73</v>
      </c>
      <c r="K250">
        <v>28.95</v>
      </c>
      <c r="L250">
        <v>0</v>
      </c>
      <c r="M250">
        <v>0.16</v>
      </c>
      <c r="N250">
        <v>0.14000000000000001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13.94</v>
      </c>
      <c r="W250">
        <v>16.16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-43.29</v>
      </c>
      <c r="AD250">
        <v>11.32</v>
      </c>
      <c r="AE250">
        <v>102.09</v>
      </c>
      <c r="AF250">
        <v>114.06</v>
      </c>
      <c r="AG250">
        <v>114.61</v>
      </c>
      <c r="AM250">
        <v>29.06</v>
      </c>
      <c r="AN250">
        <v>102.09</v>
      </c>
      <c r="AO250">
        <v>115.63</v>
      </c>
      <c r="AP250">
        <v>116.4</v>
      </c>
      <c r="AV250">
        <v>29.11</v>
      </c>
      <c r="AW250">
        <v>63.47</v>
      </c>
      <c r="AX250">
        <v>34.33</v>
      </c>
    </row>
    <row r="251" spans="1:50">
      <c r="A251">
        <v>2.83</v>
      </c>
      <c r="B251">
        <v>64.84</v>
      </c>
      <c r="C251">
        <v>60.62</v>
      </c>
      <c r="D251">
        <v>60.73</v>
      </c>
      <c r="E251">
        <v>63.01</v>
      </c>
      <c r="F251">
        <v>31.23</v>
      </c>
      <c r="G251">
        <v>31.28</v>
      </c>
      <c r="H251">
        <v>32.01</v>
      </c>
      <c r="I251">
        <v>33.4</v>
      </c>
      <c r="J251">
        <v>28.67</v>
      </c>
      <c r="K251">
        <v>28.95</v>
      </c>
      <c r="L251">
        <v>0</v>
      </c>
      <c r="M251">
        <v>0.16</v>
      </c>
      <c r="N251">
        <v>0.14000000000000001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14.08</v>
      </c>
      <c r="W251">
        <v>11.77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-48.77</v>
      </c>
      <c r="AD251">
        <v>12.03</v>
      </c>
      <c r="AE251">
        <v>105.01</v>
      </c>
      <c r="AF251">
        <v>114.38</v>
      </c>
      <c r="AG251">
        <v>115.13</v>
      </c>
      <c r="AM251">
        <v>29.12</v>
      </c>
      <c r="AN251">
        <v>105.01</v>
      </c>
      <c r="AO251">
        <v>115.7</v>
      </c>
      <c r="AP251">
        <v>116.69</v>
      </c>
      <c r="AV251">
        <v>29.17</v>
      </c>
      <c r="AW251">
        <v>65.430000000000007</v>
      </c>
      <c r="AX251">
        <v>34.880000000000003</v>
      </c>
    </row>
    <row r="252" spans="1:50">
      <c r="A252">
        <v>3</v>
      </c>
      <c r="B252">
        <v>69.95</v>
      </c>
      <c r="C252">
        <v>61.78</v>
      </c>
      <c r="D252">
        <v>62.06</v>
      </c>
      <c r="E252">
        <v>65.010000000000005</v>
      </c>
      <c r="F252">
        <v>31.28</v>
      </c>
      <c r="G252">
        <v>31.34</v>
      </c>
      <c r="H252">
        <v>32.06</v>
      </c>
      <c r="I252">
        <v>33.56</v>
      </c>
      <c r="J252">
        <v>28.73</v>
      </c>
      <c r="K252">
        <v>28.95</v>
      </c>
      <c r="L252">
        <v>0</v>
      </c>
      <c r="M252">
        <v>0.16</v>
      </c>
      <c r="N252">
        <v>0.14000000000000001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57.2</v>
      </c>
      <c r="W252">
        <v>57.07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-74.03</v>
      </c>
      <c r="AD252">
        <v>12.74</v>
      </c>
      <c r="AE252">
        <v>108.09</v>
      </c>
      <c r="AF252">
        <v>115.14</v>
      </c>
      <c r="AG252">
        <v>115.36</v>
      </c>
      <c r="AM252">
        <v>29.17</v>
      </c>
      <c r="AN252">
        <v>108.09</v>
      </c>
      <c r="AO252">
        <v>116.31</v>
      </c>
      <c r="AP252">
        <v>116.7</v>
      </c>
      <c r="AV252">
        <v>29.23</v>
      </c>
      <c r="AW252">
        <v>67.400000000000006</v>
      </c>
      <c r="AX252">
        <v>35.520000000000003</v>
      </c>
    </row>
    <row r="253" spans="1:50">
      <c r="A253">
        <v>3.17</v>
      </c>
      <c r="B253">
        <v>76.400000000000006</v>
      </c>
      <c r="C253">
        <v>62.67</v>
      </c>
      <c r="D253">
        <v>62.84</v>
      </c>
      <c r="E253">
        <v>65.56</v>
      </c>
      <c r="F253">
        <v>31.28</v>
      </c>
      <c r="G253">
        <v>31.34</v>
      </c>
      <c r="H253">
        <v>32.119999999999997</v>
      </c>
      <c r="I253">
        <v>33.67</v>
      </c>
      <c r="J253">
        <v>28.67</v>
      </c>
      <c r="K253">
        <v>28.95</v>
      </c>
      <c r="L253">
        <v>0</v>
      </c>
      <c r="M253">
        <v>0.16</v>
      </c>
      <c r="N253">
        <v>0.14000000000000001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9.8000000000000007</v>
      </c>
      <c r="W253">
        <v>17.600000000000001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-53.88</v>
      </c>
      <c r="AD253">
        <v>13.44</v>
      </c>
      <c r="AE253">
        <v>110.5</v>
      </c>
      <c r="AF253">
        <v>123.25</v>
      </c>
      <c r="AG253">
        <v>122.41</v>
      </c>
      <c r="AM253">
        <v>29.18</v>
      </c>
      <c r="AN253">
        <v>110.5</v>
      </c>
      <c r="AO253">
        <v>125.12</v>
      </c>
      <c r="AP253">
        <v>124.33</v>
      </c>
      <c r="AV253">
        <v>29.24</v>
      </c>
      <c r="AW253">
        <v>69.37</v>
      </c>
      <c r="AX253">
        <v>36.25</v>
      </c>
    </row>
    <row r="254" spans="1:50">
      <c r="A254">
        <v>3.33</v>
      </c>
      <c r="B254">
        <v>78.900000000000006</v>
      </c>
      <c r="C254">
        <v>63.78</v>
      </c>
      <c r="D254">
        <v>63.84</v>
      </c>
      <c r="E254">
        <v>66.62</v>
      </c>
      <c r="F254">
        <v>31.45</v>
      </c>
      <c r="G254">
        <v>31.51</v>
      </c>
      <c r="H254">
        <v>32.229999999999997</v>
      </c>
      <c r="I254">
        <v>33.78</v>
      </c>
      <c r="J254">
        <v>28.73</v>
      </c>
      <c r="K254">
        <v>28.95</v>
      </c>
      <c r="L254">
        <v>0</v>
      </c>
      <c r="M254">
        <v>0.16</v>
      </c>
      <c r="N254">
        <v>0.14000000000000001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20.09</v>
      </c>
      <c r="W254">
        <v>22.46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-78.7</v>
      </c>
      <c r="AD254">
        <v>14.15</v>
      </c>
      <c r="AE254">
        <v>107.93</v>
      </c>
      <c r="AF254">
        <v>122.77</v>
      </c>
      <c r="AG254">
        <v>123.21</v>
      </c>
      <c r="AM254">
        <v>29.23</v>
      </c>
      <c r="AN254">
        <v>107.93</v>
      </c>
      <c r="AO254">
        <v>124.25</v>
      </c>
      <c r="AP254">
        <v>124.93</v>
      </c>
      <c r="AV254">
        <v>29.3</v>
      </c>
      <c r="AW254">
        <v>71.33</v>
      </c>
      <c r="AX254">
        <v>37.090000000000003</v>
      </c>
    </row>
    <row r="255" spans="1:50">
      <c r="A255">
        <v>3.5</v>
      </c>
      <c r="B255">
        <v>79.95</v>
      </c>
      <c r="C255">
        <v>64.84</v>
      </c>
      <c r="D255">
        <v>64.73</v>
      </c>
      <c r="E255">
        <v>67.84</v>
      </c>
      <c r="F255">
        <v>31.51</v>
      </c>
      <c r="G255">
        <v>31.56</v>
      </c>
      <c r="H255">
        <v>32.28</v>
      </c>
      <c r="I255">
        <v>33.840000000000003</v>
      </c>
      <c r="J255">
        <v>28.73</v>
      </c>
      <c r="K255">
        <v>28.95</v>
      </c>
      <c r="L255">
        <v>0</v>
      </c>
      <c r="M255">
        <v>0.16</v>
      </c>
      <c r="N255">
        <v>0.14000000000000001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10.46</v>
      </c>
      <c r="W255">
        <v>11.37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-19.79</v>
      </c>
      <c r="AD255">
        <v>14.86</v>
      </c>
      <c r="AE255">
        <v>108.49</v>
      </c>
      <c r="AF255">
        <v>123.62</v>
      </c>
      <c r="AG255">
        <v>124.23</v>
      </c>
      <c r="AM255">
        <v>29.23</v>
      </c>
      <c r="AN255">
        <v>108.49</v>
      </c>
      <c r="AO255">
        <v>124.93</v>
      </c>
      <c r="AP255">
        <v>125.79</v>
      </c>
      <c r="AV255">
        <v>29.3</v>
      </c>
      <c r="AW255">
        <v>73.3</v>
      </c>
      <c r="AX255">
        <v>38.03</v>
      </c>
    </row>
    <row r="256" spans="1:50">
      <c r="A256">
        <v>3.67</v>
      </c>
      <c r="B256">
        <v>80.23</v>
      </c>
      <c r="C256">
        <v>66.12</v>
      </c>
      <c r="D256">
        <v>65.78</v>
      </c>
      <c r="E256">
        <v>68.73</v>
      </c>
      <c r="F256">
        <v>31.56</v>
      </c>
      <c r="G256">
        <v>31.67</v>
      </c>
      <c r="H256">
        <v>32.28</v>
      </c>
      <c r="I256">
        <v>33.950000000000003</v>
      </c>
      <c r="J256">
        <v>28.73</v>
      </c>
      <c r="K256">
        <v>28.95</v>
      </c>
      <c r="L256">
        <v>0</v>
      </c>
      <c r="M256">
        <v>0.16</v>
      </c>
      <c r="N256">
        <v>0.14000000000000001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52.93</v>
      </c>
      <c r="W256">
        <v>49.17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-82.92</v>
      </c>
      <c r="AD256">
        <v>15.57</v>
      </c>
      <c r="AE256">
        <v>112.26</v>
      </c>
      <c r="AF256">
        <v>122.86</v>
      </c>
      <c r="AG256">
        <v>123.61</v>
      </c>
      <c r="AM256">
        <v>29.34</v>
      </c>
      <c r="AN256">
        <v>112.26</v>
      </c>
      <c r="AO256">
        <v>123.86</v>
      </c>
      <c r="AP256">
        <v>124.85</v>
      </c>
      <c r="AV256">
        <v>29.42</v>
      </c>
      <c r="AW256">
        <v>75.27</v>
      </c>
      <c r="AX256">
        <v>39.1</v>
      </c>
    </row>
    <row r="257" spans="1:50">
      <c r="A257">
        <v>3.83</v>
      </c>
      <c r="B257">
        <v>80.62</v>
      </c>
      <c r="C257">
        <v>70.23</v>
      </c>
      <c r="D257">
        <v>69.67</v>
      </c>
      <c r="E257">
        <v>69.67</v>
      </c>
      <c r="F257">
        <v>31.62</v>
      </c>
      <c r="G257">
        <v>31.67</v>
      </c>
      <c r="H257">
        <v>32.340000000000003</v>
      </c>
      <c r="I257">
        <v>34.06</v>
      </c>
      <c r="J257">
        <v>28.67</v>
      </c>
      <c r="K257">
        <v>28.95</v>
      </c>
      <c r="L257">
        <v>0</v>
      </c>
      <c r="M257">
        <v>0.16</v>
      </c>
      <c r="N257">
        <v>0.14000000000000001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18.899999999999999</v>
      </c>
      <c r="W257">
        <v>25.65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-52.37</v>
      </c>
      <c r="AD257">
        <v>16.27</v>
      </c>
      <c r="AE257">
        <v>114.92</v>
      </c>
      <c r="AF257">
        <v>129.69999999999999</v>
      </c>
      <c r="AG257">
        <v>128.96</v>
      </c>
      <c r="AM257">
        <v>29.34</v>
      </c>
      <c r="AN257">
        <v>114.92</v>
      </c>
      <c r="AO257">
        <v>131.29</v>
      </c>
      <c r="AP257">
        <v>130.61000000000001</v>
      </c>
      <c r="AV257">
        <v>29.42</v>
      </c>
      <c r="AW257">
        <v>77.23</v>
      </c>
      <c r="AX257">
        <v>40.299999999999997</v>
      </c>
    </row>
    <row r="258" spans="1:50">
      <c r="A258">
        <v>4</v>
      </c>
      <c r="B258">
        <v>81.17</v>
      </c>
      <c r="C258">
        <v>77.23</v>
      </c>
      <c r="D258">
        <v>77.17</v>
      </c>
      <c r="E258">
        <v>70.34</v>
      </c>
      <c r="F258">
        <v>31.67</v>
      </c>
      <c r="G258">
        <v>31.78</v>
      </c>
      <c r="H258">
        <v>32.51</v>
      </c>
      <c r="I258">
        <v>34.229999999999997</v>
      </c>
      <c r="J258">
        <v>28.78</v>
      </c>
      <c r="K258">
        <v>28.95</v>
      </c>
      <c r="L258">
        <v>0</v>
      </c>
      <c r="M258">
        <v>0.16</v>
      </c>
      <c r="N258">
        <v>0.14000000000000001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14.22</v>
      </c>
      <c r="W258">
        <v>16.059999999999999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-0.53</v>
      </c>
      <c r="AD258">
        <v>16.98</v>
      </c>
      <c r="AE258">
        <v>117.06</v>
      </c>
      <c r="AF258">
        <v>130.37</v>
      </c>
      <c r="AG258">
        <v>130.6</v>
      </c>
      <c r="AM258">
        <v>29.4</v>
      </c>
      <c r="AN258">
        <v>117.06</v>
      </c>
      <c r="AO258">
        <v>131.74</v>
      </c>
      <c r="AP258">
        <v>132.18</v>
      </c>
      <c r="AV258">
        <v>29.49</v>
      </c>
      <c r="AW258">
        <v>79.2</v>
      </c>
      <c r="AX258">
        <v>41.63</v>
      </c>
    </row>
    <row r="259" spans="1:50">
      <c r="A259">
        <v>4.17</v>
      </c>
      <c r="B259">
        <v>81.45</v>
      </c>
      <c r="C259">
        <v>78.400000000000006</v>
      </c>
      <c r="D259">
        <v>79.28</v>
      </c>
      <c r="E259">
        <v>70.78</v>
      </c>
      <c r="F259">
        <v>31.78</v>
      </c>
      <c r="G259">
        <v>31.9</v>
      </c>
      <c r="H259">
        <v>32.51</v>
      </c>
      <c r="I259">
        <v>34.28</v>
      </c>
      <c r="J259">
        <v>28.73</v>
      </c>
      <c r="K259">
        <v>28.95</v>
      </c>
      <c r="L259">
        <v>0</v>
      </c>
      <c r="M259">
        <v>0.16</v>
      </c>
      <c r="N259">
        <v>0.14000000000000001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9.1</v>
      </c>
      <c r="W259">
        <v>9.49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-54.24</v>
      </c>
      <c r="AD259">
        <v>17.690000000000001</v>
      </c>
      <c r="AE259">
        <v>118.42</v>
      </c>
      <c r="AF259">
        <v>130.52000000000001</v>
      </c>
      <c r="AG259">
        <v>130.96</v>
      </c>
      <c r="AM259">
        <v>29.56</v>
      </c>
      <c r="AN259">
        <v>118.42</v>
      </c>
      <c r="AO259">
        <v>131.66</v>
      </c>
      <c r="AP259">
        <v>132.33000000000001</v>
      </c>
      <c r="AV259">
        <v>29.67</v>
      </c>
      <c r="AW259">
        <v>81.17</v>
      </c>
      <c r="AX259">
        <v>43.11</v>
      </c>
    </row>
    <row r="260" spans="1:50">
      <c r="A260">
        <v>4.33</v>
      </c>
      <c r="B260">
        <v>81.510000000000005</v>
      </c>
      <c r="C260">
        <v>79.12</v>
      </c>
      <c r="D260">
        <v>80.23</v>
      </c>
      <c r="E260">
        <v>71.95</v>
      </c>
      <c r="F260">
        <v>31.9</v>
      </c>
      <c r="G260">
        <v>32.06</v>
      </c>
      <c r="H260">
        <v>32.67</v>
      </c>
      <c r="I260">
        <v>34.56</v>
      </c>
      <c r="J260">
        <v>28.84</v>
      </c>
      <c r="K260">
        <v>28.95</v>
      </c>
      <c r="L260">
        <v>0</v>
      </c>
      <c r="M260">
        <v>0.16</v>
      </c>
      <c r="N260">
        <v>0.14000000000000001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35.24</v>
      </c>
      <c r="W260">
        <v>31.12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-27.96</v>
      </c>
      <c r="AD260">
        <v>18.399999999999999</v>
      </c>
      <c r="AE260">
        <v>121.89</v>
      </c>
      <c r="AF260">
        <v>130.03</v>
      </c>
      <c r="AG260">
        <v>130.53</v>
      </c>
      <c r="AM260">
        <v>29.63</v>
      </c>
      <c r="AN260">
        <v>121.89</v>
      </c>
      <c r="AO260">
        <v>130.91999999999999</v>
      </c>
      <c r="AP260">
        <v>131.63</v>
      </c>
      <c r="AV260">
        <v>29.74</v>
      </c>
      <c r="AW260">
        <v>83.13</v>
      </c>
      <c r="AX260">
        <v>44.74</v>
      </c>
    </row>
    <row r="261" spans="1:50">
      <c r="A261">
        <v>4.5</v>
      </c>
      <c r="B261">
        <v>82.01</v>
      </c>
      <c r="C261">
        <v>79.17</v>
      </c>
      <c r="D261">
        <v>80.45</v>
      </c>
      <c r="E261">
        <v>73.62</v>
      </c>
      <c r="F261">
        <v>31.9</v>
      </c>
      <c r="G261">
        <v>32.119999999999997</v>
      </c>
      <c r="H261">
        <v>32.78</v>
      </c>
      <c r="I261">
        <v>34.56</v>
      </c>
      <c r="J261">
        <v>28.78</v>
      </c>
      <c r="K261">
        <v>28.95</v>
      </c>
      <c r="L261">
        <v>0</v>
      </c>
      <c r="M261">
        <v>0.16</v>
      </c>
      <c r="N261">
        <v>0.14000000000000001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32.549999999999997</v>
      </c>
      <c r="W261">
        <v>42.28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-14.49</v>
      </c>
      <c r="AD261">
        <v>19.100000000000001</v>
      </c>
      <c r="AE261">
        <v>122.3</v>
      </c>
      <c r="AF261">
        <v>134.41</v>
      </c>
      <c r="AG261">
        <v>133.71</v>
      </c>
      <c r="AM261">
        <v>29.75</v>
      </c>
      <c r="AN261">
        <v>122.3</v>
      </c>
      <c r="AO261">
        <v>135.63</v>
      </c>
      <c r="AP261">
        <v>135</v>
      </c>
      <c r="AV261">
        <v>29.87</v>
      </c>
      <c r="AW261">
        <v>85.1</v>
      </c>
      <c r="AX261">
        <v>46.54</v>
      </c>
    </row>
    <row r="262" spans="1:50">
      <c r="A262">
        <v>4.67</v>
      </c>
      <c r="B262">
        <v>82.84</v>
      </c>
      <c r="C262">
        <v>79.67</v>
      </c>
      <c r="D262">
        <v>80.67</v>
      </c>
      <c r="E262">
        <v>75.23</v>
      </c>
      <c r="F262">
        <v>32.119999999999997</v>
      </c>
      <c r="G262">
        <v>32.229999999999997</v>
      </c>
      <c r="H262">
        <v>32.78</v>
      </c>
      <c r="I262">
        <v>34.729999999999997</v>
      </c>
      <c r="J262">
        <v>28.73</v>
      </c>
      <c r="K262">
        <v>28.95</v>
      </c>
      <c r="L262">
        <v>0</v>
      </c>
      <c r="M262">
        <v>0.16</v>
      </c>
      <c r="N262">
        <v>0.14000000000000001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9.1199999999999992</v>
      </c>
      <c r="W262">
        <v>9.5299999999999994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-5.8</v>
      </c>
      <c r="AD262">
        <v>19.809999999999999</v>
      </c>
      <c r="AE262">
        <v>124.89</v>
      </c>
      <c r="AF262">
        <v>137.72</v>
      </c>
      <c r="AG262">
        <v>138.08000000000001</v>
      </c>
      <c r="AM262">
        <v>29.9</v>
      </c>
      <c r="AN262">
        <v>124.89</v>
      </c>
      <c r="AO262">
        <v>139.09</v>
      </c>
      <c r="AP262">
        <v>139.66</v>
      </c>
      <c r="AV262">
        <v>30.04</v>
      </c>
      <c r="AW262">
        <v>87.07</v>
      </c>
      <c r="AX262">
        <v>48.51</v>
      </c>
    </row>
    <row r="263" spans="1:50">
      <c r="A263">
        <v>4.83</v>
      </c>
      <c r="B263">
        <v>83.62</v>
      </c>
      <c r="C263">
        <v>80.12</v>
      </c>
      <c r="D263">
        <v>81.17</v>
      </c>
      <c r="E263">
        <v>76.95</v>
      </c>
      <c r="F263">
        <v>32.17</v>
      </c>
      <c r="G263">
        <v>32.340000000000003</v>
      </c>
      <c r="H263">
        <v>32.950000000000003</v>
      </c>
      <c r="I263">
        <v>34.840000000000003</v>
      </c>
      <c r="J263">
        <v>28.78</v>
      </c>
      <c r="K263">
        <v>28.95</v>
      </c>
      <c r="L263">
        <v>0</v>
      </c>
      <c r="M263">
        <v>0.16</v>
      </c>
      <c r="N263">
        <v>0.14000000000000001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9.32</v>
      </c>
      <c r="W263">
        <v>9.7799999999999994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20.52</v>
      </c>
      <c r="AE263">
        <v>124.7</v>
      </c>
      <c r="AF263">
        <v>137.12</v>
      </c>
      <c r="AG263">
        <v>137.56</v>
      </c>
      <c r="AM263">
        <v>30.06</v>
      </c>
      <c r="AN263">
        <v>124.7</v>
      </c>
      <c r="AO263">
        <v>138.18</v>
      </c>
      <c r="AP263">
        <v>138.83000000000001</v>
      </c>
      <c r="AV263">
        <v>30.22</v>
      </c>
      <c r="AW263">
        <v>89.03</v>
      </c>
      <c r="AX263">
        <v>50.67</v>
      </c>
    </row>
    <row r="264" spans="1:50">
      <c r="A264">
        <v>5</v>
      </c>
      <c r="B264">
        <v>84.06</v>
      </c>
      <c r="C264">
        <v>80.95</v>
      </c>
      <c r="D264">
        <v>81.78</v>
      </c>
      <c r="E264">
        <v>78.400000000000006</v>
      </c>
      <c r="F264">
        <v>32.28</v>
      </c>
      <c r="G264">
        <v>32.4</v>
      </c>
      <c r="H264">
        <v>33.119999999999997</v>
      </c>
      <c r="I264">
        <v>35.01</v>
      </c>
      <c r="J264">
        <v>28.84</v>
      </c>
      <c r="K264">
        <v>28.95</v>
      </c>
      <c r="L264">
        <v>0</v>
      </c>
      <c r="M264">
        <v>0.16</v>
      </c>
      <c r="N264">
        <v>0.14000000000000001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10.33</v>
      </c>
      <c r="W264">
        <v>8.1300000000000008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21.23</v>
      </c>
      <c r="AE264">
        <v>127.05</v>
      </c>
      <c r="AF264">
        <v>136.62</v>
      </c>
      <c r="AG264">
        <v>137.13</v>
      </c>
      <c r="AM264">
        <v>30.28</v>
      </c>
      <c r="AN264">
        <v>127.05</v>
      </c>
      <c r="AO264">
        <v>137.43</v>
      </c>
      <c r="AP264">
        <v>138.15</v>
      </c>
      <c r="AV264">
        <v>30.46</v>
      </c>
      <c r="AW264">
        <v>91</v>
      </c>
      <c r="AX264">
        <v>53.02</v>
      </c>
    </row>
    <row r="265" spans="1:50">
      <c r="A265">
        <v>5.17</v>
      </c>
      <c r="B265">
        <v>84.62</v>
      </c>
      <c r="C265">
        <v>81.62</v>
      </c>
      <c r="D265">
        <v>82.51</v>
      </c>
      <c r="E265">
        <v>79.510000000000005</v>
      </c>
      <c r="F265">
        <v>32.4</v>
      </c>
      <c r="G265">
        <v>32.51</v>
      </c>
      <c r="H265">
        <v>33.119999999999997</v>
      </c>
      <c r="I265">
        <v>35.119999999999997</v>
      </c>
      <c r="J265">
        <v>28.84</v>
      </c>
      <c r="K265">
        <v>28.95</v>
      </c>
      <c r="L265">
        <v>0</v>
      </c>
      <c r="M265">
        <v>0.16</v>
      </c>
      <c r="N265">
        <v>0.14000000000000001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53.7</v>
      </c>
      <c r="W265">
        <v>61.72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21.93</v>
      </c>
      <c r="AE265">
        <v>130.51</v>
      </c>
      <c r="AF265">
        <v>136.74</v>
      </c>
      <c r="AG265">
        <v>136.85</v>
      </c>
      <c r="AM265">
        <v>30.56</v>
      </c>
      <c r="AN265">
        <v>130.51</v>
      </c>
      <c r="AO265">
        <v>137.41999999999999</v>
      </c>
      <c r="AP265">
        <v>137.68</v>
      </c>
      <c r="AV265">
        <v>30.78</v>
      </c>
      <c r="AW265">
        <v>92.97</v>
      </c>
      <c r="AX265">
        <v>55.58</v>
      </c>
    </row>
    <row r="266" spans="1:50">
      <c r="A266">
        <v>5.33</v>
      </c>
      <c r="B266">
        <v>85.34</v>
      </c>
      <c r="C266">
        <v>82.01</v>
      </c>
      <c r="D266">
        <v>82.95</v>
      </c>
      <c r="E266">
        <v>80.56</v>
      </c>
      <c r="F266">
        <v>32.4</v>
      </c>
      <c r="G266">
        <v>32.619999999999997</v>
      </c>
      <c r="H266">
        <v>33.17</v>
      </c>
      <c r="I266">
        <v>35.229999999999997</v>
      </c>
      <c r="J266">
        <v>28.78</v>
      </c>
      <c r="K266">
        <v>28.95</v>
      </c>
      <c r="L266">
        <v>0</v>
      </c>
      <c r="M266">
        <v>0.16</v>
      </c>
      <c r="N266">
        <v>0.14000000000000001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1.65</v>
      </c>
      <c r="W266">
        <v>2.95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22.64</v>
      </c>
      <c r="AE266">
        <v>132.34</v>
      </c>
      <c r="AF266">
        <v>144.41</v>
      </c>
      <c r="AG266">
        <v>144.69</v>
      </c>
      <c r="AM266">
        <v>30.78</v>
      </c>
      <c r="AN266">
        <v>132.34</v>
      </c>
      <c r="AO266">
        <v>145.83000000000001</v>
      </c>
      <c r="AP266">
        <v>146.27000000000001</v>
      </c>
      <c r="AV266">
        <v>31.02</v>
      </c>
      <c r="AW266">
        <v>94.93</v>
      </c>
      <c r="AX266">
        <v>58.35</v>
      </c>
    </row>
    <row r="267" spans="1:50">
      <c r="A267">
        <v>5.5</v>
      </c>
      <c r="B267">
        <v>86.17</v>
      </c>
      <c r="C267">
        <v>82.73</v>
      </c>
      <c r="D267">
        <v>83.56</v>
      </c>
      <c r="E267">
        <v>82.45</v>
      </c>
      <c r="F267">
        <v>32.51</v>
      </c>
      <c r="G267">
        <v>32.729999999999997</v>
      </c>
      <c r="H267">
        <v>33.229999999999997</v>
      </c>
      <c r="I267">
        <v>35.340000000000003</v>
      </c>
      <c r="J267">
        <v>28.84</v>
      </c>
      <c r="K267">
        <v>28.95</v>
      </c>
      <c r="L267">
        <v>0</v>
      </c>
      <c r="M267">
        <v>0.16</v>
      </c>
      <c r="N267">
        <v>0.14000000000000001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7.02</v>
      </c>
      <c r="W267">
        <v>6.95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23.35</v>
      </c>
      <c r="AE267">
        <v>133.13999999999999</v>
      </c>
      <c r="AF267">
        <v>142.72999999999999</v>
      </c>
      <c r="AG267">
        <v>143.36000000000001</v>
      </c>
      <c r="AM267">
        <v>31.06</v>
      </c>
      <c r="AN267">
        <v>133.13999999999999</v>
      </c>
      <c r="AO267">
        <v>143.69999999999999</v>
      </c>
      <c r="AP267">
        <v>144.54</v>
      </c>
      <c r="AV267">
        <v>31.33</v>
      </c>
      <c r="AW267">
        <v>96.9</v>
      </c>
      <c r="AX267">
        <v>61.35</v>
      </c>
    </row>
    <row r="268" spans="1:50">
      <c r="A268">
        <v>5.67</v>
      </c>
      <c r="B268">
        <v>87.01</v>
      </c>
      <c r="C268">
        <v>83.28</v>
      </c>
      <c r="D268">
        <v>84.12</v>
      </c>
      <c r="E268">
        <v>88.17</v>
      </c>
      <c r="F268">
        <v>32.619999999999997</v>
      </c>
      <c r="G268">
        <v>32.78</v>
      </c>
      <c r="H268">
        <v>33.28</v>
      </c>
      <c r="I268">
        <v>35.450000000000003</v>
      </c>
      <c r="J268">
        <v>28.78</v>
      </c>
      <c r="K268">
        <v>28.95</v>
      </c>
      <c r="L268">
        <v>0</v>
      </c>
      <c r="M268">
        <v>0.16</v>
      </c>
      <c r="N268">
        <v>0.14000000000000001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4.7300000000000004</v>
      </c>
      <c r="W268">
        <v>3.44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24.06</v>
      </c>
      <c r="AE268">
        <v>135.01</v>
      </c>
      <c r="AF268">
        <v>142.31</v>
      </c>
      <c r="AG268">
        <v>142.88999999999999</v>
      </c>
      <c r="AM268">
        <v>31.4</v>
      </c>
      <c r="AN268">
        <v>135.01</v>
      </c>
      <c r="AO268">
        <v>143.07</v>
      </c>
      <c r="AP268">
        <v>143.84</v>
      </c>
      <c r="AV268">
        <v>31.7</v>
      </c>
      <c r="AW268">
        <v>98.87</v>
      </c>
      <c r="AX268">
        <v>64.58</v>
      </c>
    </row>
    <row r="269" spans="1:50">
      <c r="A269">
        <v>5.83</v>
      </c>
      <c r="B269">
        <v>88.4</v>
      </c>
      <c r="C269">
        <v>83.9</v>
      </c>
      <c r="D269">
        <v>84.62</v>
      </c>
      <c r="E269">
        <v>89.84</v>
      </c>
      <c r="F269">
        <v>32.729999999999997</v>
      </c>
      <c r="G269">
        <v>32.950000000000003</v>
      </c>
      <c r="H269">
        <v>33.340000000000003</v>
      </c>
      <c r="I269">
        <v>35.619999999999997</v>
      </c>
      <c r="J269">
        <v>28.78</v>
      </c>
      <c r="K269">
        <v>28.95</v>
      </c>
      <c r="L269">
        <v>0</v>
      </c>
      <c r="M269">
        <v>0.16</v>
      </c>
      <c r="N269">
        <v>0.14000000000000001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6.87</v>
      </c>
      <c r="W269">
        <v>6.39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24.76</v>
      </c>
      <c r="AE269">
        <v>136.34</v>
      </c>
      <c r="AF269">
        <v>141.9</v>
      </c>
      <c r="AG269">
        <v>142.27000000000001</v>
      </c>
      <c r="AM269">
        <v>31.71</v>
      </c>
      <c r="AN269">
        <v>136.34</v>
      </c>
      <c r="AO269">
        <v>142.47</v>
      </c>
      <c r="AP269">
        <v>142.99</v>
      </c>
      <c r="AV269">
        <v>32.049999999999997</v>
      </c>
      <c r="AW269">
        <v>100.83</v>
      </c>
      <c r="AX269">
        <v>68.06</v>
      </c>
    </row>
    <row r="270" spans="1:50">
      <c r="A270">
        <v>6</v>
      </c>
      <c r="B270">
        <v>93.73</v>
      </c>
      <c r="C270">
        <v>84.73</v>
      </c>
      <c r="D270">
        <v>85.17</v>
      </c>
      <c r="E270">
        <v>90.62</v>
      </c>
      <c r="F270">
        <v>32.9</v>
      </c>
      <c r="G270">
        <v>33.119999999999997</v>
      </c>
      <c r="H270">
        <v>33.51</v>
      </c>
      <c r="I270">
        <v>35.729999999999997</v>
      </c>
      <c r="J270">
        <v>28.78</v>
      </c>
      <c r="K270">
        <v>28.95</v>
      </c>
      <c r="L270">
        <v>0</v>
      </c>
      <c r="M270">
        <v>0.16</v>
      </c>
      <c r="N270">
        <v>0.14000000000000001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2.66</v>
      </c>
      <c r="W270">
        <v>2.7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25.47</v>
      </c>
      <c r="AE270">
        <v>138.13999999999999</v>
      </c>
      <c r="AF270">
        <v>142.11000000000001</v>
      </c>
      <c r="AG270">
        <v>142.33000000000001</v>
      </c>
      <c r="AM270">
        <v>32.049999999999997</v>
      </c>
      <c r="AN270">
        <v>138.13999999999999</v>
      </c>
      <c r="AO270">
        <v>142.6</v>
      </c>
      <c r="AP270">
        <v>142.94999999999999</v>
      </c>
      <c r="AV270">
        <v>32.43</v>
      </c>
      <c r="AW270">
        <v>102.8</v>
      </c>
      <c r="AX270">
        <v>71.8</v>
      </c>
    </row>
    <row r="271" spans="1:50">
      <c r="A271">
        <v>6.17</v>
      </c>
      <c r="B271">
        <v>96.67</v>
      </c>
      <c r="C271">
        <v>85.84</v>
      </c>
      <c r="D271">
        <v>85.78</v>
      </c>
      <c r="E271">
        <v>91.73</v>
      </c>
      <c r="F271">
        <v>33.06</v>
      </c>
      <c r="G271">
        <v>33.229999999999997</v>
      </c>
      <c r="H271">
        <v>33.56</v>
      </c>
      <c r="I271">
        <v>35.9</v>
      </c>
      <c r="J271">
        <v>28.84</v>
      </c>
      <c r="K271">
        <v>28.95</v>
      </c>
      <c r="L271">
        <v>0</v>
      </c>
      <c r="M271">
        <v>0.21</v>
      </c>
      <c r="N271">
        <v>0.17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26.18</v>
      </c>
      <c r="AE271">
        <v>138.22999999999999</v>
      </c>
      <c r="AF271">
        <v>141.9</v>
      </c>
      <c r="AG271">
        <v>142.12</v>
      </c>
      <c r="AM271">
        <v>32.4</v>
      </c>
      <c r="AN271">
        <v>138.22999999999999</v>
      </c>
      <c r="AO271">
        <v>142.28</v>
      </c>
      <c r="AP271">
        <v>142.62</v>
      </c>
      <c r="AV271">
        <v>32.81</v>
      </c>
      <c r="AW271">
        <v>104.77</v>
      </c>
      <c r="AX271">
        <v>75.8</v>
      </c>
    </row>
    <row r="272" spans="1:50">
      <c r="A272">
        <v>6.33</v>
      </c>
      <c r="B272">
        <v>97.06</v>
      </c>
      <c r="C272">
        <v>86.62</v>
      </c>
      <c r="D272">
        <v>86.45</v>
      </c>
      <c r="E272">
        <v>92.73</v>
      </c>
      <c r="F272">
        <v>33.119999999999997</v>
      </c>
      <c r="G272">
        <v>33.28</v>
      </c>
      <c r="H272">
        <v>33.56</v>
      </c>
      <c r="I272">
        <v>35.9</v>
      </c>
      <c r="J272">
        <v>28.78</v>
      </c>
      <c r="K272">
        <v>28.95</v>
      </c>
      <c r="L272">
        <v>0</v>
      </c>
      <c r="M272">
        <v>0.16</v>
      </c>
      <c r="N272">
        <v>0.14000000000000001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0.67</v>
      </c>
      <c r="W272">
        <v>0.01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26.89</v>
      </c>
      <c r="AE272">
        <v>136.97999999999999</v>
      </c>
      <c r="AF272">
        <v>141.12</v>
      </c>
      <c r="AG272">
        <v>141.47</v>
      </c>
      <c r="AM272">
        <v>32.92</v>
      </c>
      <c r="AN272">
        <v>136.97999999999999</v>
      </c>
      <c r="AO272">
        <v>141.32</v>
      </c>
      <c r="AP272">
        <v>141.80000000000001</v>
      </c>
      <c r="AV272">
        <v>33.4</v>
      </c>
      <c r="AW272">
        <v>106.73</v>
      </c>
      <c r="AX272">
        <v>80.09</v>
      </c>
    </row>
    <row r="273" spans="1:50">
      <c r="A273">
        <v>6.5</v>
      </c>
      <c r="B273">
        <v>97.9</v>
      </c>
      <c r="C273">
        <v>87.62</v>
      </c>
      <c r="D273">
        <v>87.56</v>
      </c>
      <c r="E273">
        <v>93.67</v>
      </c>
      <c r="F273">
        <v>33.340000000000003</v>
      </c>
      <c r="G273">
        <v>33.4</v>
      </c>
      <c r="H273">
        <v>33.729999999999997</v>
      </c>
      <c r="I273">
        <v>36.06</v>
      </c>
      <c r="J273">
        <v>28.84</v>
      </c>
      <c r="K273">
        <v>28.95</v>
      </c>
      <c r="L273">
        <v>0</v>
      </c>
      <c r="M273">
        <v>0.16</v>
      </c>
      <c r="N273">
        <v>0.14000000000000001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7.71</v>
      </c>
      <c r="W273">
        <v>8.0399999999999991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27.59</v>
      </c>
      <c r="AE273">
        <v>133.29</v>
      </c>
      <c r="AF273">
        <v>140.56</v>
      </c>
      <c r="AG273">
        <v>140.84</v>
      </c>
      <c r="AM273">
        <v>33.43</v>
      </c>
      <c r="AN273">
        <v>133.29</v>
      </c>
      <c r="AO273">
        <v>140.66</v>
      </c>
      <c r="AP273">
        <v>141.05000000000001</v>
      </c>
      <c r="AV273">
        <v>33.96</v>
      </c>
      <c r="AW273">
        <v>108.7</v>
      </c>
      <c r="AX273">
        <v>84.67</v>
      </c>
    </row>
    <row r="274" spans="1:50">
      <c r="A274">
        <v>6.67</v>
      </c>
      <c r="B274">
        <v>98.62</v>
      </c>
      <c r="C274">
        <v>92.4</v>
      </c>
      <c r="D274">
        <v>91.73</v>
      </c>
      <c r="E274">
        <v>94.51</v>
      </c>
      <c r="F274">
        <v>33.4</v>
      </c>
      <c r="G274">
        <v>33.56</v>
      </c>
      <c r="H274">
        <v>33.840000000000003</v>
      </c>
      <c r="I274">
        <v>36.17</v>
      </c>
      <c r="J274">
        <v>28.84</v>
      </c>
      <c r="K274">
        <v>28.95</v>
      </c>
      <c r="L274">
        <v>0</v>
      </c>
      <c r="M274">
        <v>0.16</v>
      </c>
      <c r="N274">
        <v>0.14000000000000001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0.01</v>
      </c>
      <c r="U274">
        <v>0</v>
      </c>
      <c r="V274">
        <v>1.21</v>
      </c>
      <c r="W274">
        <v>0.37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28.3</v>
      </c>
      <c r="AE274">
        <v>126.69</v>
      </c>
      <c r="AF274">
        <v>140.63</v>
      </c>
      <c r="AG274">
        <v>140.91</v>
      </c>
      <c r="AM274">
        <v>33.92</v>
      </c>
      <c r="AN274">
        <v>126.69</v>
      </c>
      <c r="AO274">
        <v>140.72</v>
      </c>
      <c r="AP274">
        <v>141.09</v>
      </c>
      <c r="AV274">
        <v>34.5</v>
      </c>
      <c r="AW274">
        <v>110.67</v>
      </c>
      <c r="AX274">
        <v>89.54</v>
      </c>
    </row>
    <row r="275" spans="1:50">
      <c r="A275">
        <v>6.83</v>
      </c>
      <c r="B275">
        <v>99.34</v>
      </c>
      <c r="C275">
        <v>98.28</v>
      </c>
      <c r="D275">
        <v>97.51</v>
      </c>
      <c r="E275">
        <v>94.95</v>
      </c>
      <c r="F275">
        <v>33.4</v>
      </c>
      <c r="G275">
        <v>33.619999999999997</v>
      </c>
      <c r="H275">
        <v>33.9</v>
      </c>
      <c r="I275">
        <v>36.28</v>
      </c>
      <c r="J275">
        <v>28.78</v>
      </c>
      <c r="K275">
        <v>28.95</v>
      </c>
      <c r="L275">
        <v>0</v>
      </c>
      <c r="M275">
        <v>0.16</v>
      </c>
      <c r="N275">
        <v>0.14000000000000001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0.01</v>
      </c>
      <c r="U275">
        <v>0</v>
      </c>
      <c r="V275">
        <v>15.31</v>
      </c>
      <c r="W275">
        <v>15.94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29.01</v>
      </c>
      <c r="AE275">
        <v>121.47</v>
      </c>
      <c r="AF275">
        <v>138.57</v>
      </c>
      <c r="AG275">
        <v>138.94999999999999</v>
      </c>
      <c r="AM275">
        <v>34.409999999999997</v>
      </c>
      <c r="AN275">
        <v>121.47</v>
      </c>
      <c r="AO275">
        <v>138.41999999999999</v>
      </c>
      <c r="AP275">
        <v>138.88</v>
      </c>
      <c r="AV275">
        <v>35.04</v>
      </c>
      <c r="AW275">
        <v>112.63</v>
      </c>
      <c r="AX275">
        <v>94.74</v>
      </c>
    </row>
    <row r="276" spans="1:50">
      <c r="A276">
        <v>7</v>
      </c>
      <c r="B276">
        <v>100.06</v>
      </c>
      <c r="C276">
        <v>99.9</v>
      </c>
      <c r="D276">
        <v>100.01</v>
      </c>
      <c r="E276">
        <v>95.34</v>
      </c>
      <c r="F276">
        <v>33.619999999999997</v>
      </c>
      <c r="G276">
        <v>33.67</v>
      </c>
      <c r="H276">
        <v>34.01</v>
      </c>
      <c r="I276">
        <v>36.450000000000003</v>
      </c>
      <c r="J276">
        <v>28.84</v>
      </c>
      <c r="K276">
        <v>28.95</v>
      </c>
      <c r="L276">
        <v>0</v>
      </c>
      <c r="M276">
        <v>0.16</v>
      </c>
      <c r="N276">
        <v>0.14000000000000001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0.01</v>
      </c>
      <c r="U276">
        <v>0</v>
      </c>
      <c r="V276">
        <v>23.58</v>
      </c>
      <c r="W276">
        <v>25.91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29.72</v>
      </c>
      <c r="AE276">
        <v>119.62</v>
      </c>
      <c r="AF276">
        <v>138.28</v>
      </c>
      <c r="AG276">
        <v>138.72999999999999</v>
      </c>
      <c r="AM276">
        <v>34.92</v>
      </c>
      <c r="AN276">
        <v>119.62</v>
      </c>
      <c r="AO276">
        <v>138.12</v>
      </c>
      <c r="AP276">
        <v>138.65</v>
      </c>
      <c r="AV276">
        <v>35.6</v>
      </c>
      <c r="AW276">
        <v>114.6</v>
      </c>
      <c r="AX276">
        <v>100.26</v>
      </c>
    </row>
    <row r="277" spans="1:50">
      <c r="A277">
        <v>7.17</v>
      </c>
      <c r="B277">
        <v>100.67</v>
      </c>
      <c r="C277">
        <v>100.28</v>
      </c>
      <c r="D277">
        <v>100.67</v>
      </c>
      <c r="E277">
        <v>96.34</v>
      </c>
      <c r="F277">
        <v>33.729999999999997</v>
      </c>
      <c r="G277">
        <v>33.840000000000003</v>
      </c>
      <c r="H277">
        <v>34.17</v>
      </c>
      <c r="I277">
        <v>36.56</v>
      </c>
      <c r="J277">
        <v>28.9</v>
      </c>
      <c r="K277">
        <v>28.95</v>
      </c>
      <c r="L277">
        <v>0</v>
      </c>
      <c r="M277">
        <v>0.16</v>
      </c>
      <c r="N277">
        <v>0.14000000000000001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0.01</v>
      </c>
      <c r="U277">
        <v>0</v>
      </c>
      <c r="V277">
        <v>16.46</v>
      </c>
      <c r="W277">
        <v>15.98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6.26</v>
      </c>
      <c r="AD277">
        <v>30.42</v>
      </c>
      <c r="AE277">
        <v>120.2</v>
      </c>
      <c r="AF277">
        <v>139.08000000000001</v>
      </c>
      <c r="AG277">
        <v>139.69</v>
      </c>
      <c r="AM277">
        <v>35.450000000000003</v>
      </c>
      <c r="AN277">
        <v>120.2</v>
      </c>
      <c r="AO277">
        <v>139.04</v>
      </c>
      <c r="AP277">
        <v>139.72999999999999</v>
      </c>
      <c r="AV277">
        <v>36.19</v>
      </c>
      <c r="AW277">
        <v>116.57</v>
      </c>
      <c r="AX277">
        <v>106.12</v>
      </c>
    </row>
    <row r="278" spans="1:50">
      <c r="A278">
        <v>7.33</v>
      </c>
      <c r="B278">
        <v>101.34</v>
      </c>
      <c r="C278">
        <v>100.28</v>
      </c>
      <c r="D278">
        <v>101.01</v>
      </c>
      <c r="E278">
        <v>97.34</v>
      </c>
      <c r="F278">
        <v>33.840000000000003</v>
      </c>
      <c r="G278">
        <v>33.950000000000003</v>
      </c>
      <c r="H278">
        <v>34.17</v>
      </c>
      <c r="I278">
        <v>36.67</v>
      </c>
      <c r="J278">
        <v>28.84</v>
      </c>
      <c r="K278">
        <v>28.95</v>
      </c>
      <c r="L278">
        <v>0</v>
      </c>
      <c r="M278">
        <v>0.16</v>
      </c>
      <c r="N278">
        <v>0.14000000000000001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0.01</v>
      </c>
      <c r="U278">
        <v>0</v>
      </c>
      <c r="V278">
        <v>34.43</v>
      </c>
      <c r="W278">
        <v>42.51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31.13</v>
      </c>
      <c r="AE278">
        <v>130.94</v>
      </c>
      <c r="AF278">
        <v>138.69</v>
      </c>
      <c r="AG278">
        <v>139.19</v>
      </c>
      <c r="AM278">
        <v>36.03</v>
      </c>
      <c r="AN278">
        <v>130.94</v>
      </c>
      <c r="AO278">
        <v>138.61000000000001</v>
      </c>
      <c r="AP278">
        <v>139.16999999999999</v>
      </c>
      <c r="AV278">
        <v>36.83</v>
      </c>
      <c r="AW278">
        <v>118.53</v>
      </c>
      <c r="AX278">
        <v>112.33</v>
      </c>
    </row>
    <row r="279" spans="1:50">
      <c r="A279">
        <v>7.5</v>
      </c>
      <c r="B279">
        <v>101.23</v>
      </c>
      <c r="C279">
        <v>100.62</v>
      </c>
      <c r="D279">
        <v>101.4</v>
      </c>
      <c r="E279">
        <v>98.62</v>
      </c>
      <c r="F279">
        <v>33.950000000000003</v>
      </c>
      <c r="G279">
        <v>34.06</v>
      </c>
      <c r="H279">
        <v>34.229999999999997</v>
      </c>
      <c r="I279">
        <v>36.840000000000003</v>
      </c>
      <c r="J279">
        <v>28.84</v>
      </c>
      <c r="K279">
        <v>28.95</v>
      </c>
      <c r="L279">
        <v>0</v>
      </c>
      <c r="M279">
        <v>0.16</v>
      </c>
      <c r="N279">
        <v>0.14000000000000001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24.3</v>
      </c>
      <c r="W279">
        <v>26.57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31.84</v>
      </c>
      <c r="AE279">
        <v>134.41</v>
      </c>
      <c r="AF279">
        <v>143</v>
      </c>
      <c r="AG279">
        <v>144.04</v>
      </c>
      <c r="AM279">
        <v>36.590000000000003</v>
      </c>
      <c r="AN279">
        <v>134.41</v>
      </c>
      <c r="AO279">
        <v>143.41999999999999</v>
      </c>
      <c r="AP279">
        <v>144.57</v>
      </c>
      <c r="AV279">
        <v>37.450000000000003</v>
      </c>
      <c r="AW279">
        <v>120.5</v>
      </c>
      <c r="AX279">
        <v>118.9</v>
      </c>
    </row>
    <row r="280" spans="1:50">
      <c r="A280">
        <v>7.67</v>
      </c>
      <c r="B280">
        <v>101.28</v>
      </c>
      <c r="C280">
        <v>101.12</v>
      </c>
      <c r="D280">
        <v>101.9</v>
      </c>
      <c r="E280">
        <v>100.01</v>
      </c>
      <c r="F280">
        <v>34.119999999999997</v>
      </c>
      <c r="G280">
        <v>34.17</v>
      </c>
      <c r="H280">
        <v>34.4</v>
      </c>
      <c r="I280">
        <v>36.950000000000003</v>
      </c>
      <c r="J280">
        <v>28.9</v>
      </c>
      <c r="K280">
        <v>28.95</v>
      </c>
      <c r="L280">
        <v>0</v>
      </c>
      <c r="M280">
        <v>0.16</v>
      </c>
      <c r="N280">
        <v>0.14000000000000001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0.01</v>
      </c>
      <c r="U280">
        <v>0</v>
      </c>
      <c r="V280">
        <v>13.84</v>
      </c>
      <c r="W280">
        <v>9.4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32.549999999999997</v>
      </c>
      <c r="AE280">
        <v>135.05000000000001</v>
      </c>
      <c r="AF280">
        <v>145.54</v>
      </c>
      <c r="AG280">
        <v>146.44</v>
      </c>
      <c r="AM280">
        <v>37.08</v>
      </c>
      <c r="AN280">
        <v>135.05000000000001</v>
      </c>
      <c r="AO280">
        <v>146.16999999999999</v>
      </c>
      <c r="AP280">
        <v>147.15</v>
      </c>
      <c r="AV280">
        <v>37.99</v>
      </c>
      <c r="AW280">
        <v>122.47</v>
      </c>
      <c r="AX280">
        <v>125.85</v>
      </c>
    </row>
    <row r="281" spans="1:50">
      <c r="A281">
        <v>7.83</v>
      </c>
      <c r="B281">
        <v>101.62</v>
      </c>
      <c r="C281">
        <v>101.34</v>
      </c>
      <c r="D281">
        <v>102.12</v>
      </c>
      <c r="E281">
        <v>101.45</v>
      </c>
      <c r="F281">
        <v>34.17</v>
      </c>
      <c r="G281">
        <v>34.17</v>
      </c>
      <c r="H281">
        <v>34.4</v>
      </c>
      <c r="I281">
        <v>37.01</v>
      </c>
      <c r="J281">
        <v>28.84</v>
      </c>
      <c r="K281">
        <v>28.95</v>
      </c>
      <c r="L281">
        <v>0</v>
      </c>
      <c r="M281">
        <v>0.16</v>
      </c>
      <c r="N281">
        <v>0.14000000000000001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0.01</v>
      </c>
      <c r="U281">
        <v>0</v>
      </c>
      <c r="V281">
        <v>21.41</v>
      </c>
      <c r="W281">
        <v>23.76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3.96</v>
      </c>
      <c r="AD281">
        <v>33.25</v>
      </c>
      <c r="AE281">
        <v>133.19</v>
      </c>
      <c r="AF281">
        <v>146.08000000000001</v>
      </c>
      <c r="AG281">
        <v>146.16</v>
      </c>
      <c r="AM281">
        <v>37.659999999999997</v>
      </c>
      <c r="AN281">
        <v>133.19</v>
      </c>
      <c r="AO281">
        <v>146.66</v>
      </c>
      <c r="AP281">
        <v>146.72999999999999</v>
      </c>
      <c r="AV281">
        <v>38.630000000000003</v>
      </c>
      <c r="AW281">
        <v>124.43</v>
      </c>
      <c r="AX281">
        <v>133.19</v>
      </c>
    </row>
    <row r="282" spans="1:50">
      <c r="A282">
        <v>8</v>
      </c>
      <c r="B282">
        <v>101.9</v>
      </c>
      <c r="C282">
        <v>101.73</v>
      </c>
      <c r="D282">
        <v>102.4</v>
      </c>
      <c r="E282">
        <v>102.84</v>
      </c>
      <c r="F282">
        <v>34.340000000000003</v>
      </c>
      <c r="G282">
        <v>34.28</v>
      </c>
      <c r="H282">
        <v>34.619999999999997</v>
      </c>
      <c r="I282">
        <v>37.17</v>
      </c>
      <c r="J282">
        <v>28.95</v>
      </c>
      <c r="K282">
        <v>28.95</v>
      </c>
      <c r="L282">
        <v>0</v>
      </c>
      <c r="M282">
        <v>0.16</v>
      </c>
      <c r="N282">
        <v>0.14000000000000001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0.01</v>
      </c>
      <c r="U282">
        <v>0</v>
      </c>
      <c r="V282">
        <v>16.399999999999999</v>
      </c>
      <c r="W282">
        <v>18.18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12.9</v>
      </c>
      <c r="AD282">
        <v>33.96</v>
      </c>
      <c r="AE282">
        <v>141.86000000000001</v>
      </c>
      <c r="AF282">
        <v>147.46</v>
      </c>
      <c r="AG282">
        <v>147.68</v>
      </c>
      <c r="AM282">
        <v>38.299999999999997</v>
      </c>
      <c r="AN282">
        <v>148.69999999999999</v>
      </c>
      <c r="AO282">
        <v>148.09</v>
      </c>
      <c r="AP282">
        <v>148.34</v>
      </c>
      <c r="AV282">
        <v>39.340000000000003</v>
      </c>
      <c r="AW282">
        <v>126.4</v>
      </c>
      <c r="AX282">
        <v>144.9</v>
      </c>
    </row>
    <row r="283" spans="1:50">
      <c r="A283">
        <v>8.17</v>
      </c>
      <c r="B283">
        <v>102.45</v>
      </c>
      <c r="C283">
        <v>101.95</v>
      </c>
      <c r="D283">
        <v>102.73</v>
      </c>
      <c r="E283">
        <v>103.95</v>
      </c>
      <c r="F283">
        <v>34.340000000000003</v>
      </c>
      <c r="G283">
        <v>34.28</v>
      </c>
      <c r="H283">
        <v>34.67</v>
      </c>
      <c r="I283">
        <v>37.229999999999997</v>
      </c>
      <c r="J283">
        <v>28.9</v>
      </c>
      <c r="K283">
        <v>28.95</v>
      </c>
      <c r="L283">
        <v>0</v>
      </c>
      <c r="M283">
        <v>0.16</v>
      </c>
      <c r="N283">
        <v>0.14000000000000001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35.409999999999997</v>
      </c>
      <c r="W283">
        <v>44.6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34.67</v>
      </c>
      <c r="AE283">
        <v>147.63999999999999</v>
      </c>
      <c r="AF283">
        <v>149.19999999999999</v>
      </c>
      <c r="AG283">
        <v>149.43</v>
      </c>
      <c r="AM283">
        <v>39.049999999999997</v>
      </c>
      <c r="AN283">
        <v>161.11000000000001</v>
      </c>
      <c r="AO283">
        <v>151.15</v>
      </c>
      <c r="AP283">
        <v>151.26</v>
      </c>
      <c r="AV283">
        <v>40.21</v>
      </c>
      <c r="AW283">
        <v>128.37</v>
      </c>
      <c r="AX283">
        <v>156.11000000000001</v>
      </c>
    </row>
    <row r="284" spans="1:50">
      <c r="A284">
        <v>8.33</v>
      </c>
      <c r="B284">
        <v>103.17</v>
      </c>
      <c r="C284">
        <v>102.12</v>
      </c>
      <c r="D284">
        <v>102.9</v>
      </c>
      <c r="E284">
        <v>105.01</v>
      </c>
      <c r="F284">
        <v>34.51</v>
      </c>
      <c r="G284">
        <v>34.4</v>
      </c>
      <c r="H284">
        <v>34.729999999999997</v>
      </c>
      <c r="I284">
        <v>37.4</v>
      </c>
      <c r="J284">
        <v>28.9</v>
      </c>
      <c r="K284">
        <v>28.95</v>
      </c>
      <c r="L284">
        <v>0</v>
      </c>
      <c r="M284">
        <v>0.16</v>
      </c>
      <c r="N284">
        <v>0.14000000000000001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0.01</v>
      </c>
      <c r="U284">
        <v>0</v>
      </c>
      <c r="V284">
        <v>4.24</v>
      </c>
      <c r="W284">
        <v>2.21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35.380000000000003</v>
      </c>
      <c r="AE284">
        <v>146.11000000000001</v>
      </c>
      <c r="AF284">
        <v>154.66999999999999</v>
      </c>
      <c r="AG284">
        <v>155.49</v>
      </c>
      <c r="AM284">
        <v>39.58</v>
      </c>
      <c r="AN284">
        <v>165.06</v>
      </c>
      <c r="AO284">
        <v>159.31</v>
      </c>
      <c r="AP284">
        <v>159.83000000000001</v>
      </c>
      <c r="AV284">
        <v>40.869999999999997</v>
      </c>
      <c r="AW284">
        <v>130.33000000000001</v>
      </c>
      <c r="AX284">
        <v>166.84</v>
      </c>
    </row>
    <row r="285" spans="1:50">
      <c r="A285">
        <v>8.5</v>
      </c>
      <c r="B285">
        <v>104.34</v>
      </c>
      <c r="C285">
        <v>102.23</v>
      </c>
      <c r="D285">
        <v>103.06</v>
      </c>
      <c r="E285">
        <v>107.34</v>
      </c>
      <c r="F285">
        <v>34.67</v>
      </c>
      <c r="G285">
        <v>34.56</v>
      </c>
      <c r="H285">
        <v>34.9</v>
      </c>
      <c r="I285">
        <v>37.56</v>
      </c>
      <c r="J285">
        <v>28.95</v>
      </c>
      <c r="K285">
        <v>28.95</v>
      </c>
      <c r="L285">
        <v>0</v>
      </c>
      <c r="M285">
        <v>0.16</v>
      </c>
      <c r="N285">
        <v>0.14000000000000001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0.01</v>
      </c>
      <c r="U285">
        <v>0</v>
      </c>
      <c r="V285">
        <v>8.67</v>
      </c>
      <c r="W285">
        <v>8.35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36.08</v>
      </c>
      <c r="AE285">
        <v>141.81</v>
      </c>
      <c r="AF285">
        <v>153.97</v>
      </c>
      <c r="AG285">
        <v>154.47</v>
      </c>
      <c r="AM285">
        <v>40.159999999999997</v>
      </c>
      <c r="AN285">
        <v>165.11</v>
      </c>
      <c r="AO285">
        <v>161.1</v>
      </c>
      <c r="AP285">
        <v>161</v>
      </c>
      <c r="AV285">
        <v>41.62</v>
      </c>
      <c r="AW285">
        <v>132.30000000000001</v>
      </c>
      <c r="AX285">
        <v>177.1</v>
      </c>
    </row>
    <row r="286" spans="1:50">
      <c r="A286">
        <v>8.67</v>
      </c>
      <c r="B286">
        <v>105.06</v>
      </c>
      <c r="C286">
        <v>101.9</v>
      </c>
      <c r="D286">
        <v>102.78</v>
      </c>
      <c r="E286">
        <v>112.01</v>
      </c>
      <c r="F286">
        <v>34.729999999999997</v>
      </c>
      <c r="G286">
        <v>34.56</v>
      </c>
      <c r="H286">
        <v>34.9</v>
      </c>
      <c r="I286">
        <v>37.56</v>
      </c>
      <c r="J286">
        <v>28.9</v>
      </c>
      <c r="K286">
        <v>28.95</v>
      </c>
      <c r="L286">
        <v>0</v>
      </c>
      <c r="M286">
        <v>0.16</v>
      </c>
      <c r="N286">
        <v>0.14000000000000001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0.01</v>
      </c>
      <c r="U286">
        <v>0</v>
      </c>
      <c r="V286">
        <v>4.25</v>
      </c>
      <c r="W286">
        <v>3.37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36.79</v>
      </c>
      <c r="AE286">
        <v>143.97999999999999</v>
      </c>
      <c r="AF286">
        <v>153.41</v>
      </c>
      <c r="AG286">
        <v>153.86000000000001</v>
      </c>
      <c r="AM286">
        <v>40.770000000000003</v>
      </c>
      <c r="AN286">
        <v>172.14</v>
      </c>
      <c r="AO286">
        <v>163.38999999999999</v>
      </c>
      <c r="AP286">
        <v>162.96</v>
      </c>
      <c r="AV286">
        <v>42.44</v>
      </c>
      <c r="AW286">
        <v>134.27000000000001</v>
      </c>
      <c r="AX286">
        <v>186.91</v>
      </c>
    </row>
    <row r="287" spans="1:50">
      <c r="A287">
        <v>8.83</v>
      </c>
      <c r="B287">
        <v>104.67</v>
      </c>
      <c r="C287">
        <v>101.56</v>
      </c>
      <c r="D287">
        <v>102.4</v>
      </c>
      <c r="E287">
        <v>113.67</v>
      </c>
      <c r="F287">
        <v>34.78</v>
      </c>
      <c r="G287">
        <v>34.729999999999997</v>
      </c>
      <c r="H287">
        <v>35.01</v>
      </c>
      <c r="I287">
        <v>37.78</v>
      </c>
      <c r="J287">
        <v>28.95</v>
      </c>
      <c r="K287">
        <v>28.95</v>
      </c>
      <c r="L287">
        <v>0</v>
      </c>
      <c r="M287">
        <v>0.16</v>
      </c>
      <c r="N287">
        <v>0.14000000000000001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0.01</v>
      </c>
      <c r="U287">
        <v>0</v>
      </c>
      <c r="V287">
        <v>31.8</v>
      </c>
      <c r="W287">
        <v>34.729999999999997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37.5</v>
      </c>
      <c r="AE287">
        <v>149.58000000000001</v>
      </c>
      <c r="AF287">
        <v>152.57</v>
      </c>
      <c r="AG287">
        <v>152.94</v>
      </c>
      <c r="AM287">
        <v>41.41</v>
      </c>
      <c r="AN287">
        <v>183.07</v>
      </c>
      <c r="AO287">
        <v>165.72</v>
      </c>
      <c r="AP287">
        <v>164.94</v>
      </c>
      <c r="AV287">
        <v>43.33</v>
      </c>
      <c r="AW287">
        <v>136.22999999999999</v>
      </c>
      <c r="AX287">
        <v>196.27</v>
      </c>
    </row>
    <row r="288" spans="1:50">
      <c r="A288">
        <v>9</v>
      </c>
      <c r="B288">
        <v>104.78</v>
      </c>
      <c r="C288">
        <v>101.9</v>
      </c>
      <c r="D288">
        <v>102.62</v>
      </c>
      <c r="E288">
        <v>114.45</v>
      </c>
      <c r="F288">
        <v>35.01</v>
      </c>
      <c r="G288">
        <v>34.78</v>
      </c>
      <c r="H288">
        <v>35.01</v>
      </c>
      <c r="I288">
        <v>37.9</v>
      </c>
      <c r="J288">
        <v>28.9</v>
      </c>
      <c r="K288">
        <v>28.95</v>
      </c>
      <c r="L288">
        <v>0</v>
      </c>
      <c r="M288">
        <v>0.16</v>
      </c>
      <c r="N288">
        <v>0.14000000000000001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2.35</v>
      </c>
      <c r="W288">
        <v>5.0999999999999996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38.21</v>
      </c>
      <c r="AE288">
        <v>150.58000000000001</v>
      </c>
      <c r="AF288">
        <v>157.22999999999999</v>
      </c>
      <c r="AG288">
        <v>157.38</v>
      </c>
      <c r="AM288">
        <v>42.02</v>
      </c>
      <c r="AN288">
        <v>188.17</v>
      </c>
      <c r="AO288">
        <v>174.56</v>
      </c>
      <c r="AP288">
        <v>173.26</v>
      </c>
      <c r="AV288">
        <v>44.22</v>
      </c>
      <c r="AW288">
        <v>138.19999999999999</v>
      </c>
      <c r="AX288">
        <v>205.2</v>
      </c>
    </row>
    <row r="289" spans="1:50">
      <c r="A289">
        <v>9.17</v>
      </c>
      <c r="B289">
        <v>105.45</v>
      </c>
      <c r="C289">
        <v>102.56</v>
      </c>
      <c r="D289">
        <v>103.06</v>
      </c>
      <c r="E289">
        <v>115.17</v>
      </c>
      <c r="F289">
        <v>35.119999999999997</v>
      </c>
      <c r="G289">
        <v>35.01</v>
      </c>
      <c r="H289">
        <v>35.17</v>
      </c>
      <c r="I289">
        <v>38.01</v>
      </c>
      <c r="J289">
        <v>28.95</v>
      </c>
      <c r="K289">
        <v>28.95</v>
      </c>
      <c r="L289">
        <v>0</v>
      </c>
      <c r="M289">
        <v>0.17</v>
      </c>
      <c r="N289">
        <v>0.17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0.01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38.909999999999997</v>
      </c>
      <c r="AE289">
        <v>150.49</v>
      </c>
      <c r="AF289">
        <v>156.53</v>
      </c>
      <c r="AG289">
        <v>157.13999999999999</v>
      </c>
      <c r="AM289">
        <v>42.55</v>
      </c>
      <c r="AN289">
        <v>191.58</v>
      </c>
      <c r="AO289">
        <v>177.43</v>
      </c>
      <c r="AP289">
        <v>176.41</v>
      </c>
      <c r="AV289">
        <v>45</v>
      </c>
      <c r="AW289">
        <v>140.16</v>
      </c>
      <c r="AX289">
        <v>213.71</v>
      </c>
    </row>
    <row r="290" spans="1:50">
      <c r="A290">
        <v>9.33</v>
      </c>
      <c r="B290">
        <v>105.45</v>
      </c>
      <c r="C290">
        <v>103.12</v>
      </c>
      <c r="D290">
        <v>103.34</v>
      </c>
      <c r="E290">
        <v>115.78</v>
      </c>
      <c r="F290">
        <v>35.229999999999997</v>
      </c>
      <c r="G290">
        <v>35.01</v>
      </c>
      <c r="H290">
        <v>35.17</v>
      </c>
      <c r="I290">
        <v>38.06</v>
      </c>
      <c r="J290">
        <v>28.95</v>
      </c>
      <c r="K290">
        <v>28.95</v>
      </c>
      <c r="L290">
        <v>0</v>
      </c>
      <c r="M290">
        <v>0.16</v>
      </c>
      <c r="N290">
        <v>0.14000000000000001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0.01</v>
      </c>
      <c r="U290">
        <v>0</v>
      </c>
      <c r="V290">
        <v>1.37</v>
      </c>
      <c r="W290">
        <v>1.32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39.619999999999997</v>
      </c>
      <c r="AE290">
        <v>151.52000000000001</v>
      </c>
      <c r="AF290">
        <v>155.51</v>
      </c>
      <c r="AG290">
        <v>156.01</v>
      </c>
      <c r="AM290">
        <v>43.13</v>
      </c>
      <c r="AN290">
        <v>196.14</v>
      </c>
      <c r="AO290">
        <v>180.09</v>
      </c>
      <c r="AP290">
        <v>179.29</v>
      </c>
      <c r="AV290">
        <v>45.88</v>
      </c>
      <c r="AW290">
        <v>142.13</v>
      </c>
      <c r="AX290">
        <v>221.82</v>
      </c>
    </row>
    <row r="291" spans="1:50">
      <c r="A291">
        <v>9.5</v>
      </c>
      <c r="B291">
        <v>104.78</v>
      </c>
      <c r="C291">
        <v>103.73</v>
      </c>
      <c r="D291">
        <v>103.78</v>
      </c>
      <c r="E291">
        <v>116.34</v>
      </c>
      <c r="F291">
        <v>35.28</v>
      </c>
      <c r="G291">
        <v>35.17</v>
      </c>
      <c r="H291">
        <v>35.28</v>
      </c>
      <c r="I291">
        <v>38.119999999999997</v>
      </c>
      <c r="J291">
        <v>28.95</v>
      </c>
      <c r="K291">
        <v>28.95</v>
      </c>
      <c r="L291">
        <v>0</v>
      </c>
      <c r="M291">
        <v>0.28999999999999998</v>
      </c>
      <c r="N291">
        <v>0.28999999999999998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0.01</v>
      </c>
      <c r="U291">
        <v>0</v>
      </c>
      <c r="V291">
        <v>8.51</v>
      </c>
      <c r="W291">
        <v>9.36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40.33</v>
      </c>
      <c r="AE291">
        <v>156.24</v>
      </c>
      <c r="AF291">
        <v>155.09</v>
      </c>
      <c r="AG291">
        <v>155.56</v>
      </c>
      <c r="AM291">
        <v>43.78</v>
      </c>
      <c r="AN291">
        <v>205.3</v>
      </c>
      <c r="AO291">
        <v>183.23</v>
      </c>
      <c r="AP291">
        <v>182.15</v>
      </c>
      <c r="AV291">
        <v>46.88</v>
      </c>
      <c r="AW291">
        <v>144.1</v>
      </c>
      <c r="AX291">
        <v>229.53</v>
      </c>
    </row>
    <row r="292" spans="1:50">
      <c r="A292">
        <v>9.67</v>
      </c>
      <c r="B292">
        <v>105.51</v>
      </c>
      <c r="C292">
        <v>105.45</v>
      </c>
      <c r="D292">
        <v>105.28</v>
      </c>
      <c r="E292">
        <v>117.06</v>
      </c>
      <c r="F292">
        <v>35.450000000000003</v>
      </c>
      <c r="G292">
        <v>35.28</v>
      </c>
      <c r="H292">
        <v>35.450000000000003</v>
      </c>
      <c r="I292">
        <v>38.340000000000003</v>
      </c>
      <c r="J292">
        <v>29.01</v>
      </c>
      <c r="K292">
        <v>28.95</v>
      </c>
      <c r="L292">
        <v>0</v>
      </c>
      <c r="M292">
        <v>0.16</v>
      </c>
      <c r="N292">
        <v>0.14000000000000001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0.01</v>
      </c>
      <c r="U292">
        <v>0</v>
      </c>
      <c r="V292">
        <v>5.09</v>
      </c>
      <c r="W292">
        <v>7.43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41.04</v>
      </c>
      <c r="AE292">
        <v>156.63999999999999</v>
      </c>
      <c r="AF292">
        <v>157.87</v>
      </c>
      <c r="AG292">
        <v>158.5</v>
      </c>
      <c r="AM292">
        <v>44.49</v>
      </c>
      <c r="AN292">
        <v>208.62</v>
      </c>
      <c r="AO292">
        <v>193.03</v>
      </c>
      <c r="AP292">
        <v>192.75</v>
      </c>
      <c r="AV292">
        <v>48</v>
      </c>
      <c r="AW292">
        <v>146.06</v>
      </c>
      <c r="AX292">
        <v>236.85</v>
      </c>
    </row>
    <row r="293" spans="1:50">
      <c r="A293">
        <v>9.83</v>
      </c>
      <c r="B293">
        <v>106.56</v>
      </c>
      <c r="C293">
        <v>111.06</v>
      </c>
      <c r="D293">
        <v>109.9</v>
      </c>
      <c r="E293">
        <v>117.62</v>
      </c>
      <c r="F293">
        <v>35.56</v>
      </c>
      <c r="G293">
        <v>35.450000000000003</v>
      </c>
      <c r="H293">
        <v>35.450000000000003</v>
      </c>
      <c r="I293">
        <v>38.4</v>
      </c>
      <c r="J293">
        <v>29.01</v>
      </c>
      <c r="K293">
        <v>28.95</v>
      </c>
      <c r="L293">
        <v>0</v>
      </c>
      <c r="M293">
        <v>0.28999999999999998</v>
      </c>
      <c r="N293">
        <v>0.28999999999999998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-1.07</v>
      </c>
      <c r="W293">
        <v>-0.68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41.74</v>
      </c>
      <c r="AE293">
        <v>157.44999999999999</v>
      </c>
      <c r="AF293">
        <v>158.49</v>
      </c>
      <c r="AG293">
        <v>159.29</v>
      </c>
      <c r="AM293">
        <v>45.12</v>
      </c>
      <c r="AN293">
        <v>212.28</v>
      </c>
      <c r="AO293">
        <v>196.75</v>
      </c>
      <c r="AP293">
        <v>196.42</v>
      </c>
      <c r="AV293">
        <v>49</v>
      </c>
      <c r="AW293">
        <v>148.03</v>
      </c>
      <c r="AX293">
        <v>243.81</v>
      </c>
    </row>
    <row r="294" spans="1:50">
      <c r="A294">
        <v>10</v>
      </c>
      <c r="B294">
        <v>107.95</v>
      </c>
      <c r="C294">
        <v>113.9</v>
      </c>
      <c r="D294">
        <v>112.84</v>
      </c>
      <c r="E294">
        <v>118.17</v>
      </c>
      <c r="F294">
        <v>35.619999999999997</v>
      </c>
      <c r="G294">
        <v>35.56</v>
      </c>
      <c r="H294">
        <v>35.51</v>
      </c>
      <c r="I294">
        <v>38.51</v>
      </c>
      <c r="J294">
        <v>28.95</v>
      </c>
      <c r="K294">
        <v>28.95</v>
      </c>
      <c r="L294">
        <v>0</v>
      </c>
      <c r="M294">
        <v>0.28999999999999998</v>
      </c>
      <c r="N294">
        <v>0.28999999999999998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0.01</v>
      </c>
      <c r="U294">
        <v>0</v>
      </c>
      <c r="V294">
        <v>-2.86</v>
      </c>
      <c r="W294">
        <v>-3.61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42.45</v>
      </c>
      <c r="AE294">
        <v>157.81</v>
      </c>
      <c r="AF294">
        <v>157.88999999999999</v>
      </c>
      <c r="AG294">
        <v>158.55000000000001</v>
      </c>
      <c r="AM294">
        <v>45.68</v>
      </c>
      <c r="AN294">
        <v>215.14</v>
      </c>
      <c r="AO294">
        <v>201.38</v>
      </c>
      <c r="AP294">
        <v>201.37</v>
      </c>
      <c r="AV294">
        <v>49.9</v>
      </c>
      <c r="AW294">
        <v>150</v>
      </c>
      <c r="AX294">
        <v>250.4</v>
      </c>
    </row>
    <row r="295" spans="1:50">
      <c r="A295">
        <v>10.17</v>
      </c>
      <c r="B295">
        <v>108.28</v>
      </c>
      <c r="C295">
        <v>113.45</v>
      </c>
      <c r="D295">
        <v>113.12</v>
      </c>
      <c r="E295">
        <v>118.84</v>
      </c>
      <c r="F295">
        <v>35.78</v>
      </c>
      <c r="G295">
        <v>35.67</v>
      </c>
      <c r="H295">
        <v>35.56</v>
      </c>
      <c r="I295">
        <v>38.67</v>
      </c>
      <c r="J295">
        <v>28.95</v>
      </c>
      <c r="K295">
        <v>28.95</v>
      </c>
      <c r="L295">
        <v>0</v>
      </c>
      <c r="M295">
        <v>0.28999999999999998</v>
      </c>
      <c r="N295">
        <v>0.28999999999999998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0.01</v>
      </c>
      <c r="U295">
        <v>0</v>
      </c>
      <c r="V295">
        <v>5.62</v>
      </c>
      <c r="W295">
        <v>6.24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43.16</v>
      </c>
      <c r="AE295">
        <v>158.88</v>
      </c>
      <c r="AF295">
        <v>157.04</v>
      </c>
      <c r="AG295">
        <v>157.28</v>
      </c>
      <c r="AM295">
        <v>46.27</v>
      </c>
      <c r="AN295">
        <v>218.81</v>
      </c>
      <c r="AO295">
        <v>204.87</v>
      </c>
      <c r="AP295">
        <v>204.69</v>
      </c>
      <c r="AV295">
        <v>50.87</v>
      </c>
      <c r="AW295">
        <v>151.96</v>
      </c>
      <c r="AX295">
        <v>256.64999999999998</v>
      </c>
    </row>
    <row r="296" spans="1:50">
      <c r="A296">
        <v>10.33</v>
      </c>
      <c r="B296">
        <v>107.34</v>
      </c>
      <c r="C296">
        <v>113.12</v>
      </c>
      <c r="D296">
        <v>113.23</v>
      </c>
      <c r="E296">
        <v>119.51</v>
      </c>
      <c r="F296">
        <v>35.9</v>
      </c>
      <c r="G296">
        <v>35.78</v>
      </c>
      <c r="H296">
        <v>35.619999999999997</v>
      </c>
      <c r="I296">
        <v>38.78</v>
      </c>
      <c r="J296">
        <v>28.95</v>
      </c>
      <c r="K296">
        <v>28.95</v>
      </c>
      <c r="L296">
        <v>0</v>
      </c>
      <c r="M296">
        <v>0.16</v>
      </c>
      <c r="N296">
        <v>0.14000000000000001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0.01</v>
      </c>
      <c r="U296">
        <v>0</v>
      </c>
      <c r="V296">
        <v>13.51</v>
      </c>
      <c r="W296">
        <v>18.170000000000002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43.87</v>
      </c>
      <c r="AE296">
        <v>159.11000000000001</v>
      </c>
      <c r="AF296">
        <v>159.19</v>
      </c>
      <c r="AG296">
        <v>159.58000000000001</v>
      </c>
      <c r="AM296">
        <v>46.85</v>
      </c>
      <c r="AN296">
        <v>221.15</v>
      </c>
      <c r="AO296">
        <v>211.14</v>
      </c>
      <c r="AP296">
        <v>211.33</v>
      </c>
      <c r="AV296">
        <v>51.83</v>
      </c>
      <c r="AW296">
        <v>153.93</v>
      </c>
      <c r="AX296">
        <v>262.55</v>
      </c>
    </row>
    <row r="297" spans="1:50">
      <c r="A297">
        <v>10.5</v>
      </c>
      <c r="B297">
        <v>106.62</v>
      </c>
      <c r="C297">
        <v>113.12</v>
      </c>
      <c r="D297">
        <v>113.45</v>
      </c>
      <c r="E297">
        <v>120.23</v>
      </c>
      <c r="F297">
        <v>36.06</v>
      </c>
      <c r="G297">
        <v>36.01</v>
      </c>
      <c r="H297">
        <v>35.840000000000003</v>
      </c>
      <c r="I297">
        <v>38.950000000000003</v>
      </c>
      <c r="J297">
        <v>29.06</v>
      </c>
      <c r="K297">
        <v>28.95</v>
      </c>
      <c r="L297">
        <v>0</v>
      </c>
      <c r="M297">
        <v>0.28999999999999998</v>
      </c>
      <c r="N297">
        <v>0.28999999999999998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-3.79</v>
      </c>
      <c r="W297">
        <v>-2.59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44.57</v>
      </c>
      <c r="AE297">
        <v>159.33000000000001</v>
      </c>
      <c r="AF297">
        <v>161.36000000000001</v>
      </c>
      <c r="AG297">
        <v>162.08000000000001</v>
      </c>
      <c r="AM297">
        <v>47.47</v>
      </c>
      <c r="AN297">
        <v>223.31</v>
      </c>
      <c r="AO297">
        <v>215.37</v>
      </c>
      <c r="AP297">
        <v>215.73</v>
      </c>
      <c r="AV297">
        <v>52.88</v>
      </c>
      <c r="AW297">
        <v>155.9</v>
      </c>
      <c r="AX297">
        <v>268.14</v>
      </c>
    </row>
    <row r="298" spans="1:50">
      <c r="A298">
        <v>10.67</v>
      </c>
      <c r="B298">
        <v>104.62</v>
      </c>
      <c r="C298">
        <v>113.28</v>
      </c>
      <c r="D298">
        <v>113.73</v>
      </c>
      <c r="E298">
        <v>120.78</v>
      </c>
      <c r="F298">
        <v>36.119999999999997</v>
      </c>
      <c r="G298">
        <v>36.06</v>
      </c>
      <c r="H298">
        <v>35.9</v>
      </c>
      <c r="I298">
        <v>38.950000000000003</v>
      </c>
      <c r="J298">
        <v>29.01</v>
      </c>
      <c r="K298">
        <v>28.95</v>
      </c>
      <c r="L298">
        <v>0</v>
      </c>
      <c r="M298">
        <v>0.28999999999999998</v>
      </c>
      <c r="N298">
        <v>0.28999999999999998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0.01</v>
      </c>
      <c r="U298">
        <v>0</v>
      </c>
      <c r="V298">
        <v>-2.14</v>
      </c>
      <c r="W298">
        <v>-2.2000000000000002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45.28</v>
      </c>
      <c r="AE298">
        <v>157.72</v>
      </c>
      <c r="AF298">
        <v>159.68</v>
      </c>
      <c r="AG298">
        <v>160.52000000000001</v>
      </c>
      <c r="AM298">
        <v>47.99</v>
      </c>
      <c r="AN298">
        <v>222.76</v>
      </c>
      <c r="AO298">
        <v>216.7</v>
      </c>
      <c r="AP298">
        <v>217.36</v>
      </c>
      <c r="AV298">
        <v>53.75</v>
      </c>
      <c r="AW298">
        <v>157.86000000000001</v>
      </c>
      <c r="AX298">
        <v>273.39999999999998</v>
      </c>
    </row>
    <row r="299" spans="1:50">
      <c r="A299">
        <v>10.83</v>
      </c>
      <c r="B299">
        <v>103.34</v>
      </c>
      <c r="C299">
        <v>113.56</v>
      </c>
      <c r="D299">
        <v>114.17</v>
      </c>
      <c r="E299">
        <v>121.4</v>
      </c>
      <c r="F299">
        <v>36.4</v>
      </c>
      <c r="G299">
        <v>36.340000000000003</v>
      </c>
      <c r="H299">
        <v>36.119999999999997</v>
      </c>
      <c r="I299">
        <v>39.229999999999997</v>
      </c>
      <c r="J299">
        <v>29.12</v>
      </c>
      <c r="K299">
        <v>28.95</v>
      </c>
      <c r="L299">
        <v>0</v>
      </c>
      <c r="M299">
        <v>0.16</v>
      </c>
      <c r="N299">
        <v>0.14000000000000001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2.5</v>
      </c>
      <c r="W299">
        <v>0.1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45.99</v>
      </c>
      <c r="AE299">
        <v>157.1</v>
      </c>
      <c r="AF299">
        <v>158.5</v>
      </c>
      <c r="AG299">
        <v>159.05000000000001</v>
      </c>
      <c r="AM299">
        <v>48.57</v>
      </c>
      <c r="AN299">
        <v>223.45</v>
      </c>
      <c r="AO299">
        <v>217.96</v>
      </c>
      <c r="AP299">
        <v>218.4</v>
      </c>
      <c r="AV299">
        <v>54.74</v>
      </c>
      <c r="AW299">
        <v>159.83000000000001</v>
      </c>
      <c r="AX299">
        <v>278.36</v>
      </c>
    </row>
    <row r="300" spans="1:50">
      <c r="A300">
        <v>11</v>
      </c>
      <c r="B300">
        <v>102.12</v>
      </c>
      <c r="C300">
        <v>113.9</v>
      </c>
      <c r="D300">
        <v>114.45</v>
      </c>
      <c r="E300">
        <v>121.78</v>
      </c>
      <c r="F300">
        <v>36.450000000000003</v>
      </c>
      <c r="G300">
        <v>36.340000000000003</v>
      </c>
      <c r="H300">
        <v>36.119999999999997</v>
      </c>
      <c r="I300">
        <v>39.229999999999997</v>
      </c>
      <c r="J300">
        <v>29.06</v>
      </c>
      <c r="K300">
        <v>28.95</v>
      </c>
      <c r="L300">
        <v>0</v>
      </c>
      <c r="M300">
        <v>0.28999999999999998</v>
      </c>
      <c r="N300">
        <v>0.28999999999999998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0.01</v>
      </c>
      <c r="U300">
        <v>0</v>
      </c>
      <c r="V300">
        <v>15.49</v>
      </c>
      <c r="W300">
        <v>16.59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46.7</v>
      </c>
      <c r="AE300">
        <v>159.41999999999999</v>
      </c>
      <c r="AF300">
        <v>158.68</v>
      </c>
      <c r="AG300">
        <v>158.79</v>
      </c>
      <c r="AM300">
        <v>49.08</v>
      </c>
      <c r="AN300">
        <v>228.2</v>
      </c>
      <c r="AO300">
        <v>219.39</v>
      </c>
      <c r="AP300">
        <v>219.21</v>
      </c>
      <c r="AV300">
        <v>55.63</v>
      </c>
      <c r="AW300">
        <v>161.80000000000001</v>
      </c>
      <c r="AX300">
        <v>283.02999999999997</v>
      </c>
    </row>
    <row r="301" spans="1:50">
      <c r="A301">
        <v>11.17</v>
      </c>
      <c r="B301">
        <v>102.06</v>
      </c>
      <c r="C301">
        <v>114.17</v>
      </c>
      <c r="D301">
        <v>114.73</v>
      </c>
      <c r="E301">
        <v>122.23</v>
      </c>
      <c r="F301">
        <v>36.56</v>
      </c>
      <c r="G301">
        <v>36.51</v>
      </c>
      <c r="H301">
        <v>36.17</v>
      </c>
      <c r="I301">
        <v>39.229999999999997</v>
      </c>
      <c r="J301">
        <v>29.06</v>
      </c>
      <c r="K301">
        <v>28.95</v>
      </c>
      <c r="L301">
        <v>0</v>
      </c>
      <c r="M301">
        <v>0.28999999999999998</v>
      </c>
      <c r="N301">
        <v>0.28999999999999998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-2.41</v>
      </c>
      <c r="W301">
        <v>-1.01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47.41</v>
      </c>
      <c r="AE301">
        <v>160.1</v>
      </c>
      <c r="AF301">
        <v>163.35</v>
      </c>
      <c r="AG301">
        <v>163.84</v>
      </c>
      <c r="AM301">
        <v>49.64</v>
      </c>
      <c r="AN301">
        <v>230.52</v>
      </c>
      <c r="AO301">
        <v>227.18</v>
      </c>
      <c r="AP301">
        <v>227.56</v>
      </c>
      <c r="AV301">
        <v>56.6</v>
      </c>
      <c r="AW301">
        <v>163.76</v>
      </c>
      <c r="AX301">
        <v>287.42</v>
      </c>
    </row>
    <row r="302" spans="1:50">
      <c r="A302">
        <v>11.33</v>
      </c>
      <c r="B302">
        <v>102.95</v>
      </c>
      <c r="C302">
        <v>114.51</v>
      </c>
      <c r="D302">
        <v>115.01</v>
      </c>
      <c r="E302">
        <v>122.67</v>
      </c>
      <c r="F302">
        <v>36.729999999999997</v>
      </c>
      <c r="G302">
        <v>36.619999999999997</v>
      </c>
      <c r="H302">
        <v>36.340000000000003</v>
      </c>
      <c r="I302">
        <v>39.51</v>
      </c>
      <c r="J302">
        <v>29.12</v>
      </c>
      <c r="K302">
        <v>28.95</v>
      </c>
      <c r="L302">
        <v>0</v>
      </c>
      <c r="M302">
        <v>0.28999999999999998</v>
      </c>
      <c r="N302">
        <v>0.28999999999999998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0.01</v>
      </c>
      <c r="U302">
        <v>0</v>
      </c>
      <c r="V302">
        <v>-1.91</v>
      </c>
      <c r="W302">
        <v>-1.32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48.11</v>
      </c>
      <c r="AE302">
        <v>160.16999999999999</v>
      </c>
      <c r="AF302">
        <v>161.72</v>
      </c>
      <c r="AG302">
        <v>162.44999999999999</v>
      </c>
      <c r="AM302">
        <v>50.12</v>
      </c>
      <c r="AN302">
        <v>231.86</v>
      </c>
      <c r="AO302">
        <v>227.48</v>
      </c>
      <c r="AP302">
        <v>228.19</v>
      </c>
      <c r="AV302">
        <v>57.45</v>
      </c>
      <c r="AW302">
        <v>165.73</v>
      </c>
      <c r="AX302">
        <v>291.52999999999997</v>
      </c>
    </row>
    <row r="303" spans="1:50">
      <c r="A303">
        <v>11.5</v>
      </c>
      <c r="B303">
        <v>104.17</v>
      </c>
      <c r="C303">
        <v>114.67</v>
      </c>
      <c r="D303">
        <v>115.34</v>
      </c>
      <c r="E303">
        <v>123.84</v>
      </c>
      <c r="F303">
        <v>36.840000000000003</v>
      </c>
      <c r="G303">
        <v>36.78</v>
      </c>
      <c r="H303">
        <v>36.450000000000003</v>
      </c>
      <c r="I303">
        <v>39.56</v>
      </c>
      <c r="J303">
        <v>29.06</v>
      </c>
      <c r="K303">
        <v>28.95</v>
      </c>
      <c r="L303">
        <v>0</v>
      </c>
      <c r="M303">
        <v>0.28999999999999998</v>
      </c>
      <c r="N303">
        <v>0.28999999999999998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-4.2699999999999996</v>
      </c>
      <c r="W303">
        <v>-3.69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48.82</v>
      </c>
      <c r="AE303">
        <v>158.97</v>
      </c>
      <c r="AF303">
        <v>160.72</v>
      </c>
      <c r="AG303">
        <v>161.38999999999999</v>
      </c>
      <c r="AM303">
        <v>50.68</v>
      </c>
      <c r="AN303">
        <v>231.26</v>
      </c>
      <c r="AO303">
        <v>228.27</v>
      </c>
      <c r="AP303">
        <v>228.96</v>
      </c>
      <c r="AV303">
        <v>58.44</v>
      </c>
      <c r="AW303">
        <v>167.7</v>
      </c>
      <c r="AX303">
        <v>295.38</v>
      </c>
    </row>
    <row r="304" spans="1:50">
      <c r="A304">
        <v>11.67</v>
      </c>
      <c r="B304">
        <v>104.67</v>
      </c>
      <c r="C304">
        <v>114.84</v>
      </c>
      <c r="D304">
        <v>115.51</v>
      </c>
      <c r="E304">
        <v>127.73</v>
      </c>
      <c r="F304">
        <v>37.01</v>
      </c>
      <c r="G304">
        <v>36.950000000000003</v>
      </c>
      <c r="H304">
        <v>36.619999999999997</v>
      </c>
      <c r="I304">
        <v>39.729999999999997</v>
      </c>
      <c r="J304">
        <v>29.12</v>
      </c>
      <c r="K304">
        <v>28.95</v>
      </c>
      <c r="L304">
        <v>0</v>
      </c>
      <c r="M304">
        <v>0.28999999999999998</v>
      </c>
      <c r="N304">
        <v>0.28999999999999998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8.85</v>
      </c>
      <c r="W304">
        <v>7.74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49.53</v>
      </c>
      <c r="AE304">
        <v>162.27000000000001</v>
      </c>
      <c r="AF304">
        <v>158.99</v>
      </c>
      <c r="AG304">
        <v>159.6</v>
      </c>
      <c r="AM304">
        <v>51.06</v>
      </c>
      <c r="AN304">
        <v>237.12</v>
      </c>
      <c r="AO304">
        <v>227.86</v>
      </c>
      <c r="AP304">
        <v>228.5</v>
      </c>
      <c r="AV304">
        <v>59.11</v>
      </c>
      <c r="AW304">
        <v>169.66</v>
      </c>
      <c r="AX304">
        <v>298.98</v>
      </c>
    </row>
    <row r="305" spans="1:50">
      <c r="A305">
        <v>11.83</v>
      </c>
      <c r="B305">
        <v>105.12</v>
      </c>
      <c r="C305">
        <v>114.23</v>
      </c>
      <c r="D305">
        <v>115.01</v>
      </c>
      <c r="E305">
        <v>128.72999999999999</v>
      </c>
      <c r="F305">
        <v>37.119999999999997</v>
      </c>
      <c r="G305">
        <v>37.06</v>
      </c>
      <c r="H305">
        <v>36.67</v>
      </c>
      <c r="I305">
        <v>39.840000000000003</v>
      </c>
      <c r="J305">
        <v>29.12</v>
      </c>
      <c r="K305">
        <v>28.95</v>
      </c>
      <c r="L305">
        <v>0</v>
      </c>
      <c r="M305">
        <v>0.28999999999999998</v>
      </c>
      <c r="N305">
        <v>0.14000000000000001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-0.04</v>
      </c>
      <c r="W305">
        <v>0.4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50.24</v>
      </c>
      <c r="AE305">
        <v>161.4</v>
      </c>
      <c r="AF305">
        <v>162.47999999999999</v>
      </c>
      <c r="AG305">
        <v>162.65</v>
      </c>
      <c r="AM305">
        <v>51.56</v>
      </c>
      <c r="AN305">
        <v>236.83</v>
      </c>
      <c r="AO305">
        <v>233.66</v>
      </c>
      <c r="AP305">
        <v>233.84</v>
      </c>
      <c r="AV305">
        <v>60</v>
      </c>
      <c r="AW305">
        <v>171.63</v>
      </c>
      <c r="AX305">
        <v>302.33999999999997</v>
      </c>
    </row>
    <row r="306" spans="1:50">
      <c r="A306">
        <v>12</v>
      </c>
      <c r="B306">
        <v>106.4</v>
      </c>
      <c r="C306">
        <v>114.28</v>
      </c>
      <c r="D306">
        <v>115.01</v>
      </c>
      <c r="E306">
        <v>128.9</v>
      </c>
      <c r="F306">
        <v>37.229999999999997</v>
      </c>
      <c r="G306">
        <v>37.119999999999997</v>
      </c>
      <c r="H306">
        <v>36.67</v>
      </c>
      <c r="I306">
        <v>39.78</v>
      </c>
      <c r="J306">
        <v>29.01</v>
      </c>
      <c r="K306">
        <v>28.95</v>
      </c>
      <c r="L306">
        <v>0</v>
      </c>
      <c r="M306">
        <v>0.28999999999999998</v>
      </c>
      <c r="N306">
        <v>0.28999999999999998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-1.59</v>
      </c>
      <c r="W306">
        <v>-0.48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50.94</v>
      </c>
      <c r="AE306">
        <v>159.4</v>
      </c>
      <c r="AF306">
        <v>162.16</v>
      </c>
      <c r="AG306">
        <v>162.53</v>
      </c>
      <c r="AM306">
        <v>52.01</v>
      </c>
      <c r="AN306">
        <v>234.78</v>
      </c>
      <c r="AO306">
        <v>234.67</v>
      </c>
      <c r="AP306">
        <v>234.37</v>
      </c>
      <c r="AV306">
        <v>60.8</v>
      </c>
      <c r="AW306">
        <v>173.6</v>
      </c>
      <c r="AX306">
        <v>305.47000000000003</v>
      </c>
    </row>
    <row r="307" spans="1:50">
      <c r="A307">
        <v>12.17</v>
      </c>
      <c r="B307">
        <v>107.67</v>
      </c>
      <c r="C307">
        <v>114.56</v>
      </c>
      <c r="D307">
        <v>115.01</v>
      </c>
      <c r="E307">
        <v>129.51</v>
      </c>
      <c r="F307">
        <v>37.450000000000003</v>
      </c>
      <c r="G307">
        <v>37.340000000000003</v>
      </c>
      <c r="H307">
        <v>36.950000000000003</v>
      </c>
      <c r="I307">
        <v>40.01</v>
      </c>
      <c r="J307">
        <v>29.12</v>
      </c>
      <c r="K307">
        <v>28.95</v>
      </c>
      <c r="L307">
        <v>0</v>
      </c>
      <c r="M307">
        <v>0.16</v>
      </c>
      <c r="N307">
        <v>0.14000000000000001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1.1499999999999999</v>
      </c>
      <c r="W307">
        <v>1.1100000000000001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51.65</v>
      </c>
      <c r="AE307">
        <v>155.91999999999999</v>
      </c>
      <c r="AF307">
        <v>160.91</v>
      </c>
      <c r="AG307">
        <v>161.47</v>
      </c>
      <c r="AM307">
        <v>52.49</v>
      </c>
      <c r="AN307">
        <v>230.45</v>
      </c>
      <c r="AO307">
        <v>234.19</v>
      </c>
      <c r="AP307">
        <v>234.35</v>
      </c>
      <c r="AV307">
        <v>61.66</v>
      </c>
      <c r="AW307">
        <v>175.56</v>
      </c>
      <c r="AX307">
        <v>308.37</v>
      </c>
    </row>
    <row r="308" spans="1:50">
      <c r="A308">
        <v>12.33</v>
      </c>
      <c r="B308">
        <v>107.84</v>
      </c>
      <c r="C308">
        <v>114.78</v>
      </c>
      <c r="D308">
        <v>115.01</v>
      </c>
      <c r="E308">
        <v>129.72999999999999</v>
      </c>
      <c r="F308">
        <v>37.51</v>
      </c>
      <c r="G308">
        <v>37.4</v>
      </c>
      <c r="H308">
        <v>37.119999999999997</v>
      </c>
      <c r="I308">
        <v>40.06</v>
      </c>
      <c r="J308">
        <v>29.12</v>
      </c>
      <c r="K308">
        <v>28.95</v>
      </c>
      <c r="L308">
        <v>0</v>
      </c>
      <c r="M308">
        <v>0.16</v>
      </c>
      <c r="N308">
        <v>0.14000000000000001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32.46</v>
      </c>
      <c r="W308">
        <v>33.81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52.36</v>
      </c>
      <c r="AE308">
        <v>159.83000000000001</v>
      </c>
      <c r="AF308">
        <v>160.29</v>
      </c>
      <c r="AG308">
        <v>160.84</v>
      </c>
      <c r="AM308">
        <v>52.95</v>
      </c>
      <c r="AN308">
        <v>236.97</v>
      </c>
      <c r="AO308">
        <v>233.73</v>
      </c>
      <c r="AP308">
        <v>233.91</v>
      </c>
      <c r="AV308">
        <v>62.5</v>
      </c>
      <c r="AW308">
        <v>177.53</v>
      </c>
      <c r="AX308">
        <v>311.07</v>
      </c>
    </row>
    <row r="309" spans="1:50">
      <c r="A309">
        <v>12.5</v>
      </c>
      <c r="B309">
        <v>108.12</v>
      </c>
      <c r="C309">
        <v>115.17</v>
      </c>
      <c r="D309">
        <v>115.4</v>
      </c>
      <c r="E309">
        <v>130.16999999999999</v>
      </c>
      <c r="F309">
        <v>37.840000000000003</v>
      </c>
      <c r="G309">
        <v>37.67</v>
      </c>
      <c r="H309">
        <v>37.229999999999997</v>
      </c>
      <c r="I309">
        <v>40.28</v>
      </c>
      <c r="J309">
        <v>29.17</v>
      </c>
      <c r="K309">
        <v>28.95</v>
      </c>
      <c r="L309">
        <v>0</v>
      </c>
      <c r="M309">
        <v>0.16</v>
      </c>
      <c r="N309">
        <v>0.14000000000000001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1.99</v>
      </c>
      <c r="W309">
        <v>5.73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53.07</v>
      </c>
      <c r="AE309">
        <v>160.76</v>
      </c>
      <c r="AF309">
        <v>165.46</v>
      </c>
      <c r="AG309">
        <v>165.48</v>
      </c>
      <c r="AM309">
        <v>53.4</v>
      </c>
      <c r="AN309">
        <v>239.05</v>
      </c>
      <c r="AO309">
        <v>240.15</v>
      </c>
      <c r="AP309">
        <v>239.72</v>
      </c>
      <c r="AV309">
        <v>63.33</v>
      </c>
      <c r="AW309">
        <v>179.5</v>
      </c>
      <c r="AX309">
        <v>313.56</v>
      </c>
    </row>
    <row r="310" spans="1:50">
      <c r="A310">
        <v>12.67</v>
      </c>
      <c r="B310">
        <v>107.84</v>
      </c>
      <c r="C310">
        <v>115.62</v>
      </c>
      <c r="D310">
        <v>115.67</v>
      </c>
      <c r="E310">
        <v>130.51</v>
      </c>
      <c r="F310">
        <v>37.840000000000003</v>
      </c>
      <c r="G310">
        <v>37.729999999999997</v>
      </c>
      <c r="H310">
        <v>37.28</v>
      </c>
      <c r="I310">
        <v>40.340000000000003</v>
      </c>
      <c r="J310">
        <v>29.12</v>
      </c>
      <c r="K310">
        <v>28.95</v>
      </c>
      <c r="L310">
        <v>0</v>
      </c>
      <c r="M310">
        <v>0.28999999999999998</v>
      </c>
      <c r="N310">
        <v>0.28999999999999998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-2.3199999999999998</v>
      </c>
      <c r="W310">
        <v>-1.49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53.77</v>
      </c>
      <c r="AE310">
        <v>160.57</v>
      </c>
      <c r="AF310">
        <v>165.02</v>
      </c>
      <c r="AG310">
        <v>165.63</v>
      </c>
      <c r="AM310">
        <v>53.87</v>
      </c>
      <c r="AN310">
        <v>239.38</v>
      </c>
      <c r="AO310">
        <v>240.31</v>
      </c>
      <c r="AP310">
        <v>240.52</v>
      </c>
      <c r="AV310">
        <v>64.180000000000007</v>
      </c>
      <c r="AW310">
        <v>181.46</v>
      </c>
      <c r="AX310">
        <v>315.85000000000002</v>
      </c>
    </row>
    <row r="311" spans="1:50">
      <c r="A311">
        <v>12.83</v>
      </c>
      <c r="B311">
        <v>108.4</v>
      </c>
      <c r="C311">
        <v>118.56</v>
      </c>
      <c r="D311">
        <v>117.56</v>
      </c>
      <c r="E311">
        <v>130.9</v>
      </c>
      <c r="F311">
        <v>38.06</v>
      </c>
      <c r="G311">
        <v>37.9</v>
      </c>
      <c r="H311">
        <v>37.51</v>
      </c>
      <c r="I311">
        <v>40.619999999999997</v>
      </c>
      <c r="J311">
        <v>29.17</v>
      </c>
      <c r="K311">
        <v>28.95</v>
      </c>
      <c r="L311">
        <v>0</v>
      </c>
      <c r="M311">
        <v>0.16</v>
      </c>
      <c r="N311">
        <v>0.16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0.71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54.48</v>
      </c>
      <c r="AE311">
        <v>157.78</v>
      </c>
      <c r="AF311">
        <v>163.07</v>
      </c>
      <c r="AG311">
        <v>163.71</v>
      </c>
      <c r="AM311">
        <v>54.26</v>
      </c>
      <c r="AN311">
        <v>235.79</v>
      </c>
      <c r="AO311">
        <v>239.27</v>
      </c>
      <c r="AP311">
        <v>239.66</v>
      </c>
      <c r="AV311">
        <v>64.88</v>
      </c>
      <c r="AW311">
        <v>183.43</v>
      </c>
      <c r="AX311">
        <v>317.97000000000003</v>
      </c>
    </row>
    <row r="312" spans="1:50">
      <c r="A312">
        <v>13</v>
      </c>
      <c r="B312">
        <v>109.45</v>
      </c>
      <c r="C312">
        <v>122.12</v>
      </c>
      <c r="D312">
        <v>120.62</v>
      </c>
      <c r="E312">
        <v>131.06</v>
      </c>
      <c r="F312">
        <v>38.28</v>
      </c>
      <c r="G312">
        <v>38.01</v>
      </c>
      <c r="H312">
        <v>37.51</v>
      </c>
      <c r="I312">
        <v>40.619999999999997</v>
      </c>
      <c r="J312">
        <v>29.12</v>
      </c>
      <c r="K312">
        <v>28.95</v>
      </c>
      <c r="L312">
        <v>0</v>
      </c>
      <c r="M312">
        <v>0.16</v>
      </c>
      <c r="N312">
        <v>0.14000000000000001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10.08</v>
      </c>
      <c r="W312">
        <v>9.1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55.19</v>
      </c>
      <c r="AE312">
        <v>159.54</v>
      </c>
      <c r="AF312">
        <v>162.33000000000001</v>
      </c>
      <c r="AG312">
        <v>162.74</v>
      </c>
      <c r="AM312">
        <v>54.74</v>
      </c>
      <c r="AN312">
        <v>238.94</v>
      </c>
      <c r="AO312">
        <v>238.77</v>
      </c>
      <c r="AP312">
        <v>238.96</v>
      </c>
      <c r="AV312">
        <v>65.78</v>
      </c>
      <c r="AW312">
        <v>185.4</v>
      </c>
      <c r="AX312">
        <v>319.91000000000003</v>
      </c>
    </row>
    <row r="313" spans="1:50">
      <c r="A313">
        <v>13.17</v>
      </c>
      <c r="B313">
        <v>110.51</v>
      </c>
      <c r="C313">
        <v>123.28</v>
      </c>
      <c r="D313">
        <v>122.4</v>
      </c>
      <c r="E313">
        <v>131.51</v>
      </c>
      <c r="F313">
        <v>38.450000000000003</v>
      </c>
      <c r="G313">
        <v>38.340000000000003</v>
      </c>
      <c r="H313">
        <v>37.729999999999997</v>
      </c>
      <c r="I313">
        <v>40.9</v>
      </c>
      <c r="J313">
        <v>29.17</v>
      </c>
      <c r="K313">
        <v>28.95</v>
      </c>
      <c r="L313">
        <v>0</v>
      </c>
      <c r="M313">
        <v>0.16</v>
      </c>
      <c r="N313">
        <v>0.14000000000000001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25.24</v>
      </c>
      <c r="W313">
        <v>30.78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55.9</v>
      </c>
      <c r="AE313">
        <v>161.05000000000001</v>
      </c>
      <c r="AF313">
        <v>163.51</v>
      </c>
      <c r="AG313">
        <v>163.58000000000001</v>
      </c>
      <c r="AM313">
        <v>55.19</v>
      </c>
      <c r="AN313">
        <v>241.67</v>
      </c>
      <c r="AO313">
        <v>240.61</v>
      </c>
      <c r="AP313">
        <v>240.39</v>
      </c>
      <c r="AV313">
        <v>66.61</v>
      </c>
      <c r="AW313">
        <v>187.36</v>
      </c>
      <c r="AX313">
        <v>321.68</v>
      </c>
    </row>
    <row r="314" spans="1:50">
      <c r="A314">
        <v>13.33</v>
      </c>
      <c r="B314">
        <v>110.4</v>
      </c>
      <c r="C314">
        <v>122.78</v>
      </c>
      <c r="D314">
        <v>122.56</v>
      </c>
      <c r="E314">
        <v>131.84</v>
      </c>
      <c r="F314">
        <v>38.56</v>
      </c>
      <c r="G314">
        <v>38.4</v>
      </c>
      <c r="H314">
        <v>37.840000000000003</v>
      </c>
      <c r="I314">
        <v>40.950000000000003</v>
      </c>
      <c r="J314">
        <v>29.23</v>
      </c>
      <c r="K314">
        <v>28.95</v>
      </c>
      <c r="L314">
        <v>0</v>
      </c>
      <c r="M314">
        <v>0.28999999999999998</v>
      </c>
      <c r="N314">
        <v>0.24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0.01</v>
      </c>
      <c r="U314">
        <v>0</v>
      </c>
      <c r="V314">
        <v>-0.1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56.6</v>
      </c>
      <c r="AE314">
        <v>160.29</v>
      </c>
      <c r="AF314">
        <v>167.19</v>
      </c>
      <c r="AG314">
        <v>167.57</v>
      </c>
      <c r="AM314">
        <v>55.67</v>
      </c>
      <c r="AN314">
        <v>240.95</v>
      </c>
      <c r="AO314">
        <v>245.34</v>
      </c>
      <c r="AP314">
        <v>245.44</v>
      </c>
      <c r="AV314">
        <v>67.48</v>
      </c>
      <c r="AW314">
        <v>189.33</v>
      </c>
      <c r="AX314">
        <v>323.3</v>
      </c>
    </row>
    <row r="315" spans="1:50">
      <c r="A315">
        <v>13.5</v>
      </c>
      <c r="B315">
        <v>109.62</v>
      </c>
      <c r="C315">
        <v>122.51</v>
      </c>
      <c r="D315">
        <v>122.67</v>
      </c>
      <c r="E315">
        <v>132.12</v>
      </c>
      <c r="F315">
        <v>38.78</v>
      </c>
      <c r="G315">
        <v>38.51</v>
      </c>
      <c r="H315">
        <v>37.950000000000003</v>
      </c>
      <c r="I315">
        <v>40.950000000000003</v>
      </c>
      <c r="J315">
        <v>29.17</v>
      </c>
      <c r="K315">
        <v>28.95</v>
      </c>
      <c r="L315">
        <v>0</v>
      </c>
      <c r="M315">
        <v>0.16</v>
      </c>
      <c r="N315">
        <v>0.15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57.31</v>
      </c>
      <c r="AE315">
        <v>157.83000000000001</v>
      </c>
      <c r="AF315">
        <v>165.17</v>
      </c>
      <c r="AG315">
        <v>165.81</v>
      </c>
      <c r="AM315">
        <v>56.2</v>
      </c>
      <c r="AN315">
        <v>237.63</v>
      </c>
      <c r="AO315">
        <v>243.9</v>
      </c>
      <c r="AP315">
        <v>244.22</v>
      </c>
      <c r="AV315">
        <v>68.459999999999994</v>
      </c>
      <c r="AW315">
        <v>191.3</v>
      </c>
      <c r="AX315">
        <v>324.77</v>
      </c>
    </row>
    <row r="316" spans="1:50">
      <c r="A316">
        <v>13.67</v>
      </c>
      <c r="B316">
        <v>108.73</v>
      </c>
      <c r="C316">
        <v>122.56</v>
      </c>
      <c r="D316">
        <v>122.9</v>
      </c>
      <c r="E316">
        <v>132.16999999999999</v>
      </c>
      <c r="F316">
        <v>38.950000000000003</v>
      </c>
      <c r="G316">
        <v>38.67</v>
      </c>
      <c r="H316">
        <v>38.119999999999997</v>
      </c>
      <c r="I316">
        <v>41.12</v>
      </c>
      <c r="J316">
        <v>29.23</v>
      </c>
      <c r="K316">
        <v>28.95</v>
      </c>
      <c r="L316">
        <v>0</v>
      </c>
      <c r="M316">
        <v>0.18</v>
      </c>
      <c r="N316">
        <v>0.21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58.02</v>
      </c>
      <c r="AE316">
        <v>159.63999999999999</v>
      </c>
      <c r="AF316">
        <v>163.97</v>
      </c>
      <c r="AG316">
        <v>164.63</v>
      </c>
      <c r="AM316">
        <v>56.62</v>
      </c>
      <c r="AN316">
        <v>240.7</v>
      </c>
      <c r="AO316">
        <v>242.76</v>
      </c>
      <c r="AP316">
        <v>243.15</v>
      </c>
      <c r="AV316">
        <v>69.25</v>
      </c>
      <c r="AW316">
        <v>193.26</v>
      </c>
      <c r="AX316">
        <v>326.10000000000002</v>
      </c>
    </row>
    <row r="317" spans="1:50">
      <c r="A317">
        <v>13.83</v>
      </c>
      <c r="B317">
        <v>108.17</v>
      </c>
      <c r="C317">
        <v>122.73</v>
      </c>
      <c r="D317">
        <v>123.17</v>
      </c>
      <c r="E317">
        <v>132.56</v>
      </c>
      <c r="F317">
        <v>39.229999999999997</v>
      </c>
      <c r="G317">
        <v>38.950000000000003</v>
      </c>
      <c r="H317">
        <v>38.119999999999997</v>
      </c>
      <c r="I317">
        <v>41.12</v>
      </c>
      <c r="J317">
        <v>29.23</v>
      </c>
      <c r="K317">
        <v>28.95</v>
      </c>
      <c r="L317">
        <v>0</v>
      </c>
      <c r="M317">
        <v>0.16</v>
      </c>
      <c r="N317">
        <v>0.14000000000000001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26.99</v>
      </c>
      <c r="W317">
        <v>29.57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58.73</v>
      </c>
      <c r="AE317">
        <v>162.88</v>
      </c>
      <c r="AF317">
        <v>163.19999999999999</v>
      </c>
      <c r="AG317">
        <v>163.56</v>
      </c>
      <c r="AM317">
        <v>57.11</v>
      </c>
      <c r="AN317">
        <v>245.9</v>
      </c>
      <c r="AO317">
        <v>242.35</v>
      </c>
      <c r="AP317">
        <v>242.56</v>
      </c>
      <c r="AV317">
        <v>70.150000000000006</v>
      </c>
      <c r="AW317">
        <v>195.23</v>
      </c>
      <c r="AX317">
        <v>327.29000000000002</v>
      </c>
    </row>
    <row r="318" spans="1:50">
      <c r="A318">
        <v>14</v>
      </c>
      <c r="B318">
        <v>107.17</v>
      </c>
      <c r="C318">
        <v>122.9</v>
      </c>
      <c r="D318">
        <v>123.34</v>
      </c>
      <c r="E318">
        <v>132.56</v>
      </c>
      <c r="F318">
        <v>39.340000000000003</v>
      </c>
      <c r="G318">
        <v>39.06</v>
      </c>
      <c r="H318">
        <v>38.28</v>
      </c>
      <c r="I318">
        <v>41.34</v>
      </c>
      <c r="J318">
        <v>29.23</v>
      </c>
      <c r="K318">
        <v>28.95</v>
      </c>
      <c r="L318">
        <v>0</v>
      </c>
      <c r="M318">
        <v>0.28999999999999998</v>
      </c>
      <c r="N318">
        <v>0.25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-1.05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59.43</v>
      </c>
      <c r="AE318">
        <v>162.62</v>
      </c>
      <c r="AF318">
        <v>167.51</v>
      </c>
      <c r="AG318">
        <v>167.65</v>
      </c>
      <c r="AM318">
        <v>57.57</v>
      </c>
      <c r="AN318">
        <v>245.79</v>
      </c>
      <c r="AO318">
        <v>247.85</v>
      </c>
      <c r="AP318">
        <v>247.74</v>
      </c>
      <c r="AV318">
        <v>71</v>
      </c>
      <c r="AW318">
        <v>197.2</v>
      </c>
      <c r="AX318">
        <v>328.37</v>
      </c>
    </row>
    <row r="319" spans="1:50">
      <c r="A319">
        <v>14.17</v>
      </c>
      <c r="B319">
        <v>106.67</v>
      </c>
      <c r="C319">
        <v>123.17</v>
      </c>
      <c r="D319">
        <v>123.73</v>
      </c>
      <c r="E319">
        <v>133.06</v>
      </c>
      <c r="F319">
        <v>39.51</v>
      </c>
      <c r="G319">
        <v>39.229999999999997</v>
      </c>
      <c r="H319">
        <v>38.450000000000003</v>
      </c>
      <c r="I319">
        <v>41.45</v>
      </c>
      <c r="J319">
        <v>29.23</v>
      </c>
      <c r="K319">
        <v>28.95</v>
      </c>
      <c r="L319">
        <v>0</v>
      </c>
      <c r="M319">
        <v>0.28999999999999998</v>
      </c>
      <c r="N319">
        <v>0.28999999999999998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0.01</v>
      </c>
      <c r="U319">
        <v>0</v>
      </c>
      <c r="V319">
        <v>-1.02</v>
      </c>
      <c r="W319">
        <v>-0.91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60.14</v>
      </c>
      <c r="AE319">
        <v>160.81</v>
      </c>
      <c r="AF319">
        <v>165.8</v>
      </c>
      <c r="AG319">
        <v>166.37</v>
      </c>
      <c r="AM319">
        <v>58.02</v>
      </c>
      <c r="AN319">
        <v>243.31</v>
      </c>
      <c r="AO319">
        <v>246.85</v>
      </c>
      <c r="AP319">
        <v>247.19</v>
      </c>
      <c r="AV319">
        <v>71.84</v>
      </c>
      <c r="AW319">
        <v>199.16</v>
      </c>
      <c r="AX319">
        <v>329.33</v>
      </c>
    </row>
    <row r="320" spans="1:50">
      <c r="A320">
        <v>14.33</v>
      </c>
      <c r="B320">
        <v>107.01</v>
      </c>
      <c r="C320">
        <v>123.34</v>
      </c>
      <c r="D320">
        <v>123.95</v>
      </c>
      <c r="E320">
        <v>133.34</v>
      </c>
      <c r="F320">
        <v>39.78</v>
      </c>
      <c r="G320">
        <v>39.4</v>
      </c>
      <c r="H320">
        <v>38.56</v>
      </c>
      <c r="I320">
        <v>41.62</v>
      </c>
      <c r="J320">
        <v>29.34</v>
      </c>
      <c r="K320">
        <v>28.95</v>
      </c>
      <c r="L320">
        <v>0</v>
      </c>
      <c r="M320">
        <v>0.28999999999999998</v>
      </c>
      <c r="N320">
        <v>0.28999999999999998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-1.99</v>
      </c>
      <c r="W320">
        <v>-1.32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60.85</v>
      </c>
      <c r="AE320">
        <v>160.81</v>
      </c>
      <c r="AF320">
        <v>164.07</v>
      </c>
      <c r="AG320">
        <v>164.48</v>
      </c>
      <c r="AM320">
        <v>58.55</v>
      </c>
      <c r="AN320">
        <v>243.52</v>
      </c>
      <c r="AO320">
        <v>245.39</v>
      </c>
      <c r="AP320">
        <v>245.63</v>
      </c>
      <c r="AV320">
        <v>72.819999999999993</v>
      </c>
      <c r="AW320">
        <v>201.13</v>
      </c>
      <c r="AX320">
        <v>330.18</v>
      </c>
    </row>
    <row r="321" spans="1:50">
      <c r="A321">
        <v>14.5</v>
      </c>
      <c r="B321">
        <v>108.17</v>
      </c>
      <c r="C321">
        <v>123.51</v>
      </c>
      <c r="D321">
        <v>124.12</v>
      </c>
      <c r="E321">
        <v>135.01</v>
      </c>
      <c r="F321">
        <v>39.78</v>
      </c>
      <c r="G321">
        <v>39.51</v>
      </c>
      <c r="H321">
        <v>38.67</v>
      </c>
      <c r="I321">
        <v>41.67</v>
      </c>
      <c r="J321">
        <v>29.23</v>
      </c>
      <c r="K321">
        <v>28.95</v>
      </c>
      <c r="L321">
        <v>0</v>
      </c>
      <c r="M321">
        <v>0.28999999999999998</v>
      </c>
      <c r="N321">
        <v>0.28999999999999998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-4.16</v>
      </c>
      <c r="W321">
        <v>-2.81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61.56</v>
      </c>
      <c r="AE321">
        <v>159.38999999999999</v>
      </c>
      <c r="AF321">
        <v>162.56</v>
      </c>
      <c r="AG321">
        <v>163.02000000000001</v>
      </c>
      <c r="AM321">
        <v>58.97</v>
      </c>
      <c r="AN321">
        <v>241.56</v>
      </c>
      <c r="AO321">
        <v>244.15</v>
      </c>
      <c r="AP321">
        <v>244.51</v>
      </c>
      <c r="AV321">
        <v>73.59</v>
      </c>
      <c r="AW321">
        <v>203.1</v>
      </c>
      <c r="AX321">
        <v>330.93</v>
      </c>
    </row>
    <row r="322" spans="1:50">
      <c r="A322">
        <v>14.67</v>
      </c>
      <c r="B322">
        <v>108.95</v>
      </c>
      <c r="C322">
        <v>123.78</v>
      </c>
      <c r="D322">
        <v>124.4</v>
      </c>
      <c r="E322">
        <v>139.01</v>
      </c>
      <c r="F322">
        <v>40.06</v>
      </c>
      <c r="G322">
        <v>39.729999999999997</v>
      </c>
      <c r="H322">
        <v>38.9</v>
      </c>
      <c r="I322">
        <v>41.95</v>
      </c>
      <c r="J322">
        <v>29.23</v>
      </c>
      <c r="K322">
        <v>28.95</v>
      </c>
      <c r="L322">
        <v>0</v>
      </c>
      <c r="M322">
        <v>0.28999999999999998</v>
      </c>
      <c r="N322">
        <v>0.28999999999999998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0.01</v>
      </c>
      <c r="U322">
        <v>0</v>
      </c>
      <c r="V322">
        <v>-6.2</v>
      </c>
      <c r="W322">
        <v>-4.74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62.26</v>
      </c>
      <c r="AE322">
        <v>159.94</v>
      </c>
      <c r="AF322">
        <v>160.44999999999999</v>
      </c>
      <c r="AG322">
        <v>161.13</v>
      </c>
      <c r="AM322">
        <v>59.41</v>
      </c>
      <c r="AN322">
        <v>242.57</v>
      </c>
      <c r="AO322">
        <v>241.99</v>
      </c>
      <c r="AP322">
        <v>242.64</v>
      </c>
      <c r="AV322">
        <v>74.41</v>
      </c>
      <c r="AW322">
        <v>205.06</v>
      </c>
      <c r="AX322">
        <v>331.59</v>
      </c>
    </row>
    <row r="323" spans="1:50">
      <c r="A323">
        <v>14.83</v>
      </c>
      <c r="B323">
        <v>110.28</v>
      </c>
      <c r="C323">
        <v>123.62</v>
      </c>
      <c r="D323">
        <v>124.17</v>
      </c>
      <c r="E323">
        <v>139.9</v>
      </c>
      <c r="F323">
        <v>40.229999999999997</v>
      </c>
      <c r="G323">
        <v>39.78</v>
      </c>
      <c r="H323">
        <v>39.01</v>
      </c>
      <c r="I323">
        <v>42.06</v>
      </c>
      <c r="J323">
        <v>29.34</v>
      </c>
      <c r="K323">
        <v>28.95</v>
      </c>
      <c r="L323">
        <v>0</v>
      </c>
      <c r="M323">
        <v>0.28999999999999998</v>
      </c>
      <c r="N323">
        <v>0.28999999999999998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11.82</v>
      </c>
      <c r="W323">
        <v>12.21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62.97</v>
      </c>
      <c r="AE323">
        <v>166.13</v>
      </c>
      <c r="AF323">
        <v>158.52000000000001</v>
      </c>
      <c r="AG323">
        <v>159.38999999999999</v>
      </c>
      <c r="AM323">
        <v>59.94</v>
      </c>
      <c r="AN323">
        <v>252.1</v>
      </c>
      <c r="AO323">
        <v>240.19</v>
      </c>
      <c r="AP323">
        <v>241.07</v>
      </c>
      <c r="AV323">
        <v>75.400000000000006</v>
      </c>
      <c r="AW323">
        <v>207.03</v>
      </c>
      <c r="AX323">
        <v>332.16</v>
      </c>
    </row>
    <row r="324" spans="1:50">
      <c r="A324">
        <v>15</v>
      </c>
      <c r="B324">
        <v>111.62</v>
      </c>
      <c r="C324">
        <v>122.9</v>
      </c>
      <c r="D324">
        <v>123.56</v>
      </c>
      <c r="E324">
        <v>139.84</v>
      </c>
      <c r="F324">
        <v>40.340000000000003</v>
      </c>
      <c r="G324">
        <v>39.9</v>
      </c>
      <c r="H324">
        <v>39.229999999999997</v>
      </c>
      <c r="I324">
        <v>42.06</v>
      </c>
      <c r="J324">
        <v>29.23</v>
      </c>
      <c r="K324">
        <v>28.95</v>
      </c>
      <c r="L324">
        <v>0</v>
      </c>
      <c r="M324">
        <v>0.28999999999999998</v>
      </c>
      <c r="N324">
        <v>0.28999999999999998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9.66</v>
      </c>
      <c r="W324">
        <v>9.32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63.68</v>
      </c>
      <c r="AE324">
        <v>172.42</v>
      </c>
      <c r="AF324">
        <v>164.11</v>
      </c>
      <c r="AG324">
        <v>164.95</v>
      </c>
      <c r="AM324">
        <v>60.35</v>
      </c>
      <c r="AN324">
        <v>261.79000000000002</v>
      </c>
      <c r="AO324">
        <v>247.79</v>
      </c>
      <c r="AP324">
        <v>248.65</v>
      </c>
      <c r="AV324">
        <v>76.16</v>
      </c>
      <c r="AW324">
        <v>209</v>
      </c>
      <c r="AX324">
        <v>332.66</v>
      </c>
    </row>
    <row r="325" spans="1:50">
      <c r="A325">
        <v>15.17</v>
      </c>
      <c r="B325">
        <v>111.73</v>
      </c>
      <c r="C325">
        <v>122.9</v>
      </c>
      <c r="D325">
        <v>123.67</v>
      </c>
      <c r="E325">
        <v>139.9</v>
      </c>
      <c r="F325">
        <v>40.56</v>
      </c>
      <c r="G325">
        <v>40.06</v>
      </c>
      <c r="H325">
        <v>39.4</v>
      </c>
      <c r="I325">
        <v>42.28</v>
      </c>
      <c r="J325">
        <v>29.34</v>
      </c>
      <c r="K325">
        <v>28.95</v>
      </c>
      <c r="L325">
        <v>0</v>
      </c>
      <c r="M325">
        <v>0.28999999999999998</v>
      </c>
      <c r="N325">
        <v>0.28999999999999998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5.12</v>
      </c>
      <c r="W325">
        <v>4.32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64.39</v>
      </c>
      <c r="AE325">
        <v>173.91</v>
      </c>
      <c r="AF325">
        <v>169.29</v>
      </c>
      <c r="AG325">
        <v>169.87</v>
      </c>
      <c r="AM325">
        <v>60.81</v>
      </c>
      <c r="AN325">
        <v>264.16000000000003</v>
      </c>
      <c r="AO325">
        <v>255.37</v>
      </c>
      <c r="AP325">
        <v>255.97</v>
      </c>
      <c r="AV325">
        <v>77.010000000000005</v>
      </c>
      <c r="AW325">
        <v>210.96</v>
      </c>
      <c r="AX325">
        <v>333.08</v>
      </c>
    </row>
    <row r="326" spans="1:50">
      <c r="A326">
        <v>15.33</v>
      </c>
      <c r="B326">
        <v>112.67</v>
      </c>
      <c r="C326">
        <v>122.84</v>
      </c>
      <c r="D326">
        <v>123.56</v>
      </c>
      <c r="E326">
        <v>139.94999999999999</v>
      </c>
      <c r="F326">
        <v>40.840000000000003</v>
      </c>
      <c r="G326">
        <v>40.340000000000003</v>
      </c>
      <c r="H326">
        <v>39.51</v>
      </c>
      <c r="I326">
        <v>42.34</v>
      </c>
      <c r="J326">
        <v>29.34</v>
      </c>
      <c r="K326">
        <v>28.95</v>
      </c>
      <c r="L326">
        <v>0</v>
      </c>
      <c r="M326">
        <v>0.16</v>
      </c>
      <c r="N326">
        <v>0.14000000000000001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0.01</v>
      </c>
      <c r="U326">
        <v>0</v>
      </c>
      <c r="V326">
        <v>16.079999999999998</v>
      </c>
      <c r="W326">
        <v>14.46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65.09</v>
      </c>
      <c r="AE326">
        <v>171.12</v>
      </c>
      <c r="AF326">
        <v>172.09</v>
      </c>
      <c r="AG326">
        <v>172.32</v>
      </c>
      <c r="AM326">
        <v>61.32</v>
      </c>
      <c r="AN326">
        <v>260.02</v>
      </c>
      <c r="AO326">
        <v>259.83</v>
      </c>
      <c r="AP326">
        <v>260.05</v>
      </c>
      <c r="AV326">
        <v>77.95</v>
      </c>
      <c r="AW326">
        <v>212.93</v>
      </c>
      <c r="AX326">
        <v>333.44</v>
      </c>
    </row>
    <row r="327" spans="1:50">
      <c r="A327">
        <v>15.5</v>
      </c>
      <c r="B327">
        <v>113.56</v>
      </c>
      <c r="C327">
        <v>123.17</v>
      </c>
      <c r="D327">
        <v>123.84</v>
      </c>
      <c r="E327">
        <v>140.01</v>
      </c>
      <c r="F327">
        <v>40.9</v>
      </c>
      <c r="G327">
        <v>40.4</v>
      </c>
      <c r="H327">
        <v>39.51</v>
      </c>
      <c r="I327">
        <v>42.51</v>
      </c>
      <c r="J327">
        <v>29.34</v>
      </c>
      <c r="K327">
        <v>28.95</v>
      </c>
      <c r="L327">
        <v>0</v>
      </c>
      <c r="M327">
        <v>0.16</v>
      </c>
      <c r="N327">
        <v>0.14000000000000001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18.989999999999998</v>
      </c>
      <c r="W327">
        <v>25.19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65.8</v>
      </c>
      <c r="AE327">
        <v>168.82</v>
      </c>
      <c r="AF327">
        <v>174.53</v>
      </c>
      <c r="AG327">
        <v>174.2</v>
      </c>
      <c r="AM327">
        <v>61.9</v>
      </c>
      <c r="AN327">
        <v>256.61</v>
      </c>
      <c r="AO327">
        <v>262.76</v>
      </c>
      <c r="AP327">
        <v>262.33</v>
      </c>
      <c r="AV327">
        <v>79.010000000000005</v>
      </c>
      <c r="AW327">
        <v>214.9</v>
      </c>
      <c r="AX327">
        <v>333.74</v>
      </c>
    </row>
    <row r="328" spans="1:50">
      <c r="A328">
        <v>15.67</v>
      </c>
      <c r="B328">
        <v>113.45</v>
      </c>
      <c r="C328">
        <v>125.12</v>
      </c>
      <c r="D328">
        <v>125.06</v>
      </c>
      <c r="E328">
        <v>140.01</v>
      </c>
      <c r="F328">
        <v>41.12</v>
      </c>
      <c r="G328">
        <v>40.619999999999997</v>
      </c>
      <c r="H328">
        <v>39.67</v>
      </c>
      <c r="I328">
        <v>42.62</v>
      </c>
      <c r="J328">
        <v>29.34</v>
      </c>
      <c r="K328">
        <v>28.95</v>
      </c>
      <c r="L328">
        <v>0</v>
      </c>
      <c r="M328">
        <v>0.16</v>
      </c>
      <c r="N328">
        <v>0.14000000000000001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5.5</v>
      </c>
      <c r="W328">
        <v>7.52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66.510000000000005</v>
      </c>
      <c r="AE328">
        <v>170.38</v>
      </c>
      <c r="AF328">
        <v>176.68</v>
      </c>
      <c r="AG328">
        <v>177</v>
      </c>
      <c r="AM328">
        <v>62.31</v>
      </c>
      <c r="AN328">
        <v>259.04000000000002</v>
      </c>
      <c r="AO328">
        <v>265.07</v>
      </c>
      <c r="AP328">
        <v>265.39</v>
      </c>
      <c r="AV328">
        <v>79.77</v>
      </c>
      <c r="AW328">
        <v>216.86</v>
      </c>
      <c r="AX328">
        <v>333.98</v>
      </c>
    </row>
    <row r="329" spans="1:50">
      <c r="A329">
        <v>15.83</v>
      </c>
      <c r="B329">
        <v>114.23</v>
      </c>
      <c r="C329">
        <v>128.44999999999999</v>
      </c>
      <c r="D329">
        <v>127.51</v>
      </c>
      <c r="E329">
        <v>140.16999999999999</v>
      </c>
      <c r="F329">
        <v>41.23</v>
      </c>
      <c r="G329">
        <v>40.67</v>
      </c>
      <c r="H329">
        <v>39.729999999999997</v>
      </c>
      <c r="I329">
        <v>42.73</v>
      </c>
      <c r="J329">
        <v>29.34</v>
      </c>
      <c r="K329">
        <v>28.95</v>
      </c>
      <c r="L329">
        <v>0</v>
      </c>
      <c r="M329">
        <v>0.11</v>
      </c>
      <c r="N329">
        <v>0.12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5.69</v>
      </c>
      <c r="W329">
        <v>8.42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67.22</v>
      </c>
      <c r="AE329">
        <v>173.12</v>
      </c>
      <c r="AF329">
        <v>176.55</v>
      </c>
      <c r="AG329">
        <v>177.13</v>
      </c>
      <c r="AM329">
        <v>62.74</v>
      </c>
      <c r="AN329">
        <v>263.27</v>
      </c>
      <c r="AO329">
        <v>264.97000000000003</v>
      </c>
      <c r="AP329">
        <v>265.58</v>
      </c>
      <c r="AV329">
        <v>80.56</v>
      </c>
      <c r="AW329">
        <v>218.83</v>
      </c>
      <c r="AX329">
        <v>334.19</v>
      </c>
    </row>
    <row r="330" spans="1:50">
      <c r="A330">
        <v>16</v>
      </c>
      <c r="B330">
        <v>115.17</v>
      </c>
      <c r="C330">
        <v>130.16999999999999</v>
      </c>
      <c r="D330">
        <v>129.51</v>
      </c>
      <c r="E330">
        <v>140.44999999999999</v>
      </c>
      <c r="F330">
        <v>41.51</v>
      </c>
      <c r="G330">
        <v>40.840000000000003</v>
      </c>
      <c r="H330">
        <v>39.840000000000003</v>
      </c>
      <c r="I330">
        <v>42.78</v>
      </c>
      <c r="J330">
        <v>29.34</v>
      </c>
      <c r="K330">
        <v>28.95</v>
      </c>
      <c r="L330">
        <v>0</v>
      </c>
      <c r="M330">
        <v>0.11</v>
      </c>
      <c r="N330">
        <v>0.12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3.16</v>
      </c>
      <c r="W330">
        <v>0.19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67.92</v>
      </c>
      <c r="AE330">
        <v>172.19</v>
      </c>
      <c r="AF330">
        <v>176.8</v>
      </c>
      <c r="AG330">
        <v>177.66</v>
      </c>
      <c r="AM330">
        <v>63.26</v>
      </c>
      <c r="AN330">
        <v>261.89</v>
      </c>
      <c r="AO330">
        <v>265.47000000000003</v>
      </c>
      <c r="AP330">
        <v>266.39999999999998</v>
      </c>
      <c r="AV330">
        <v>81.53</v>
      </c>
      <c r="AW330">
        <v>220</v>
      </c>
      <c r="AX330">
        <v>334.35</v>
      </c>
    </row>
    <row r="331" spans="1:50">
      <c r="A331">
        <v>16.170000000000002</v>
      </c>
      <c r="B331">
        <v>116.17</v>
      </c>
      <c r="C331">
        <v>130.51</v>
      </c>
      <c r="D331">
        <v>130.44999999999999</v>
      </c>
      <c r="E331">
        <v>140.56</v>
      </c>
      <c r="F331">
        <v>41.73</v>
      </c>
      <c r="G331">
        <v>41.06</v>
      </c>
      <c r="H331">
        <v>39.950000000000003</v>
      </c>
      <c r="I331">
        <v>43.06</v>
      </c>
      <c r="J331">
        <v>29.4</v>
      </c>
      <c r="K331">
        <v>28.95</v>
      </c>
      <c r="L331">
        <v>0</v>
      </c>
      <c r="M331">
        <v>0.11</v>
      </c>
      <c r="N331">
        <v>0.12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16.190000000000001</v>
      </c>
      <c r="W331">
        <v>13.68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68.63</v>
      </c>
      <c r="AE331">
        <v>167</v>
      </c>
      <c r="AF331">
        <v>176.64</v>
      </c>
      <c r="AG331">
        <v>177.02</v>
      </c>
      <c r="AM331">
        <v>63.68</v>
      </c>
      <c r="AN331">
        <v>254.03</v>
      </c>
      <c r="AO331">
        <v>265.42</v>
      </c>
      <c r="AP331">
        <v>265.82</v>
      </c>
      <c r="AV331">
        <v>82.3</v>
      </c>
      <c r="AW331">
        <v>220</v>
      </c>
      <c r="AX331">
        <v>334.47</v>
      </c>
    </row>
    <row r="332" spans="1:50">
      <c r="A332">
        <v>16.329999999999998</v>
      </c>
      <c r="B332">
        <v>116.67</v>
      </c>
      <c r="C332">
        <v>130.34</v>
      </c>
      <c r="D332">
        <v>130.56</v>
      </c>
      <c r="E332">
        <v>140.66999999999999</v>
      </c>
      <c r="F332">
        <v>41.78</v>
      </c>
      <c r="G332">
        <v>41.23</v>
      </c>
      <c r="H332">
        <v>40.06</v>
      </c>
      <c r="I332">
        <v>43.17</v>
      </c>
      <c r="J332">
        <v>29.4</v>
      </c>
      <c r="K332">
        <v>28.95</v>
      </c>
      <c r="L332">
        <v>0</v>
      </c>
      <c r="M332">
        <v>0.11</v>
      </c>
      <c r="N332">
        <v>0.12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11.04</v>
      </c>
      <c r="W332">
        <v>13.66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69.34</v>
      </c>
      <c r="AE332">
        <v>165.98</v>
      </c>
      <c r="AF332">
        <v>177.37</v>
      </c>
      <c r="AG332">
        <v>177.47</v>
      </c>
      <c r="AM332">
        <v>64.150000000000006</v>
      </c>
      <c r="AN332">
        <v>252.5</v>
      </c>
      <c r="AO332">
        <v>266.02</v>
      </c>
      <c r="AP332">
        <v>266.07</v>
      </c>
      <c r="AV332">
        <v>83.16</v>
      </c>
      <c r="AW332">
        <v>220</v>
      </c>
      <c r="AX332">
        <v>334.56</v>
      </c>
    </row>
    <row r="333" spans="1:50">
      <c r="A333">
        <v>16.5</v>
      </c>
      <c r="B333">
        <v>117.06</v>
      </c>
      <c r="C333">
        <v>130.16999999999999</v>
      </c>
      <c r="D333">
        <v>130.51</v>
      </c>
      <c r="E333">
        <v>140.62</v>
      </c>
      <c r="F333">
        <v>42.01</v>
      </c>
      <c r="G333">
        <v>41.34</v>
      </c>
      <c r="H333">
        <v>40.229999999999997</v>
      </c>
      <c r="I333">
        <v>43.28</v>
      </c>
      <c r="J333">
        <v>29.45</v>
      </c>
      <c r="K333">
        <v>28.95</v>
      </c>
      <c r="L333">
        <v>0</v>
      </c>
      <c r="M333">
        <v>0.11</v>
      </c>
      <c r="N333">
        <v>0.12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19.059999999999999</v>
      </c>
      <c r="W333">
        <v>23.45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70.05</v>
      </c>
      <c r="AE333">
        <v>170.34</v>
      </c>
      <c r="AF333">
        <v>177.34</v>
      </c>
      <c r="AG333">
        <v>177.73</v>
      </c>
      <c r="AM333">
        <v>64.62</v>
      </c>
      <c r="AN333">
        <v>259.14999999999998</v>
      </c>
      <c r="AO333">
        <v>265.70999999999998</v>
      </c>
      <c r="AP333">
        <v>266.08999999999997</v>
      </c>
      <c r="AV333">
        <v>84.04</v>
      </c>
      <c r="AW333">
        <v>220</v>
      </c>
      <c r="AX333">
        <v>334.63</v>
      </c>
    </row>
    <row r="334" spans="1:50">
      <c r="A334">
        <v>16.670000000000002</v>
      </c>
      <c r="B334">
        <v>117.06</v>
      </c>
      <c r="C334">
        <v>130.4</v>
      </c>
      <c r="D334">
        <v>130.62</v>
      </c>
      <c r="E334">
        <v>140.51</v>
      </c>
      <c r="F334">
        <v>42.17</v>
      </c>
      <c r="G334">
        <v>41.51</v>
      </c>
      <c r="H334">
        <v>40.340000000000003</v>
      </c>
      <c r="I334">
        <v>43.4</v>
      </c>
      <c r="J334">
        <v>29.4</v>
      </c>
      <c r="K334">
        <v>28.95</v>
      </c>
      <c r="L334">
        <v>0</v>
      </c>
      <c r="M334">
        <v>0.11</v>
      </c>
      <c r="N334">
        <v>0.12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2.77</v>
      </c>
      <c r="W334">
        <v>3.67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70.75</v>
      </c>
      <c r="AE334">
        <v>170.05</v>
      </c>
      <c r="AF334">
        <v>178.69</v>
      </c>
      <c r="AG334">
        <v>179.67</v>
      </c>
      <c r="AM334">
        <v>65.09</v>
      </c>
      <c r="AN334">
        <v>258.72000000000003</v>
      </c>
      <c r="AO334">
        <v>267.27</v>
      </c>
      <c r="AP334">
        <v>268.31</v>
      </c>
      <c r="AV334">
        <v>84.91</v>
      </c>
      <c r="AW334">
        <v>220</v>
      </c>
      <c r="AX334">
        <v>334.68</v>
      </c>
    </row>
    <row r="335" spans="1:50">
      <c r="A335">
        <v>16.829999999999998</v>
      </c>
      <c r="B335">
        <v>117.56</v>
      </c>
      <c r="C335">
        <v>130.34</v>
      </c>
      <c r="D335">
        <v>130.78</v>
      </c>
      <c r="E335">
        <v>140.44999999999999</v>
      </c>
      <c r="F335">
        <v>42.34</v>
      </c>
      <c r="G335">
        <v>41.73</v>
      </c>
      <c r="H335">
        <v>40.51</v>
      </c>
      <c r="I335">
        <v>43.45</v>
      </c>
      <c r="J335">
        <v>29.4</v>
      </c>
      <c r="K335">
        <v>28.95</v>
      </c>
      <c r="L335">
        <v>0</v>
      </c>
      <c r="M335">
        <v>0.11</v>
      </c>
      <c r="N335">
        <v>0.12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4.5999999999999996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71.459999999999994</v>
      </c>
      <c r="AE335">
        <v>167.05</v>
      </c>
      <c r="AF335">
        <v>178.03</v>
      </c>
      <c r="AG335">
        <v>178.95</v>
      </c>
      <c r="AM335">
        <v>65.599999999999994</v>
      </c>
      <c r="AN335">
        <v>254.17</v>
      </c>
      <c r="AO335">
        <v>266.55</v>
      </c>
      <c r="AP335">
        <v>267.51</v>
      </c>
      <c r="AV335">
        <v>85.85</v>
      </c>
      <c r="AW335">
        <v>220</v>
      </c>
      <c r="AX335">
        <v>334.71</v>
      </c>
    </row>
    <row r="336" spans="1:50">
      <c r="A336">
        <v>17</v>
      </c>
      <c r="B336">
        <v>118.17</v>
      </c>
      <c r="C336">
        <v>130.51</v>
      </c>
      <c r="D336">
        <v>130.94999999999999</v>
      </c>
      <c r="E336">
        <v>140.4</v>
      </c>
      <c r="F336">
        <v>42.62</v>
      </c>
      <c r="G336">
        <v>41.9</v>
      </c>
      <c r="H336">
        <v>40.619999999999997</v>
      </c>
      <c r="I336">
        <v>43.67</v>
      </c>
      <c r="J336">
        <v>29.45</v>
      </c>
      <c r="K336">
        <v>28.95</v>
      </c>
      <c r="L336">
        <v>0</v>
      </c>
      <c r="M336">
        <v>0.11</v>
      </c>
      <c r="N336">
        <v>0.12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3.13</v>
      </c>
      <c r="W336">
        <v>3.07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72.17</v>
      </c>
      <c r="AE336">
        <v>164.97</v>
      </c>
      <c r="AF336">
        <v>177.31</v>
      </c>
      <c r="AG336">
        <v>177.75</v>
      </c>
      <c r="AM336">
        <v>66.06</v>
      </c>
      <c r="AN336">
        <v>251.01</v>
      </c>
      <c r="AO336">
        <v>265.58</v>
      </c>
      <c r="AP336">
        <v>265.99</v>
      </c>
      <c r="AV336">
        <v>86.7</v>
      </c>
      <c r="AW336">
        <v>220</v>
      </c>
      <c r="AX336">
        <v>334.73</v>
      </c>
    </row>
    <row r="337" spans="1:50">
      <c r="A337">
        <v>17.170000000000002</v>
      </c>
      <c r="B337">
        <v>117.78</v>
      </c>
      <c r="C337">
        <v>130.51</v>
      </c>
      <c r="D337">
        <v>130.94999999999999</v>
      </c>
      <c r="E337">
        <v>140.4</v>
      </c>
      <c r="F337">
        <v>42.73</v>
      </c>
      <c r="G337">
        <v>42.01</v>
      </c>
      <c r="H337">
        <v>40.67</v>
      </c>
      <c r="I337">
        <v>43.73</v>
      </c>
      <c r="J337">
        <v>29.51</v>
      </c>
      <c r="K337">
        <v>28.95</v>
      </c>
      <c r="L337">
        <v>0</v>
      </c>
      <c r="M337">
        <v>0.11</v>
      </c>
      <c r="N337">
        <v>0.12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3.14</v>
      </c>
      <c r="W337">
        <v>6.61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72.88</v>
      </c>
      <c r="AE337">
        <v>169.81</v>
      </c>
      <c r="AF337">
        <v>176.28</v>
      </c>
      <c r="AG337">
        <v>176.58</v>
      </c>
      <c r="AM337">
        <v>66.540000000000006</v>
      </c>
      <c r="AN337">
        <v>258.38</v>
      </c>
      <c r="AO337">
        <v>264.14999999999998</v>
      </c>
      <c r="AP337">
        <v>264.38</v>
      </c>
      <c r="AV337">
        <v>87.59</v>
      </c>
      <c r="AW337">
        <v>220</v>
      </c>
      <c r="AX337">
        <v>334.74</v>
      </c>
    </row>
    <row r="338" spans="1:50">
      <c r="A338">
        <v>17.329999999999998</v>
      </c>
      <c r="B338">
        <v>118.4</v>
      </c>
      <c r="C338">
        <v>130.51</v>
      </c>
      <c r="D338">
        <v>130.94999999999999</v>
      </c>
      <c r="E338">
        <v>140.78</v>
      </c>
      <c r="F338">
        <v>42.9</v>
      </c>
      <c r="G338">
        <v>42.12</v>
      </c>
      <c r="H338">
        <v>40.840000000000003</v>
      </c>
      <c r="I338">
        <v>43.84</v>
      </c>
      <c r="J338">
        <v>29.56</v>
      </c>
      <c r="K338">
        <v>28.95</v>
      </c>
      <c r="L338">
        <v>0</v>
      </c>
      <c r="M338">
        <v>0.11</v>
      </c>
      <c r="N338">
        <v>0.12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0.01</v>
      </c>
      <c r="U338">
        <v>0</v>
      </c>
      <c r="V338">
        <v>2.2200000000000002</v>
      </c>
      <c r="W338">
        <v>4.97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1.85</v>
      </c>
      <c r="AD338">
        <v>73.58</v>
      </c>
      <c r="AE338">
        <v>172.05</v>
      </c>
      <c r="AF338">
        <v>175.91</v>
      </c>
      <c r="AG338">
        <v>176.56</v>
      </c>
      <c r="AM338">
        <v>67.05</v>
      </c>
      <c r="AN338">
        <v>261.79000000000002</v>
      </c>
      <c r="AO338">
        <v>263.82</v>
      </c>
      <c r="AP338">
        <v>264.45999999999998</v>
      </c>
      <c r="AV338">
        <v>88.51</v>
      </c>
      <c r="AW338">
        <v>220</v>
      </c>
      <c r="AX338">
        <v>334.75</v>
      </c>
    </row>
    <row r="339" spans="1:50">
      <c r="A339">
        <v>17.5</v>
      </c>
      <c r="B339">
        <v>119.01</v>
      </c>
      <c r="C339">
        <v>130.72999999999999</v>
      </c>
      <c r="D339">
        <v>131.16999999999999</v>
      </c>
      <c r="E339">
        <v>143.34</v>
      </c>
      <c r="F339">
        <v>43.17</v>
      </c>
      <c r="G339">
        <v>42.4</v>
      </c>
      <c r="H339">
        <v>41.01</v>
      </c>
      <c r="I339">
        <v>44.06</v>
      </c>
      <c r="J339">
        <v>29.62</v>
      </c>
      <c r="K339">
        <v>28.95</v>
      </c>
      <c r="L339">
        <v>0</v>
      </c>
      <c r="M339">
        <v>0.28999999999999998</v>
      </c>
      <c r="N339">
        <v>0.28999999999999998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-0.26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74.290000000000006</v>
      </c>
      <c r="AE339">
        <v>171.61</v>
      </c>
      <c r="AF339">
        <v>175.72</v>
      </c>
      <c r="AG339">
        <v>176.61</v>
      </c>
      <c r="AM339">
        <v>67.73</v>
      </c>
      <c r="AN339">
        <v>261.11</v>
      </c>
      <c r="AO339">
        <v>263.85000000000002</v>
      </c>
      <c r="AP339">
        <v>264.77</v>
      </c>
      <c r="AV339">
        <v>89.76</v>
      </c>
      <c r="AW339">
        <v>220</v>
      </c>
      <c r="AX339">
        <v>334.75</v>
      </c>
    </row>
    <row r="340" spans="1:50">
      <c r="A340">
        <v>17.670000000000002</v>
      </c>
      <c r="B340">
        <v>119.78</v>
      </c>
      <c r="C340">
        <v>130.62</v>
      </c>
      <c r="D340">
        <v>131.01</v>
      </c>
      <c r="E340">
        <v>145.28</v>
      </c>
      <c r="F340">
        <v>43.34</v>
      </c>
      <c r="G340">
        <v>42.56</v>
      </c>
      <c r="H340">
        <v>41.17</v>
      </c>
      <c r="I340">
        <v>44.17</v>
      </c>
      <c r="J340">
        <v>29.62</v>
      </c>
      <c r="K340">
        <v>28.95</v>
      </c>
      <c r="L340">
        <v>0</v>
      </c>
      <c r="M340">
        <v>0.11</v>
      </c>
      <c r="N340">
        <v>0.15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75</v>
      </c>
      <c r="AE340">
        <v>170.25</v>
      </c>
      <c r="AF340">
        <v>174.54</v>
      </c>
      <c r="AG340">
        <v>175.07</v>
      </c>
      <c r="AM340">
        <v>68.17</v>
      </c>
      <c r="AN340">
        <v>259.06</v>
      </c>
      <c r="AO340">
        <v>262.97000000000003</v>
      </c>
      <c r="AP340">
        <v>263.49</v>
      </c>
      <c r="AV340">
        <v>90.57</v>
      </c>
      <c r="AW340">
        <v>220</v>
      </c>
      <c r="AX340">
        <v>334.75</v>
      </c>
    </row>
    <row r="341" spans="1:50">
      <c r="A341">
        <v>17.829999999999998</v>
      </c>
      <c r="B341">
        <v>120.62</v>
      </c>
      <c r="C341">
        <v>129.84</v>
      </c>
      <c r="D341">
        <v>130.4</v>
      </c>
      <c r="E341">
        <v>145.34</v>
      </c>
      <c r="F341">
        <v>43.4</v>
      </c>
      <c r="G341">
        <v>42.67</v>
      </c>
      <c r="H341">
        <v>41.23</v>
      </c>
      <c r="I341">
        <v>44.28</v>
      </c>
      <c r="J341">
        <v>29.62</v>
      </c>
      <c r="K341">
        <v>28.95</v>
      </c>
      <c r="L341">
        <v>0</v>
      </c>
      <c r="M341">
        <v>0.22</v>
      </c>
      <c r="N341">
        <v>0.12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0.01</v>
      </c>
      <c r="U341">
        <v>0</v>
      </c>
      <c r="V341">
        <v>0</v>
      </c>
      <c r="W341">
        <v>0.82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75.709999999999994</v>
      </c>
      <c r="AE341">
        <v>172.13</v>
      </c>
      <c r="AF341">
        <v>174.06</v>
      </c>
      <c r="AG341">
        <v>174.34</v>
      </c>
      <c r="AM341">
        <v>68.62</v>
      </c>
      <c r="AN341">
        <v>261.91000000000003</v>
      </c>
      <c r="AO341">
        <v>262.49</v>
      </c>
      <c r="AP341">
        <v>262.75</v>
      </c>
      <c r="AV341">
        <v>91.39</v>
      </c>
      <c r="AW341">
        <v>220</v>
      </c>
      <c r="AX341">
        <v>334.74</v>
      </c>
    </row>
    <row r="342" spans="1:50">
      <c r="A342">
        <v>18</v>
      </c>
      <c r="B342">
        <v>121.78</v>
      </c>
      <c r="C342">
        <v>129.94999999999999</v>
      </c>
      <c r="D342">
        <v>130.51</v>
      </c>
      <c r="E342">
        <v>145.34</v>
      </c>
      <c r="F342">
        <v>43.67</v>
      </c>
      <c r="G342">
        <v>42.78</v>
      </c>
      <c r="H342">
        <v>41.4</v>
      </c>
      <c r="I342">
        <v>44.45</v>
      </c>
      <c r="J342">
        <v>29.62</v>
      </c>
      <c r="K342">
        <v>28.95</v>
      </c>
      <c r="L342">
        <v>0</v>
      </c>
      <c r="M342">
        <v>0.11</v>
      </c>
      <c r="N342">
        <v>0.12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-3.16</v>
      </c>
      <c r="W342">
        <v>1.01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76.41</v>
      </c>
      <c r="AE342">
        <v>173.81</v>
      </c>
      <c r="AF342">
        <v>173.65</v>
      </c>
      <c r="AG342">
        <v>174.17</v>
      </c>
      <c r="AM342">
        <v>69.17</v>
      </c>
      <c r="AN342">
        <v>264.36</v>
      </c>
      <c r="AO342">
        <v>262.35000000000002</v>
      </c>
      <c r="AP342">
        <v>262.74</v>
      </c>
      <c r="AV342">
        <v>92.41</v>
      </c>
      <c r="AW342">
        <v>220</v>
      </c>
      <c r="AX342">
        <v>334.63</v>
      </c>
    </row>
    <row r="343" spans="1:50">
      <c r="A343">
        <v>18.170000000000002</v>
      </c>
      <c r="B343">
        <v>122.28</v>
      </c>
      <c r="C343">
        <v>130.34</v>
      </c>
      <c r="D343">
        <v>130.62</v>
      </c>
      <c r="E343">
        <v>145.28</v>
      </c>
      <c r="F343">
        <v>43.9</v>
      </c>
      <c r="G343">
        <v>42.95</v>
      </c>
      <c r="H343">
        <v>41.56</v>
      </c>
      <c r="I343">
        <v>44.67</v>
      </c>
      <c r="J343">
        <v>29.67</v>
      </c>
      <c r="K343">
        <v>28.95</v>
      </c>
      <c r="L343">
        <v>0</v>
      </c>
      <c r="M343">
        <v>0.11</v>
      </c>
      <c r="N343">
        <v>0.28999999999999998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-15.18</v>
      </c>
      <c r="W343">
        <v>-5.57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77.12</v>
      </c>
      <c r="AE343">
        <v>173.47</v>
      </c>
      <c r="AF343">
        <v>173.31</v>
      </c>
      <c r="AG343">
        <v>174.25</v>
      </c>
      <c r="AM343">
        <v>69.69</v>
      </c>
      <c r="AN343">
        <v>263.51</v>
      </c>
      <c r="AO343">
        <v>262.2</v>
      </c>
      <c r="AP343">
        <v>263.10000000000002</v>
      </c>
      <c r="AV343">
        <v>93.35</v>
      </c>
      <c r="AW343">
        <v>220</v>
      </c>
      <c r="AX343">
        <v>334.27</v>
      </c>
    </row>
    <row r="344" spans="1:50">
      <c r="A344">
        <v>18.329999999999998</v>
      </c>
      <c r="B344">
        <v>121.95</v>
      </c>
      <c r="C344">
        <v>130.62</v>
      </c>
      <c r="D344">
        <v>130.78</v>
      </c>
      <c r="E344">
        <v>145.06</v>
      </c>
      <c r="F344">
        <v>44.06</v>
      </c>
      <c r="G344">
        <v>43.06</v>
      </c>
      <c r="H344">
        <v>41.62</v>
      </c>
      <c r="I344">
        <v>44.73</v>
      </c>
      <c r="J344">
        <v>29.67</v>
      </c>
      <c r="K344">
        <v>28.95</v>
      </c>
      <c r="L344">
        <v>0</v>
      </c>
      <c r="M344">
        <v>0.15</v>
      </c>
      <c r="N344">
        <v>0.12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-3.81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77.83</v>
      </c>
      <c r="AE344">
        <v>173.07</v>
      </c>
      <c r="AF344">
        <v>171.63</v>
      </c>
      <c r="AG344">
        <v>172.39</v>
      </c>
      <c r="AM344">
        <v>70.2</v>
      </c>
      <c r="AN344">
        <v>262.14</v>
      </c>
      <c r="AO344">
        <v>260.47000000000003</v>
      </c>
      <c r="AP344">
        <v>261.42</v>
      </c>
      <c r="AV344">
        <v>94.28</v>
      </c>
      <c r="AW344">
        <v>220</v>
      </c>
      <c r="AX344">
        <v>333.44</v>
      </c>
    </row>
    <row r="345" spans="1:50">
      <c r="A345">
        <v>18.5</v>
      </c>
      <c r="B345">
        <v>121.67</v>
      </c>
      <c r="C345">
        <v>130.94999999999999</v>
      </c>
      <c r="D345">
        <v>130.94999999999999</v>
      </c>
      <c r="E345">
        <v>145.01</v>
      </c>
      <c r="F345">
        <v>44.34</v>
      </c>
      <c r="G345">
        <v>43.28</v>
      </c>
      <c r="H345">
        <v>41.84</v>
      </c>
      <c r="I345">
        <v>44.95</v>
      </c>
      <c r="J345">
        <v>29.73</v>
      </c>
      <c r="K345">
        <v>28.95</v>
      </c>
      <c r="L345">
        <v>0</v>
      </c>
      <c r="M345">
        <v>0.11</v>
      </c>
      <c r="N345">
        <v>0.12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0.01</v>
      </c>
      <c r="U345">
        <v>0</v>
      </c>
      <c r="V345">
        <v>-3.31</v>
      </c>
      <c r="W345">
        <v>-2.11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78.540000000000006</v>
      </c>
      <c r="AE345">
        <v>174.21</v>
      </c>
      <c r="AF345">
        <v>171.84</v>
      </c>
      <c r="AG345">
        <v>172.01</v>
      </c>
      <c r="AM345">
        <v>70.62</v>
      </c>
      <c r="AN345">
        <v>262.44</v>
      </c>
      <c r="AO345">
        <v>260.75</v>
      </c>
      <c r="AP345">
        <v>261</v>
      </c>
      <c r="AV345">
        <v>95.04</v>
      </c>
      <c r="AW345">
        <v>220</v>
      </c>
      <c r="AX345">
        <v>331.9</v>
      </c>
    </row>
    <row r="346" spans="1:50">
      <c r="A346">
        <v>18.670000000000002</v>
      </c>
      <c r="B346">
        <v>121.95</v>
      </c>
      <c r="C346">
        <v>132.56</v>
      </c>
      <c r="D346">
        <v>132.16999999999999</v>
      </c>
      <c r="E346">
        <v>144.9</v>
      </c>
      <c r="F346">
        <v>44.45</v>
      </c>
      <c r="G346">
        <v>43.34</v>
      </c>
      <c r="H346">
        <v>41.9</v>
      </c>
      <c r="I346">
        <v>44.95</v>
      </c>
      <c r="J346">
        <v>29.73</v>
      </c>
      <c r="K346">
        <v>28.95</v>
      </c>
      <c r="L346">
        <v>0</v>
      </c>
      <c r="M346">
        <v>0.11</v>
      </c>
      <c r="N346">
        <v>0.19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-0.64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79.239999999999995</v>
      </c>
      <c r="AE346">
        <v>177.47</v>
      </c>
      <c r="AF346">
        <v>171.74</v>
      </c>
      <c r="AG346">
        <v>172.02</v>
      </c>
      <c r="AM346">
        <v>71.14</v>
      </c>
      <c r="AN346">
        <v>264.95</v>
      </c>
      <c r="AO346">
        <v>260.55</v>
      </c>
      <c r="AP346">
        <v>260.91000000000003</v>
      </c>
      <c r="AV346">
        <v>95.98</v>
      </c>
      <c r="AW346">
        <v>220</v>
      </c>
      <c r="AX346">
        <v>329.35</v>
      </c>
    </row>
    <row r="347" spans="1:50">
      <c r="A347">
        <v>18.829999999999998</v>
      </c>
      <c r="B347">
        <v>122.9</v>
      </c>
      <c r="C347">
        <v>137.51</v>
      </c>
      <c r="D347">
        <v>136.28</v>
      </c>
      <c r="E347">
        <v>145.06</v>
      </c>
      <c r="F347">
        <v>44.84</v>
      </c>
      <c r="G347">
        <v>43.62</v>
      </c>
      <c r="H347">
        <v>42.01</v>
      </c>
      <c r="I347">
        <v>45.17</v>
      </c>
      <c r="J347">
        <v>29.78</v>
      </c>
      <c r="K347">
        <v>28.95</v>
      </c>
      <c r="L347">
        <v>0</v>
      </c>
      <c r="M347">
        <v>0.11</v>
      </c>
      <c r="N347">
        <v>0.12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0.01</v>
      </c>
      <c r="U347">
        <v>0</v>
      </c>
      <c r="V347">
        <v>-28.48</v>
      </c>
      <c r="W347">
        <v>-24.45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79.95</v>
      </c>
      <c r="AE347">
        <v>177.11</v>
      </c>
      <c r="AF347">
        <v>172.31</v>
      </c>
      <c r="AG347">
        <v>173.05</v>
      </c>
      <c r="AM347">
        <v>71.63</v>
      </c>
      <c r="AN347">
        <v>260.81</v>
      </c>
      <c r="AO347">
        <v>261.02</v>
      </c>
      <c r="AP347">
        <v>261.76</v>
      </c>
      <c r="AV347">
        <v>96.86</v>
      </c>
      <c r="AW347">
        <v>220</v>
      </c>
      <c r="AX347">
        <v>325.48</v>
      </c>
    </row>
    <row r="348" spans="1:50">
      <c r="A348">
        <v>19</v>
      </c>
      <c r="B348">
        <v>123.78</v>
      </c>
      <c r="C348">
        <v>138.56</v>
      </c>
      <c r="D348">
        <v>137.78</v>
      </c>
      <c r="E348">
        <v>144.9</v>
      </c>
      <c r="F348">
        <v>45.01</v>
      </c>
      <c r="G348">
        <v>43.73</v>
      </c>
      <c r="H348">
        <v>42.06</v>
      </c>
      <c r="I348">
        <v>45.28</v>
      </c>
      <c r="J348">
        <v>29.84</v>
      </c>
      <c r="K348">
        <v>28.9</v>
      </c>
      <c r="L348">
        <v>0</v>
      </c>
      <c r="M348">
        <v>0.11</v>
      </c>
      <c r="N348">
        <v>0.12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-7.44</v>
      </c>
      <c r="W348">
        <v>-12.72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80.66</v>
      </c>
      <c r="AE348">
        <v>175.78</v>
      </c>
      <c r="AF348">
        <v>169.65</v>
      </c>
      <c r="AG348">
        <v>170.58</v>
      </c>
      <c r="AM348">
        <v>72.17</v>
      </c>
      <c r="AN348">
        <v>253.76</v>
      </c>
      <c r="AO348">
        <v>257.44</v>
      </c>
      <c r="AP348">
        <v>258.33</v>
      </c>
      <c r="AV348">
        <v>97.78</v>
      </c>
      <c r="AW348">
        <v>220</v>
      </c>
      <c r="AX348">
        <v>319.95999999999998</v>
      </c>
    </row>
    <row r="349" spans="1:50">
      <c r="A349">
        <v>19.170000000000002</v>
      </c>
      <c r="B349">
        <v>124.84</v>
      </c>
      <c r="C349">
        <v>138.51</v>
      </c>
      <c r="D349">
        <v>138.51</v>
      </c>
      <c r="E349">
        <v>144.9</v>
      </c>
      <c r="F349">
        <v>45.17</v>
      </c>
      <c r="G349">
        <v>43.9</v>
      </c>
      <c r="H349">
        <v>42.28</v>
      </c>
      <c r="I349">
        <v>45.4</v>
      </c>
      <c r="J349">
        <v>29.95</v>
      </c>
      <c r="K349">
        <v>28.95</v>
      </c>
      <c r="L349">
        <v>0</v>
      </c>
      <c r="M349">
        <v>0.17</v>
      </c>
      <c r="N349">
        <v>0.12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0.01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5.15</v>
      </c>
      <c r="AD349">
        <v>81.37</v>
      </c>
      <c r="AE349">
        <v>172.36</v>
      </c>
      <c r="AF349">
        <v>169.51</v>
      </c>
      <c r="AG349">
        <v>169.67</v>
      </c>
      <c r="AM349">
        <v>72.67</v>
      </c>
      <c r="AN349">
        <v>242.04</v>
      </c>
      <c r="AO349">
        <v>256.06</v>
      </c>
      <c r="AP349">
        <v>256</v>
      </c>
      <c r="AV349">
        <v>98.61</v>
      </c>
      <c r="AW349">
        <v>220</v>
      </c>
      <c r="AX349">
        <v>312.42</v>
      </c>
    </row>
    <row r="350" spans="1:50">
      <c r="A350">
        <v>19.329999999999998</v>
      </c>
      <c r="B350">
        <v>125.01</v>
      </c>
      <c r="C350">
        <v>137.9</v>
      </c>
      <c r="D350">
        <v>138.22999999999999</v>
      </c>
      <c r="E350">
        <v>144.62</v>
      </c>
      <c r="F350">
        <v>45.34</v>
      </c>
      <c r="G350">
        <v>44.17</v>
      </c>
      <c r="H350">
        <v>42.28</v>
      </c>
      <c r="I350">
        <v>45.51</v>
      </c>
      <c r="J350">
        <v>29.9</v>
      </c>
      <c r="K350">
        <v>28.95</v>
      </c>
      <c r="L350">
        <v>0</v>
      </c>
      <c r="M350">
        <v>0.28999999999999998</v>
      </c>
      <c r="N350">
        <v>0.28999999999999998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1.62</v>
      </c>
      <c r="W350">
        <v>3.51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82.07</v>
      </c>
      <c r="AE350">
        <v>175.93</v>
      </c>
      <c r="AF350">
        <v>169.98</v>
      </c>
      <c r="AG350">
        <v>170</v>
      </c>
      <c r="AM350">
        <v>73.34</v>
      </c>
      <c r="AN350">
        <v>238</v>
      </c>
      <c r="AO350">
        <v>253.45</v>
      </c>
      <c r="AP350">
        <v>254.11</v>
      </c>
      <c r="AV350">
        <v>99.67</v>
      </c>
      <c r="AW350">
        <v>220</v>
      </c>
      <c r="AX350">
        <v>302.45999999999998</v>
      </c>
    </row>
    <row r="351" spans="1:50">
      <c r="A351">
        <v>19.5</v>
      </c>
      <c r="B351">
        <v>124.78</v>
      </c>
      <c r="C351">
        <v>137.56</v>
      </c>
      <c r="D351">
        <v>137.94999999999999</v>
      </c>
      <c r="E351">
        <v>144.51</v>
      </c>
      <c r="F351">
        <v>45.56</v>
      </c>
      <c r="G351">
        <v>44.28</v>
      </c>
      <c r="H351">
        <v>42.51</v>
      </c>
      <c r="I351">
        <v>45.62</v>
      </c>
      <c r="J351">
        <v>29.9</v>
      </c>
      <c r="K351">
        <v>28.95</v>
      </c>
      <c r="L351">
        <v>0</v>
      </c>
      <c r="M351">
        <v>0.18</v>
      </c>
      <c r="N351">
        <v>0.25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82.78</v>
      </c>
      <c r="AE351">
        <v>176.24</v>
      </c>
      <c r="AF351">
        <v>172.16</v>
      </c>
      <c r="AG351">
        <v>172.76</v>
      </c>
      <c r="AM351">
        <v>73.78</v>
      </c>
      <c r="AN351">
        <v>226.9</v>
      </c>
      <c r="AO351">
        <v>249.02</v>
      </c>
      <c r="AP351">
        <v>250</v>
      </c>
      <c r="AV351">
        <v>100.33</v>
      </c>
      <c r="AW351">
        <v>220</v>
      </c>
      <c r="AX351">
        <v>289.68</v>
      </c>
    </row>
    <row r="352" spans="1:50">
      <c r="A352">
        <v>19.670000000000002</v>
      </c>
      <c r="B352">
        <v>125.01</v>
      </c>
      <c r="C352">
        <v>137.34</v>
      </c>
      <c r="D352">
        <v>137.9</v>
      </c>
      <c r="E352">
        <v>144.4</v>
      </c>
      <c r="F352">
        <v>45.84</v>
      </c>
      <c r="G352">
        <v>44.56</v>
      </c>
      <c r="H352">
        <v>42.62</v>
      </c>
      <c r="I352">
        <v>45.78</v>
      </c>
      <c r="J352">
        <v>30.01</v>
      </c>
      <c r="K352">
        <v>28.95</v>
      </c>
      <c r="L352">
        <v>0</v>
      </c>
      <c r="M352">
        <v>0.11</v>
      </c>
      <c r="N352">
        <v>0.12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-14.5</v>
      </c>
      <c r="W352">
        <v>-14.85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83.49</v>
      </c>
      <c r="AE352">
        <v>175.48</v>
      </c>
      <c r="AF352">
        <v>172.91</v>
      </c>
      <c r="AG352">
        <v>173.63</v>
      </c>
      <c r="AM352">
        <v>74.239999999999995</v>
      </c>
      <c r="AN352">
        <v>215.43</v>
      </c>
      <c r="AO352">
        <v>244.51</v>
      </c>
      <c r="AP352">
        <v>243.6</v>
      </c>
      <c r="AV352">
        <v>100.96</v>
      </c>
      <c r="AW352">
        <v>220</v>
      </c>
      <c r="AX352">
        <v>277.83999999999997</v>
      </c>
    </row>
    <row r="353" spans="1:50">
      <c r="A353">
        <v>19.829999999999998</v>
      </c>
      <c r="B353">
        <v>123.84</v>
      </c>
      <c r="C353">
        <v>137.28</v>
      </c>
      <c r="D353">
        <v>137.72999999999999</v>
      </c>
      <c r="E353">
        <v>144.22999999999999</v>
      </c>
      <c r="F353">
        <v>46.01</v>
      </c>
      <c r="G353">
        <v>44.73</v>
      </c>
      <c r="H353">
        <v>42.78</v>
      </c>
      <c r="I353">
        <v>45.9</v>
      </c>
      <c r="J353">
        <v>30.01</v>
      </c>
      <c r="K353">
        <v>28.95</v>
      </c>
      <c r="L353">
        <v>0</v>
      </c>
      <c r="M353">
        <v>0.11</v>
      </c>
      <c r="N353">
        <v>0.12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-9.6199999999999992</v>
      </c>
      <c r="W353">
        <v>-10.06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84.2</v>
      </c>
      <c r="AE353">
        <v>174.17</v>
      </c>
      <c r="AF353">
        <v>171.57</v>
      </c>
      <c r="AG353">
        <v>172.06</v>
      </c>
      <c r="AM353">
        <v>74.69</v>
      </c>
      <c r="AN353">
        <v>205.62</v>
      </c>
      <c r="AO353">
        <v>239.08</v>
      </c>
      <c r="AP353">
        <v>237.81</v>
      </c>
      <c r="AV353">
        <v>101.53</v>
      </c>
      <c r="AW353">
        <v>220</v>
      </c>
      <c r="AX353">
        <v>268.42</v>
      </c>
    </row>
    <row r="354" spans="1:50">
      <c r="A354">
        <v>20</v>
      </c>
      <c r="B354">
        <v>124.51</v>
      </c>
      <c r="C354">
        <v>137.12</v>
      </c>
      <c r="D354">
        <v>137.56</v>
      </c>
      <c r="E354">
        <v>144.22999999999999</v>
      </c>
      <c r="F354">
        <v>46.23</v>
      </c>
      <c r="G354">
        <v>44.9</v>
      </c>
      <c r="H354">
        <v>42.84</v>
      </c>
      <c r="I354">
        <v>46.06</v>
      </c>
      <c r="J354">
        <v>30.06</v>
      </c>
      <c r="K354">
        <v>28.95</v>
      </c>
      <c r="L354">
        <v>0</v>
      </c>
      <c r="M354">
        <v>0.28999999999999998</v>
      </c>
      <c r="N354">
        <v>0.28999999999999998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0.32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84.9</v>
      </c>
      <c r="AE354">
        <v>176.29</v>
      </c>
      <c r="AF354">
        <v>170.78</v>
      </c>
      <c r="AG354">
        <v>171.09</v>
      </c>
      <c r="AM354">
        <v>75.08</v>
      </c>
      <c r="AN354">
        <v>201.71</v>
      </c>
      <c r="AO354">
        <v>233.71</v>
      </c>
      <c r="AP354">
        <v>232.11</v>
      </c>
      <c r="AV354">
        <v>101.99</v>
      </c>
      <c r="AW354">
        <v>230</v>
      </c>
      <c r="AX354">
        <v>261.07</v>
      </c>
    </row>
    <row r="355" spans="1:50">
      <c r="A355">
        <v>20.170000000000002</v>
      </c>
      <c r="B355">
        <v>124.78</v>
      </c>
      <c r="C355">
        <v>137.12</v>
      </c>
      <c r="D355">
        <v>137.56</v>
      </c>
      <c r="E355">
        <v>144.28</v>
      </c>
      <c r="F355">
        <v>46.45</v>
      </c>
      <c r="G355">
        <v>45.06</v>
      </c>
      <c r="H355">
        <v>42.95</v>
      </c>
      <c r="I355">
        <v>46.17</v>
      </c>
      <c r="J355">
        <v>30.06</v>
      </c>
      <c r="K355">
        <v>28.9</v>
      </c>
      <c r="L355">
        <v>0</v>
      </c>
      <c r="M355">
        <v>0.28999999999999998</v>
      </c>
      <c r="N355">
        <v>0.28999999999999998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0.01</v>
      </c>
      <c r="U355">
        <v>0</v>
      </c>
      <c r="V355">
        <v>1.99</v>
      </c>
      <c r="W355">
        <v>3.2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85.61</v>
      </c>
      <c r="AE355">
        <v>178.28</v>
      </c>
      <c r="AF355">
        <v>172.37</v>
      </c>
      <c r="AG355">
        <v>172.71</v>
      </c>
      <c r="AM355">
        <v>75.52</v>
      </c>
      <c r="AN355">
        <v>199.11</v>
      </c>
      <c r="AO355">
        <v>223.49</v>
      </c>
      <c r="AP355">
        <v>222.3</v>
      </c>
      <c r="AV355">
        <v>102.47</v>
      </c>
      <c r="AW355">
        <v>230</v>
      </c>
      <c r="AX355">
        <v>255.51</v>
      </c>
    </row>
    <row r="356" spans="1:50">
      <c r="A356">
        <v>20.329999999999998</v>
      </c>
      <c r="B356">
        <v>125.45</v>
      </c>
      <c r="C356">
        <v>137.06</v>
      </c>
      <c r="D356">
        <v>137.56</v>
      </c>
      <c r="E356">
        <v>144.72999999999999</v>
      </c>
      <c r="F356">
        <v>46.67</v>
      </c>
      <c r="G356">
        <v>45.28</v>
      </c>
      <c r="H356">
        <v>43.01</v>
      </c>
      <c r="I356">
        <v>46.34</v>
      </c>
      <c r="J356">
        <v>30.17</v>
      </c>
      <c r="K356">
        <v>28.95</v>
      </c>
      <c r="L356">
        <v>0</v>
      </c>
      <c r="M356">
        <v>0.11</v>
      </c>
      <c r="N356">
        <v>0.12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-13.53</v>
      </c>
      <c r="W356">
        <v>-13.21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86.32</v>
      </c>
      <c r="AE356">
        <v>178.09</v>
      </c>
      <c r="AF356">
        <v>174.64</v>
      </c>
      <c r="AG356">
        <v>175.28</v>
      </c>
      <c r="AM356">
        <v>76.040000000000006</v>
      </c>
      <c r="AN356">
        <v>195.33</v>
      </c>
      <c r="AO356">
        <v>216.31</v>
      </c>
      <c r="AP356">
        <v>215.78</v>
      </c>
      <c r="AV356">
        <v>103.01</v>
      </c>
      <c r="AW356">
        <v>230</v>
      </c>
      <c r="AX356">
        <v>251.44</v>
      </c>
    </row>
    <row r="357" spans="1:50">
      <c r="A357">
        <v>20.5</v>
      </c>
      <c r="B357">
        <v>126.23</v>
      </c>
      <c r="C357">
        <v>136.94999999999999</v>
      </c>
      <c r="D357">
        <v>137.4</v>
      </c>
      <c r="E357">
        <v>146.22999999999999</v>
      </c>
      <c r="F357">
        <v>46.78</v>
      </c>
      <c r="G357">
        <v>45.4</v>
      </c>
      <c r="H357">
        <v>43.12</v>
      </c>
      <c r="I357">
        <v>46.4</v>
      </c>
      <c r="J357">
        <v>30.17</v>
      </c>
      <c r="K357">
        <v>28.9</v>
      </c>
      <c r="L357">
        <v>0</v>
      </c>
      <c r="M357">
        <v>0.11</v>
      </c>
      <c r="N357">
        <v>0.12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-10.46</v>
      </c>
      <c r="W357">
        <v>-11.82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87.03</v>
      </c>
      <c r="AE357">
        <v>176.46</v>
      </c>
      <c r="AF357">
        <v>173.51</v>
      </c>
      <c r="AG357">
        <v>174.02</v>
      </c>
      <c r="AM357">
        <v>76.5</v>
      </c>
      <c r="AN357">
        <v>191.09</v>
      </c>
      <c r="AO357">
        <v>212.01</v>
      </c>
      <c r="AP357">
        <v>211.25</v>
      </c>
      <c r="AV357">
        <v>103.48</v>
      </c>
      <c r="AW357">
        <v>230</v>
      </c>
      <c r="AX357">
        <v>248.59</v>
      </c>
    </row>
    <row r="358" spans="1:50">
      <c r="A358">
        <v>20.67</v>
      </c>
      <c r="B358">
        <v>126.95</v>
      </c>
      <c r="C358">
        <v>136.62</v>
      </c>
      <c r="D358">
        <v>137.16999999999999</v>
      </c>
      <c r="E358">
        <v>148.62</v>
      </c>
      <c r="F358">
        <v>47.01</v>
      </c>
      <c r="G358">
        <v>45.56</v>
      </c>
      <c r="H358">
        <v>43.23</v>
      </c>
      <c r="I358">
        <v>46.51</v>
      </c>
      <c r="J358">
        <v>30.23</v>
      </c>
      <c r="K358">
        <v>28.95</v>
      </c>
      <c r="L358">
        <v>0</v>
      </c>
      <c r="M358">
        <v>0.11</v>
      </c>
      <c r="N358">
        <v>0.12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-7.58</v>
      </c>
      <c r="W358">
        <v>-7.28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87.73</v>
      </c>
      <c r="AE358">
        <v>178.63</v>
      </c>
      <c r="AF358">
        <v>172.67</v>
      </c>
      <c r="AG358">
        <v>172.89</v>
      </c>
      <c r="AM358">
        <v>76.900000000000006</v>
      </c>
      <c r="AN358">
        <v>191.8</v>
      </c>
      <c r="AO358">
        <v>208.1</v>
      </c>
      <c r="AP358">
        <v>206.94</v>
      </c>
      <c r="AV358">
        <v>103.87</v>
      </c>
      <c r="AW358">
        <v>230</v>
      </c>
      <c r="AX358">
        <v>246.71</v>
      </c>
    </row>
    <row r="359" spans="1:50">
      <c r="A359">
        <v>20.83</v>
      </c>
      <c r="B359">
        <v>127.06</v>
      </c>
      <c r="C359">
        <v>136.62</v>
      </c>
      <c r="D359">
        <v>137.12</v>
      </c>
      <c r="E359">
        <v>148.84</v>
      </c>
      <c r="F359">
        <v>47.28</v>
      </c>
      <c r="G359">
        <v>45.78</v>
      </c>
      <c r="H359">
        <v>43.4</v>
      </c>
      <c r="I359">
        <v>46.62</v>
      </c>
      <c r="J359">
        <v>30.28</v>
      </c>
      <c r="K359">
        <v>28.95</v>
      </c>
      <c r="L359">
        <v>0</v>
      </c>
      <c r="M359">
        <v>0.28999999999999998</v>
      </c>
      <c r="N359">
        <v>0.28999999999999998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0.62</v>
      </c>
      <c r="W359">
        <v>2.63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88.44</v>
      </c>
      <c r="AE359">
        <v>180.55</v>
      </c>
      <c r="AF359">
        <v>172.49</v>
      </c>
      <c r="AG359">
        <v>172.7</v>
      </c>
      <c r="AM359">
        <v>77.37</v>
      </c>
      <c r="AN359">
        <v>192.86</v>
      </c>
      <c r="AO359">
        <v>205.13</v>
      </c>
      <c r="AP359">
        <v>203.92</v>
      </c>
      <c r="AV359">
        <v>104.32</v>
      </c>
      <c r="AW359">
        <v>230</v>
      </c>
      <c r="AX359">
        <v>245.57</v>
      </c>
    </row>
    <row r="360" spans="1:50">
      <c r="A360">
        <v>21</v>
      </c>
      <c r="B360">
        <v>128.4</v>
      </c>
      <c r="C360">
        <v>136.44999999999999</v>
      </c>
      <c r="D360">
        <v>136.9</v>
      </c>
      <c r="E360">
        <v>148.78</v>
      </c>
      <c r="F360">
        <v>47.51</v>
      </c>
      <c r="G360">
        <v>45.9</v>
      </c>
      <c r="H360">
        <v>43.45</v>
      </c>
      <c r="I360">
        <v>46.62</v>
      </c>
      <c r="J360">
        <v>30.34</v>
      </c>
      <c r="K360">
        <v>28.95</v>
      </c>
      <c r="L360">
        <v>0</v>
      </c>
      <c r="M360">
        <v>0.11</v>
      </c>
      <c r="N360">
        <v>0.12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0.01</v>
      </c>
      <c r="U360">
        <v>0</v>
      </c>
      <c r="V360">
        <v>-17.690000000000001</v>
      </c>
      <c r="W360">
        <v>-17.510000000000002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89.15</v>
      </c>
      <c r="AE360">
        <v>179.7</v>
      </c>
      <c r="AF360">
        <v>174.99</v>
      </c>
      <c r="AG360">
        <v>175.77</v>
      </c>
      <c r="AM360">
        <v>77.77</v>
      </c>
      <c r="AN360">
        <v>191.42</v>
      </c>
      <c r="AO360">
        <v>201.4</v>
      </c>
      <c r="AP360">
        <v>201.17</v>
      </c>
      <c r="AV360">
        <v>104.71</v>
      </c>
      <c r="AW360">
        <v>230</v>
      </c>
      <c r="AX360">
        <v>244.96</v>
      </c>
    </row>
    <row r="361" spans="1:50">
      <c r="A361">
        <v>21.17</v>
      </c>
      <c r="B361">
        <v>130.01</v>
      </c>
      <c r="C361">
        <v>136.56</v>
      </c>
      <c r="D361">
        <v>136.9</v>
      </c>
      <c r="E361">
        <v>148.66999999999999</v>
      </c>
      <c r="F361">
        <v>47.67</v>
      </c>
      <c r="G361">
        <v>46.06</v>
      </c>
      <c r="H361">
        <v>43.62</v>
      </c>
      <c r="I361">
        <v>46.78</v>
      </c>
      <c r="J361">
        <v>30.45</v>
      </c>
      <c r="K361">
        <v>28.95</v>
      </c>
      <c r="L361">
        <v>0</v>
      </c>
      <c r="M361">
        <v>0.11</v>
      </c>
      <c r="N361">
        <v>0.12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-11.31</v>
      </c>
      <c r="W361">
        <v>-11.98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89.86</v>
      </c>
      <c r="AE361">
        <v>178.48</v>
      </c>
      <c r="AF361">
        <v>173.54</v>
      </c>
      <c r="AG361">
        <v>174.13</v>
      </c>
      <c r="AM361">
        <v>78.319999999999993</v>
      </c>
      <c r="AN361">
        <v>189.89</v>
      </c>
      <c r="AO361">
        <v>197.95</v>
      </c>
      <c r="AP361">
        <v>197.5</v>
      </c>
      <c r="AV361">
        <v>105.23</v>
      </c>
      <c r="AW361">
        <v>230</v>
      </c>
      <c r="AX361">
        <v>244.69</v>
      </c>
    </row>
    <row r="362" spans="1:50">
      <c r="A362">
        <v>21.33</v>
      </c>
      <c r="B362">
        <v>129.94999999999999</v>
      </c>
      <c r="C362">
        <v>136.56</v>
      </c>
      <c r="D362">
        <v>136.78</v>
      </c>
      <c r="E362">
        <v>148.51</v>
      </c>
      <c r="F362">
        <v>47.84</v>
      </c>
      <c r="G362">
        <v>46.17</v>
      </c>
      <c r="H362">
        <v>43.67</v>
      </c>
      <c r="I362">
        <v>46.95</v>
      </c>
      <c r="J362">
        <v>30.51</v>
      </c>
      <c r="K362">
        <v>28.95</v>
      </c>
      <c r="L362">
        <v>0</v>
      </c>
      <c r="M362">
        <v>0.11</v>
      </c>
      <c r="N362">
        <v>0.12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-10.33</v>
      </c>
      <c r="W362">
        <v>-10.88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90.56</v>
      </c>
      <c r="AE362">
        <v>178.47</v>
      </c>
      <c r="AF362">
        <v>172.83</v>
      </c>
      <c r="AG362">
        <v>173.2</v>
      </c>
      <c r="AM362">
        <v>78.81</v>
      </c>
      <c r="AN362">
        <v>189.81</v>
      </c>
      <c r="AO362">
        <v>195.54</v>
      </c>
      <c r="AP362">
        <v>194.86</v>
      </c>
      <c r="AV362">
        <v>105.68</v>
      </c>
      <c r="AW362">
        <v>230</v>
      </c>
      <c r="AX362">
        <v>244.61</v>
      </c>
    </row>
    <row r="363" spans="1:50">
      <c r="A363">
        <v>21.5</v>
      </c>
      <c r="B363">
        <v>130.51</v>
      </c>
      <c r="C363">
        <v>136.72999999999999</v>
      </c>
      <c r="D363">
        <v>136.84</v>
      </c>
      <c r="E363">
        <v>148.51</v>
      </c>
      <c r="F363">
        <v>48.06</v>
      </c>
      <c r="G363">
        <v>46.34</v>
      </c>
      <c r="H363">
        <v>43.78</v>
      </c>
      <c r="I363">
        <v>47.06</v>
      </c>
      <c r="J363">
        <v>30.56</v>
      </c>
      <c r="K363">
        <v>28.95</v>
      </c>
      <c r="L363">
        <v>0</v>
      </c>
      <c r="M363">
        <v>0.28999999999999998</v>
      </c>
      <c r="N363">
        <v>0.28999999999999998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2.85</v>
      </c>
      <c r="W363">
        <v>5.48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91.27</v>
      </c>
      <c r="AE363">
        <v>182.62</v>
      </c>
      <c r="AF363">
        <v>172.3</v>
      </c>
      <c r="AG363">
        <v>172.52</v>
      </c>
      <c r="AM363">
        <v>79.27</v>
      </c>
      <c r="AN363">
        <v>194.21</v>
      </c>
      <c r="AO363">
        <v>193.54</v>
      </c>
      <c r="AP363">
        <v>192.71</v>
      </c>
      <c r="AV363">
        <v>106.12</v>
      </c>
      <c r="AW363">
        <v>230</v>
      </c>
      <c r="AX363">
        <v>244.61</v>
      </c>
    </row>
    <row r="364" spans="1:50">
      <c r="A364">
        <v>21.67</v>
      </c>
      <c r="B364">
        <v>130.62</v>
      </c>
      <c r="C364">
        <v>137.34</v>
      </c>
      <c r="D364">
        <v>137.4</v>
      </c>
      <c r="E364">
        <v>148.34</v>
      </c>
      <c r="F364">
        <v>48.28</v>
      </c>
      <c r="G364">
        <v>46.45</v>
      </c>
      <c r="H364">
        <v>43.95</v>
      </c>
      <c r="I364">
        <v>47.23</v>
      </c>
      <c r="J364">
        <v>30.62</v>
      </c>
      <c r="K364">
        <v>28.95</v>
      </c>
      <c r="L364">
        <v>0</v>
      </c>
      <c r="M364">
        <v>0.11</v>
      </c>
      <c r="N364">
        <v>0.12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-8.81</v>
      </c>
      <c r="W364">
        <v>-10.8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91.98</v>
      </c>
      <c r="AE364">
        <v>182.28</v>
      </c>
      <c r="AF364">
        <v>176.09</v>
      </c>
      <c r="AG364">
        <v>177.09</v>
      </c>
      <c r="AM364">
        <v>79.739999999999995</v>
      </c>
      <c r="AN364">
        <v>193.85</v>
      </c>
      <c r="AO364">
        <v>194.67</v>
      </c>
      <c r="AP364">
        <v>194.99</v>
      </c>
      <c r="AV364">
        <v>106.56</v>
      </c>
      <c r="AW364">
        <v>230</v>
      </c>
      <c r="AX364">
        <v>244.61</v>
      </c>
    </row>
    <row r="365" spans="1:50">
      <c r="A365">
        <v>21.83</v>
      </c>
      <c r="B365">
        <v>130.84</v>
      </c>
      <c r="C365">
        <v>142.44999999999999</v>
      </c>
      <c r="D365">
        <v>142.12</v>
      </c>
      <c r="E365">
        <v>148.44999999999999</v>
      </c>
      <c r="F365">
        <v>48.51</v>
      </c>
      <c r="G365">
        <v>46.62</v>
      </c>
      <c r="H365">
        <v>44.17</v>
      </c>
      <c r="I365">
        <v>47.4</v>
      </c>
      <c r="J365">
        <v>30.67</v>
      </c>
      <c r="K365">
        <v>28.95</v>
      </c>
      <c r="L365">
        <v>0</v>
      </c>
      <c r="M365">
        <v>0.11</v>
      </c>
      <c r="N365">
        <v>0.12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-13.65</v>
      </c>
      <c r="W365">
        <v>-14.99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92.69</v>
      </c>
      <c r="AE365">
        <v>181.12</v>
      </c>
      <c r="AF365">
        <v>175.8</v>
      </c>
      <c r="AG365">
        <v>176.41</v>
      </c>
      <c r="AM365">
        <v>80.150000000000006</v>
      </c>
      <c r="AN365">
        <v>192.62</v>
      </c>
      <c r="AO365">
        <v>193.47</v>
      </c>
      <c r="AP365">
        <v>193.38</v>
      </c>
      <c r="AV365">
        <v>106.95</v>
      </c>
      <c r="AW365">
        <v>230</v>
      </c>
      <c r="AX365">
        <v>244.6</v>
      </c>
    </row>
    <row r="366" spans="1:50">
      <c r="A366">
        <v>22</v>
      </c>
      <c r="B366">
        <v>131.56</v>
      </c>
      <c r="C366">
        <v>144.72999999999999</v>
      </c>
      <c r="D366">
        <v>144.44999999999999</v>
      </c>
      <c r="E366">
        <v>148.4</v>
      </c>
      <c r="F366">
        <v>48.67</v>
      </c>
      <c r="G366">
        <v>46.73</v>
      </c>
      <c r="H366">
        <v>44.17</v>
      </c>
      <c r="I366">
        <v>47.56</v>
      </c>
      <c r="J366">
        <v>30.73</v>
      </c>
      <c r="K366">
        <v>28.9</v>
      </c>
      <c r="L366">
        <v>0</v>
      </c>
      <c r="M366">
        <v>0.11</v>
      </c>
      <c r="N366">
        <v>0.12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-12.18</v>
      </c>
      <c r="W366">
        <v>-12.02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93.4</v>
      </c>
      <c r="AE366">
        <v>180.51</v>
      </c>
      <c r="AF366">
        <v>174.87</v>
      </c>
      <c r="AG366">
        <v>175.16</v>
      </c>
      <c r="AM366">
        <v>80.64</v>
      </c>
      <c r="AN366">
        <v>191.95</v>
      </c>
      <c r="AO366">
        <v>191.66</v>
      </c>
      <c r="AP366">
        <v>191.26</v>
      </c>
      <c r="AV366">
        <v>107.41</v>
      </c>
      <c r="AW366">
        <v>230</v>
      </c>
      <c r="AX366">
        <v>244.59</v>
      </c>
    </row>
    <row r="367" spans="1:50">
      <c r="A367">
        <v>22.17</v>
      </c>
      <c r="B367">
        <v>132.28</v>
      </c>
      <c r="C367">
        <v>144.51</v>
      </c>
      <c r="D367">
        <v>144.72999999999999</v>
      </c>
      <c r="E367">
        <v>148.34</v>
      </c>
      <c r="F367">
        <v>48.9</v>
      </c>
      <c r="G367">
        <v>46.95</v>
      </c>
      <c r="H367">
        <v>44.34</v>
      </c>
      <c r="I367">
        <v>47.62</v>
      </c>
      <c r="J367">
        <v>30.78</v>
      </c>
      <c r="K367">
        <v>28.95</v>
      </c>
      <c r="L367">
        <v>0</v>
      </c>
      <c r="M367">
        <v>0.11</v>
      </c>
      <c r="N367">
        <v>0.12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-18.59</v>
      </c>
      <c r="W367">
        <v>-17.72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94.1</v>
      </c>
      <c r="AE367">
        <v>184.16</v>
      </c>
      <c r="AF367">
        <v>174.13</v>
      </c>
      <c r="AG367">
        <v>174.36</v>
      </c>
      <c r="AM367">
        <v>81.09</v>
      </c>
      <c r="AN367">
        <v>195.82</v>
      </c>
      <c r="AO367">
        <v>190.18</v>
      </c>
      <c r="AP367">
        <v>189.73</v>
      </c>
      <c r="AV367">
        <v>107.84</v>
      </c>
      <c r="AW367">
        <v>230</v>
      </c>
      <c r="AX367">
        <v>244.55</v>
      </c>
    </row>
    <row r="368" spans="1:50">
      <c r="A368">
        <v>22.33</v>
      </c>
      <c r="B368">
        <v>132.56</v>
      </c>
      <c r="C368">
        <v>144.01</v>
      </c>
      <c r="D368">
        <v>144.51</v>
      </c>
      <c r="E368">
        <v>148.22999999999999</v>
      </c>
      <c r="F368">
        <v>49.23</v>
      </c>
      <c r="G368">
        <v>47.12</v>
      </c>
      <c r="H368">
        <v>44.51</v>
      </c>
      <c r="I368">
        <v>47.73</v>
      </c>
      <c r="J368">
        <v>30.78</v>
      </c>
      <c r="K368">
        <v>28.95</v>
      </c>
      <c r="L368">
        <v>0</v>
      </c>
      <c r="M368">
        <v>0.11</v>
      </c>
      <c r="N368">
        <v>0.12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-24.21</v>
      </c>
      <c r="W368">
        <v>-22.37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94.81</v>
      </c>
      <c r="AE368">
        <v>182.68</v>
      </c>
      <c r="AF368">
        <v>173.17</v>
      </c>
      <c r="AG368">
        <v>173.4</v>
      </c>
      <c r="AM368">
        <v>81.569999999999993</v>
      </c>
      <c r="AN368">
        <v>194.19</v>
      </c>
      <c r="AO368">
        <v>188.56</v>
      </c>
      <c r="AP368">
        <v>188.16</v>
      </c>
      <c r="AV368">
        <v>108.29</v>
      </c>
      <c r="AW368">
        <v>230</v>
      </c>
      <c r="AX368">
        <v>244.49</v>
      </c>
    </row>
    <row r="369" spans="1:50">
      <c r="A369">
        <v>22.5</v>
      </c>
      <c r="B369">
        <v>133.01</v>
      </c>
      <c r="C369">
        <v>143.4</v>
      </c>
      <c r="D369">
        <v>144.06</v>
      </c>
      <c r="E369">
        <v>148.16999999999999</v>
      </c>
      <c r="F369">
        <v>49.23</v>
      </c>
      <c r="G369">
        <v>47.17</v>
      </c>
      <c r="H369">
        <v>44.62</v>
      </c>
      <c r="I369">
        <v>47.84</v>
      </c>
      <c r="J369">
        <v>30.95</v>
      </c>
      <c r="K369">
        <v>28.95</v>
      </c>
      <c r="L369">
        <v>0</v>
      </c>
      <c r="M369">
        <v>0.11</v>
      </c>
      <c r="N369">
        <v>0.12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-13.77</v>
      </c>
      <c r="W369">
        <v>-12.82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95.52</v>
      </c>
      <c r="AE369">
        <v>181.61</v>
      </c>
      <c r="AF369">
        <v>171.53</v>
      </c>
      <c r="AG369">
        <v>171.81</v>
      </c>
      <c r="AM369">
        <v>81.95</v>
      </c>
      <c r="AN369">
        <v>192.96</v>
      </c>
      <c r="AO369">
        <v>186.25</v>
      </c>
      <c r="AP369">
        <v>185.96</v>
      </c>
      <c r="AV369">
        <v>108.65</v>
      </c>
      <c r="AW369">
        <v>230</v>
      </c>
      <c r="AX369">
        <v>244.38</v>
      </c>
    </row>
    <row r="370" spans="1:50">
      <c r="A370">
        <v>22.67</v>
      </c>
      <c r="B370">
        <v>132.94999999999999</v>
      </c>
      <c r="C370">
        <v>142.94999999999999</v>
      </c>
      <c r="D370">
        <v>143.66999999999999</v>
      </c>
      <c r="E370">
        <v>148.16999999999999</v>
      </c>
      <c r="F370">
        <v>49.51</v>
      </c>
      <c r="G370">
        <v>47.4</v>
      </c>
      <c r="H370">
        <v>44.73</v>
      </c>
      <c r="I370">
        <v>47.9</v>
      </c>
      <c r="J370">
        <v>31.06</v>
      </c>
      <c r="K370">
        <v>28.95</v>
      </c>
      <c r="L370">
        <v>0</v>
      </c>
      <c r="M370">
        <v>0.11</v>
      </c>
      <c r="N370">
        <v>0.12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-12.91</v>
      </c>
      <c r="W370">
        <v>-12.18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96.23</v>
      </c>
      <c r="AE370">
        <v>179.99</v>
      </c>
      <c r="AF370">
        <v>171.11</v>
      </c>
      <c r="AG370">
        <v>171.45</v>
      </c>
      <c r="AM370">
        <v>82.4</v>
      </c>
      <c r="AN370">
        <v>191.12</v>
      </c>
      <c r="AO370">
        <v>185.37</v>
      </c>
      <c r="AP370">
        <v>185.18</v>
      </c>
      <c r="AV370">
        <v>109.07</v>
      </c>
      <c r="AW370">
        <v>230</v>
      </c>
      <c r="AX370">
        <v>244.22</v>
      </c>
    </row>
    <row r="371" spans="1:50">
      <c r="A371">
        <v>22.83</v>
      </c>
      <c r="B371">
        <v>133.06</v>
      </c>
      <c r="C371">
        <v>142.78</v>
      </c>
      <c r="D371">
        <v>143.4</v>
      </c>
      <c r="E371">
        <v>148.16999999999999</v>
      </c>
      <c r="F371">
        <v>49.67</v>
      </c>
      <c r="G371">
        <v>47.51</v>
      </c>
      <c r="H371">
        <v>44.9</v>
      </c>
      <c r="I371">
        <v>48.01</v>
      </c>
      <c r="J371">
        <v>31.06</v>
      </c>
      <c r="K371">
        <v>28.95</v>
      </c>
      <c r="L371">
        <v>0</v>
      </c>
      <c r="M371">
        <v>0.11</v>
      </c>
      <c r="N371">
        <v>0.12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-15.8</v>
      </c>
      <c r="W371">
        <v>-14.6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96.93</v>
      </c>
      <c r="AE371">
        <v>177.74</v>
      </c>
      <c r="AF371">
        <v>170.66</v>
      </c>
      <c r="AG371">
        <v>171.01</v>
      </c>
      <c r="AM371">
        <v>82.87</v>
      </c>
      <c r="AN371">
        <v>188.55</v>
      </c>
      <c r="AO371">
        <v>184.48</v>
      </c>
      <c r="AP371">
        <v>184.34</v>
      </c>
      <c r="AV371">
        <v>109.52</v>
      </c>
      <c r="AW371">
        <v>230</v>
      </c>
      <c r="AX371">
        <v>243.99</v>
      </c>
    </row>
    <row r="372" spans="1:50">
      <c r="A372">
        <v>23</v>
      </c>
      <c r="B372">
        <v>133.28</v>
      </c>
      <c r="C372">
        <v>142.62</v>
      </c>
      <c r="D372">
        <v>143.28</v>
      </c>
      <c r="E372">
        <v>148.06</v>
      </c>
      <c r="F372">
        <v>49.78</v>
      </c>
      <c r="G372">
        <v>47.56</v>
      </c>
      <c r="H372">
        <v>44.9</v>
      </c>
      <c r="I372">
        <v>48.06</v>
      </c>
      <c r="J372">
        <v>31.06</v>
      </c>
      <c r="K372">
        <v>28.9</v>
      </c>
      <c r="L372">
        <v>0</v>
      </c>
      <c r="M372">
        <v>0.11</v>
      </c>
      <c r="N372">
        <v>0.12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0.01</v>
      </c>
      <c r="U372">
        <v>0</v>
      </c>
      <c r="V372">
        <v>-20.94</v>
      </c>
      <c r="W372">
        <v>-17.93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97.64</v>
      </c>
      <c r="AE372">
        <v>176.06</v>
      </c>
      <c r="AF372">
        <v>169.69</v>
      </c>
      <c r="AG372">
        <v>170.05</v>
      </c>
      <c r="AM372">
        <v>83.29</v>
      </c>
      <c r="AN372">
        <v>186.53</v>
      </c>
      <c r="AO372">
        <v>183.01</v>
      </c>
      <c r="AP372">
        <v>182.94</v>
      </c>
      <c r="AV372">
        <v>109.9</v>
      </c>
      <c r="AW372">
        <v>230</v>
      </c>
      <c r="AX372">
        <v>243.67</v>
      </c>
    </row>
    <row r="373" spans="1:50">
      <c r="A373">
        <v>23.17</v>
      </c>
      <c r="B373">
        <v>133.72999999999999</v>
      </c>
      <c r="C373">
        <v>142.44999999999999</v>
      </c>
      <c r="D373">
        <v>143.06</v>
      </c>
      <c r="E373">
        <v>148.16999999999999</v>
      </c>
      <c r="F373">
        <v>50.06</v>
      </c>
      <c r="G373">
        <v>47.78</v>
      </c>
      <c r="H373">
        <v>45.01</v>
      </c>
      <c r="I373">
        <v>48.23</v>
      </c>
      <c r="J373">
        <v>31.12</v>
      </c>
      <c r="K373">
        <v>28.95</v>
      </c>
      <c r="L373">
        <v>0</v>
      </c>
      <c r="M373">
        <v>0.27</v>
      </c>
      <c r="N373">
        <v>0.25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0.01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98.35</v>
      </c>
      <c r="AE373">
        <v>176.02</v>
      </c>
      <c r="AF373">
        <v>168.05</v>
      </c>
      <c r="AG373">
        <v>168.61</v>
      </c>
      <c r="AM373">
        <v>83.76</v>
      </c>
      <c r="AN373">
        <v>186.16</v>
      </c>
      <c r="AO373">
        <v>180.84</v>
      </c>
      <c r="AP373">
        <v>181.01</v>
      </c>
      <c r="AV373">
        <v>110.33</v>
      </c>
      <c r="AW373">
        <v>230</v>
      </c>
      <c r="AX373">
        <v>243.25</v>
      </c>
    </row>
    <row r="374" spans="1:50">
      <c r="A374">
        <v>23.33</v>
      </c>
      <c r="B374">
        <v>134.4</v>
      </c>
      <c r="C374">
        <v>142.44999999999999</v>
      </c>
      <c r="D374">
        <v>143.06</v>
      </c>
      <c r="E374">
        <v>148.56</v>
      </c>
      <c r="F374">
        <v>50.34</v>
      </c>
      <c r="G374">
        <v>47.95</v>
      </c>
      <c r="H374">
        <v>45.17</v>
      </c>
      <c r="I374">
        <v>48.4</v>
      </c>
      <c r="J374">
        <v>31.23</v>
      </c>
      <c r="K374">
        <v>28.95</v>
      </c>
      <c r="L374">
        <v>0</v>
      </c>
      <c r="M374">
        <v>0.28999999999999998</v>
      </c>
      <c r="N374">
        <v>0.28999999999999998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0.01</v>
      </c>
      <c r="U374">
        <v>0</v>
      </c>
      <c r="V374">
        <v>10.61</v>
      </c>
      <c r="W374">
        <v>10.97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99.06</v>
      </c>
      <c r="AE374">
        <v>179.86</v>
      </c>
      <c r="AF374">
        <v>170.18</v>
      </c>
      <c r="AG374">
        <v>170.43</v>
      </c>
      <c r="AM374">
        <v>84.23</v>
      </c>
      <c r="AN374">
        <v>189.81</v>
      </c>
      <c r="AO374">
        <v>182.43</v>
      </c>
      <c r="AP374">
        <v>182.41</v>
      </c>
      <c r="AV374">
        <v>110.77</v>
      </c>
      <c r="AW374">
        <v>230</v>
      </c>
      <c r="AX374">
        <v>242.72</v>
      </c>
    </row>
    <row r="375" spans="1:50">
      <c r="A375">
        <v>23.5</v>
      </c>
      <c r="B375">
        <v>134.62</v>
      </c>
      <c r="C375">
        <v>142.4</v>
      </c>
      <c r="D375">
        <v>142.94999999999999</v>
      </c>
      <c r="E375">
        <v>149.66999999999999</v>
      </c>
      <c r="F375">
        <v>50.56</v>
      </c>
      <c r="G375">
        <v>48.12</v>
      </c>
      <c r="H375">
        <v>45.28</v>
      </c>
      <c r="I375">
        <v>48.51</v>
      </c>
      <c r="J375">
        <v>31.34</v>
      </c>
      <c r="K375">
        <v>28.95</v>
      </c>
      <c r="L375">
        <v>0</v>
      </c>
      <c r="M375">
        <v>0.28999999999999998</v>
      </c>
      <c r="N375">
        <v>0.28999999999999998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4.6500000000000004</v>
      </c>
      <c r="W375">
        <v>4.49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99.76</v>
      </c>
      <c r="AE375">
        <v>182.5</v>
      </c>
      <c r="AF375">
        <v>176.03</v>
      </c>
      <c r="AG375">
        <v>176.41</v>
      </c>
      <c r="AM375">
        <v>84.71</v>
      </c>
      <c r="AN375">
        <v>192.2</v>
      </c>
      <c r="AO375">
        <v>188.19</v>
      </c>
      <c r="AP375">
        <v>188.4</v>
      </c>
      <c r="AV375">
        <v>111.21</v>
      </c>
      <c r="AW375">
        <v>230</v>
      </c>
      <c r="AX375">
        <v>242.22</v>
      </c>
    </row>
    <row r="376" spans="1:50">
      <c r="A376">
        <v>23.67</v>
      </c>
      <c r="B376">
        <v>135.4</v>
      </c>
      <c r="C376">
        <v>142.22999999999999</v>
      </c>
      <c r="D376">
        <v>142.84</v>
      </c>
      <c r="E376">
        <v>151.12</v>
      </c>
      <c r="F376">
        <v>50.73</v>
      </c>
      <c r="G376">
        <v>48.23</v>
      </c>
      <c r="H376">
        <v>45.34</v>
      </c>
      <c r="I376">
        <v>48.62</v>
      </c>
      <c r="J376">
        <v>31.45</v>
      </c>
      <c r="K376">
        <v>28.95</v>
      </c>
      <c r="L376">
        <v>0</v>
      </c>
      <c r="M376">
        <v>0.28999999999999998</v>
      </c>
      <c r="N376">
        <v>0.28999999999999998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6.05</v>
      </c>
      <c r="W376">
        <v>5.64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100.47</v>
      </c>
      <c r="AE376">
        <v>179.67</v>
      </c>
      <c r="AF376">
        <v>179.23</v>
      </c>
      <c r="AG376">
        <v>179.51</v>
      </c>
      <c r="AM376">
        <v>85.06</v>
      </c>
      <c r="AN376">
        <v>188.91</v>
      </c>
      <c r="AO376">
        <v>190.96</v>
      </c>
      <c r="AP376">
        <v>191.1</v>
      </c>
      <c r="AV376">
        <v>111.53</v>
      </c>
      <c r="AW376">
        <v>230</v>
      </c>
      <c r="AX376">
        <v>241.83</v>
      </c>
    </row>
    <row r="377" spans="1:50">
      <c r="A377">
        <v>23.83</v>
      </c>
      <c r="B377">
        <v>136.12</v>
      </c>
      <c r="C377">
        <v>142.16999999999999</v>
      </c>
      <c r="D377">
        <v>142.66999999999999</v>
      </c>
      <c r="E377">
        <v>151.51</v>
      </c>
      <c r="F377">
        <v>50.9</v>
      </c>
      <c r="G377">
        <v>48.4</v>
      </c>
      <c r="H377">
        <v>45.34</v>
      </c>
      <c r="I377">
        <v>48.73</v>
      </c>
      <c r="J377">
        <v>31.51</v>
      </c>
      <c r="K377">
        <v>28.95</v>
      </c>
      <c r="L377">
        <v>0</v>
      </c>
      <c r="M377">
        <v>0.11</v>
      </c>
      <c r="N377">
        <v>0.12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32.25</v>
      </c>
      <c r="W377">
        <v>26.19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101.18</v>
      </c>
      <c r="AE377">
        <v>177.95</v>
      </c>
      <c r="AF377">
        <v>181.1</v>
      </c>
      <c r="AG377">
        <v>181.21</v>
      </c>
      <c r="AM377">
        <v>85.48</v>
      </c>
      <c r="AN377">
        <v>186.86</v>
      </c>
      <c r="AO377">
        <v>192.24</v>
      </c>
      <c r="AP377">
        <v>192.23</v>
      </c>
      <c r="AV377">
        <v>111.91</v>
      </c>
      <c r="AW377">
        <v>230</v>
      </c>
      <c r="AX377">
        <v>241.52</v>
      </c>
    </row>
    <row r="378" spans="1:50">
      <c r="A378">
        <v>24</v>
      </c>
      <c r="B378">
        <v>136.34</v>
      </c>
      <c r="C378">
        <v>142.06</v>
      </c>
      <c r="D378">
        <v>142.51</v>
      </c>
      <c r="E378">
        <v>151.28</v>
      </c>
      <c r="F378">
        <v>51.12</v>
      </c>
      <c r="G378">
        <v>48.51</v>
      </c>
      <c r="H378">
        <v>45.51</v>
      </c>
      <c r="I378">
        <v>48.84</v>
      </c>
      <c r="J378">
        <v>31.62</v>
      </c>
      <c r="K378">
        <v>28.95</v>
      </c>
      <c r="L378">
        <v>0</v>
      </c>
      <c r="M378">
        <v>0.11</v>
      </c>
      <c r="N378">
        <v>0.12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6.36</v>
      </c>
      <c r="W378">
        <v>11.6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101.89</v>
      </c>
      <c r="AE378">
        <v>180.84</v>
      </c>
      <c r="AF378">
        <v>184.36</v>
      </c>
      <c r="AG378">
        <v>183.98</v>
      </c>
      <c r="AM378">
        <v>85.93</v>
      </c>
      <c r="AN378">
        <v>189.71</v>
      </c>
      <c r="AO378">
        <v>195.59</v>
      </c>
      <c r="AP378">
        <v>195.03</v>
      </c>
      <c r="AV378">
        <v>112.32</v>
      </c>
      <c r="AW378">
        <v>230</v>
      </c>
      <c r="AX378">
        <v>241.29</v>
      </c>
    </row>
    <row r="379" spans="1:50">
      <c r="A379">
        <v>24.17</v>
      </c>
      <c r="B379">
        <v>136.22999999999999</v>
      </c>
      <c r="C379">
        <v>142.01</v>
      </c>
      <c r="D379">
        <v>142.44999999999999</v>
      </c>
      <c r="E379">
        <v>151.22999999999999</v>
      </c>
      <c r="F379">
        <v>51.28</v>
      </c>
      <c r="G379">
        <v>48.67</v>
      </c>
      <c r="H379">
        <v>45.67</v>
      </c>
      <c r="I379">
        <v>49.01</v>
      </c>
      <c r="J379">
        <v>31.67</v>
      </c>
      <c r="K379">
        <v>28.95</v>
      </c>
      <c r="L379">
        <v>0</v>
      </c>
      <c r="M379">
        <v>0.11</v>
      </c>
      <c r="N379">
        <v>0.28999999999999998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-0.76</v>
      </c>
      <c r="W379">
        <v>0.75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102.59</v>
      </c>
      <c r="AE379">
        <v>186.09</v>
      </c>
      <c r="AF379">
        <v>184.67</v>
      </c>
      <c r="AG379">
        <v>185.01</v>
      </c>
      <c r="AM379">
        <v>86.31</v>
      </c>
      <c r="AN379">
        <v>195.09</v>
      </c>
      <c r="AO379">
        <v>195.65</v>
      </c>
      <c r="AP379">
        <v>195.88</v>
      </c>
      <c r="AV379">
        <v>112.66</v>
      </c>
      <c r="AW379">
        <v>230</v>
      </c>
      <c r="AX379">
        <v>241.12</v>
      </c>
    </row>
    <row r="380" spans="1:50">
      <c r="A380">
        <v>24.33</v>
      </c>
      <c r="B380">
        <v>136.4</v>
      </c>
      <c r="C380">
        <v>141.84</v>
      </c>
      <c r="D380">
        <v>142.16999999999999</v>
      </c>
      <c r="E380">
        <v>151.12</v>
      </c>
      <c r="F380">
        <v>51.45</v>
      </c>
      <c r="G380">
        <v>48.78</v>
      </c>
      <c r="H380">
        <v>45.78</v>
      </c>
      <c r="I380">
        <v>49.01</v>
      </c>
      <c r="J380">
        <v>31.73</v>
      </c>
      <c r="K380">
        <v>28.9</v>
      </c>
      <c r="L380">
        <v>0</v>
      </c>
      <c r="M380">
        <v>0.11</v>
      </c>
      <c r="N380">
        <v>0.12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-9.2799999999999994</v>
      </c>
      <c r="W380">
        <v>-13.01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103.3</v>
      </c>
      <c r="AE380">
        <v>186.06</v>
      </c>
      <c r="AF380">
        <v>184.75</v>
      </c>
      <c r="AG380">
        <v>185.55</v>
      </c>
      <c r="AM380">
        <v>86.73</v>
      </c>
      <c r="AN380">
        <v>194.96</v>
      </c>
      <c r="AO380">
        <v>195.49</v>
      </c>
      <c r="AP380">
        <v>195.87</v>
      </c>
      <c r="AV380">
        <v>113.04</v>
      </c>
      <c r="AW380">
        <v>230</v>
      </c>
      <c r="AX380">
        <v>241</v>
      </c>
    </row>
    <row r="381" spans="1:50">
      <c r="A381">
        <v>24.5</v>
      </c>
      <c r="B381">
        <v>136.9</v>
      </c>
      <c r="C381">
        <v>141.94999999999999</v>
      </c>
      <c r="D381">
        <v>142.34</v>
      </c>
      <c r="E381">
        <v>151.06</v>
      </c>
      <c r="F381">
        <v>51.73</v>
      </c>
      <c r="G381">
        <v>48.95</v>
      </c>
      <c r="H381">
        <v>45.95</v>
      </c>
      <c r="I381">
        <v>49.23</v>
      </c>
      <c r="J381">
        <v>31.9</v>
      </c>
      <c r="K381">
        <v>28.95</v>
      </c>
      <c r="L381">
        <v>0</v>
      </c>
      <c r="M381">
        <v>0.28999999999999998</v>
      </c>
      <c r="N381">
        <v>0.28999999999999998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1.35</v>
      </c>
      <c r="W381">
        <v>0.14000000000000001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104.01</v>
      </c>
      <c r="AE381">
        <v>184.54</v>
      </c>
      <c r="AF381">
        <v>183.86</v>
      </c>
      <c r="AG381">
        <v>184.03</v>
      </c>
      <c r="AM381">
        <v>87.12</v>
      </c>
      <c r="AN381">
        <v>193.3</v>
      </c>
      <c r="AO381">
        <v>194.26</v>
      </c>
      <c r="AP381">
        <v>193.99</v>
      </c>
      <c r="AV381">
        <v>113.4</v>
      </c>
      <c r="AW381">
        <v>230</v>
      </c>
      <c r="AX381">
        <v>240.92</v>
      </c>
    </row>
    <row r="382" spans="1:50">
      <c r="A382">
        <v>24.67</v>
      </c>
      <c r="B382">
        <v>137.22999999999999</v>
      </c>
      <c r="C382">
        <v>142.12</v>
      </c>
      <c r="D382">
        <v>142.28</v>
      </c>
      <c r="E382">
        <v>151.01</v>
      </c>
      <c r="F382">
        <v>51.95</v>
      </c>
      <c r="G382">
        <v>49.06</v>
      </c>
      <c r="H382">
        <v>46.01</v>
      </c>
      <c r="I382">
        <v>49.34</v>
      </c>
      <c r="J382">
        <v>31.9</v>
      </c>
      <c r="K382">
        <v>28.95</v>
      </c>
      <c r="L382">
        <v>0</v>
      </c>
      <c r="M382">
        <v>0.28999999999999998</v>
      </c>
      <c r="N382">
        <v>0.28999999999999998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0.3</v>
      </c>
      <c r="W382">
        <v>1.03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104.72</v>
      </c>
      <c r="AE382">
        <v>185.98</v>
      </c>
      <c r="AF382">
        <v>184.44</v>
      </c>
      <c r="AG382">
        <v>184.22</v>
      </c>
      <c r="AM382">
        <v>87.56</v>
      </c>
      <c r="AN382">
        <v>194.77</v>
      </c>
      <c r="AO382">
        <v>194.39</v>
      </c>
      <c r="AP382">
        <v>193.81</v>
      </c>
      <c r="AV382">
        <v>113.81</v>
      </c>
      <c r="AW382">
        <v>230</v>
      </c>
      <c r="AX382">
        <v>240.87</v>
      </c>
    </row>
    <row r="383" spans="1:50">
      <c r="A383">
        <v>24.83</v>
      </c>
      <c r="B383">
        <v>137.72999999999999</v>
      </c>
      <c r="C383">
        <v>142.06</v>
      </c>
      <c r="D383">
        <v>142.28</v>
      </c>
      <c r="E383">
        <v>151.01</v>
      </c>
      <c r="F383">
        <v>52.06</v>
      </c>
      <c r="G383">
        <v>49.23</v>
      </c>
      <c r="H383">
        <v>46.17</v>
      </c>
      <c r="I383">
        <v>49.51</v>
      </c>
      <c r="J383">
        <v>32.01</v>
      </c>
      <c r="K383">
        <v>28.95</v>
      </c>
      <c r="L383">
        <v>0</v>
      </c>
      <c r="M383">
        <v>0.11</v>
      </c>
      <c r="N383">
        <v>0.22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-1.27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105.42</v>
      </c>
      <c r="AE383">
        <v>190.73</v>
      </c>
      <c r="AF383">
        <v>184.97</v>
      </c>
      <c r="AG383">
        <v>185.04</v>
      </c>
      <c r="AM383">
        <v>88.01</v>
      </c>
      <c r="AN383">
        <v>199.73</v>
      </c>
      <c r="AO383">
        <v>194.6</v>
      </c>
      <c r="AP383">
        <v>194.46</v>
      </c>
      <c r="AV383">
        <v>114.22</v>
      </c>
      <c r="AW383">
        <v>230</v>
      </c>
      <c r="AX383">
        <v>240.85</v>
      </c>
    </row>
    <row r="384" spans="1:50">
      <c r="A384">
        <v>25</v>
      </c>
      <c r="B384">
        <v>138.22999999999999</v>
      </c>
      <c r="C384">
        <v>142.12</v>
      </c>
      <c r="D384">
        <v>142.34</v>
      </c>
      <c r="E384">
        <v>151.01</v>
      </c>
      <c r="F384">
        <v>52.23</v>
      </c>
      <c r="G384">
        <v>49.34</v>
      </c>
      <c r="H384">
        <v>46.17</v>
      </c>
      <c r="I384">
        <v>49.62</v>
      </c>
      <c r="J384">
        <v>32.06</v>
      </c>
      <c r="K384">
        <v>28.95</v>
      </c>
      <c r="L384">
        <v>0</v>
      </c>
      <c r="M384">
        <v>0.11</v>
      </c>
      <c r="N384">
        <v>0.12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-7.71</v>
      </c>
      <c r="W384">
        <v>-8.27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106.13</v>
      </c>
      <c r="AE384">
        <v>192.03</v>
      </c>
      <c r="AF384">
        <v>185.47</v>
      </c>
      <c r="AG384">
        <v>186.27</v>
      </c>
      <c r="AM384">
        <v>88.34</v>
      </c>
      <c r="AN384">
        <v>201.08</v>
      </c>
      <c r="AO384">
        <v>195.08</v>
      </c>
      <c r="AP384">
        <v>195.72</v>
      </c>
      <c r="AV384">
        <v>114.53</v>
      </c>
      <c r="AW384">
        <v>230</v>
      </c>
      <c r="AX384">
        <v>240.83</v>
      </c>
    </row>
    <row r="385" spans="1:50">
      <c r="A385">
        <v>25.17</v>
      </c>
      <c r="B385">
        <v>138.66999999999999</v>
      </c>
      <c r="C385">
        <v>142.16999999999999</v>
      </c>
      <c r="D385">
        <v>142.34</v>
      </c>
      <c r="E385">
        <v>151.12</v>
      </c>
      <c r="F385">
        <v>52.51</v>
      </c>
      <c r="G385">
        <v>49.56</v>
      </c>
      <c r="H385">
        <v>46.45</v>
      </c>
      <c r="I385">
        <v>49.73</v>
      </c>
      <c r="J385">
        <v>32.17</v>
      </c>
      <c r="K385">
        <v>28.95</v>
      </c>
      <c r="L385">
        <v>0</v>
      </c>
      <c r="M385">
        <v>0.11</v>
      </c>
      <c r="N385">
        <v>0.12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-12.44</v>
      </c>
      <c r="W385">
        <v>-15.23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106.84</v>
      </c>
      <c r="AE385">
        <v>191.98</v>
      </c>
      <c r="AF385">
        <v>185.34</v>
      </c>
      <c r="AG385">
        <v>185.96</v>
      </c>
      <c r="AM385">
        <v>88.78</v>
      </c>
      <c r="AN385">
        <v>201.02</v>
      </c>
      <c r="AO385">
        <v>194.87</v>
      </c>
      <c r="AP385">
        <v>195.33</v>
      </c>
      <c r="AV385">
        <v>114.93</v>
      </c>
      <c r="AW385">
        <v>230</v>
      </c>
      <c r="AX385">
        <v>240.83</v>
      </c>
    </row>
    <row r="386" spans="1:50">
      <c r="A386">
        <v>25.33</v>
      </c>
      <c r="B386">
        <v>138.56</v>
      </c>
      <c r="C386">
        <v>142.06</v>
      </c>
      <c r="D386">
        <v>142.34</v>
      </c>
      <c r="E386">
        <v>151.44999999999999</v>
      </c>
      <c r="F386">
        <v>52.67</v>
      </c>
      <c r="G386">
        <v>49.62</v>
      </c>
      <c r="H386">
        <v>46.56</v>
      </c>
      <c r="I386">
        <v>49.78</v>
      </c>
      <c r="J386">
        <v>32.28</v>
      </c>
      <c r="K386">
        <v>28.95</v>
      </c>
      <c r="L386">
        <v>0</v>
      </c>
      <c r="M386">
        <v>0.11</v>
      </c>
      <c r="N386">
        <v>0.12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-11.67</v>
      </c>
      <c r="W386">
        <v>-11.44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107.55</v>
      </c>
      <c r="AE386">
        <v>191.99</v>
      </c>
      <c r="AF386">
        <v>184.69</v>
      </c>
      <c r="AG386">
        <v>184.85</v>
      </c>
      <c r="AM386">
        <v>89.19</v>
      </c>
      <c r="AN386">
        <v>201.03</v>
      </c>
      <c r="AO386">
        <v>194.09</v>
      </c>
      <c r="AP386">
        <v>194.04</v>
      </c>
      <c r="AV386">
        <v>115.31</v>
      </c>
      <c r="AW386">
        <v>230</v>
      </c>
      <c r="AX386">
        <v>240.83</v>
      </c>
    </row>
    <row r="387" spans="1:50">
      <c r="A387">
        <v>25.5</v>
      </c>
      <c r="B387">
        <v>138.06</v>
      </c>
      <c r="C387">
        <v>142.01</v>
      </c>
      <c r="D387">
        <v>142.28</v>
      </c>
      <c r="E387">
        <v>151.66999999999999</v>
      </c>
      <c r="F387">
        <v>52.95</v>
      </c>
      <c r="G387">
        <v>49.9</v>
      </c>
      <c r="H387">
        <v>46.78</v>
      </c>
      <c r="I387">
        <v>50.01</v>
      </c>
      <c r="J387">
        <v>32.4</v>
      </c>
      <c r="K387">
        <v>28.95</v>
      </c>
      <c r="L387">
        <v>0</v>
      </c>
      <c r="M387">
        <v>0.11</v>
      </c>
      <c r="N387">
        <v>0.12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-11.21</v>
      </c>
      <c r="W387">
        <v>-9.0500000000000007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108.25</v>
      </c>
      <c r="AE387">
        <v>190.75</v>
      </c>
      <c r="AF387">
        <v>184.21</v>
      </c>
      <c r="AG387">
        <v>184.33</v>
      </c>
      <c r="AM387">
        <v>89.49</v>
      </c>
      <c r="AN387">
        <v>199.73</v>
      </c>
      <c r="AO387">
        <v>193.5</v>
      </c>
      <c r="AP387">
        <v>193.45</v>
      </c>
      <c r="AV387">
        <v>115.6</v>
      </c>
      <c r="AW387">
        <v>230</v>
      </c>
      <c r="AX387">
        <v>240.83</v>
      </c>
    </row>
    <row r="388" spans="1:50">
      <c r="A388">
        <v>25.67</v>
      </c>
      <c r="B388">
        <v>138.22999999999999</v>
      </c>
      <c r="C388">
        <v>141.9</v>
      </c>
      <c r="D388">
        <v>142.12</v>
      </c>
      <c r="E388">
        <v>151.66999999999999</v>
      </c>
      <c r="F388">
        <v>53.01</v>
      </c>
      <c r="G388">
        <v>49.9</v>
      </c>
      <c r="H388">
        <v>46.84</v>
      </c>
      <c r="I388">
        <v>50.12</v>
      </c>
      <c r="J388">
        <v>32.4</v>
      </c>
      <c r="K388">
        <v>28.95</v>
      </c>
      <c r="L388">
        <v>0</v>
      </c>
      <c r="M388">
        <v>0.28999999999999998</v>
      </c>
      <c r="N388">
        <v>0.28999999999999998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0.01</v>
      </c>
      <c r="U388">
        <v>0</v>
      </c>
      <c r="V388">
        <v>5.15</v>
      </c>
      <c r="W388">
        <v>7.36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108.96</v>
      </c>
      <c r="AE388">
        <v>189.3</v>
      </c>
      <c r="AF388">
        <v>183.68</v>
      </c>
      <c r="AG388">
        <v>184.01</v>
      </c>
      <c r="AM388">
        <v>90</v>
      </c>
      <c r="AN388">
        <v>198.21</v>
      </c>
      <c r="AO388">
        <v>192.88</v>
      </c>
      <c r="AP388">
        <v>193.07</v>
      </c>
      <c r="AV388">
        <v>116.06</v>
      </c>
      <c r="AW388">
        <v>230</v>
      </c>
      <c r="AX388">
        <v>240.83</v>
      </c>
    </row>
    <row r="389" spans="1:50">
      <c r="A389">
        <v>25.83</v>
      </c>
      <c r="B389">
        <v>138.22999999999999</v>
      </c>
      <c r="C389">
        <v>141.62</v>
      </c>
      <c r="D389">
        <v>141.94999999999999</v>
      </c>
      <c r="E389">
        <v>152.06</v>
      </c>
      <c r="F389">
        <v>53.23</v>
      </c>
      <c r="G389">
        <v>50.17</v>
      </c>
      <c r="H389">
        <v>47.01</v>
      </c>
      <c r="I389">
        <v>50.28</v>
      </c>
      <c r="J389">
        <v>32.619999999999997</v>
      </c>
      <c r="K389">
        <v>28.95</v>
      </c>
      <c r="L389">
        <v>0</v>
      </c>
      <c r="M389">
        <v>0.11</v>
      </c>
      <c r="N389">
        <v>0.28999999999999998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-9.08</v>
      </c>
      <c r="W389">
        <v>-4.1500000000000004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109.67</v>
      </c>
      <c r="AE389">
        <v>187.62</v>
      </c>
      <c r="AF389">
        <v>186.78</v>
      </c>
      <c r="AG389">
        <v>187.72</v>
      </c>
      <c r="AM389">
        <v>90.51</v>
      </c>
      <c r="AN389">
        <v>196.42</v>
      </c>
      <c r="AO389">
        <v>196.24</v>
      </c>
      <c r="AP389">
        <v>197.15</v>
      </c>
      <c r="AV389">
        <v>116.54</v>
      </c>
      <c r="AW389">
        <v>230</v>
      </c>
      <c r="AX389">
        <v>240.84</v>
      </c>
    </row>
    <row r="390" spans="1:50">
      <c r="A390">
        <v>26</v>
      </c>
      <c r="B390">
        <v>137.84</v>
      </c>
      <c r="C390">
        <v>141.34</v>
      </c>
      <c r="D390">
        <v>141.84</v>
      </c>
      <c r="E390">
        <v>152.44999999999999</v>
      </c>
      <c r="F390">
        <v>53.4</v>
      </c>
      <c r="G390">
        <v>50.34</v>
      </c>
      <c r="H390">
        <v>47.06</v>
      </c>
      <c r="I390">
        <v>50.34</v>
      </c>
      <c r="J390">
        <v>32.729999999999997</v>
      </c>
      <c r="K390">
        <v>28.95</v>
      </c>
      <c r="L390">
        <v>0</v>
      </c>
      <c r="M390">
        <v>0.11</v>
      </c>
      <c r="N390">
        <v>0.12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-10.14</v>
      </c>
      <c r="W390">
        <v>-10.93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110.38</v>
      </c>
      <c r="AE390">
        <v>187.51</v>
      </c>
      <c r="AF390">
        <v>185.86</v>
      </c>
      <c r="AG390">
        <v>186.47</v>
      </c>
      <c r="AM390">
        <v>90.91</v>
      </c>
      <c r="AN390">
        <v>196.24</v>
      </c>
      <c r="AO390">
        <v>195.13</v>
      </c>
      <c r="AP390">
        <v>195.56</v>
      </c>
      <c r="AV390">
        <v>116.9</v>
      </c>
      <c r="AW390">
        <v>230</v>
      </c>
      <c r="AX390">
        <v>240.86</v>
      </c>
    </row>
    <row r="391" spans="1:50">
      <c r="A391">
        <v>26.17</v>
      </c>
      <c r="B391">
        <v>137.62</v>
      </c>
      <c r="C391">
        <v>141.22999999999999</v>
      </c>
      <c r="D391">
        <v>141.62</v>
      </c>
      <c r="E391">
        <v>152.62</v>
      </c>
      <c r="F391">
        <v>53.51</v>
      </c>
      <c r="G391">
        <v>50.34</v>
      </c>
      <c r="H391">
        <v>47.17</v>
      </c>
      <c r="I391">
        <v>50.4</v>
      </c>
      <c r="J391">
        <v>32.78</v>
      </c>
      <c r="K391">
        <v>28.95</v>
      </c>
      <c r="L391">
        <v>0</v>
      </c>
      <c r="M391">
        <v>0.11</v>
      </c>
      <c r="N391">
        <v>0.12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-12.16</v>
      </c>
      <c r="W391">
        <v>-12.53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111.08</v>
      </c>
      <c r="AE391">
        <v>188.71</v>
      </c>
      <c r="AF391">
        <v>184.91</v>
      </c>
      <c r="AG391">
        <v>185.28</v>
      </c>
      <c r="AM391">
        <v>91.31</v>
      </c>
      <c r="AN391">
        <v>197.37</v>
      </c>
      <c r="AO391">
        <v>194</v>
      </c>
      <c r="AP391">
        <v>194.18</v>
      </c>
      <c r="AV391">
        <v>117.26</v>
      </c>
      <c r="AW391">
        <v>230</v>
      </c>
      <c r="AX391">
        <v>240.89</v>
      </c>
    </row>
    <row r="392" spans="1:50">
      <c r="A392">
        <v>26.33</v>
      </c>
      <c r="B392">
        <v>137.16999999999999</v>
      </c>
      <c r="C392">
        <v>141.16999999999999</v>
      </c>
      <c r="D392">
        <v>141.51</v>
      </c>
      <c r="E392">
        <v>153.4</v>
      </c>
      <c r="F392">
        <v>53.67</v>
      </c>
      <c r="G392">
        <v>50.56</v>
      </c>
      <c r="H392">
        <v>47.4</v>
      </c>
      <c r="I392">
        <v>50.56</v>
      </c>
      <c r="J392">
        <v>32.9</v>
      </c>
      <c r="K392">
        <v>28.9</v>
      </c>
      <c r="L392">
        <v>0</v>
      </c>
      <c r="M392">
        <v>0.25</v>
      </c>
      <c r="N392">
        <v>0.28999999999999998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0.61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111.79</v>
      </c>
      <c r="AE392">
        <v>190.31</v>
      </c>
      <c r="AF392">
        <v>183.97</v>
      </c>
      <c r="AG392">
        <v>184.17</v>
      </c>
      <c r="AM392">
        <v>91.74</v>
      </c>
      <c r="AN392">
        <v>198.84</v>
      </c>
      <c r="AO392">
        <v>192.91</v>
      </c>
      <c r="AP392">
        <v>192.92</v>
      </c>
      <c r="AV392">
        <v>117.66</v>
      </c>
      <c r="AW392">
        <v>230</v>
      </c>
      <c r="AX392">
        <v>240.95</v>
      </c>
    </row>
    <row r="393" spans="1:50">
      <c r="A393">
        <v>26.5</v>
      </c>
      <c r="B393">
        <v>135.94999999999999</v>
      </c>
      <c r="C393">
        <v>140.84</v>
      </c>
      <c r="D393">
        <v>141.28</v>
      </c>
      <c r="E393">
        <v>154.01</v>
      </c>
      <c r="F393">
        <v>53.95</v>
      </c>
      <c r="G393">
        <v>50.67</v>
      </c>
      <c r="H393">
        <v>47.4</v>
      </c>
      <c r="I393">
        <v>50.67</v>
      </c>
      <c r="J393">
        <v>33.06</v>
      </c>
      <c r="K393">
        <v>28.95</v>
      </c>
      <c r="L393">
        <v>0</v>
      </c>
      <c r="M393">
        <v>0.11</v>
      </c>
      <c r="N393">
        <v>0.12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-7.76</v>
      </c>
      <c r="W393">
        <v>-9.01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112.5</v>
      </c>
      <c r="AE393">
        <v>190.62</v>
      </c>
      <c r="AF393">
        <v>185.56</v>
      </c>
      <c r="AG393">
        <v>186.15</v>
      </c>
      <c r="AM393">
        <v>92.1</v>
      </c>
      <c r="AN393">
        <v>198.87</v>
      </c>
      <c r="AO393">
        <v>194.57</v>
      </c>
      <c r="AP393">
        <v>195.05</v>
      </c>
      <c r="AV393">
        <v>117.99</v>
      </c>
      <c r="AW393">
        <v>230</v>
      </c>
      <c r="AX393">
        <v>241.03</v>
      </c>
    </row>
    <row r="394" spans="1:50">
      <c r="A394">
        <v>26.67</v>
      </c>
      <c r="B394">
        <v>135.34</v>
      </c>
      <c r="C394">
        <v>140.66999999999999</v>
      </c>
      <c r="D394">
        <v>141.06</v>
      </c>
      <c r="E394">
        <v>154.9</v>
      </c>
      <c r="F394">
        <v>54.12</v>
      </c>
      <c r="G394">
        <v>50.73</v>
      </c>
      <c r="H394">
        <v>47.51</v>
      </c>
      <c r="I394">
        <v>50.73</v>
      </c>
      <c r="J394">
        <v>33.229999999999997</v>
      </c>
      <c r="K394">
        <v>28.95</v>
      </c>
      <c r="L394">
        <v>0</v>
      </c>
      <c r="M394">
        <v>0.11</v>
      </c>
      <c r="N394">
        <v>0.12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-1.28</v>
      </c>
      <c r="W394">
        <v>-4.8899999999999997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113.21</v>
      </c>
      <c r="AE394">
        <v>189.8</v>
      </c>
      <c r="AF394">
        <v>185.26</v>
      </c>
      <c r="AG394">
        <v>185.6</v>
      </c>
      <c r="AM394">
        <v>92.55</v>
      </c>
      <c r="AN394">
        <v>197.59</v>
      </c>
      <c r="AO394">
        <v>194.14</v>
      </c>
      <c r="AP394">
        <v>194.35</v>
      </c>
      <c r="AV394">
        <v>118.4</v>
      </c>
      <c r="AW394">
        <v>230</v>
      </c>
      <c r="AX394">
        <v>241.15</v>
      </c>
    </row>
    <row r="395" spans="1:50">
      <c r="A395">
        <v>26.83</v>
      </c>
      <c r="B395">
        <v>134.72999999999999</v>
      </c>
      <c r="C395">
        <v>140.44999999999999</v>
      </c>
      <c r="D395">
        <v>140.84</v>
      </c>
      <c r="E395">
        <v>155.84</v>
      </c>
      <c r="F395">
        <v>54.28</v>
      </c>
      <c r="G395">
        <v>50.73</v>
      </c>
      <c r="H395">
        <v>47.62</v>
      </c>
      <c r="I395">
        <v>50.73</v>
      </c>
      <c r="J395">
        <v>33.340000000000003</v>
      </c>
      <c r="K395">
        <v>28.95</v>
      </c>
      <c r="L395">
        <v>0</v>
      </c>
      <c r="M395">
        <v>0.11</v>
      </c>
      <c r="N395">
        <v>0.12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-9.4700000000000006</v>
      </c>
      <c r="W395">
        <v>-7.05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113.91</v>
      </c>
      <c r="AE395">
        <v>190.32</v>
      </c>
      <c r="AF395">
        <v>185.63</v>
      </c>
      <c r="AG395">
        <v>185.52</v>
      </c>
      <c r="AM395">
        <v>92.96</v>
      </c>
      <c r="AN395">
        <v>197.55</v>
      </c>
      <c r="AO395">
        <v>194.41</v>
      </c>
      <c r="AP395">
        <v>194.13</v>
      </c>
      <c r="AV395">
        <v>118.77</v>
      </c>
      <c r="AW395">
        <v>230</v>
      </c>
      <c r="AX395">
        <v>241.31</v>
      </c>
    </row>
    <row r="396" spans="1:50">
      <c r="A396">
        <v>27</v>
      </c>
      <c r="B396">
        <v>133.66999999999999</v>
      </c>
      <c r="C396">
        <v>140.51</v>
      </c>
      <c r="D396">
        <v>140.78</v>
      </c>
      <c r="E396">
        <v>156.34</v>
      </c>
      <c r="F396">
        <v>54.51</v>
      </c>
      <c r="G396">
        <v>50.9</v>
      </c>
      <c r="H396">
        <v>47.78</v>
      </c>
      <c r="I396">
        <v>50.84</v>
      </c>
      <c r="J396">
        <v>33.4</v>
      </c>
      <c r="K396">
        <v>28.95</v>
      </c>
      <c r="L396">
        <v>0</v>
      </c>
      <c r="M396">
        <v>0.11</v>
      </c>
      <c r="N396">
        <v>0.12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-9.0399999999999991</v>
      </c>
      <c r="W396">
        <v>-4.88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114.62</v>
      </c>
      <c r="AE396">
        <v>193.77</v>
      </c>
      <c r="AF396">
        <v>185.09</v>
      </c>
      <c r="AG396">
        <v>185.24</v>
      </c>
      <c r="AM396">
        <v>93.37</v>
      </c>
      <c r="AN396">
        <v>200.35</v>
      </c>
      <c r="AO396">
        <v>193.62</v>
      </c>
      <c r="AP396">
        <v>193.64</v>
      </c>
      <c r="AV396">
        <v>119.14</v>
      </c>
      <c r="AW396">
        <v>230</v>
      </c>
      <c r="AX396">
        <v>241.52</v>
      </c>
    </row>
    <row r="397" spans="1:50">
      <c r="A397">
        <v>27.17</v>
      </c>
      <c r="B397">
        <v>132.44999999999999</v>
      </c>
      <c r="C397">
        <v>140.66999999999999</v>
      </c>
      <c r="D397">
        <v>140.94999999999999</v>
      </c>
      <c r="E397">
        <v>157.16999999999999</v>
      </c>
      <c r="F397">
        <v>54.62</v>
      </c>
      <c r="G397">
        <v>50.9</v>
      </c>
      <c r="H397">
        <v>47.78</v>
      </c>
      <c r="I397">
        <v>50.9</v>
      </c>
      <c r="J397">
        <v>33.51</v>
      </c>
      <c r="K397">
        <v>28.95</v>
      </c>
      <c r="L397">
        <v>0</v>
      </c>
      <c r="M397">
        <v>0.11</v>
      </c>
      <c r="N397">
        <v>0.12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-16.87</v>
      </c>
      <c r="W397">
        <v>-15.52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115.33</v>
      </c>
      <c r="AE397">
        <v>193.39</v>
      </c>
      <c r="AF397">
        <v>185.05</v>
      </c>
      <c r="AG397">
        <v>185.69</v>
      </c>
      <c r="AM397">
        <v>93.83</v>
      </c>
      <c r="AN397">
        <v>198.98</v>
      </c>
      <c r="AO397">
        <v>193.33</v>
      </c>
      <c r="AP397">
        <v>193.89</v>
      </c>
      <c r="AV397">
        <v>119.55</v>
      </c>
      <c r="AW397">
        <v>230</v>
      </c>
      <c r="AX397">
        <v>241.79</v>
      </c>
    </row>
    <row r="398" spans="1:50">
      <c r="A398">
        <v>27.33</v>
      </c>
      <c r="B398">
        <v>130.16999999999999</v>
      </c>
      <c r="C398">
        <v>140.9</v>
      </c>
      <c r="D398">
        <v>141.12</v>
      </c>
      <c r="E398">
        <v>157.34</v>
      </c>
      <c r="F398">
        <v>54.73</v>
      </c>
      <c r="G398">
        <v>50.9</v>
      </c>
      <c r="H398">
        <v>47.84</v>
      </c>
      <c r="I398">
        <v>50.9</v>
      </c>
      <c r="J398">
        <v>33.619999999999997</v>
      </c>
      <c r="K398">
        <v>28.95</v>
      </c>
      <c r="L398">
        <v>0</v>
      </c>
      <c r="M398">
        <v>0.11</v>
      </c>
      <c r="N398">
        <v>0.12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-21.98</v>
      </c>
      <c r="W398">
        <v>-22.29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116.04</v>
      </c>
      <c r="AE398">
        <v>192.97</v>
      </c>
      <c r="AF398">
        <v>184.1</v>
      </c>
      <c r="AG398">
        <v>184.74</v>
      </c>
      <c r="AM398">
        <v>94.18</v>
      </c>
      <c r="AN398">
        <v>197.58</v>
      </c>
      <c r="AO398">
        <v>191.93</v>
      </c>
      <c r="AP398">
        <v>192.48</v>
      </c>
      <c r="AV398">
        <v>119.87</v>
      </c>
      <c r="AW398">
        <v>230</v>
      </c>
      <c r="AX398">
        <v>242.07</v>
      </c>
    </row>
    <row r="399" spans="1:50">
      <c r="A399">
        <v>27.5</v>
      </c>
      <c r="B399">
        <v>128.01</v>
      </c>
      <c r="C399">
        <v>140.94999999999999</v>
      </c>
      <c r="D399">
        <v>141.12</v>
      </c>
      <c r="E399">
        <v>157.84</v>
      </c>
      <c r="F399">
        <v>54.9</v>
      </c>
      <c r="G399">
        <v>51.12</v>
      </c>
      <c r="H399">
        <v>47.95</v>
      </c>
      <c r="I399">
        <v>51.12</v>
      </c>
      <c r="J399">
        <v>33.78</v>
      </c>
      <c r="K399">
        <v>28.95</v>
      </c>
      <c r="L399">
        <v>0</v>
      </c>
      <c r="M399">
        <v>0.11</v>
      </c>
      <c r="N399">
        <v>0.12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-7.99</v>
      </c>
      <c r="W399">
        <v>-10.19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116.74</v>
      </c>
      <c r="AE399">
        <v>193.95</v>
      </c>
      <c r="AF399">
        <v>182.63</v>
      </c>
      <c r="AG399">
        <v>183.04</v>
      </c>
      <c r="AM399">
        <v>94.6</v>
      </c>
      <c r="AN399">
        <v>197.83</v>
      </c>
      <c r="AO399">
        <v>189.9</v>
      </c>
      <c r="AP399">
        <v>190.16</v>
      </c>
      <c r="AV399">
        <v>120.24</v>
      </c>
      <c r="AW399">
        <v>240</v>
      </c>
      <c r="AX399">
        <v>242.28</v>
      </c>
    </row>
    <row r="400" spans="1:50">
      <c r="A400">
        <v>27.67</v>
      </c>
      <c r="B400">
        <v>127.51</v>
      </c>
      <c r="C400">
        <v>140.9</v>
      </c>
      <c r="D400">
        <v>141.12</v>
      </c>
      <c r="E400">
        <v>158.12</v>
      </c>
      <c r="F400">
        <v>55.12</v>
      </c>
      <c r="G400">
        <v>51.23</v>
      </c>
      <c r="H400">
        <v>48.01</v>
      </c>
      <c r="I400">
        <v>51.17</v>
      </c>
      <c r="J400">
        <v>33.9</v>
      </c>
      <c r="K400">
        <v>28.95</v>
      </c>
      <c r="L400">
        <v>0</v>
      </c>
      <c r="M400">
        <v>0.11</v>
      </c>
      <c r="N400">
        <v>0.12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-17.09</v>
      </c>
      <c r="W400">
        <v>-15.8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117.45</v>
      </c>
      <c r="AE400">
        <v>195.12</v>
      </c>
      <c r="AF400">
        <v>183</v>
      </c>
      <c r="AG400">
        <v>183.12</v>
      </c>
      <c r="AM400">
        <v>95.01</v>
      </c>
      <c r="AN400">
        <v>198.46</v>
      </c>
      <c r="AO400">
        <v>189.89</v>
      </c>
      <c r="AP400">
        <v>189.82</v>
      </c>
      <c r="AV400">
        <v>120.59</v>
      </c>
      <c r="AW400">
        <v>240</v>
      </c>
      <c r="AX400">
        <v>242.44</v>
      </c>
    </row>
    <row r="401" spans="1:50">
      <c r="A401">
        <v>27.83</v>
      </c>
      <c r="B401">
        <v>125.78</v>
      </c>
      <c r="C401">
        <v>140.34</v>
      </c>
      <c r="D401">
        <v>140.66999999999999</v>
      </c>
      <c r="E401">
        <v>158.56</v>
      </c>
      <c r="F401">
        <v>55.17</v>
      </c>
      <c r="G401">
        <v>51.28</v>
      </c>
      <c r="H401">
        <v>48.06</v>
      </c>
      <c r="I401">
        <v>51.17</v>
      </c>
      <c r="J401">
        <v>33.950000000000003</v>
      </c>
      <c r="K401">
        <v>28.95</v>
      </c>
      <c r="L401">
        <v>0</v>
      </c>
      <c r="M401">
        <v>0.11</v>
      </c>
      <c r="N401">
        <v>0.12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0.01</v>
      </c>
      <c r="U401">
        <v>0</v>
      </c>
      <c r="V401">
        <v>-21.81</v>
      </c>
      <c r="W401">
        <v>-20.059999999999999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118.16</v>
      </c>
      <c r="AE401">
        <v>195.49</v>
      </c>
      <c r="AF401">
        <v>182.44</v>
      </c>
      <c r="AG401">
        <v>182.66</v>
      </c>
      <c r="AM401">
        <v>95.4</v>
      </c>
      <c r="AN401">
        <v>198.42</v>
      </c>
      <c r="AO401">
        <v>188.83</v>
      </c>
      <c r="AP401">
        <v>188.86</v>
      </c>
      <c r="AV401">
        <v>120.93</v>
      </c>
      <c r="AW401">
        <v>240</v>
      </c>
      <c r="AX401">
        <v>242.56</v>
      </c>
    </row>
    <row r="402" spans="1:50">
      <c r="A402">
        <v>28</v>
      </c>
      <c r="B402">
        <v>124.23</v>
      </c>
      <c r="C402">
        <v>139.78</v>
      </c>
      <c r="D402">
        <v>140.28</v>
      </c>
      <c r="E402">
        <v>159.28</v>
      </c>
      <c r="F402">
        <v>55.28</v>
      </c>
      <c r="G402">
        <v>51.4</v>
      </c>
      <c r="H402">
        <v>48.12</v>
      </c>
      <c r="I402">
        <v>51.17</v>
      </c>
      <c r="J402">
        <v>34.119999999999997</v>
      </c>
      <c r="K402">
        <v>28.95</v>
      </c>
      <c r="L402">
        <v>0</v>
      </c>
      <c r="M402">
        <v>0.11</v>
      </c>
      <c r="N402">
        <v>0.12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-33.21</v>
      </c>
      <c r="W402">
        <v>-31.45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118.87</v>
      </c>
      <c r="AE402">
        <v>194.06</v>
      </c>
      <c r="AF402">
        <v>181.46</v>
      </c>
      <c r="AG402">
        <v>181.79</v>
      </c>
      <c r="AM402">
        <v>95.91</v>
      </c>
      <c r="AN402">
        <v>196.68</v>
      </c>
      <c r="AO402">
        <v>187.31</v>
      </c>
      <c r="AP402">
        <v>187.45</v>
      </c>
      <c r="AV402">
        <v>121.36</v>
      </c>
      <c r="AW402">
        <v>240</v>
      </c>
      <c r="AX402">
        <v>242.64</v>
      </c>
    </row>
    <row r="403" spans="1:50">
      <c r="A403">
        <v>28.17</v>
      </c>
      <c r="B403">
        <v>123.28</v>
      </c>
      <c r="C403">
        <v>139.16999999999999</v>
      </c>
      <c r="D403">
        <v>139.72999999999999</v>
      </c>
      <c r="E403">
        <v>159.84</v>
      </c>
      <c r="F403">
        <v>55.4</v>
      </c>
      <c r="G403">
        <v>51.45</v>
      </c>
      <c r="H403">
        <v>48.23</v>
      </c>
      <c r="I403">
        <v>51.23</v>
      </c>
      <c r="J403">
        <v>34.229999999999997</v>
      </c>
      <c r="K403">
        <v>28.95</v>
      </c>
      <c r="L403">
        <v>0</v>
      </c>
      <c r="M403">
        <v>0.11</v>
      </c>
      <c r="N403">
        <v>0.12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-19.579999999999998</v>
      </c>
      <c r="W403">
        <v>-22.34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119.57</v>
      </c>
      <c r="AE403">
        <v>192.97</v>
      </c>
      <c r="AF403">
        <v>179.15</v>
      </c>
      <c r="AG403">
        <v>179.47</v>
      </c>
      <c r="AM403">
        <v>96.31</v>
      </c>
      <c r="AN403">
        <v>195.39</v>
      </c>
      <c r="AO403">
        <v>184.34</v>
      </c>
      <c r="AP403">
        <v>184.45</v>
      </c>
      <c r="AV403">
        <v>121.7</v>
      </c>
      <c r="AW403">
        <v>240</v>
      </c>
      <c r="AX403">
        <v>242.69</v>
      </c>
    </row>
    <row r="404" spans="1:50">
      <c r="A404">
        <v>28.33</v>
      </c>
      <c r="B404">
        <v>122.12</v>
      </c>
      <c r="C404">
        <v>138.9</v>
      </c>
      <c r="D404">
        <v>139.34</v>
      </c>
      <c r="E404">
        <v>160.62</v>
      </c>
      <c r="F404">
        <v>55.62</v>
      </c>
      <c r="G404">
        <v>51.56</v>
      </c>
      <c r="H404">
        <v>48.4</v>
      </c>
      <c r="I404">
        <v>51.23</v>
      </c>
      <c r="J404">
        <v>34.340000000000003</v>
      </c>
      <c r="K404">
        <v>28.95</v>
      </c>
      <c r="L404">
        <v>0</v>
      </c>
      <c r="M404">
        <v>0.11</v>
      </c>
      <c r="N404">
        <v>0.12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-14.24</v>
      </c>
      <c r="W404">
        <v>-11.05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120.28</v>
      </c>
      <c r="AE404">
        <v>192.31</v>
      </c>
      <c r="AF404">
        <v>178.51</v>
      </c>
      <c r="AG404">
        <v>178.4</v>
      </c>
      <c r="AM404">
        <v>96.68</v>
      </c>
      <c r="AN404">
        <v>194.61</v>
      </c>
      <c r="AO404">
        <v>183.27</v>
      </c>
      <c r="AP404">
        <v>182.92</v>
      </c>
      <c r="AV404">
        <v>122.02</v>
      </c>
      <c r="AW404">
        <v>240</v>
      </c>
      <c r="AX404">
        <v>242.73</v>
      </c>
    </row>
    <row r="405" spans="1:50">
      <c r="A405">
        <v>28.5</v>
      </c>
      <c r="B405">
        <v>121.12</v>
      </c>
      <c r="C405">
        <v>138.4</v>
      </c>
      <c r="D405">
        <v>138.72999999999999</v>
      </c>
      <c r="E405">
        <v>160.72999999999999</v>
      </c>
      <c r="F405">
        <v>55.73</v>
      </c>
      <c r="G405">
        <v>51.73</v>
      </c>
      <c r="H405">
        <v>48.45</v>
      </c>
      <c r="I405">
        <v>51.28</v>
      </c>
      <c r="J405">
        <v>34.450000000000003</v>
      </c>
      <c r="K405">
        <v>28.95</v>
      </c>
      <c r="L405">
        <v>0</v>
      </c>
      <c r="M405">
        <v>0.23</v>
      </c>
      <c r="N405">
        <v>0.26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120.99</v>
      </c>
      <c r="AE405">
        <v>193.78</v>
      </c>
      <c r="AF405">
        <v>178.46</v>
      </c>
      <c r="AG405">
        <v>178.74</v>
      </c>
      <c r="AM405">
        <v>97.03</v>
      </c>
      <c r="AN405">
        <v>196.04</v>
      </c>
      <c r="AO405">
        <v>182.91</v>
      </c>
      <c r="AP405">
        <v>183</v>
      </c>
      <c r="AV405">
        <v>122.32</v>
      </c>
      <c r="AW405">
        <v>240</v>
      </c>
      <c r="AX405">
        <v>242.75</v>
      </c>
    </row>
    <row r="406" spans="1:50">
      <c r="A406">
        <v>28.67</v>
      </c>
      <c r="B406">
        <v>121.28</v>
      </c>
      <c r="C406">
        <v>138.44999999999999</v>
      </c>
      <c r="D406">
        <v>138.84</v>
      </c>
      <c r="E406">
        <v>160.66999999999999</v>
      </c>
      <c r="F406">
        <v>55.9</v>
      </c>
      <c r="G406">
        <v>51.84</v>
      </c>
      <c r="H406">
        <v>48.51</v>
      </c>
      <c r="I406">
        <v>51.45</v>
      </c>
      <c r="J406">
        <v>34.56</v>
      </c>
      <c r="K406">
        <v>28.95</v>
      </c>
      <c r="L406">
        <v>0</v>
      </c>
      <c r="M406">
        <v>0.11</v>
      </c>
      <c r="N406">
        <v>0.12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-16.66</v>
      </c>
      <c r="W406">
        <v>-19.170000000000002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121.7</v>
      </c>
      <c r="AE406">
        <v>192.32</v>
      </c>
      <c r="AF406">
        <v>181.93</v>
      </c>
      <c r="AG406">
        <v>182.65</v>
      </c>
      <c r="AM406">
        <v>97.43</v>
      </c>
      <c r="AN406">
        <v>194.54</v>
      </c>
      <c r="AO406">
        <v>186.22</v>
      </c>
      <c r="AP406">
        <v>186.77</v>
      </c>
      <c r="AV406">
        <v>122.66</v>
      </c>
      <c r="AW406">
        <v>240</v>
      </c>
      <c r="AX406">
        <v>242.75</v>
      </c>
    </row>
    <row r="407" spans="1:50">
      <c r="A407">
        <v>28.83</v>
      </c>
      <c r="B407">
        <v>121.06</v>
      </c>
      <c r="C407">
        <v>138.34</v>
      </c>
      <c r="D407">
        <v>138.72999999999999</v>
      </c>
      <c r="E407">
        <v>160.28</v>
      </c>
      <c r="F407">
        <v>56.12</v>
      </c>
      <c r="G407">
        <v>52.01</v>
      </c>
      <c r="H407">
        <v>48.62</v>
      </c>
      <c r="I407">
        <v>51.51</v>
      </c>
      <c r="J407">
        <v>34.729999999999997</v>
      </c>
      <c r="K407">
        <v>28.95</v>
      </c>
      <c r="L407">
        <v>0</v>
      </c>
      <c r="M407">
        <v>0.11</v>
      </c>
      <c r="N407">
        <v>0.12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-9.5299999999999994</v>
      </c>
      <c r="W407">
        <v>-11.46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122.4</v>
      </c>
      <c r="AE407">
        <v>189.26</v>
      </c>
      <c r="AF407">
        <v>181.23</v>
      </c>
      <c r="AG407">
        <v>181.5</v>
      </c>
      <c r="AM407">
        <v>97.78</v>
      </c>
      <c r="AN407">
        <v>191.44</v>
      </c>
      <c r="AO407">
        <v>185.18</v>
      </c>
      <c r="AP407">
        <v>185.24</v>
      </c>
      <c r="AV407">
        <v>122.96</v>
      </c>
      <c r="AW407">
        <v>240</v>
      </c>
      <c r="AX407">
        <v>242.76</v>
      </c>
    </row>
    <row r="408" spans="1:50">
      <c r="A408">
        <v>29</v>
      </c>
      <c r="B408">
        <v>120.28</v>
      </c>
      <c r="C408">
        <v>138.28</v>
      </c>
      <c r="D408">
        <v>138.72999999999999</v>
      </c>
      <c r="E408">
        <v>159.44999999999999</v>
      </c>
      <c r="F408">
        <v>56.23</v>
      </c>
      <c r="G408">
        <v>52.01</v>
      </c>
      <c r="H408">
        <v>48.67</v>
      </c>
      <c r="I408">
        <v>51.56</v>
      </c>
      <c r="J408">
        <v>34.78</v>
      </c>
      <c r="K408">
        <v>28.95</v>
      </c>
      <c r="L408">
        <v>0</v>
      </c>
      <c r="M408">
        <v>0.11</v>
      </c>
      <c r="N408">
        <v>0.12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-33.880000000000003</v>
      </c>
      <c r="W408">
        <v>-26.39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123.11</v>
      </c>
      <c r="AE408">
        <v>183.16</v>
      </c>
      <c r="AF408">
        <v>181.06</v>
      </c>
      <c r="AG408">
        <v>181.05</v>
      </c>
      <c r="AM408">
        <v>98.13</v>
      </c>
      <c r="AN408">
        <v>185.26</v>
      </c>
      <c r="AO408">
        <v>184.77</v>
      </c>
      <c r="AP408">
        <v>184.53</v>
      </c>
      <c r="AV408">
        <v>123.24</v>
      </c>
      <c r="AW408">
        <v>240</v>
      </c>
      <c r="AX408">
        <v>242.76</v>
      </c>
    </row>
    <row r="409" spans="1:50">
      <c r="A409">
        <v>29.17</v>
      </c>
      <c r="B409">
        <v>119.45</v>
      </c>
      <c r="C409">
        <v>138.28</v>
      </c>
      <c r="D409">
        <v>138.72999999999999</v>
      </c>
      <c r="E409">
        <v>158.62</v>
      </c>
      <c r="F409">
        <v>56.4</v>
      </c>
      <c r="G409">
        <v>52.23</v>
      </c>
      <c r="H409">
        <v>48.84</v>
      </c>
      <c r="I409">
        <v>51.73</v>
      </c>
      <c r="J409">
        <v>34.950000000000003</v>
      </c>
      <c r="K409">
        <v>28.95</v>
      </c>
      <c r="L409">
        <v>0</v>
      </c>
      <c r="M409">
        <v>0.11</v>
      </c>
      <c r="N409">
        <v>0.12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24.98</v>
      </c>
      <c r="W409">
        <v>27.75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123.82</v>
      </c>
      <c r="AE409">
        <v>175.63</v>
      </c>
      <c r="AF409">
        <v>177.5</v>
      </c>
      <c r="AG409">
        <v>178.11</v>
      </c>
      <c r="AM409">
        <v>98.43</v>
      </c>
      <c r="AN409">
        <v>177.64</v>
      </c>
      <c r="AO409">
        <v>180.61</v>
      </c>
      <c r="AP409">
        <v>181.07</v>
      </c>
      <c r="AV409">
        <v>123.49</v>
      </c>
      <c r="AW409">
        <v>240</v>
      </c>
      <c r="AX409">
        <v>242.74</v>
      </c>
    </row>
    <row r="410" spans="1:50">
      <c r="A410">
        <v>29.33</v>
      </c>
      <c r="B410">
        <v>118.73</v>
      </c>
      <c r="C410">
        <v>138.51</v>
      </c>
      <c r="D410">
        <v>139.06</v>
      </c>
      <c r="E410">
        <v>158.84</v>
      </c>
      <c r="F410">
        <v>56.51</v>
      </c>
      <c r="G410">
        <v>52.28</v>
      </c>
      <c r="H410">
        <v>48.9</v>
      </c>
      <c r="I410">
        <v>51.9</v>
      </c>
      <c r="J410">
        <v>35.01</v>
      </c>
      <c r="K410">
        <v>28.95</v>
      </c>
      <c r="L410">
        <v>0</v>
      </c>
      <c r="M410">
        <v>0.11</v>
      </c>
      <c r="N410">
        <v>0.12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0.01</v>
      </c>
      <c r="U410">
        <v>0</v>
      </c>
      <c r="V410">
        <v>3.79</v>
      </c>
      <c r="W410">
        <v>0.13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124.53</v>
      </c>
      <c r="AE410">
        <v>169.42</v>
      </c>
      <c r="AF410">
        <v>180.09</v>
      </c>
      <c r="AG410">
        <v>181.17</v>
      </c>
      <c r="AM410">
        <v>98.78</v>
      </c>
      <c r="AN410">
        <v>171.36</v>
      </c>
      <c r="AO410">
        <v>183.36</v>
      </c>
      <c r="AP410">
        <v>184.35</v>
      </c>
      <c r="AV410">
        <v>123.76</v>
      </c>
      <c r="AW410">
        <v>240</v>
      </c>
      <c r="AX410">
        <v>242.56</v>
      </c>
    </row>
    <row r="411" spans="1:50">
      <c r="A411">
        <v>29.5</v>
      </c>
      <c r="B411">
        <v>119.06</v>
      </c>
      <c r="C411">
        <v>139.01</v>
      </c>
      <c r="D411">
        <v>139.56</v>
      </c>
      <c r="E411">
        <v>158.94999999999999</v>
      </c>
      <c r="F411">
        <v>56.62</v>
      </c>
      <c r="G411">
        <v>52.34</v>
      </c>
      <c r="H411">
        <v>48.95</v>
      </c>
      <c r="I411">
        <v>52.01</v>
      </c>
      <c r="J411">
        <v>35.119999999999997</v>
      </c>
      <c r="K411">
        <v>28.95</v>
      </c>
      <c r="L411">
        <v>0</v>
      </c>
      <c r="M411">
        <v>0.23</v>
      </c>
      <c r="N411">
        <v>0.2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0.01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125.23</v>
      </c>
      <c r="AE411">
        <v>166.56</v>
      </c>
      <c r="AF411">
        <v>179.32</v>
      </c>
      <c r="AG411">
        <v>179.76</v>
      </c>
      <c r="AM411">
        <v>99.17</v>
      </c>
      <c r="AN411">
        <v>168.47</v>
      </c>
      <c r="AO411">
        <v>182.33</v>
      </c>
      <c r="AP411">
        <v>182.62</v>
      </c>
      <c r="AV411">
        <v>124.06</v>
      </c>
      <c r="AW411">
        <v>240</v>
      </c>
      <c r="AX411">
        <v>241.94</v>
      </c>
    </row>
    <row r="412" spans="1:50">
      <c r="A412">
        <v>29.67</v>
      </c>
      <c r="B412">
        <v>119.51</v>
      </c>
      <c r="C412">
        <v>139.51</v>
      </c>
      <c r="D412">
        <v>140.16999999999999</v>
      </c>
      <c r="E412">
        <v>157.72999999999999</v>
      </c>
      <c r="F412">
        <v>56.73</v>
      </c>
      <c r="G412">
        <v>52.4</v>
      </c>
      <c r="H412">
        <v>48.95</v>
      </c>
      <c r="I412">
        <v>52.12</v>
      </c>
      <c r="J412">
        <v>35.28</v>
      </c>
      <c r="K412">
        <v>28.95</v>
      </c>
      <c r="L412">
        <v>0</v>
      </c>
      <c r="M412">
        <v>0.12</v>
      </c>
      <c r="N412">
        <v>0.12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0.01</v>
      </c>
      <c r="U412">
        <v>0</v>
      </c>
      <c r="V412">
        <v>0</v>
      </c>
      <c r="W412">
        <v>0.23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0.87</v>
      </c>
      <c r="AD412">
        <v>125.94</v>
      </c>
      <c r="AE412">
        <v>154.97</v>
      </c>
      <c r="AF412">
        <v>176.37</v>
      </c>
      <c r="AG412">
        <v>177.1</v>
      </c>
      <c r="AM412">
        <v>99.53</v>
      </c>
      <c r="AN412">
        <v>156.72</v>
      </c>
      <c r="AO412">
        <v>178.77</v>
      </c>
      <c r="AP412">
        <v>179.44</v>
      </c>
      <c r="AV412">
        <v>124.32</v>
      </c>
      <c r="AW412">
        <v>240</v>
      </c>
      <c r="AX412">
        <v>240.53</v>
      </c>
    </row>
    <row r="413" spans="1:50">
      <c r="A413">
        <v>29.83</v>
      </c>
      <c r="B413">
        <v>120.23</v>
      </c>
      <c r="C413">
        <v>139.06</v>
      </c>
      <c r="D413">
        <v>139.66999999999999</v>
      </c>
      <c r="E413">
        <v>157.66999999999999</v>
      </c>
      <c r="F413">
        <v>56.9</v>
      </c>
      <c r="G413">
        <v>52.56</v>
      </c>
      <c r="H413">
        <v>49.12</v>
      </c>
      <c r="I413">
        <v>52.12</v>
      </c>
      <c r="J413">
        <v>35.450000000000003</v>
      </c>
      <c r="K413">
        <v>28.95</v>
      </c>
      <c r="L413">
        <v>0</v>
      </c>
      <c r="M413">
        <v>0.11</v>
      </c>
      <c r="N413">
        <v>0.12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0.01</v>
      </c>
      <c r="U413">
        <v>0</v>
      </c>
      <c r="V413">
        <v>46.89</v>
      </c>
      <c r="W413">
        <v>50.01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2.46</v>
      </c>
      <c r="AD413">
        <v>126.65</v>
      </c>
      <c r="AE413">
        <v>151</v>
      </c>
      <c r="AF413">
        <v>173.78</v>
      </c>
      <c r="AG413">
        <v>174.45</v>
      </c>
      <c r="AM413">
        <v>99.89</v>
      </c>
      <c r="AN413">
        <v>152.69</v>
      </c>
      <c r="AO413">
        <v>175.8</v>
      </c>
      <c r="AP413">
        <v>176.41</v>
      </c>
      <c r="AV413">
        <v>124.56</v>
      </c>
      <c r="AW413">
        <v>240</v>
      </c>
      <c r="AX413">
        <v>237.91</v>
      </c>
    </row>
    <row r="414" spans="1:50">
      <c r="A414">
        <v>30</v>
      </c>
      <c r="B414">
        <v>121.51</v>
      </c>
      <c r="C414">
        <v>139.06</v>
      </c>
      <c r="D414">
        <v>139.56</v>
      </c>
      <c r="E414">
        <v>157.44999999999999</v>
      </c>
      <c r="F414">
        <v>57.06</v>
      </c>
      <c r="G414">
        <v>52.56</v>
      </c>
      <c r="H414">
        <v>49.12</v>
      </c>
      <c r="I414">
        <v>52.17</v>
      </c>
      <c r="J414">
        <v>35.51</v>
      </c>
      <c r="K414">
        <v>28.95</v>
      </c>
      <c r="L414">
        <v>0</v>
      </c>
      <c r="M414">
        <v>0.11</v>
      </c>
      <c r="N414">
        <v>0.12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0.01</v>
      </c>
      <c r="U414">
        <v>0</v>
      </c>
      <c r="V414">
        <v>14.3</v>
      </c>
      <c r="W414">
        <v>12.77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6.03</v>
      </c>
      <c r="AD414">
        <v>127.36</v>
      </c>
      <c r="AE414">
        <v>153.55000000000001</v>
      </c>
      <c r="AF414">
        <v>176.48</v>
      </c>
      <c r="AG414">
        <v>177.67</v>
      </c>
      <c r="AM414">
        <v>100.24</v>
      </c>
      <c r="AN414">
        <v>155.22</v>
      </c>
      <c r="AO414">
        <v>178.77</v>
      </c>
      <c r="AP414">
        <v>179.95</v>
      </c>
      <c r="AV414">
        <v>124.78</v>
      </c>
      <c r="AW414">
        <v>240</v>
      </c>
      <c r="AX414">
        <v>233.58</v>
      </c>
    </row>
    <row r="415" spans="1:50">
      <c r="A415">
        <v>30.17</v>
      </c>
      <c r="B415">
        <v>123.9</v>
      </c>
      <c r="C415">
        <v>138.72999999999999</v>
      </c>
      <c r="D415">
        <v>139.28</v>
      </c>
      <c r="E415">
        <v>157.34</v>
      </c>
      <c r="F415">
        <v>57.23</v>
      </c>
      <c r="G415">
        <v>52.78</v>
      </c>
      <c r="H415">
        <v>49.28</v>
      </c>
      <c r="I415">
        <v>52.28</v>
      </c>
      <c r="J415">
        <v>35.67</v>
      </c>
      <c r="K415">
        <v>28.95</v>
      </c>
      <c r="L415">
        <v>0</v>
      </c>
      <c r="M415">
        <v>0.28000000000000003</v>
      </c>
      <c r="N415">
        <v>0.24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0.01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1.19</v>
      </c>
      <c r="AD415">
        <v>128.06</v>
      </c>
      <c r="AE415">
        <v>155.62</v>
      </c>
      <c r="AF415">
        <v>175.52</v>
      </c>
      <c r="AG415">
        <v>176.29</v>
      </c>
      <c r="AM415">
        <v>100.62</v>
      </c>
      <c r="AN415">
        <v>157.24</v>
      </c>
      <c r="AO415">
        <v>177.61</v>
      </c>
      <c r="AP415">
        <v>178.34</v>
      </c>
      <c r="AV415">
        <v>125.04</v>
      </c>
      <c r="AW415">
        <v>240</v>
      </c>
      <c r="AX415">
        <v>227.01</v>
      </c>
    </row>
    <row r="416" spans="1:50">
      <c r="A416">
        <v>30.33</v>
      </c>
      <c r="B416">
        <v>128.01</v>
      </c>
      <c r="C416">
        <v>138.4</v>
      </c>
      <c r="D416">
        <v>139.01</v>
      </c>
      <c r="E416">
        <v>157.34</v>
      </c>
      <c r="F416">
        <v>57.4</v>
      </c>
      <c r="G416">
        <v>52.84</v>
      </c>
      <c r="H416">
        <v>49.4</v>
      </c>
      <c r="I416">
        <v>52.45</v>
      </c>
      <c r="J416">
        <v>35.78</v>
      </c>
      <c r="K416">
        <v>28.95</v>
      </c>
      <c r="L416">
        <v>0</v>
      </c>
      <c r="M416">
        <v>0.28999999999999998</v>
      </c>
      <c r="N416">
        <v>0.28999999999999998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0.01</v>
      </c>
      <c r="U416">
        <v>0</v>
      </c>
      <c r="V416">
        <v>-19.97</v>
      </c>
      <c r="W416">
        <v>-14.27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11.66</v>
      </c>
      <c r="AD416">
        <v>128.77000000000001</v>
      </c>
      <c r="AE416">
        <v>151.49</v>
      </c>
      <c r="AF416">
        <v>169.94</v>
      </c>
      <c r="AG416">
        <v>171.35</v>
      </c>
      <c r="AM416">
        <v>100.98</v>
      </c>
      <c r="AN416">
        <v>152.94999999999999</v>
      </c>
      <c r="AO416">
        <v>171.26</v>
      </c>
      <c r="AP416">
        <v>172.73</v>
      </c>
      <c r="AV416">
        <v>125.27</v>
      </c>
      <c r="AW416">
        <v>240</v>
      </c>
      <c r="AX416">
        <v>217.63</v>
      </c>
    </row>
    <row r="417" spans="1:50">
      <c r="A417">
        <v>30.5</v>
      </c>
      <c r="B417">
        <v>130.78</v>
      </c>
      <c r="C417">
        <v>138.66999999999999</v>
      </c>
      <c r="D417">
        <v>139.16999999999999</v>
      </c>
      <c r="E417">
        <v>157.4</v>
      </c>
      <c r="F417">
        <v>57.56</v>
      </c>
      <c r="G417">
        <v>53.01</v>
      </c>
      <c r="H417">
        <v>49.56</v>
      </c>
      <c r="I417">
        <v>52.62</v>
      </c>
      <c r="J417">
        <v>36.01</v>
      </c>
      <c r="K417">
        <v>28.95</v>
      </c>
      <c r="L417">
        <v>0</v>
      </c>
      <c r="M417">
        <v>0.11</v>
      </c>
      <c r="N417">
        <v>0.12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0.01</v>
      </c>
      <c r="U417">
        <v>0</v>
      </c>
      <c r="V417">
        <v>14.8</v>
      </c>
      <c r="W417">
        <v>8.67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6.05</v>
      </c>
      <c r="AD417">
        <v>129.47999999999999</v>
      </c>
      <c r="AE417">
        <v>148.76</v>
      </c>
      <c r="AF417">
        <v>158.87</v>
      </c>
      <c r="AG417">
        <v>161.35</v>
      </c>
      <c r="AM417">
        <v>101.38</v>
      </c>
      <c r="AN417">
        <v>150.04</v>
      </c>
      <c r="AO417">
        <v>158.99</v>
      </c>
      <c r="AP417">
        <v>161.63</v>
      </c>
      <c r="AV417">
        <v>125.55</v>
      </c>
      <c r="AW417">
        <v>240</v>
      </c>
      <c r="AX417">
        <v>204.81</v>
      </c>
    </row>
    <row r="418" spans="1:50">
      <c r="A418">
        <v>30.67</v>
      </c>
      <c r="B418">
        <v>131.94999999999999</v>
      </c>
      <c r="C418">
        <v>138.78</v>
      </c>
      <c r="D418">
        <v>139.34</v>
      </c>
      <c r="E418">
        <v>157.22999999999999</v>
      </c>
      <c r="F418">
        <v>57.67</v>
      </c>
      <c r="G418">
        <v>53.12</v>
      </c>
      <c r="H418">
        <v>49.73</v>
      </c>
      <c r="I418">
        <v>52.84</v>
      </c>
      <c r="J418">
        <v>36.17</v>
      </c>
      <c r="K418">
        <v>28.95</v>
      </c>
      <c r="L418">
        <v>0</v>
      </c>
      <c r="M418">
        <v>0.11</v>
      </c>
      <c r="N418">
        <v>0.12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0.01</v>
      </c>
      <c r="U418">
        <v>0</v>
      </c>
      <c r="V418">
        <v>87.52</v>
      </c>
      <c r="W418">
        <v>79.3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12.02</v>
      </c>
      <c r="AD418">
        <v>130.19</v>
      </c>
      <c r="AE418">
        <v>142.81</v>
      </c>
      <c r="AF418">
        <v>159.4</v>
      </c>
      <c r="AG418">
        <v>160.88</v>
      </c>
      <c r="AM418">
        <v>101.72</v>
      </c>
      <c r="AN418">
        <v>143.80000000000001</v>
      </c>
      <c r="AO418">
        <v>159.72</v>
      </c>
      <c r="AP418">
        <v>161.24</v>
      </c>
      <c r="AV418">
        <v>125.77</v>
      </c>
      <c r="AW418">
        <v>240</v>
      </c>
      <c r="AX418">
        <v>187.89</v>
      </c>
    </row>
    <row r="419" spans="1:50">
      <c r="A419">
        <v>30.83</v>
      </c>
      <c r="B419">
        <v>133.06</v>
      </c>
      <c r="C419">
        <v>138.84</v>
      </c>
      <c r="D419">
        <v>139.34</v>
      </c>
      <c r="E419">
        <v>157.28</v>
      </c>
      <c r="F419">
        <v>57.78</v>
      </c>
      <c r="G419">
        <v>53.23</v>
      </c>
      <c r="H419">
        <v>49.73</v>
      </c>
      <c r="I419">
        <v>52.84</v>
      </c>
      <c r="J419">
        <v>36.229999999999997</v>
      </c>
      <c r="K419">
        <v>28.95</v>
      </c>
      <c r="L419">
        <v>0</v>
      </c>
      <c r="M419">
        <v>0.11</v>
      </c>
      <c r="N419">
        <v>0.12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0.01</v>
      </c>
      <c r="U419">
        <v>0</v>
      </c>
      <c r="V419">
        <v>18.87</v>
      </c>
      <c r="W419">
        <v>14.5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13.05</v>
      </c>
      <c r="AD419">
        <v>130.88999999999999</v>
      </c>
      <c r="AE419">
        <v>144</v>
      </c>
      <c r="AF419">
        <v>167.34</v>
      </c>
      <c r="AG419">
        <v>168.29</v>
      </c>
      <c r="AM419">
        <v>102.06</v>
      </c>
      <c r="AN419">
        <v>144.63</v>
      </c>
      <c r="AO419">
        <v>168.64</v>
      </c>
      <c r="AP419">
        <v>169.57</v>
      </c>
      <c r="AV419">
        <v>125.99</v>
      </c>
      <c r="AW419">
        <v>240</v>
      </c>
      <c r="AX419">
        <v>166.16</v>
      </c>
    </row>
    <row r="420" spans="1:50">
      <c r="A420">
        <v>31</v>
      </c>
      <c r="B420">
        <v>133.56</v>
      </c>
      <c r="C420">
        <v>139.4</v>
      </c>
      <c r="D420">
        <v>139.94999999999999</v>
      </c>
      <c r="E420">
        <v>157.51</v>
      </c>
      <c r="F420">
        <v>57.95</v>
      </c>
      <c r="G420">
        <v>53.4</v>
      </c>
      <c r="H420">
        <v>49.95</v>
      </c>
      <c r="I420">
        <v>53.06</v>
      </c>
      <c r="J420">
        <v>36.4</v>
      </c>
      <c r="K420">
        <v>28.9</v>
      </c>
      <c r="L420">
        <v>0</v>
      </c>
      <c r="M420">
        <v>7.0000000000000007E-2</v>
      </c>
      <c r="N420">
        <v>7.0000000000000007E-2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0.01</v>
      </c>
      <c r="U420">
        <v>0</v>
      </c>
      <c r="V420">
        <v>25.85</v>
      </c>
      <c r="W420">
        <v>23.1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20.56</v>
      </c>
      <c r="AD420">
        <v>131.6</v>
      </c>
      <c r="AE420">
        <v>138.9</v>
      </c>
      <c r="AF420">
        <v>166.84</v>
      </c>
      <c r="AG420">
        <v>167.1</v>
      </c>
      <c r="AM420">
        <v>102.41</v>
      </c>
      <c r="AN420">
        <v>138.9</v>
      </c>
      <c r="AO420">
        <v>168</v>
      </c>
      <c r="AP420">
        <v>168.16</v>
      </c>
      <c r="AV420">
        <v>126.21</v>
      </c>
      <c r="AW420">
        <v>240</v>
      </c>
      <c r="AX420">
        <v>138.9</v>
      </c>
    </row>
    <row r="421" spans="1:50">
      <c r="A421">
        <v>31.17</v>
      </c>
      <c r="B421">
        <v>134.22999999999999</v>
      </c>
      <c r="C421">
        <v>142.28</v>
      </c>
      <c r="D421">
        <v>143.22999999999999</v>
      </c>
      <c r="E421">
        <v>157.56</v>
      </c>
      <c r="F421">
        <v>58.06</v>
      </c>
      <c r="G421">
        <v>53.51</v>
      </c>
      <c r="H421">
        <v>50.12</v>
      </c>
      <c r="I421">
        <v>53.23</v>
      </c>
      <c r="J421">
        <v>36.56</v>
      </c>
      <c r="K421">
        <v>28.95</v>
      </c>
      <c r="L421">
        <v>0</v>
      </c>
      <c r="M421">
        <v>7.0000000000000007E-2</v>
      </c>
      <c r="N421">
        <v>7.0000000000000007E-2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0.01</v>
      </c>
      <c r="U421">
        <v>0</v>
      </c>
      <c r="V421">
        <v>13.84</v>
      </c>
      <c r="W421">
        <v>15.63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24.69</v>
      </c>
      <c r="AD421">
        <v>132.31</v>
      </c>
      <c r="AE421">
        <v>140.12</v>
      </c>
      <c r="AF421">
        <v>166.69</v>
      </c>
      <c r="AG421">
        <v>166.73</v>
      </c>
      <c r="AM421">
        <v>102.76</v>
      </c>
      <c r="AN421">
        <v>140.12</v>
      </c>
      <c r="AO421">
        <v>167.74</v>
      </c>
      <c r="AP421">
        <v>167.66</v>
      </c>
      <c r="AV421">
        <v>126.44</v>
      </c>
      <c r="AW421">
        <v>240</v>
      </c>
      <c r="AX421">
        <v>137.13</v>
      </c>
    </row>
    <row r="422" spans="1:50">
      <c r="A422">
        <v>31.33</v>
      </c>
      <c r="B422">
        <v>134.84</v>
      </c>
      <c r="C422">
        <v>144.72999999999999</v>
      </c>
      <c r="D422">
        <v>146.01</v>
      </c>
      <c r="E422">
        <v>158.01</v>
      </c>
      <c r="F422">
        <v>58.23</v>
      </c>
      <c r="G422">
        <v>53.62</v>
      </c>
      <c r="H422">
        <v>50.17</v>
      </c>
      <c r="I422">
        <v>53.4</v>
      </c>
      <c r="J422">
        <v>36.67</v>
      </c>
      <c r="K422">
        <v>28.95</v>
      </c>
      <c r="L422">
        <v>0</v>
      </c>
      <c r="M422">
        <v>0.12</v>
      </c>
      <c r="N422">
        <v>0.11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0.01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16.52</v>
      </c>
      <c r="AD422">
        <v>133.02000000000001</v>
      </c>
      <c r="AE422">
        <v>138.82</v>
      </c>
      <c r="AF422">
        <v>165.77</v>
      </c>
      <c r="AG422">
        <v>165.93</v>
      </c>
      <c r="AM422">
        <v>103.14</v>
      </c>
      <c r="AN422">
        <v>138.82</v>
      </c>
      <c r="AO422">
        <v>166.64</v>
      </c>
      <c r="AP422">
        <v>166.69</v>
      </c>
      <c r="AV422">
        <v>126.7</v>
      </c>
      <c r="AW422">
        <v>238.86</v>
      </c>
      <c r="AX422">
        <v>135.38999999999999</v>
      </c>
    </row>
    <row r="423" spans="1:50">
      <c r="A423">
        <v>31.5</v>
      </c>
      <c r="B423">
        <v>135.16999999999999</v>
      </c>
      <c r="C423">
        <v>145.4</v>
      </c>
      <c r="D423">
        <v>146.66999999999999</v>
      </c>
      <c r="E423">
        <v>158.72999999999999</v>
      </c>
      <c r="F423">
        <v>58.4</v>
      </c>
      <c r="G423">
        <v>53.67</v>
      </c>
      <c r="H423">
        <v>50.23</v>
      </c>
      <c r="I423">
        <v>53.51</v>
      </c>
      <c r="J423">
        <v>36.78</v>
      </c>
      <c r="K423">
        <v>28.9</v>
      </c>
      <c r="L423">
        <v>0</v>
      </c>
      <c r="M423">
        <v>0.12</v>
      </c>
      <c r="N423">
        <v>0.09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0.01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23.84</v>
      </c>
      <c r="AD423">
        <v>133.72</v>
      </c>
      <c r="AE423">
        <v>138.72</v>
      </c>
      <c r="AF423">
        <v>162.44999999999999</v>
      </c>
      <c r="AG423">
        <v>162.83000000000001</v>
      </c>
      <c r="AM423">
        <v>103.46</v>
      </c>
      <c r="AN423">
        <v>138.72</v>
      </c>
      <c r="AO423">
        <v>162.82</v>
      </c>
      <c r="AP423">
        <v>163.15</v>
      </c>
      <c r="AV423">
        <v>126.9</v>
      </c>
      <c r="AW423">
        <v>238.2</v>
      </c>
      <c r="AX423">
        <v>133.66999999999999</v>
      </c>
    </row>
    <row r="424" spans="1:50">
      <c r="A424">
        <v>31.67</v>
      </c>
      <c r="B424">
        <v>135.56</v>
      </c>
      <c r="C424">
        <v>145.51</v>
      </c>
      <c r="D424">
        <v>146.78</v>
      </c>
      <c r="E424">
        <v>159.06</v>
      </c>
      <c r="F424">
        <v>58.62</v>
      </c>
      <c r="G424">
        <v>53.9</v>
      </c>
      <c r="H424">
        <v>50.4</v>
      </c>
      <c r="I424">
        <v>53.62</v>
      </c>
      <c r="J424">
        <v>36.950000000000003</v>
      </c>
      <c r="K424">
        <v>28.95</v>
      </c>
      <c r="L424">
        <v>0</v>
      </c>
      <c r="M424">
        <v>0.24</v>
      </c>
      <c r="N424">
        <v>0.26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0.01</v>
      </c>
      <c r="U424">
        <v>0</v>
      </c>
      <c r="V424">
        <v>-22.56</v>
      </c>
      <c r="W424">
        <v>-10.32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18.29</v>
      </c>
      <c r="AD424">
        <v>134.43</v>
      </c>
      <c r="AE424">
        <v>141.15</v>
      </c>
      <c r="AF424">
        <v>159.65</v>
      </c>
      <c r="AG424">
        <v>160.56</v>
      </c>
      <c r="AM424">
        <v>103.83</v>
      </c>
      <c r="AN424">
        <v>141.15</v>
      </c>
      <c r="AO424">
        <v>159.65</v>
      </c>
      <c r="AP424">
        <v>160.58000000000001</v>
      </c>
      <c r="AV424">
        <v>127.14</v>
      </c>
      <c r="AW424">
        <v>237.54</v>
      </c>
      <c r="AX424">
        <v>131.97999999999999</v>
      </c>
    </row>
    <row r="425" spans="1:50">
      <c r="A425">
        <v>31.83</v>
      </c>
      <c r="B425">
        <v>135.16999999999999</v>
      </c>
      <c r="C425">
        <v>145.56</v>
      </c>
      <c r="D425">
        <v>146.56</v>
      </c>
      <c r="E425">
        <v>159.01</v>
      </c>
      <c r="F425">
        <v>58.78</v>
      </c>
      <c r="G425">
        <v>53.95</v>
      </c>
      <c r="H425">
        <v>50.51</v>
      </c>
      <c r="I425">
        <v>53.67</v>
      </c>
      <c r="J425">
        <v>37.01</v>
      </c>
      <c r="K425">
        <v>28.95</v>
      </c>
      <c r="L425">
        <v>0</v>
      </c>
      <c r="M425">
        <v>0.24</v>
      </c>
      <c r="N425">
        <v>0.26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0.01</v>
      </c>
      <c r="U425">
        <v>0</v>
      </c>
      <c r="V425">
        <v>-7.32</v>
      </c>
      <c r="W425">
        <v>-1.62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22.84</v>
      </c>
      <c r="AD425">
        <v>135.13999999999999</v>
      </c>
      <c r="AE425">
        <v>138</v>
      </c>
      <c r="AF425">
        <v>149.82</v>
      </c>
      <c r="AG425">
        <v>152.84</v>
      </c>
      <c r="AM425">
        <v>104.17</v>
      </c>
      <c r="AN425">
        <v>138</v>
      </c>
      <c r="AO425">
        <v>148.71</v>
      </c>
      <c r="AP425">
        <v>151.99</v>
      </c>
      <c r="AV425">
        <v>127.36</v>
      </c>
      <c r="AW425">
        <v>236.88</v>
      </c>
      <c r="AX425">
        <v>130.30000000000001</v>
      </c>
    </row>
    <row r="426" spans="1:50">
      <c r="A426">
        <v>32</v>
      </c>
      <c r="B426">
        <v>134.9</v>
      </c>
      <c r="C426">
        <v>145.51</v>
      </c>
      <c r="D426">
        <v>146.28</v>
      </c>
      <c r="E426">
        <v>158.66999999999999</v>
      </c>
      <c r="F426">
        <v>58.9</v>
      </c>
      <c r="G426">
        <v>54.06</v>
      </c>
      <c r="H426">
        <v>50.67</v>
      </c>
      <c r="I426">
        <v>53.73</v>
      </c>
      <c r="J426">
        <v>37.17</v>
      </c>
      <c r="K426">
        <v>28.9</v>
      </c>
      <c r="L426">
        <v>0</v>
      </c>
      <c r="M426">
        <v>7.0000000000000007E-2</v>
      </c>
      <c r="N426">
        <v>7.0000000000000007E-2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0.01</v>
      </c>
      <c r="U426">
        <v>0</v>
      </c>
      <c r="V426">
        <v>76.709999999999994</v>
      </c>
      <c r="W426">
        <v>47.92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31.5</v>
      </c>
      <c r="AD426">
        <v>135.85</v>
      </c>
      <c r="AE426">
        <v>130.06</v>
      </c>
      <c r="AF426">
        <v>145.22999999999999</v>
      </c>
      <c r="AG426">
        <v>148.56</v>
      </c>
      <c r="AM426">
        <v>104.52</v>
      </c>
      <c r="AN426">
        <v>130.06</v>
      </c>
      <c r="AO426">
        <v>143.91</v>
      </c>
      <c r="AP426">
        <v>147.47999999999999</v>
      </c>
      <c r="AV426">
        <v>127.59</v>
      </c>
      <c r="AW426">
        <v>236.21</v>
      </c>
      <c r="AX426">
        <v>128.65</v>
      </c>
    </row>
    <row r="427" spans="1:50">
      <c r="A427">
        <v>32.17</v>
      </c>
      <c r="B427">
        <v>134.4</v>
      </c>
      <c r="C427">
        <v>145.44999999999999</v>
      </c>
      <c r="D427">
        <v>146.06</v>
      </c>
      <c r="E427">
        <v>158.34</v>
      </c>
      <c r="F427">
        <v>59.06</v>
      </c>
      <c r="G427">
        <v>54.23</v>
      </c>
      <c r="H427">
        <v>50.73</v>
      </c>
      <c r="I427">
        <v>53.9</v>
      </c>
      <c r="J427">
        <v>37.28</v>
      </c>
      <c r="K427">
        <v>28.95</v>
      </c>
      <c r="L427">
        <v>0</v>
      </c>
      <c r="M427">
        <v>7.0000000000000007E-2</v>
      </c>
      <c r="N427">
        <v>7.0000000000000007E-2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0.01</v>
      </c>
      <c r="U427">
        <v>0</v>
      </c>
      <c r="V427">
        <v>62.38</v>
      </c>
      <c r="W427">
        <v>52.19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24.56</v>
      </c>
      <c r="AD427">
        <v>136.55000000000001</v>
      </c>
      <c r="AE427">
        <v>137.44999999999999</v>
      </c>
      <c r="AF427">
        <v>149.66</v>
      </c>
      <c r="AG427">
        <v>150.72</v>
      </c>
      <c r="AM427">
        <v>104.87</v>
      </c>
      <c r="AN427">
        <v>137.44999999999999</v>
      </c>
      <c r="AO427">
        <v>148.94</v>
      </c>
      <c r="AP427">
        <v>149.96</v>
      </c>
      <c r="AV427">
        <v>127.82</v>
      </c>
      <c r="AW427">
        <v>235.55</v>
      </c>
      <c r="AX427">
        <v>127.01</v>
      </c>
    </row>
    <row r="428" spans="1:50">
      <c r="A428">
        <v>32.33</v>
      </c>
      <c r="B428">
        <v>134.4</v>
      </c>
      <c r="C428">
        <v>145.51</v>
      </c>
      <c r="D428">
        <v>145.84</v>
      </c>
      <c r="E428">
        <v>158.22999999999999</v>
      </c>
      <c r="F428">
        <v>59.12</v>
      </c>
      <c r="G428">
        <v>54.34</v>
      </c>
      <c r="H428">
        <v>50.84</v>
      </c>
      <c r="I428">
        <v>53.95</v>
      </c>
      <c r="J428">
        <v>37.450000000000003</v>
      </c>
      <c r="K428">
        <v>28.95</v>
      </c>
      <c r="L428">
        <v>0</v>
      </c>
      <c r="M428">
        <v>7.0000000000000007E-2</v>
      </c>
      <c r="N428">
        <v>7.0000000000000007E-2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0.01</v>
      </c>
      <c r="U428">
        <v>0</v>
      </c>
      <c r="V428">
        <v>40.54</v>
      </c>
      <c r="W428">
        <v>39.770000000000003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22.37</v>
      </c>
      <c r="AD428">
        <v>137.26</v>
      </c>
      <c r="AE428">
        <v>143.69</v>
      </c>
      <c r="AF428">
        <v>153.28</v>
      </c>
      <c r="AG428">
        <v>153.57</v>
      </c>
      <c r="AM428">
        <v>105.22</v>
      </c>
      <c r="AN428">
        <v>143.69</v>
      </c>
      <c r="AO428">
        <v>153.02000000000001</v>
      </c>
      <c r="AP428">
        <v>153.19999999999999</v>
      </c>
      <c r="AV428">
        <v>128.06</v>
      </c>
      <c r="AW428">
        <v>234.89</v>
      </c>
      <c r="AX428">
        <v>125.4</v>
      </c>
    </row>
    <row r="429" spans="1:50">
      <c r="A429">
        <v>32.5</v>
      </c>
      <c r="B429">
        <v>133.4</v>
      </c>
      <c r="C429">
        <v>145.84</v>
      </c>
      <c r="D429">
        <v>145.94999999999999</v>
      </c>
      <c r="E429">
        <v>158.28</v>
      </c>
      <c r="F429">
        <v>59.17</v>
      </c>
      <c r="G429">
        <v>54.34</v>
      </c>
      <c r="H429">
        <v>50.9</v>
      </c>
      <c r="I429">
        <v>54.12</v>
      </c>
      <c r="J429">
        <v>37.56</v>
      </c>
      <c r="K429">
        <v>28.95</v>
      </c>
      <c r="L429">
        <v>0</v>
      </c>
      <c r="M429">
        <v>7.0000000000000007E-2</v>
      </c>
      <c r="N429">
        <v>7.0000000000000007E-2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0.01</v>
      </c>
      <c r="U429">
        <v>0</v>
      </c>
      <c r="V429">
        <v>24.2</v>
      </c>
      <c r="W429">
        <v>23.8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17.739999999999998</v>
      </c>
      <c r="AD429">
        <v>137.97</v>
      </c>
      <c r="AE429">
        <v>143.5</v>
      </c>
      <c r="AF429">
        <v>155.5</v>
      </c>
      <c r="AG429">
        <v>155.76</v>
      </c>
      <c r="AM429">
        <v>105.59</v>
      </c>
      <c r="AN429">
        <v>143.5</v>
      </c>
      <c r="AO429">
        <v>155.52000000000001</v>
      </c>
      <c r="AP429">
        <v>155.66</v>
      </c>
      <c r="AV429">
        <v>128.32</v>
      </c>
      <c r="AW429">
        <v>234.22</v>
      </c>
      <c r="AX429">
        <v>123.81</v>
      </c>
    </row>
    <row r="430" spans="1:50">
      <c r="A430">
        <v>32.67</v>
      </c>
      <c r="B430">
        <v>133.06</v>
      </c>
      <c r="C430">
        <v>146.22999999999999</v>
      </c>
      <c r="D430">
        <v>146.28</v>
      </c>
      <c r="E430">
        <v>158.28</v>
      </c>
      <c r="F430">
        <v>59.34</v>
      </c>
      <c r="G430">
        <v>54.51</v>
      </c>
      <c r="H430">
        <v>51.01</v>
      </c>
      <c r="I430">
        <v>54.28</v>
      </c>
      <c r="J430">
        <v>37.729999999999997</v>
      </c>
      <c r="K430">
        <v>28.9</v>
      </c>
      <c r="L430">
        <v>0</v>
      </c>
      <c r="M430">
        <v>7.0000000000000007E-2</v>
      </c>
      <c r="N430">
        <v>7.0000000000000007E-2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0.01</v>
      </c>
      <c r="U430">
        <v>0</v>
      </c>
      <c r="V430">
        <v>24.26</v>
      </c>
      <c r="W430">
        <v>24.9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16.91</v>
      </c>
      <c r="AD430">
        <v>138.68</v>
      </c>
      <c r="AE430">
        <v>143.9</v>
      </c>
      <c r="AF430">
        <v>156.38</v>
      </c>
      <c r="AG430">
        <v>156.6</v>
      </c>
      <c r="AM430">
        <v>105.94</v>
      </c>
      <c r="AN430">
        <v>143.9</v>
      </c>
      <c r="AO430">
        <v>156.49</v>
      </c>
      <c r="AP430">
        <v>156.61000000000001</v>
      </c>
      <c r="AV430">
        <v>128.54</v>
      </c>
      <c r="AW430">
        <v>233.56</v>
      </c>
      <c r="AX430">
        <v>122.24</v>
      </c>
    </row>
    <row r="431" spans="1:50">
      <c r="A431">
        <v>32.83</v>
      </c>
      <c r="B431">
        <v>133.56</v>
      </c>
      <c r="C431">
        <v>146.56</v>
      </c>
      <c r="D431">
        <v>146.56</v>
      </c>
      <c r="E431">
        <v>158.78</v>
      </c>
      <c r="F431">
        <v>59.45</v>
      </c>
      <c r="G431">
        <v>54.51</v>
      </c>
      <c r="H431">
        <v>51.01</v>
      </c>
      <c r="I431">
        <v>54.34</v>
      </c>
      <c r="J431">
        <v>37.840000000000003</v>
      </c>
      <c r="K431">
        <v>28.9</v>
      </c>
      <c r="L431">
        <v>0</v>
      </c>
      <c r="M431">
        <v>7.0000000000000007E-2</v>
      </c>
      <c r="N431">
        <v>7.0000000000000007E-2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0.01</v>
      </c>
      <c r="U431">
        <v>0</v>
      </c>
      <c r="V431">
        <v>26.77</v>
      </c>
      <c r="W431">
        <v>26.31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23.42</v>
      </c>
      <c r="AD431">
        <v>139.38</v>
      </c>
      <c r="AE431">
        <v>140.01</v>
      </c>
      <c r="AF431">
        <v>157.22999999999999</v>
      </c>
      <c r="AG431">
        <v>157.5</v>
      </c>
      <c r="AM431">
        <v>106.27</v>
      </c>
      <c r="AN431">
        <v>140.01</v>
      </c>
      <c r="AO431">
        <v>157.43</v>
      </c>
      <c r="AP431">
        <v>157.61000000000001</v>
      </c>
      <c r="AV431">
        <v>128.76</v>
      </c>
      <c r="AW431">
        <v>232.9</v>
      </c>
      <c r="AX431">
        <v>120.69</v>
      </c>
    </row>
    <row r="432" spans="1:50">
      <c r="A432">
        <v>33</v>
      </c>
      <c r="B432">
        <v>136.16999999999999</v>
      </c>
      <c r="C432">
        <v>147.01</v>
      </c>
      <c r="D432">
        <v>147.01</v>
      </c>
      <c r="E432">
        <v>159.44999999999999</v>
      </c>
      <c r="F432">
        <v>59.67</v>
      </c>
      <c r="G432">
        <v>54.73</v>
      </c>
      <c r="H432">
        <v>51.17</v>
      </c>
      <c r="I432">
        <v>54.56</v>
      </c>
      <c r="J432">
        <v>38.06</v>
      </c>
      <c r="K432">
        <v>28.95</v>
      </c>
      <c r="L432">
        <v>0</v>
      </c>
      <c r="M432">
        <v>7.0000000000000007E-2</v>
      </c>
      <c r="N432">
        <v>7.0000000000000007E-2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0.01</v>
      </c>
      <c r="U432">
        <v>0</v>
      </c>
      <c r="V432">
        <v>23.63</v>
      </c>
      <c r="W432">
        <v>26.14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9.5399999999999991</v>
      </c>
      <c r="AD432">
        <v>140.09</v>
      </c>
      <c r="AE432">
        <v>143.04</v>
      </c>
      <c r="AF432">
        <v>157.91999999999999</v>
      </c>
      <c r="AG432">
        <v>158.13999999999999</v>
      </c>
      <c r="AM432">
        <v>106.63</v>
      </c>
      <c r="AN432">
        <v>143.04</v>
      </c>
      <c r="AO432">
        <v>158.18</v>
      </c>
      <c r="AP432">
        <v>158.32</v>
      </c>
      <c r="AV432">
        <v>129</v>
      </c>
      <c r="AW432">
        <v>232.23</v>
      </c>
      <c r="AX432">
        <v>119.16</v>
      </c>
    </row>
    <row r="433" spans="1:50">
      <c r="A433">
        <v>33.17</v>
      </c>
      <c r="B433">
        <v>139.12</v>
      </c>
      <c r="C433">
        <v>147.28</v>
      </c>
      <c r="D433">
        <v>147.34</v>
      </c>
      <c r="E433">
        <v>159.72999999999999</v>
      </c>
      <c r="F433">
        <v>59.84</v>
      </c>
      <c r="G433">
        <v>54.78</v>
      </c>
      <c r="H433">
        <v>51.17</v>
      </c>
      <c r="I433">
        <v>54.62</v>
      </c>
      <c r="J433">
        <v>38.17</v>
      </c>
      <c r="K433">
        <v>28.9</v>
      </c>
      <c r="L433">
        <v>0</v>
      </c>
      <c r="M433">
        <v>7.0000000000000007E-2</v>
      </c>
      <c r="N433">
        <v>7.0000000000000007E-2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0.01</v>
      </c>
      <c r="U433">
        <v>0</v>
      </c>
      <c r="V433">
        <v>20.54</v>
      </c>
      <c r="W433">
        <v>18.14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36.99</v>
      </c>
      <c r="AD433">
        <v>140.80000000000001</v>
      </c>
      <c r="AE433">
        <v>147.16999999999999</v>
      </c>
      <c r="AF433">
        <v>158.55000000000001</v>
      </c>
      <c r="AG433">
        <v>158.94999999999999</v>
      </c>
      <c r="AM433">
        <v>106.91</v>
      </c>
      <c r="AN433">
        <v>147.16999999999999</v>
      </c>
      <c r="AO433">
        <v>158.86000000000001</v>
      </c>
      <c r="AP433">
        <v>159.19999999999999</v>
      </c>
      <c r="AV433">
        <v>129.16</v>
      </c>
      <c r="AW433">
        <v>231.57</v>
      </c>
      <c r="AX433">
        <v>117.65</v>
      </c>
    </row>
    <row r="434" spans="1:50">
      <c r="A434">
        <v>33.33</v>
      </c>
      <c r="B434">
        <v>142.66999999999999</v>
      </c>
      <c r="C434">
        <v>147.51</v>
      </c>
      <c r="D434">
        <v>147.78</v>
      </c>
      <c r="E434">
        <v>159.62</v>
      </c>
      <c r="F434">
        <v>59.84</v>
      </c>
      <c r="G434">
        <v>54.9</v>
      </c>
      <c r="H434">
        <v>51.23</v>
      </c>
      <c r="I434">
        <v>54.67</v>
      </c>
      <c r="J434">
        <v>38.340000000000003</v>
      </c>
      <c r="K434">
        <v>28.95</v>
      </c>
      <c r="L434">
        <v>0</v>
      </c>
      <c r="M434">
        <v>7.0000000000000007E-2</v>
      </c>
      <c r="N434">
        <v>7.0000000000000007E-2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0.01</v>
      </c>
      <c r="U434">
        <v>0</v>
      </c>
      <c r="V434">
        <v>25.22</v>
      </c>
      <c r="W434">
        <v>25.77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16.86</v>
      </c>
      <c r="AD434">
        <v>141.51</v>
      </c>
      <c r="AE434">
        <v>142.66</v>
      </c>
      <c r="AF434">
        <v>159.21</v>
      </c>
      <c r="AG434">
        <v>159.41999999999999</v>
      </c>
      <c r="AM434">
        <v>107.38</v>
      </c>
      <c r="AN434">
        <v>142.66</v>
      </c>
      <c r="AO434">
        <v>159.57</v>
      </c>
      <c r="AP434">
        <v>159.69999999999999</v>
      </c>
      <c r="AV434">
        <v>129.54</v>
      </c>
      <c r="AW434">
        <v>230.91</v>
      </c>
      <c r="AX434">
        <v>116.16</v>
      </c>
    </row>
    <row r="435" spans="1:50">
      <c r="A435">
        <v>33.5</v>
      </c>
      <c r="B435">
        <v>145.22999999999999</v>
      </c>
      <c r="C435">
        <v>147.72999999999999</v>
      </c>
      <c r="D435">
        <v>147.94999999999999</v>
      </c>
      <c r="E435">
        <v>159.9</v>
      </c>
      <c r="F435">
        <v>60.01</v>
      </c>
      <c r="G435">
        <v>55.01</v>
      </c>
      <c r="H435">
        <v>51.34</v>
      </c>
      <c r="I435">
        <v>54.9</v>
      </c>
      <c r="J435">
        <v>38.51</v>
      </c>
      <c r="K435">
        <v>28.95</v>
      </c>
      <c r="L435">
        <v>0</v>
      </c>
      <c r="M435">
        <v>7.0000000000000007E-2</v>
      </c>
      <c r="N435">
        <v>7.0000000000000007E-2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0.01</v>
      </c>
      <c r="U435">
        <v>0</v>
      </c>
      <c r="V435">
        <v>28.2</v>
      </c>
      <c r="W435">
        <v>27.22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27.22</v>
      </c>
      <c r="AD435">
        <v>142.22</v>
      </c>
      <c r="AE435">
        <v>140.03</v>
      </c>
      <c r="AF435">
        <v>159.83000000000001</v>
      </c>
      <c r="AG435">
        <v>160.08000000000001</v>
      </c>
      <c r="AM435">
        <v>107.7</v>
      </c>
      <c r="AN435">
        <v>140.03</v>
      </c>
      <c r="AO435">
        <v>160.22999999999999</v>
      </c>
      <c r="AP435">
        <v>160.41</v>
      </c>
      <c r="AV435">
        <v>129.74</v>
      </c>
      <c r="AW435">
        <v>230.25</v>
      </c>
      <c r="AX435">
        <v>114.69</v>
      </c>
    </row>
    <row r="436" spans="1:50">
      <c r="A436">
        <v>33.67</v>
      </c>
      <c r="B436">
        <v>146.51</v>
      </c>
      <c r="C436">
        <v>147.84</v>
      </c>
      <c r="D436">
        <v>148.06</v>
      </c>
      <c r="E436">
        <v>159.72999999999999</v>
      </c>
      <c r="F436">
        <v>60.06</v>
      </c>
      <c r="G436">
        <v>55.06</v>
      </c>
      <c r="H436">
        <v>51.45</v>
      </c>
      <c r="I436">
        <v>55.01</v>
      </c>
      <c r="J436">
        <v>38.67</v>
      </c>
      <c r="K436">
        <v>28.95</v>
      </c>
      <c r="L436">
        <v>0</v>
      </c>
      <c r="M436">
        <v>0.16</v>
      </c>
      <c r="N436">
        <v>0.13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0.01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10.38</v>
      </c>
      <c r="AD436">
        <v>142.91999999999999</v>
      </c>
      <c r="AE436">
        <v>140.36000000000001</v>
      </c>
      <c r="AF436">
        <v>160.44</v>
      </c>
      <c r="AG436">
        <v>160.6</v>
      </c>
      <c r="AM436">
        <v>108.07</v>
      </c>
      <c r="AN436">
        <v>140.36000000000001</v>
      </c>
      <c r="AO436">
        <v>160.87</v>
      </c>
      <c r="AP436">
        <v>160.97</v>
      </c>
      <c r="AV436">
        <v>130</v>
      </c>
      <c r="AW436">
        <v>229.58</v>
      </c>
      <c r="AX436">
        <v>113.24</v>
      </c>
    </row>
    <row r="437" spans="1:50">
      <c r="A437">
        <v>33.83</v>
      </c>
      <c r="B437">
        <v>147.16999999999999</v>
      </c>
      <c r="C437">
        <v>148.01</v>
      </c>
      <c r="D437">
        <v>148.34</v>
      </c>
      <c r="E437">
        <v>159.72999999999999</v>
      </c>
      <c r="F437">
        <v>60.06</v>
      </c>
      <c r="G437">
        <v>55.12</v>
      </c>
      <c r="H437">
        <v>51.51</v>
      </c>
      <c r="I437">
        <v>55.17</v>
      </c>
      <c r="J437">
        <v>38.840000000000003</v>
      </c>
      <c r="K437">
        <v>28.95</v>
      </c>
      <c r="L437">
        <v>0</v>
      </c>
      <c r="M437">
        <v>7.0000000000000007E-2</v>
      </c>
      <c r="N437">
        <v>7.0000000000000007E-2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0.01</v>
      </c>
      <c r="U437">
        <v>0</v>
      </c>
      <c r="V437">
        <v>61.01</v>
      </c>
      <c r="W437">
        <v>49.36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40.619999999999997</v>
      </c>
      <c r="AD437">
        <v>143.63</v>
      </c>
      <c r="AE437">
        <v>140.61000000000001</v>
      </c>
      <c r="AF437">
        <v>157.25</v>
      </c>
      <c r="AG437">
        <v>157.97</v>
      </c>
      <c r="AM437">
        <v>108.33</v>
      </c>
      <c r="AN437">
        <v>140.61000000000001</v>
      </c>
      <c r="AO437">
        <v>157.25</v>
      </c>
      <c r="AP437">
        <v>157.99</v>
      </c>
      <c r="AV437">
        <v>130.13999999999999</v>
      </c>
      <c r="AW437">
        <v>228.92</v>
      </c>
      <c r="AX437">
        <v>111.81</v>
      </c>
    </row>
    <row r="438" spans="1:50">
      <c r="A438">
        <v>34</v>
      </c>
      <c r="B438">
        <v>147.66999999999999</v>
      </c>
      <c r="C438">
        <v>149.28</v>
      </c>
      <c r="D438">
        <v>149.51</v>
      </c>
      <c r="E438">
        <v>159.62</v>
      </c>
      <c r="F438">
        <v>60.17</v>
      </c>
      <c r="G438">
        <v>55.28</v>
      </c>
      <c r="H438">
        <v>51.56</v>
      </c>
      <c r="I438">
        <v>55.28</v>
      </c>
      <c r="J438">
        <v>39.06</v>
      </c>
      <c r="K438">
        <v>28.9</v>
      </c>
      <c r="L438">
        <v>0</v>
      </c>
      <c r="M438">
        <v>0.24</v>
      </c>
      <c r="N438">
        <v>0.26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79.3</v>
      </c>
      <c r="W438">
        <v>164.02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-0.98</v>
      </c>
      <c r="AD438">
        <v>144.34</v>
      </c>
      <c r="AE438">
        <v>264.77</v>
      </c>
      <c r="AF438">
        <v>160.44</v>
      </c>
      <c r="AG438">
        <v>160.32</v>
      </c>
      <c r="AM438">
        <v>108.78</v>
      </c>
      <c r="AN438">
        <v>264.77</v>
      </c>
      <c r="AO438">
        <v>160.80000000000001</v>
      </c>
      <c r="AP438">
        <v>160.6</v>
      </c>
      <c r="AV438">
        <v>130.49</v>
      </c>
      <c r="AW438">
        <v>228.26</v>
      </c>
      <c r="AX438">
        <v>110.4</v>
      </c>
    </row>
    <row r="439" spans="1:50">
      <c r="A439">
        <v>34.17</v>
      </c>
      <c r="B439">
        <v>147.84</v>
      </c>
      <c r="C439">
        <v>151.62</v>
      </c>
      <c r="D439">
        <v>151.78</v>
      </c>
      <c r="E439">
        <v>159.51</v>
      </c>
      <c r="F439">
        <v>60.23</v>
      </c>
      <c r="G439">
        <v>55.34</v>
      </c>
      <c r="H439">
        <v>51.67</v>
      </c>
      <c r="I439">
        <v>55.4</v>
      </c>
      <c r="J439">
        <v>39.229999999999997</v>
      </c>
      <c r="K439">
        <v>28.9</v>
      </c>
      <c r="L439">
        <v>0</v>
      </c>
      <c r="M439">
        <v>0.24</v>
      </c>
      <c r="N439">
        <v>0.26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204.85</v>
      </c>
      <c r="W439">
        <v>106.66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145.05000000000001</v>
      </c>
      <c r="AE439">
        <v>269.29000000000002</v>
      </c>
      <c r="AF439">
        <v>204.41</v>
      </c>
      <c r="AG439">
        <v>230.05</v>
      </c>
      <c r="AM439">
        <v>109.03</v>
      </c>
      <c r="AN439">
        <v>269.29000000000002</v>
      </c>
      <c r="AO439">
        <v>209.64</v>
      </c>
      <c r="AP439">
        <v>238.12</v>
      </c>
      <c r="AV439">
        <v>130.72999999999999</v>
      </c>
      <c r="AW439">
        <v>227.59</v>
      </c>
      <c r="AX439">
        <v>109.01</v>
      </c>
    </row>
    <row r="440" spans="1:50">
      <c r="A440">
        <v>34.33</v>
      </c>
      <c r="B440">
        <v>147.72999999999999</v>
      </c>
      <c r="C440">
        <v>153.51</v>
      </c>
      <c r="D440">
        <v>153.94999999999999</v>
      </c>
      <c r="E440">
        <v>159.66999999999999</v>
      </c>
      <c r="F440">
        <v>60.51</v>
      </c>
      <c r="G440">
        <v>55.4</v>
      </c>
      <c r="H440">
        <v>51.73</v>
      </c>
      <c r="I440">
        <v>55.62</v>
      </c>
      <c r="J440">
        <v>39.28</v>
      </c>
      <c r="K440">
        <v>28.9</v>
      </c>
      <c r="L440">
        <v>0</v>
      </c>
      <c r="M440">
        <v>0.24</v>
      </c>
      <c r="N440">
        <v>0.26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1.42</v>
      </c>
      <c r="W440">
        <v>5.52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-37.869999999999997</v>
      </c>
      <c r="AD440">
        <v>145.75</v>
      </c>
      <c r="AE440">
        <v>269.93</v>
      </c>
      <c r="AF440">
        <v>269</v>
      </c>
      <c r="AG440">
        <v>267.95</v>
      </c>
      <c r="AM440">
        <v>109.4</v>
      </c>
      <c r="AN440">
        <v>269.93</v>
      </c>
      <c r="AO440">
        <v>280.12</v>
      </c>
      <c r="AP440">
        <v>277.95</v>
      </c>
      <c r="AV440">
        <v>131.08000000000001</v>
      </c>
      <c r="AW440">
        <v>226.93</v>
      </c>
      <c r="AX440">
        <v>107.64</v>
      </c>
    </row>
    <row r="441" spans="1:50">
      <c r="A441">
        <v>34.5</v>
      </c>
      <c r="B441">
        <v>147.28</v>
      </c>
      <c r="C441">
        <v>154.34</v>
      </c>
      <c r="D441">
        <v>155.01</v>
      </c>
      <c r="E441">
        <v>159.44999999999999</v>
      </c>
      <c r="F441">
        <v>60.62</v>
      </c>
      <c r="G441">
        <v>55.4</v>
      </c>
      <c r="H441">
        <v>51.78</v>
      </c>
      <c r="I441">
        <v>55.67</v>
      </c>
      <c r="J441">
        <v>39.4</v>
      </c>
      <c r="K441">
        <v>28.9</v>
      </c>
      <c r="L441">
        <v>0</v>
      </c>
      <c r="M441">
        <v>0.24</v>
      </c>
      <c r="N441">
        <v>0.26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-23.72</v>
      </c>
      <c r="W441">
        <v>-4.1100000000000003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146.46</v>
      </c>
      <c r="AE441">
        <v>246.07</v>
      </c>
      <c r="AF441">
        <v>269.56</v>
      </c>
      <c r="AG441">
        <v>269.89999999999998</v>
      </c>
      <c r="AM441">
        <v>109.59</v>
      </c>
      <c r="AN441">
        <v>246.07</v>
      </c>
      <c r="AO441">
        <v>277.77999999999997</v>
      </c>
      <c r="AP441">
        <v>277.23</v>
      </c>
      <c r="AV441">
        <v>131.26</v>
      </c>
      <c r="AW441">
        <v>226.27</v>
      </c>
      <c r="AX441">
        <v>106.28</v>
      </c>
    </row>
    <row r="442" spans="1:50">
      <c r="A442">
        <v>34.67</v>
      </c>
      <c r="B442">
        <v>146.16999999999999</v>
      </c>
      <c r="C442">
        <v>154.66999999999999</v>
      </c>
      <c r="D442">
        <v>155.51</v>
      </c>
      <c r="E442">
        <v>159.44999999999999</v>
      </c>
      <c r="F442">
        <v>60.78</v>
      </c>
      <c r="G442">
        <v>55.62</v>
      </c>
      <c r="H442">
        <v>51.95</v>
      </c>
      <c r="I442">
        <v>55.84</v>
      </c>
      <c r="J442">
        <v>39.56</v>
      </c>
      <c r="K442">
        <v>28.95</v>
      </c>
      <c r="L442">
        <v>0</v>
      </c>
      <c r="M442">
        <v>0.24</v>
      </c>
      <c r="N442">
        <v>0.26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-76.36</v>
      </c>
      <c r="W442">
        <v>-54.07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147.16999999999999</v>
      </c>
      <c r="AE442">
        <v>222.78</v>
      </c>
      <c r="AF442">
        <v>258.26</v>
      </c>
      <c r="AG442">
        <v>262.64</v>
      </c>
      <c r="AM442">
        <v>109.93</v>
      </c>
      <c r="AN442">
        <v>222.78</v>
      </c>
      <c r="AO442">
        <v>263.01</v>
      </c>
      <c r="AP442">
        <v>267.04000000000002</v>
      </c>
      <c r="AV442">
        <v>131.58000000000001</v>
      </c>
      <c r="AW442">
        <v>225.6</v>
      </c>
      <c r="AX442">
        <v>104.94</v>
      </c>
    </row>
    <row r="443" spans="1:50">
      <c r="A443">
        <v>34.83</v>
      </c>
      <c r="B443">
        <v>145.51</v>
      </c>
      <c r="C443">
        <v>154.66999999999999</v>
      </c>
      <c r="D443">
        <v>155.34</v>
      </c>
      <c r="E443">
        <v>158.94999999999999</v>
      </c>
      <c r="F443">
        <v>60.9</v>
      </c>
      <c r="G443">
        <v>55.67</v>
      </c>
      <c r="H443">
        <v>52.12</v>
      </c>
      <c r="I443">
        <v>56.01</v>
      </c>
      <c r="J443">
        <v>39.729999999999997</v>
      </c>
      <c r="K443">
        <v>28.9</v>
      </c>
      <c r="L443">
        <v>0</v>
      </c>
      <c r="M443">
        <v>0.24</v>
      </c>
      <c r="N443">
        <v>0.26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-20.93</v>
      </c>
      <c r="W443">
        <v>-22.4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147.88</v>
      </c>
      <c r="AE443">
        <v>201.06</v>
      </c>
      <c r="AF443">
        <v>231.48</v>
      </c>
      <c r="AG443">
        <v>238.24</v>
      </c>
      <c r="AM443">
        <v>110.32</v>
      </c>
      <c r="AN443">
        <v>201.06</v>
      </c>
      <c r="AO443">
        <v>231.94</v>
      </c>
      <c r="AP443">
        <v>238.62</v>
      </c>
      <c r="AV443">
        <v>131.93</v>
      </c>
      <c r="AW443">
        <v>224.94</v>
      </c>
      <c r="AX443">
        <v>103.62</v>
      </c>
    </row>
    <row r="444" spans="1:50">
      <c r="A444">
        <v>35</v>
      </c>
      <c r="B444">
        <v>144.06</v>
      </c>
      <c r="C444">
        <v>154.56</v>
      </c>
      <c r="D444">
        <v>155.22999999999999</v>
      </c>
      <c r="E444">
        <v>158.78</v>
      </c>
      <c r="F444">
        <v>60.95</v>
      </c>
      <c r="G444">
        <v>55.73</v>
      </c>
      <c r="H444">
        <v>52.28</v>
      </c>
      <c r="I444">
        <v>56.12</v>
      </c>
      <c r="J444">
        <v>39.840000000000003</v>
      </c>
      <c r="K444">
        <v>28.95</v>
      </c>
      <c r="L444">
        <v>0</v>
      </c>
      <c r="M444">
        <v>0.24</v>
      </c>
      <c r="N444">
        <v>0.26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-25.95</v>
      </c>
      <c r="W444">
        <v>-19.07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148.58000000000001</v>
      </c>
      <c r="AE444">
        <v>189.69</v>
      </c>
      <c r="AF444">
        <v>219.18</v>
      </c>
      <c r="AG444">
        <v>222.77</v>
      </c>
      <c r="AM444">
        <v>110.62</v>
      </c>
      <c r="AN444">
        <v>189.69</v>
      </c>
      <c r="AO444">
        <v>218.14</v>
      </c>
      <c r="AP444">
        <v>221.29</v>
      </c>
      <c r="AV444">
        <v>132.18</v>
      </c>
      <c r="AW444">
        <v>224.28</v>
      </c>
      <c r="AX444">
        <v>102.32</v>
      </c>
    </row>
    <row r="445" spans="1:50">
      <c r="A445">
        <v>35.17</v>
      </c>
      <c r="B445">
        <v>142.9</v>
      </c>
      <c r="C445">
        <v>154.16999999999999</v>
      </c>
      <c r="D445">
        <v>154.72999999999999</v>
      </c>
      <c r="E445">
        <v>158.51</v>
      </c>
      <c r="F445">
        <v>60.95</v>
      </c>
      <c r="G445">
        <v>55.84</v>
      </c>
      <c r="H445">
        <v>52.28</v>
      </c>
      <c r="I445">
        <v>56.17</v>
      </c>
      <c r="J445">
        <v>39.950000000000003</v>
      </c>
      <c r="K445">
        <v>28.95</v>
      </c>
      <c r="L445">
        <v>0</v>
      </c>
      <c r="M445">
        <v>0.24</v>
      </c>
      <c r="N445">
        <v>0.26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116.88</v>
      </c>
      <c r="W445">
        <v>112.36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149.29</v>
      </c>
      <c r="AE445">
        <v>269.07</v>
      </c>
      <c r="AF445">
        <v>205.91</v>
      </c>
      <c r="AG445">
        <v>209.22</v>
      </c>
      <c r="AM445">
        <v>110.92</v>
      </c>
      <c r="AN445">
        <v>269.07</v>
      </c>
      <c r="AO445">
        <v>203.64</v>
      </c>
      <c r="AP445">
        <v>206.64</v>
      </c>
      <c r="AV445">
        <v>132.41999999999999</v>
      </c>
      <c r="AW445">
        <v>223.61</v>
      </c>
      <c r="AX445">
        <v>101.04</v>
      </c>
    </row>
    <row r="446" spans="1:50">
      <c r="A446">
        <v>35.33</v>
      </c>
      <c r="B446">
        <v>141.9</v>
      </c>
      <c r="C446">
        <v>154.06</v>
      </c>
      <c r="D446">
        <v>154.56</v>
      </c>
      <c r="E446">
        <v>158.51</v>
      </c>
      <c r="F446">
        <v>61.12</v>
      </c>
      <c r="G446">
        <v>56.01</v>
      </c>
      <c r="H446">
        <v>52.51</v>
      </c>
      <c r="I446">
        <v>56.34</v>
      </c>
      <c r="J446">
        <v>40.119999999999997</v>
      </c>
      <c r="K446">
        <v>28.9</v>
      </c>
      <c r="L446">
        <v>0</v>
      </c>
      <c r="M446">
        <v>0.24</v>
      </c>
      <c r="N446">
        <v>0.26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62.95</v>
      </c>
      <c r="W446">
        <v>27.48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150</v>
      </c>
      <c r="AE446">
        <v>269.88</v>
      </c>
      <c r="AF446">
        <v>249.02</v>
      </c>
      <c r="AG446">
        <v>253.95</v>
      </c>
      <c r="AM446">
        <v>111.19</v>
      </c>
      <c r="AN446">
        <v>269.88</v>
      </c>
      <c r="AO446">
        <v>252.22</v>
      </c>
      <c r="AP446">
        <v>257.16000000000003</v>
      </c>
      <c r="AV446">
        <v>132.69</v>
      </c>
      <c r="AW446">
        <v>222.95</v>
      </c>
      <c r="AX446">
        <v>99.78</v>
      </c>
    </row>
    <row r="447" spans="1:50">
      <c r="A447">
        <v>35.5</v>
      </c>
      <c r="B447">
        <v>141.56</v>
      </c>
      <c r="C447">
        <v>153.72999999999999</v>
      </c>
      <c r="D447">
        <v>154.22999999999999</v>
      </c>
      <c r="E447">
        <v>158.51</v>
      </c>
      <c r="F447">
        <v>61.12</v>
      </c>
      <c r="G447">
        <v>56.01</v>
      </c>
      <c r="H447">
        <v>52.51</v>
      </c>
      <c r="I447">
        <v>56.51</v>
      </c>
      <c r="J447">
        <v>40.28</v>
      </c>
      <c r="K447">
        <v>28.9</v>
      </c>
      <c r="L447">
        <v>0</v>
      </c>
      <c r="M447">
        <v>7.0000000000000007E-2</v>
      </c>
      <c r="N447">
        <v>0.26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4.53</v>
      </c>
      <c r="W447">
        <v>9.18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150.71</v>
      </c>
      <c r="AE447">
        <v>267.52999999999997</v>
      </c>
      <c r="AF447">
        <v>269.08999999999997</v>
      </c>
      <c r="AG447">
        <v>265.23</v>
      </c>
      <c r="AM447">
        <v>111.53</v>
      </c>
      <c r="AN447">
        <v>267.52999999999997</v>
      </c>
      <c r="AO447">
        <v>273.7</v>
      </c>
      <c r="AP447">
        <v>268.77999999999997</v>
      </c>
      <c r="AV447">
        <v>133.02000000000001</v>
      </c>
      <c r="AW447">
        <v>222.29</v>
      </c>
      <c r="AX447">
        <v>98.53</v>
      </c>
    </row>
    <row r="448" spans="1:50">
      <c r="A448">
        <v>35.67</v>
      </c>
      <c r="B448">
        <v>141.12</v>
      </c>
      <c r="C448">
        <v>153.62</v>
      </c>
      <c r="D448">
        <v>154.22999999999999</v>
      </c>
      <c r="E448">
        <v>158.78</v>
      </c>
      <c r="F448">
        <v>61.23</v>
      </c>
      <c r="G448">
        <v>56.12</v>
      </c>
      <c r="H448">
        <v>52.67</v>
      </c>
      <c r="I448">
        <v>56.62</v>
      </c>
      <c r="J448">
        <v>40.51</v>
      </c>
      <c r="K448">
        <v>28.9</v>
      </c>
      <c r="L448">
        <v>0</v>
      </c>
      <c r="M448">
        <v>7.0000000000000007E-2</v>
      </c>
      <c r="N448">
        <v>7.0000000000000007E-2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3.57</v>
      </c>
      <c r="W448">
        <v>20.76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151.41</v>
      </c>
      <c r="AE448">
        <v>267.14999999999998</v>
      </c>
      <c r="AF448">
        <v>269.3</v>
      </c>
      <c r="AG448">
        <v>268.20999999999998</v>
      </c>
      <c r="AM448">
        <v>111.82</v>
      </c>
      <c r="AN448">
        <v>267.14999999999998</v>
      </c>
      <c r="AO448">
        <v>273.57</v>
      </c>
      <c r="AP448">
        <v>271.07</v>
      </c>
      <c r="AV448">
        <v>133.29</v>
      </c>
      <c r="AW448">
        <v>221.63</v>
      </c>
      <c r="AX448">
        <v>97.3</v>
      </c>
    </row>
    <row r="449" spans="1:50">
      <c r="A449">
        <v>35.83</v>
      </c>
      <c r="B449">
        <v>142.06</v>
      </c>
      <c r="C449">
        <v>153.56</v>
      </c>
      <c r="D449">
        <v>154.16999999999999</v>
      </c>
      <c r="E449">
        <v>161.22999999999999</v>
      </c>
      <c r="F449">
        <v>61.34</v>
      </c>
      <c r="G449">
        <v>56.17</v>
      </c>
      <c r="H449">
        <v>52.67</v>
      </c>
      <c r="I449">
        <v>56.73</v>
      </c>
      <c r="J449">
        <v>40.56</v>
      </c>
      <c r="K449">
        <v>28.95</v>
      </c>
      <c r="L449">
        <v>0</v>
      </c>
      <c r="M449">
        <v>7.0000000000000007E-2</v>
      </c>
      <c r="N449">
        <v>7.0000000000000007E-2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-1.89</v>
      </c>
      <c r="W449">
        <v>-1.23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152.12</v>
      </c>
      <c r="AE449">
        <v>270.39999999999998</v>
      </c>
      <c r="AF449">
        <v>269.41000000000003</v>
      </c>
      <c r="AG449">
        <v>269.64999999999998</v>
      </c>
      <c r="AM449">
        <v>112.15</v>
      </c>
      <c r="AN449">
        <v>270.39999999999998</v>
      </c>
      <c r="AO449">
        <v>273.33999999999997</v>
      </c>
      <c r="AP449">
        <v>272.45</v>
      </c>
      <c r="AV449">
        <v>133.61000000000001</v>
      </c>
      <c r="AW449">
        <v>220.96</v>
      </c>
      <c r="AX449">
        <v>96.08</v>
      </c>
    </row>
    <row r="450" spans="1:50">
      <c r="A450">
        <v>36</v>
      </c>
      <c r="B450">
        <v>143.12</v>
      </c>
      <c r="C450">
        <v>153.34</v>
      </c>
      <c r="D450">
        <v>153.84</v>
      </c>
      <c r="E450">
        <v>162.44999999999999</v>
      </c>
      <c r="F450">
        <v>61.4</v>
      </c>
      <c r="G450">
        <v>56.23</v>
      </c>
      <c r="H450">
        <v>52.84</v>
      </c>
      <c r="I450">
        <v>56.84</v>
      </c>
      <c r="J450">
        <v>40.67</v>
      </c>
      <c r="K450">
        <v>28.9</v>
      </c>
      <c r="L450">
        <v>0</v>
      </c>
      <c r="M450">
        <v>7.0000000000000007E-2</v>
      </c>
      <c r="N450">
        <v>7.0000000000000007E-2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-0.78</v>
      </c>
      <c r="W450">
        <v>-1.03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152.83000000000001</v>
      </c>
      <c r="AE450">
        <v>270.12</v>
      </c>
      <c r="AF450">
        <v>269.33999999999997</v>
      </c>
      <c r="AG450">
        <v>269.62</v>
      </c>
      <c r="AM450">
        <v>112.51</v>
      </c>
      <c r="AN450">
        <v>270.12</v>
      </c>
      <c r="AO450">
        <v>272.95</v>
      </c>
      <c r="AP450">
        <v>272.18</v>
      </c>
      <c r="AV450">
        <v>133.94999999999999</v>
      </c>
      <c r="AW450">
        <v>220.3</v>
      </c>
      <c r="AX450">
        <v>94.89</v>
      </c>
    </row>
    <row r="451" spans="1:50">
      <c r="A451">
        <v>36.17</v>
      </c>
      <c r="B451">
        <v>145.16999999999999</v>
      </c>
      <c r="C451">
        <v>153.51</v>
      </c>
      <c r="D451">
        <v>153.9</v>
      </c>
      <c r="E451">
        <v>162.62</v>
      </c>
      <c r="F451">
        <v>61.51</v>
      </c>
      <c r="G451">
        <v>56.34</v>
      </c>
      <c r="H451">
        <v>53.06</v>
      </c>
      <c r="I451">
        <v>57.06</v>
      </c>
      <c r="J451">
        <v>40.9</v>
      </c>
      <c r="K451">
        <v>28.9</v>
      </c>
      <c r="L451">
        <v>0</v>
      </c>
      <c r="M451">
        <v>7.0000000000000007E-2</v>
      </c>
      <c r="N451">
        <v>7.0000000000000007E-2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-1.71</v>
      </c>
      <c r="W451">
        <v>-0.97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153.54</v>
      </c>
      <c r="AE451">
        <v>270.13</v>
      </c>
      <c r="AF451">
        <v>269.33999999999997</v>
      </c>
      <c r="AG451">
        <v>269.58</v>
      </c>
      <c r="AM451">
        <v>112.79</v>
      </c>
      <c r="AN451">
        <v>270.13</v>
      </c>
      <c r="AO451">
        <v>272.66000000000003</v>
      </c>
      <c r="AP451">
        <v>271.93</v>
      </c>
      <c r="AV451">
        <v>134.22999999999999</v>
      </c>
      <c r="AW451">
        <v>219.64</v>
      </c>
      <c r="AX451">
        <v>93.71</v>
      </c>
    </row>
    <row r="452" spans="1:50">
      <c r="A452">
        <v>36.33</v>
      </c>
      <c r="B452">
        <v>147.16999999999999</v>
      </c>
      <c r="C452">
        <v>152.78</v>
      </c>
      <c r="D452">
        <v>153.28</v>
      </c>
      <c r="E452">
        <v>162.22999999999999</v>
      </c>
      <c r="F452">
        <v>61.51</v>
      </c>
      <c r="G452">
        <v>56.4</v>
      </c>
      <c r="H452">
        <v>53.12</v>
      </c>
      <c r="I452">
        <v>57.06</v>
      </c>
      <c r="J452">
        <v>41.01</v>
      </c>
      <c r="K452">
        <v>28.95</v>
      </c>
      <c r="L452">
        <v>0</v>
      </c>
      <c r="M452">
        <v>7.0000000000000007E-2</v>
      </c>
      <c r="N452">
        <v>7.0000000000000007E-2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-3.71</v>
      </c>
      <c r="W452">
        <v>-2.58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154.24</v>
      </c>
      <c r="AE452">
        <v>270.16000000000003</v>
      </c>
      <c r="AF452">
        <v>269.27</v>
      </c>
      <c r="AG452">
        <v>269.55</v>
      </c>
      <c r="AM452">
        <v>113.14</v>
      </c>
      <c r="AN452">
        <v>270.16000000000003</v>
      </c>
      <c r="AO452">
        <v>272.32</v>
      </c>
      <c r="AP452">
        <v>271.7</v>
      </c>
      <c r="AV452">
        <v>134.56</v>
      </c>
      <c r="AW452">
        <v>218.97</v>
      </c>
      <c r="AX452">
        <v>92.54</v>
      </c>
    </row>
    <row r="453" spans="1:50">
      <c r="A453">
        <v>36.5</v>
      </c>
      <c r="B453">
        <v>148.12</v>
      </c>
      <c r="C453">
        <v>152.72999999999999</v>
      </c>
      <c r="D453">
        <v>153.22999999999999</v>
      </c>
      <c r="E453">
        <v>162.06</v>
      </c>
      <c r="F453">
        <v>61.62</v>
      </c>
      <c r="G453">
        <v>56.45</v>
      </c>
      <c r="H453">
        <v>53.23</v>
      </c>
      <c r="I453">
        <v>57.23</v>
      </c>
      <c r="J453">
        <v>41.12</v>
      </c>
      <c r="K453">
        <v>28.9</v>
      </c>
      <c r="L453">
        <v>0</v>
      </c>
      <c r="M453">
        <v>0.24</v>
      </c>
      <c r="N453">
        <v>0.26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0.66</v>
      </c>
      <c r="W453">
        <v>0.38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154.94999999999999</v>
      </c>
      <c r="AE453">
        <v>269.85000000000002</v>
      </c>
      <c r="AF453">
        <v>269.07</v>
      </c>
      <c r="AG453">
        <v>269.39999999999998</v>
      </c>
      <c r="AM453">
        <v>113.47</v>
      </c>
      <c r="AN453">
        <v>269.85000000000002</v>
      </c>
      <c r="AO453">
        <v>271.85000000000002</v>
      </c>
      <c r="AP453">
        <v>271.36</v>
      </c>
      <c r="AV453">
        <v>134.88</v>
      </c>
      <c r="AW453">
        <v>218.31</v>
      </c>
      <c r="AX453">
        <v>91.4</v>
      </c>
    </row>
    <row r="454" spans="1:50">
      <c r="A454">
        <v>36.67</v>
      </c>
      <c r="B454">
        <v>149.28</v>
      </c>
      <c r="C454">
        <v>152.51</v>
      </c>
      <c r="D454">
        <v>153.01</v>
      </c>
      <c r="E454">
        <v>161.9</v>
      </c>
      <c r="F454">
        <v>61.73</v>
      </c>
      <c r="G454">
        <v>56.51</v>
      </c>
      <c r="H454">
        <v>53.34</v>
      </c>
      <c r="I454">
        <v>57.4</v>
      </c>
      <c r="J454">
        <v>41.34</v>
      </c>
      <c r="K454">
        <v>28.95</v>
      </c>
      <c r="L454">
        <v>0</v>
      </c>
      <c r="M454">
        <v>7.0000000000000007E-2</v>
      </c>
      <c r="N454">
        <v>7.0000000000000007E-2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-9.9</v>
      </c>
      <c r="W454">
        <v>-6.53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155.66</v>
      </c>
      <c r="AE454">
        <v>269.64</v>
      </c>
      <c r="AF454">
        <v>269.42</v>
      </c>
      <c r="AG454">
        <v>269.62</v>
      </c>
      <c r="AM454">
        <v>113.78</v>
      </c>
      <c r="AN454">
        <v>269.64</v>
      </c>
      <c r="AO454">
        <v>271.5</v>
      </c>
      <c r="AP454">
        <v>271.04000000000002</v>
      </c>
      <c r="AV454">
        <v>135.18</v>
      </c>
      <c r="AW454">
        <v>217.65</v>
      </c>
      <c r="AX454">
        <v>90.27</v>
      </c>
    </row>
    <row r="455" spans="1:50">
      <c r="A455">
        <v>36.83</v>
      </c>
      <c r="B455">
        <v>149.78</v>
      </c>
      <c r="C455">
        <v>152.62</v>
      </c>
      <c r="D455">
        <v>152.9</v>
      </c>
      <c r="E455">
        <v>161.66999999999999</v>
      </c>
      <c r="F455">
        <v>61.73</v>
      </c>
      <c r="G455">
        <v>56.56</v>
      </c>
      <c r="H455">
        <v>53.4</v>
      </c>
      <c r="I455">
        <v>57.51</v>
      </c>
      <c r="J455">
        <v>41.45</v>
      </c>
      <c r="K455">
        <v>28.9</v>
      </c>
      <c r="L455">
        <v>0</v>
      </c>
      <c r="M455">
        <v>7.0000000000000007E-2</v>
      </c>
      <c r="N455">
        <v>7.0000000000000007E-2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-1.59</v>
      </c>
      <c r="W455">
        <v>-2.39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-45.58</v>
      </c>
      <c r="AD455">
        <v>156.37</v>
      </c>
      <c r="AE455">
        <v>269.62</v>
      </c>
      <c r="AF455">
        <v>268.72000000000003</v>
      </c>
      <c r="AG455">
        <v>269.14</v>
      </c>
      <c r="AM455">
        <v>114.05</v>
      </c>
      <c r="AN455">
        <v>269.62</v>
      </c>
      <c r="AO455">
        <v>270.55</v>
      </c>
      <c r="AP455">
        <v>270.39</v>
      </c>
      <c r="AV455">
        <v>135.44</v>
      </c>
      <c r="AW455">
        <v>216.98</v>
      </c>
      <c r="AX455">
        <v>89.15</v>
      </c>
    </row>
    <row r="456" spans="1:50">
      <c r="A456">
        <v>37</v>
      </c>
      <c r="B456">
        <v>150.01</v>
      </c>
      <c r="C456">
        <v>152.84</v>
      </c>
      <c r="D456">
        <v>153.22999999999999</v>
      </c>
      <c r="E456">
        <v>161.56</v>
      </c>
      <c r="F456">
        <v>61.9</v>
      </c>
      <c r="G456">
        <v>56.73</v>
      </c>
      <c r="H456">
        <v>53.4</v>
      </c>
      <c r="I456">
        <v>57.67</v>
      </c>
      <c r="J456">
        <v>41.62</v>
      </c>
      <c r="K456">
        <v>28.9</v>
      </c>
      <c r="L456">
        <v>0</v>
      </c>
      <c r="M456">
        <v>0.24</v>
      </c>
      <c r="N456">
        <v>0.26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-1.3</v>
      </c>
      <c r="W456">
        <v>-1.1399999999999999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157.07</v>
      </c>
      <c r="AE456">
        <v>267.83999999999997</v>
      </c>
      <c r="AF456">
        <v>268.67</v>
      </c>
      <c r="AG456">
        <v>269</v>
      </c>
      <c r="AM456">
        <v>114.23</v>
      </c>
      <c r="AN456">
        <v>267.83999999999997</v>
      </c>
      <c r="AO456">
        <v>270.35000000000002</v>
      </c>
      <c r="AP456">
        <v>270.13</v>
      </c>
      <c r="AV456">
        <v>135.59</v>
      </c>
      <c r="AW456">
        <v>216.32</v>
      </c>
      <c r="AX456">
        <v>88.05</v>
      </c>
    </row>
    <row r="457" spans="1:50">
      <c r="A457">
        <v>37.17</v>
      </c>
      <c r="B457">
        <v>149.84</v>
      </c>
      <c r="C457">
        <v>155.16999999999999</v>
      </c>
      <c r="D457">
        <v>155.16999999999999</v>
      </c>
      <c r="E457">
        <v>161.4</v>
      </c>
      <c r="F457">
        <v>61.9</v>
      </c>
      <c r="G457">
        <v>56.73</v>
      </c>
      <c r="H457">
        <v>53.45</v>
      </c>
      <c r="I457">
        <v>57.84</v>
      </c>
      <c r="J457">
        <v>41.73</v>
      </c>
      <c r="K457">
        <v>28.9</v>
      </c>
      <c r="L457">
        <v>0</v>
      </c>
      <c r="M457">
        <v>7.0000000000000007E-2</v>
      </c>
      <c r="N457">
        <v>7.0000000000000007E-2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-20.39</v>
      </c>
      <c r="W457">
        <v>-6.15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-69.47</v>
      </c>
      <c r="AD457">
        <v>157.78</v>
      </c>
      <c r="AE457">
        <v>268.88</v>
      </c>
      <c r="AF457">
        <v>268.16000000000003</v>
      </c>
      <c r="AG457">
        <v>268.39999999999998</v>
      </c>
      <c r="AM457">
        <v>114.57</v>
      </c>
      <c r="AN457">
        <v>268.88</v>
      </c>
      <c r="AO457">
        <v>269.33999999999997</v>
      </c>
      <c r="AP457">
        <v>269.14</v>
      </c>
      <c r="AV457">
        <v>135.91999999999999</v>
      </c>
      <c r="AW457">
        <v>215.66</v>
      </c>
      <c r="AX457">
        <v>86.97</v>
      </c>
    </row>
    <row r="458" spans="1:50">
      <c r="A458">
        <v>37.33</v>
      </c>
      <c r="B458">
        <v>150.44999999999999</v>
      </c>
      <c r="C458">
        <v>156.4</v>
      </c>
      <c r="D458">
        <v>156.51</v>
      </c>
      <c r="E458">
        <v>161.34</v>
      </c>
      <c r="F458">
        <v>61.9</v>
      </c>
      <c r="G458">
        <v>56.78</v>
      </c>
      <c r="H458">
        <v>53.45</v>
      </c>
      <c r="I458">
        <v>57.9</v>
      </c>
      <c r="J458">
        <v>41.9</v>
      </c>
      <c r="K458">
        <v>28.9</v>
      </c>
      <c r="L458">
        <v>0</v>
      </c>
      <c r="M458">
        <v>0.24</v>
      </c>
      <c r="N458">
        <v>0.26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-83.52</v>
      </c>
      <c r="W458">
        <v>-81.81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-16.37</v>
      </c>
      <c r="AD458">
        <v>158.49</v>
      </c>
      <c r="AE458">
        <v>265.86</v>
      </c>
      <c r="AF458">
        <v>266.74</v>
      </c>
      <c r="AG458">
        <v>267.99</v>
      </c>
      <c r="AM458">
        <v>114.7</v>
      </c>
      <c r="AN458">
        <v>265.86</v>
      </c>
      <c r="AO458">
        <v>267.67</v>
      </c>
      <c r="AP458">
        <v>268.62</v>
      </c>
      <c r="AV458">
        <v>136.03</v>
      </c>
      <c r="AW458">
        <v>215</v>
      </c>
      <c r="AX458">
        <v>85.9</v>
      </c>
    </row>
    <row r="459" spans="1:50">
      <c r="A459">
        <v>37.5</v>
      </c>
      <c r="B459">
        <v>150.62</v>
      </c>
      <c r="C459">
        <v>157.51</v>
      </c>
      <c r="D459">
        <v>157.66999999999999</v>
      </c>
      <c r="E459">
        <v>161.22999999999999</v>
      </c>
      <c r="F459">
        <v>62.06</v>
      </c>
      <c r="G459">
        <v>56.84</v>
      </c>
      <c r="H459">
        <v>53.56</v>
      </c>
      <c r="I459">
        <v>58.01</v>
      </c>
      <c r="J459">
        <v>42.06</v>
      </c>
      <c r="K459">
        <v>28.9</v>
      </c>
      <c r="L459">
        <v>0</v>
      </c>
      <c r="M459">
        <v>0.24</v>
      </c>
      <c r="N459">
        <v>0.26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-53.08</v>
      </c>
      <c r="W459">
        <v>-52.06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159.19999999999999</v>
      </c>
      <c r="AE459">
        <v>230.3</v>
      </c>
      <c r="AF459">
        <v>246.53</v>
      </c>
      <c r="AG459">
        <v>246.18</v>
      </c>
      <c r="AM459">
        <v>114.92</v>
      </c>
      <c r="AN459">
        <v>230.3</v>
      </c>
      <c r="AO459">
        <v>244.93</v>
      </c>
      <c r="AP459">
        <v>244.17</v>
      </c>
      <c r="AV459">
        <v>136.24</v>
      </c>
      <c r="AW459">
        <v>214.33</v>
      </c>
      <c r="AX459">
        <v>84.85</v>
      </c>
    </row>
    <row r="460" spans="1:50">
      <c r="A460">
        <v>37.67</v>
      </c>
      <c r="B460">
        <v>150.78</v>
      </c>
      <c r="C460">
        <v>157.56</v>
      </c>
      <c r="D460">
        <v>158.01</v>
      </c>
      <c r="E460">
        <v>161.12</v>
      </c>
      <c r="F460">
        <v>62.23</v>
      </c>
      <c r="G460">
        <v>56.95</v>
      </c>
      <c r="H460">
        <v>53.67</v>
      </c>
      <c r="I460">
        <v>58.17</v>
      </c>
      <c r="J460">
        <v>42.17</v>
      </c>
      <c r="K460">
        <v>28.9</v>
      </c>
      <c r="L460">
        <v>0</v>
      </c>
      <c r="M460">
        <v>0.24</v>
      </c>
      <c r="N460">
        <v>0.26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-49.88</v>
      </c>
      <c r="W460">
        <v>-50.8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159.9</v>
      </c>
      <c r="AE460">
        <v>205.98</v>
      </c>
      <c r="AF460">
        <v>229.93</v>
      </c>
      <c r="AG460">
        <v>228.54</v>
      </c>
      <c r="AM460">
        <v>115.17</v>
      </c>
      <c r="AN460">
        <v>205.98</v>
      </c>
      <c r="AO460">
        <v>226.89</v>
      </c>
      <c r="AP460">
        <v>225.12</v>
      </c>
      <c r="AV460">
        <v>136.47</v>
      </c>
      <c r="AW460">
        <v>213.67</v>
      </c>
      <c r="AX460">
        <v>83.81</v>
      </c>
    </row>
    <row r="461" spans="1:50">
      <c r="A461">
        <v>37.83</v>
      </c>
      <c r="B461">
        <v>150.34</v>
      </c>
      <c r="C461">
        <v>157.16999999999999</v>
      </c>
      <c r="D461">
        <v>157.66999999999999</v>
      </c>
      <c r="E461">
        <v>161.06</v>
      </c>
      <c r="F461">
        <v>62.28</v>
      </c>
      <c r="G461">
        <v>57.06</v>
      </c>
      <c r="H461">
        <v>53.67</v>
      </c>
      <c r="I461">
        <v>58.23</v>
      </c>
      <c r="J461">
        <v>42.28</v>
      </c>
      <c r="K461">
        <v>28.9</v>
      </c>
      <c r="L461">
        <v>0</v>
      </c>
      <c r="M461">
        <v>0.21</v>
      </c>
      <c r="N461">
        <v>7.0000000000000007E-2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41.8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160.61000000000001</v>
      </c>
      <c r="AE461">
        <v>204.44</v>
      </c>
      <c r="AF461">
        <v>212.25</v>
      </c>
      <c r="AG461">
        <v>209.48</v>
      </c>
      <c r="AM461">
        <v>115.33</v>
      </c>
      <c r="AN461">
        <v>204.44</v>
      </c>
      <c r="AO461">
        <v>208.02</v>
      </c>
      <c r="AP461">
        <v>204.9</v>
      </c>
      <c r="AV461">
        <v>136.6</v>
      </c>
      <c r="AW461">
        <v>213.01</v>
      </c>
      <c r="AX461">
        <v>82.79</v>
      </c>
    </row>
    <row r="462" spans="1:50">
      <c r="A462">
        <v>38</v>
      </c>
      <c r="B462">
        <v>150.28</v>
      </c>
      <c r="C462">
        <v>156.78</v>
      </c>
      <c r="D462">
        <v>157.34</v>
      </c>
      <c r="E462">
        <v>160.84</v>
      </c>
      <c r="F462">
        <v>62.4</v>
      </c>
      <c r="G462">
        <v>57.12</v>
      </c>
      <c r="H462">
        <v>53.84</v>
      </c>
      <c r="I462">
        <v>58.4</v>
      </c>
      <c r="J462">
        <v>42.45</v>
      </c>
      <c r="K462">
        <v>28.9</v>
      </c>
      <c r="L462">
        <v>0</v>
      </c>
      <c r="M462">
        <v>7.0000000000000007E-2</v>
      </c>
      <c r="N462">
        <v>0.12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6.77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161.32</v>
      </c>
      <c r="AE462">
        <v>183.01</v>
      </c>
      <c r="AF462">
        <v>210.58</v>
      </c>
      <c r="AG462">
        <v>212.18</v>
      </c>
      <c r="AM462">
        <v>115.51</v>
      </c>
      <c r="AN462">
        <v>183.01</v>
      </c>
      <c r="AO462">
        <v>207.17</v>
      </c>
      <c r="AP462">
        <v>208.27</v>
      </c>
      <c r="AV462">
        <v>136.75</v>
      </c>
      <c r="AW462">
        <v>212.34</v>
      </c>
      <c r="AX462">
        <v>81.790000000000006</v>
      </c>
    </row>
    <row r="463" spans="1:50">
      <c r="A463">
        <v>38.17</v>
      </c>
      <c r="B463">
        <v>150.51</v>
      </c>
      <c r="C463">
        <v>156.51</v>
      </c>
      <c r="D463">
        <v>157.12</v>
      </c>
      <c r="E463">
        <v>160.66999999999999</v>
      </c>
      <c r="F463">
        <v>62.45</v>
      </c>
      <c r="G463">
        <v>57.23</v>
      </c>
      <c r="H463">
        <v>53.95</v>
      </c>
      <c r="I463">
        <v>58.51</v>
      </c>
      <c r="J463">
        <v>42.56</v>
      </c>
      <c r="K463">
        <v>28.9</v>
      </c>
      <c r="L463">
        <v>0</v>
      </c>
      <c r="M463">
        <v>7.0000000000000007E-2</v>
      </c>
      <c r="N463">
        <v>7.0000000000000007E-2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54.89</v>
      </c>
      <c r="W463">
        <v>57.93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162.03</v>
      </c>
      <c r="AE463">
        <v>162.13</v>
      </c>
      <c r="AF463">
        <v>209.08</v>
      </c>
      <c r="AG463">
        <v>208.57</v>
      </c>
      <c r="AM463">
        <v>115.68</v>
      </c>
      <c r="AN463">
        <v>162.13</v>
      </c>
      <c r="AO463">
        <v>205.78</v>
      </c>
      <c r="AP463">
        <v>204.79</v>
      </c>
      <c r="AV463">
        <v>136.88</v>
      </c>
      <c r="AW463">
        <v>211.68</v>
      </c>
      <c r="AX463">
        <v>80.790000000000006</v>
      </c>
    </row>
    <row r="464" spans="1:50">
      <c r="A464">
        <v>38.33</v>
      </c>
      <c r="B464">
        <v>150.66999999999999</v>
      </c>
      <c r="C464">
        <v>156.16999999999999</v>
      </c>
      <c r="D464">
        <v>156.78</v>
      </c>
      <c r="E464">
        <v>160.56</v>
      </c>
      <c r="F464">
        <v>62.51</v>
      </c>
      <c r="G464">
        <v>57.28</v>
      </c>
      <c r="H464">
        <v>53.95</v>
      </c>
      <c r="I464">
        <v>58.62</v>
      </c>
      <c r="J464">
        <v>42.67</v>
      </c>
      <c r="K464">
        <v>28.95</v>
      </c>
      <c r="L464">
        <v>0</v>
      </c>
      <c r="M464">
        <v>0.24</v>
      </c>
      <c r="N464">
        <v>0.2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-0.31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162.72999999999999</v>
      </c>
      <c r="AE464">
        <v>149.15</v>
      </c>
      <c r="AF464">
        <v>209.66</v>
      </c>
      <c r="AG464">
        <v>209.41</v>
      </c>
      <c r="AM464">
        <v>115.84</v>
      </c>
      <c r="AN464">
        <v>149.15</v>
      </c>
      <c r="AO464">
        <v>206.68</v>
      </c>
      <c r="AP464">
        <v>206.04</v>
      </c>
      <c r="AV464">
        <v>136.97999999999999</v>
      </c>
      <c r="AW464">
        <v>211.02</v>
      </c>
      <c r="AX464">
        <v>79.819999999999993</v>
      </c>
    </row>
    <row r="465" spans="1:50">
      <c r="A465">
        <v>38.5</v>
      </c>
      <c r="B465">
        <v>151.12</v>
      </c>
      <c r="C465">
        <v>155.66999999999999</v>
      </c>
      <c r="D465">
        <v>156.22999999999999</v>
      </c>
      <c r="E465">
        <v>160.56</v>
      </c>
      <c r="F465">
        <v>62.56</v>
      </c>
      <c r="G465">
        <v>57.34</v>
      </c>
      <c r="H465">
        <v>54.06</v>
      </c>
      <c r="I465">
        <v>58.78</v>
      </c>
      <c r="J465">
        <v>42.84</v>
      </c>
      <c r="K465">
        <v>28.9</v>
      </c>
      <c r="L465">
        <v>0</v>
      </c>
      <c r="M465">
        <v>0.24</v>
      </c>
      <c r="N465">
        <v>0.26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0.01</v>
      </c>
      <c r="U465">
        <v>0</v>
      </c>
      <c r="V465">
        <v>0</v>
      </c>
      <c r="W465">
        <v>-2.38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9.6999999999999993</v>
      </c>
      <c r="AD465">
        <v>163.44</v>
      </c>
      <c r="AE465">
        <v>134.78</v>
      </c>
      <c r="AF465">
        <v>195.09</v>
      </c>
      <c r="AG465">
        <v>197.14</v>
      </c>
      <c r="AM465">
        <v>115.97</v>
      </c>
      <c r="AN465">
        <v>134.78</v>
      </c>
      <c r="AO465">
        <v>191.27</v>
      </c>
      <c r="AP465">
        <v>193.15</v>
      </c>
      <c r="AV465">
        <v>137.03</v>
      </c>
      <c r="AW465">
        <v>210.35</v>
      </c>
      <c r="AX465">
        <v>78.849999999999994</v>
      </c>
    </row>
    <row r="466" spans="1:50">
      <c r="A466">
        <v>38.67</v>
      </c>
      <c r="B466">
        <v>151.28</v>
      </c>
      <c r="C466">
        <v>155.56</v>
      </c>
      <c r="D466">
        <v>156.12</v>
      </c>
      <c r="E466">
        <v>160.72999999999999</v>
      </c>
      <c r="F466">
        <v>62.62</v>
      </c>
      <c r="G466">
        <v>57.45</v>
      </c>
      <c r="H466">
        <v>54.06</v>
      </c>
      <c r="I466">
        <v>58.9</v>
      </c>
      <c r="J466">
        <v>43.06</v>
      </c>
      <c r="K466">
        <v>28.95</v>
      </c>
      <c r="L466">
        <v>0</v>
      </c>
      <c r="M466">
        <v>0.2</v>
      </c>
      <c r="N466">
        <v>0.21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0.01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20.7</v>
      </c>
      <c r="AD466">
        <v>164.15</v>
      </c>
      <c r="AE466">
        <v>119.66</v>
      </c>
      <c r="AF466">
        <v>180.67</v>
      </c>
      <c r="AG466">
        <v>180.32</v>
      </c>
      <c r="AM466">
        <v>116.15</v>
      </c>
      <c r="AN466">
        <v>119.66</v>
      </c>
      <c r="AO466">
        <v>176.24</v>
      </c>
      <c r="AP466">
        <v>175.59</v>
      </c>
      <c r="AV466">
        <v>137.08000000000001</v>
      </c>
      <c r="AW466">
        <v>209.69</v>
      </c>
      <c r="AX466">
        <v>77.900000000000006</v>
      </c>
    </row>
    <row r="467" spans="1:50">
      <c r="A467">
        <v>38.83</v>
      </c>
      <c r="B467">
        <v>151.44999999999999</v>
      </c>
      <c r="C467">
        <v>155.51</v>
      </c>
      <c r="D467">
        <v>156.01</v>
      </c>
      <c r="E467">
        <v>161.01</v>
      </c>
      <c r="F467">
        <v>62.67</v>
      </c>
      <c r="G467">
        <v>57.51</v>
      </c>
      <c r="H467">
        <v>54.12</v>
      </c>
      <c r="I467">
        <v>58.95</v>
      </c>
      <c r="J467">
        <v>43.12</v>
      </c>
      <c r="K467">
        <v>28.9</v>
      </c>
      <c r="L467">
        <v>0</v>
      </c>
      <c r="M467">
        <v>0.23</v>
      </c>
      <c r="N467">
        <v>0.24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134.34</v>
      </c>
      <c r="AD467">
        <v>164.86</v>
      </c>
      <c r="AE467">
        <v>108.48</v>
      </c>
      <c r="AF467">
        <v>168.41</v>
      </c>
      <c r="AG467">
        <v>167.82</v>
      </c>
      <c r="AM467">
        <v>116.3</v>
      </c>
      <c r="AN467">
        <v>108.48</v>
      </c>
      <c r="AO467">
        <v>163.58000000000001</v>
      </c>
      <c r="AP467">
        <v>162.76</v>
      </c>
      <c r="AV467">
        <v>137.11000000000001</v>
      </c>
      <c r="AW467">
        <v>209.03</v>
      </c>
      <c r="AX467">
        <v>76.97</v>
      </c>
    </row>
    <row r="468" spans="1:50">
      <c r="A468">
        <v>39</v>
      </c>
      <c r="B468">
        <v>152.4</v>
      </c>
      <c r="C468">
        <v>155.56</v>
      </c>
      <c r="D468">
        <v>156.01</v>
      </c>
      <c r="E468">
        <v>162.28</v>
      </c>
      <c r="F468">
        <v>62.84</v>
      </c>
      <c r="G468">
        <v>57.67</v>
      </c>
      <c r="H468">
        <v>54.17</v>
      </c>
      <c r="I468">
        <v>59.17</v>
      </c>
      <c r="J468">
        <v>43.34</v>
      </c>
      <c r="K468">
        <v>28.9</v>
      </c>
      <c r="L468">
        <v>0</v>
      </c>
      <c r="M468">
        <v>0.18</v>
      </c>
      <c r="N468">
        <v>0.18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302.04000000000002</v>
      </c>
      <c r="AD468">
        <v>165.56</v>
      </c>
      <c r="AE468">
        <v>97.74</v>
      </c>
      <c r="AF468">
        <v>154.55000000000001</v>
      </c>
      <c r="AG468">
        <v>153.6</v>
      </c>
      <c r="AM468">
        <v>116.5</v>
      </c>
      <c r="AN468">
        <v>97.74</v>
      </c>
      <c r="AO468">
        <v>149.41</v>
      </c>
      <c r="AP468">
        <v>148.29</v>
      </c>
      <c r="AV468">
        <v>137.29</v>
      </c>
      <c r="AW468">
        <v>208.37</v>
      </c>
      <c r="AX468">
        <v>76.05</v>
      </c>
    </row>
    <row r="469" spans="1:50">
      <c r="A469">
        <v>39.17</v>
      </c>
      <c r="B469">
        <v>152.66999999999999</v>
      </c>
      <c r="C469">
        <v>155.34</v>
      </c>
      <c r="D469">
        <v>155.78</v>
      </c>
      <c r="E469">
        <v>162.4</v>
      </c>
      <c r="F469">
        <v>62.84</v>
      </c>
      <c r="G469">
        <v>57.78</v>
      </c>
      <c r="H469">
        <v>54.28</v>
      </c>
      <c r="I469">
        <v>59.28</v>
      </c>
      <c r="J469">
        <v>43.45</v>
      </c>
      <c r="K469">
        <v>28.9</v>
      </c>
      <c r="L469">
        <v>0</v>
      </c>
      <c r="M469">
        <v>0.16</v>
      </c>
      <c r="N469">
        <v>0.17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325.55</v>
      </c>
      <c r="AD469">
        <v>166.27</v>
      </c>
      <c r="AE469">
        <v>89.93</v>
      </c>
      <c r="AF469">
        <v>144.12</v>
      </c>
      <c r="AG469">
        <v>143.28</v>
      </c>
      <c r="AM469">
        <v>116.96</v>
      </c>
      <c r="AN469">
        <v>89.93</v>
      </c>
      <c r="AO469">
        <v>138.85</v>
      </c>
      <c r="AP469">
        <v>137.88999999999999</v>
      </c>
      <c r="AV469">
        <v>137.76</v>
      </c>
      <c r="AW469">
        <v>207.7</v>
      </c>
      <c r="AX469">
        <v>75.14</v>
      </c>
    </row>
    <row r="470" spans="1:50">
      <c r="A470">
        <v>39.33</v>
      </c>
      <c r="B470">
        <v>154.51</v>
      </c>
      <c r="C470">
        <v>155.12</v>
      </c>
      <c r="D470">
        <v>155.66999999999999</v>
      </c>
      <c r="E470">
        <v>162.16999999999999</v>
      </c>
      <c r="F470">
        <v>63.01</v>
      </c>
      <c r="G470">
        <v>57.84</v>
      </c>
      <c r="H470">
        <v>54.45</v>
      </c>
      <c r="I470">
        <v>59.34</v>
      </c>
      <c r="J470">
        <v>43.62</v>
      </c>
      <c r="K470">
        <v>28.9</v>
      </c>
      <c r="L470">
        <v>0</v>
      </c>
      <c r="M470">
        <v>7.0000000000000007E-2</v>
      </c>
      <c r="N470">
        <v>7.0000000000000007E-2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4</v>
      </c>
      <c r="W470">
        <v>9.99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469.65</v>
      </c>
      <c r="AD470">
        <v>166.98</v>
      </c>
      <c r="AE470">
        <v>81.75</v>
      </c>
      <c r="AF470">
        <v>135.19999999999999</v>
      </c>
      <c r="AG470">
        <v>134</v>
      </c>
      <c r="AM470">
        <v>117.43</v>
      </c>
      <c r="AN470">
        <v>81.75</v>
      </c>
      <c r="AO470">
        <v>129.88999999999999</v>
      </c>
      <c r="AP470">
        <v>128.61000000000001</v>
      </c>
      <c r="AV470">
        <v>138.26</v>
      </c>
      <c r="AW470">
        <v>207.04</v>
      </c>
      <c r="AX470">
        <v>74.25</v>
      </c>
    </row>
    <row r="471" spans="1:50">
      <c r="A471">
        <v>39.5</v>
      </c>
      <c r="B471">
        <v>156.06</v>
      </c>
      <c r="C471">
        <v>155.06</v>
      </c>
      <c r="D471">
        <v>155.51</v>
      </c>
      <c r="E471">
        <v>162.28</v>
      </c>
      <c r="F471">
        <v>63.01</v>
      </c>
      <c r="G471">
        <v>57.9</v>
      </c>
      <c r="H471">
        <v>54.62</v>
      </c>
      <c r="I471">
        <v>59.51</v>
      </c>
      <c r="J471">
        <v>43.73</v>
      </c>
      <c r="K471">
        <v>28.95</v>
      </c>
      <c r="L471">
        <v>0</v>
      </c>
      <c r="M471">
        <v>0.09</v>
      </c>
      <c r="N471">
        <v>0.1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474.25</v>
      </c>
      <c r="AD471">
        <v>167.69</v>
      </c>
      <c r="AE471">
        <v>77.02</v>
      </c>
      <c r="AF471">
        <v>131.63999999999999</v>
      </c>
      <c r="AG471">
        <v>130.91</v>
      </c>
      <c r="AM471">
        <v>118.13</v>
      </c>
      <c r="AN471">
        <v>77.02</v>
      </c>
      <c r="AO471">
        <v>126.35</v>
      </c>
      <c r="AP471">
        <v>125.61</v>
      </c>
      <c r="AV471">
        <v>138.99</v>
      </c>
      <c r="AW471">
        <v>206.38</v>
      </c>
      <c r="AX471">
        <v>73.36</v>
      </c>
    </row>
    <row r="472" spans="1:50">
      <c r="A472">
        <v>39.67</v>
      </c>
      <c r="B472">
        <v>156.84</v>
      </c>
      <c r="C472">
        <v>155.16999999999999</v>
      </c>
      <c r="D472">
        <v>155.72999999999999</v>
      </c>
      <c r="E472">
        <v>162.28</v>
      </c>
      <c r="F472">
        <v>63.01</v>
      </c>
      <c r="G472">
        <v>58.01</v>
      </c>
      <c r="H472">
        <v>54.84</v>
      </c>
      <c r="I472">
        <v>59.62</v>
      </c>
      <c r="J472">
        <v>43.95</v>
      </c>
      <c r="K472">
        <v>28.9</v>
      </c>
      <c r="L472">
        <v>0</v>
      </c>
      <c r="M472">
        <v>0.1</v>
      </c>
      <c r="N472">
        <v>0.1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650.88</v>
      </c>
      <c r="AD472">
        <v>168.39</v>
      </c>
      <c r="AE472">
        <v>74.02</v>
      </c>
      <c r="AF472">
        <v>126.49</v>
      </c>
      <c r="AG472">
        <v>125.65</v>
      </c>
      <c r="AM472">
        <v>118.82</v>
      </c>
      <c r="AN472">
        <v>74.02</v>
      </c>
      <c r="AO472">
        <v>121.17</v>
      </c>
      <c r="AP472">
        <v>120.34</v>
      </c>
      <c r="AV472">
        <v>139.72999999999999</v>
      </c>
      <c r="AW472">
        <v>205.71</v>
      </c>
      <c r="AX472">
        <v>72.5</v>
      </c>
    </row>
    <row r="473" spans="1:50">
      <c r="A473">
        <v>39.83</v>
      </c>
      <c r="B473">
        <v>156.84</v>
      </c>
      <c r="C473">
        <v>155.4</v>
      </c>
      <c r="D473">
        <v>156.01</v>
      </c>
      <c r="E473">
        <v>162.12</v>
      </c>
      <c r="F473">
        <v>63.12</v>
      </c>
      <c r="G473">
        <v>58.12</v>
      </c>
      <c r="H473">
        <v>54.9</v>
      </c>
      <c r="I473">
        <v>59.78</v>
      </c>
      <c r="J473">
        <v>44.06</v>
      </c>
      <c r="K473">
        <v>28.95</v>
      </c>
      <c r="L473">
        <v>0</v>
      </c>
      <c r="M473">
        <v>0.11</v>
      </c>
      <c r="N473">
        <v>0.11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552.83000000000004</v>
      </c>
      <c r="AD473">
        <v>169.1</v>
      </c>
      <c r="AE473">
        <v>70.37</v>
      </c>
      <c r="AF473">
        <v>121.27</v>
      </c>
      <c r="AG473">
        <v>120.54</v>
      </c>
      <c r="AM473">
        <v>119.79</v>
      </c>
      <c r="AN473">
        <v>70.37</v>
      </c>
      <c r="AO473">
        <v>115.96</v>
      </c>
      <c r="AP473">
        <v>115.24</v>
      </c>
      <c r="AV473">
        <v>140.77000000000001</v>
      </c>
      <c r="AW473">
        <v>205.05</v>
      </c>
      <c r="AX473">
        <v>71.64</v>
      </c>
    </row>
    <row r="474" spans="1:50">
      <c r="A474">
        <v>40</v>
      </c>
      <c r="B474">
        <v>157.01</v>
      </c>
      <c r="C474">
        <v>156.34</v>
      </c>
      <c r="D474">
        <v>157.01</v>
      </c>
      <c r="E474">
        <v>162.01</v>
      </c>
      <c r="F474">
        <v>63.17</v>
      </c>
      <c r="G474">
        <v>58.17</v>
      </c>
      <c r="H474">
        <v>54.9</v>
      </c>
      <c r="I474">
        <v>59.9</v>
      </c>
      <c r="J474">
        <v>44.28</v>
      </c>
      <c r="K474">
        <v>28.9</v>
      </c>
      <c r="L474">
        <v>0</v>
      </c>
      <c r="M474">
        <v>0.1</v>
      </c>
      <c r="N474">
        <v>0.1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593.13</v>
      </c>
      <c r="AD474">
        <v>169.81</v>
      </c>
      <c r="AE474">
        <v>64.47</v>
      </c>
      <c r="AF474">
        <v>115.64</v>
      </c>
      <c r="AG474">
        <v>114.96</v>
      </c>
      <c r="AM474">
        <v>120.6</v>
      </c>
      <c r="AN474">
        <v>64.47</v>
      </c>
      <c r="AO474">
        <v>110.35</v>
      </c>
      <c r="AP474">
        <v>109.68</v>
      </c>
      <c r="AV474">
        <v>141.63</v>
      </c>
      <c r="AW474">
        <v>204.39</v>
      </c>
      <c r="AX474">
        <v>70.8</v>
      </c>
    </row>
    <row r="475" spans="1:50">
      <c r="A475">
        <v>40.17</v>
      </c>
      <c r="B475">
        <v>156.51</v>
      </c>
      <c r="C475">
        <v>157.66999999999999</v>
      </c>
      <c r="D475">
        <v>158.28</v>
      </c>
      <c r="E475">
        <v>162.06</v>
      </c>
      <c r="F475">
        <v>63.34</v>
      </c>
      <c r="G475">
        <v>58.34</v>
      </c>
      <c r="H475">
        <v>55.01</v>
      </c>
      <c r="I475">
        <v>60.06</v>
      </c>
      <c r="J475">
        <v>44.45</v>
      </c>
      <c r="K475">
        <v>28.9</v>
      </c>
      <c r="L475">
        <v>0</v>
      </c>
      <c r="M475">
        <v>0.09</v>
      </c>
      <c r="N475">
        <v>0.09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681.78</v>
      </c>
      <c r="AD475">
        <v>170.52</v>
      </c>
      <c r="AE475">
        <v>60.14</v>
      </c>
      <c r="AF475">
        <v>110.64</v>
      </c>
      <c r="AG475">
        <v>109.69</v>
      </c>
      <c r="AM475">
        <v>121.46</v>
      </c>
      <c r="AN475">
        <v>60.14</v>
      </c>
      <c r="AO475">
        <v>105.35</v>
      </c>
      <c r="AP475">
        <v>104.43</v>
      </c>
      <c r="AV475">
        <v>142.55000000000001</v>
      </c>
      <c r="AW475">
        <v>203.72</v>
      </c>
      <c r="AX475">
        <v>69.97</v>
      </c>
    </row>
    <row r="476" spans="1:50">
      <c r="A476">
        <v>40.33</v>
      </c>
      <c r="B476">
        <v>156.84</v>
      </c>
      <c r="C476">
        <v>158.16999999999999</v>
      </c>
      <c r="D476">
        <v>158.84</v>
      </c>
      <c r="E476">
        <v>162.22999999999999</v>
      </c>
      <c r="F476">
        <v>63.4</v>
      </c>
      <c r="G476">
        <v>58.4</v>
      </c>
      <c r="H476">
        <v>55.01</v>
      </c>
      <c r="I476">
        <v>60.17</v>
      </c>
      <c r="J476">
        <v>44.56</v>
      </c>
      <c r="K476">
        <v>28.95</v>
      </c>
      <c r="L476">
        <v>0</v>
      </c>
      <c r="M476">
        <v>0.1</v>
      </c>
      <c r="N476">
        <v>0.1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671.4</v>
      </c>
      <c r="AD476">
        <v>171.22</v>
      </c>
      <c r="AE476">
        <v>56.58</v>
      </c>
      <c r="AF476">
        <v>105.94</v>
      </c>
      <c r="AG476">
        <v>105.18</v>
      </c>
      <c r="AM476">
        <v>122.45</v>
      </c>
      <c r="AN476">
        <v>56.58</v>
      </c>
      <c r="AO476">
        <v>100.67</v>
      </c>
      <c r="AP476">
        <v>99.95</v>
      </c>
      <c r="AV476">
        <v>143.62</v>
      </c>
      <c r="AW476">
        <v>203.06</v>
      </c>
      <c r="AX476">
        <v>69.16</v>
      </c>
    </row>
    <row r="477" spans="1:50">
      <c r="A477">
        <v>40.5</v>
      </c>
      <c r="B477">
        <v>157.4</v>
      </c>
      <c r="C477">
        <v>158.51</v>
      </c>
      <c r="D477">
        <v>159.16999999999999</v>
      </c>
      <c r="E477">
        <v>162.62</v>
      </c>
      <c r="F477">
        <v>63.56</v>
      </c>
      <c r="G477">
        <v>58.51</v>
      </c>
      <c r="H477">
        <v>55.06</v>
      </c>
      <c r="I477">
        <v>60.34</v>
      </c>
      <c r="J477">
        <v>44.73</v>
      </c>
      <c r="K477">
        <v>28.9</v>
      </c>
      <c r="L477">
        <v>0</v>
      </c>
      <c r="M477">
        <v>7.0000000000000007E-2</v>
      </c>
      <c r="N477">
        <v>7.0000000000000007E-2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8.36</v>
      </c>
      <c r="W477">
        <v>12.34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804.12</v>
      </c>
      <c r="AD477">
        <v>171.93</v>
      </c>
      <c r="AE477">
        <v>53.9</v>
      </c>
      <c r="AF477">
        <v>101.18</v>
      </c>
      <c r="AG477">
        <v>100.32</v>
      </c>
      <c r="AM477">
        <v>123.42</v>
      </c>
      <c r="AN477">
        <v>53.9</v>
      </c>
      <c r="AO477">
        <v>95.94</v>
      </c>
      <c r="AP477">
        <v>95.12</v>
      </c>
      <c r="AV477">
        <v>144.66</v>
      </c>
      <c r="AW477">
        <v>202.4</v>
      </c>
      <c r="AX477">
        <v>68.36</v>
      </c>
    </row>
    <row r="478" spans="1:50">
      <c r="A478">
        <v>40.67</v>
      </c>
      <c r="B478">
        <v>157.72999999999999</v>
      </c>
      <c r="C478">
        <v>158.62</v>
      </c>
      <c r="D478">
        <v>159.34</v>
      </c>
      <c r="E478">
        <v>162.56</v>
      </c>
      <c r="F478">
        <v>63.73</v>
      </c>
      <c r="G478">
        <v>58.73</v>
      </c>
      <c r="H478">
        <v>55.12</v>
      </c>
      <c r="I478">
        <v>60.51</v>
      </c>
      <c r="J478">
        <v>44.9</v>
      </c>
      <c r="K478">
        <v>28.9</v>
      </c>
      <c r="L478">
        <v>0</v>
      </c>
      <c r="M478">
        <v>7.0000000000000007E-2</v>
      </c>
      <c r="N478">
        <v>7.0000000000000007E-2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12.31</v>
      </c>
      <c r="W478">
        <v>11.67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967.47</v>
      </c>
      <c r="AD478">
        <v>172.64</v>
      </c>
      <c r="AE478">
        <v>51.57</v>
      </c>
      <c r="AF478">
        <v>98.38</v>
      </c>
      <c r="AG478">
        <v>97.82</v>
      </c>
      <c r="AM478">
        <v>124.6</v>
      </c>
      <c r="AN478">
        <v>51.57</v>
      </c>
      <c r="AO478">
        <v>93.25</v>
      </c>
      <c r="AP478">
        <v>92.76</v>
      </c>
      <c r="AV478">
        <v>145.93</v>
      </c>
      <c r="AW478">
        <v>201.73</v>
      </c>
      <c r="AX478">
        <v>67.569999999999993</v>
      </c>
    </row>
    <row r="479" spans="1:50">
      <c r="A479">
        <v>40.83</v>
      </c>
      <c r="B479">
        <v>157.44999999999999</v>
      </c>
      <c r="C479">
        <v>158.62</v>
      </c>
      <c r="D479">
        <v>159.51</v>
      </c>
      <c r="E479">
        <v>162.44999999999999</v>
      </c>
      <c r="F479">
        <v>63.84</v>
      </c>
      <c r="G479">
        <v>58.78</v>
      </c>
      <c r="H479">
        <v>55.23</v>
      </c>
      <c r="I479">
        <v>60.67</v>
      </c>
      <c r="J479">
        <v>45.06</v>
      </c>
      <c r="K479">
        <v>28.9</v>
      </c>
      <c r="L479">
        <v>0</v>
      </c>
      <c r="M479">
        <v>0.1</v>
      </c>
      <c r="N479">
        <v>0.1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929.08</v>
      </c>
      <c r="AD479">
        <v>173.35</v>
      </c>
      <c r="AE479">
        <v>48.81</v>
      </c>
      <c r="AF479">
        <v>95.9</v>
      </c>
      <c r="AG479">
        <v>95.29</v>
      </c>
      <c r="AM479">
        <v>126.03</v>
      </c>
      <c r="AN479">
        <v>48.81</v>
      </c>
      <c r="AO479">
        <v>90.89</v>
      </c>
      <c r="AP479">
        <v>90.36</v>
      </c>
      <c r="AV479">
        <v>147.47999999999999</v>
      </c>
      <c r="AW479">
        <v>201.07</v>
      </c>
      <c r="AX479">
        <v>66.790000000000006</v>
      </c>
    </row>
    <row r="480" spans="1:50">
      <c r="A480">
        <v>41</v>
      </c>
      <c r="B480">
        <v>157.44999999999999</v>
      </c>
      <c r="C480">
        <v>158.4</v>
      </c>
      <c r="D480">
        <v>159.12</v>
      </c>
      <c r="E480">
        <v>162.22999999999999</v>
      </c>
      <c r="F480">
        <v>63.9</v>
      </c>
      <c r="G480">
        <v>58.9</v>
      </c>
      <c r="H480">
        <v>55.28</v>
      </c>
      <c r="I480">
        <v>60.78</v>
      </c>
      <c r="J480">
        <v>45.17</v>
      </c>
      <c r="K480">
        <v>28.9</v>
      </c>
      <c r="L480">
        <v>0</v>
      </c>
      <c r="M480">
        <v>7.0000000000000007E-2</v>
      </c>
      <c r="N480">
        <v>7.0000000000000007E-2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29.74</v>
      </c>
      <c r="W480">
        <v>32.03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1056.3800000000001</v>
      </c>
      <c r="AD480">
        <v>174.05</v>
      </c>
      <c r="AE480">
        <v>46.14</v>
      </c>
      <c r="AF480">
        <v>91.33</v>
      </c>
      <c r="AG480">
        <v>90.51</v>
      </c>
      <c r="AM480">
        <v>127.39</v>
      </c>
      <c r="AN480">
        <v>46.14</v>
      </c>
      <c r="AO480">
        <v>86.35</v>
      </c>
      <c r="AP480">
        <v>85.6</v>
      </c>
      <c r="AV480">
        <v>148.96</v>
      </c>
      <c r="AW480">
        <v>200.41</v>
      </c>
      <c r="AX480">
        <v>66.02</v>
      </c>
    </row>
    <row r="481" spans="1:50">
      <c r="A481">
        <v>41.17</v>
      </c>
      <c r="B481">
        <v>157.51</v>
      </c>
      <c r="C481">
        <v>158.16999999999999</v>
      </c>
      <c r="D481">
        <v>159.01</v>
      </c>
      <c r="E481">
        <v>162.01</v>
      </c>
      <c r="F481">
        <v>63.9</v>
      </c>
      <c r="G481">
        <v>58.95</v>
      </c>
      <c r="H481">
        <v>55.4</v>
      </c>
      <c r="I481">
        <v>60.9</v>
      </c>
      <c r="J481">
        <v>45.34</v>
      </c>
      <c r="K481">
        <v>28.95</v>
      </c>
      <c r="L481">
        <v>0</v>
      </c>
      <c r="M481">
        <v>0.08</v>
      </c>
      <c r="N481">
        <v>0.08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1060.52</v>
      </c>
      <c r="AD481">
        <v>174.76</v>
      </c>
      <c r="AE481">
        <v>44.44</v>
      </c>
      <c r="AF481">
        <v>90.22</v>
      </c>
      <c r="AG481">
        <v>89.61</v>
      </c>
      <c r="AM481">
        <v>128.96</v>
      </c>
      <c r="AN481">
        <v>44.44</v>
      </c>
      <c r="AO481">
        <v>85.51</v>
      </c>
      <c r="AP481">
        <v>85</v>
      </c>
      <c r="AV481">
        <v>150.66</v>
      </c>
      <c r="AW481">
        <v>199.75</v>
      </c>
      <c r="AX481">
        <v>65.27</v>
      </c>
    </row>
    <row r="482" spans="1:50">
      <c r="A482">
        <v>41.33</v>
      </c>
      <c r="B482">
        <v>157.66999999999999</v>
      </c>
      <c r="C482">
        <v>158.12</v>
      </c>
      <c r="D482">
        <v>158.84</v>
      </c>
      <c r="E482">
        <v>162.12</v>
      </c>
      <c r="F482">
        <v>63.95</v>
      </c>
      <c r="G482">
        <v>59.17</v>
      </c>
      <c r="H482">
        <v>55.45</v>
      </c>
      <c r="I482">
        <v>61.01</v>
      </c>
      <c r="J482">
        <v>45.45</v>
      </c>
      <c r="K482">
        <v>28.9</v>
      </c>
      <c r="L482">
        <v>0</v>
      </c>
      <c r="M482">
        <v>7.0000000000000007E-2</v>
      </c>
      <c r="N482">
        <v>7.0000000000000007E-2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4.7</v>
      </c>
      <c r="W482">
        <v>5.31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1144.97</v>
      </c>
      <c r="AD482">
        <v>175.47</v>
      </c>
      <c r="AE482">
        <v>42.89</v>
      </c>
      <c r="AF482">
        <v>86.53</v>
      </c>
      <c r="AG482">
        <v>85.96</v>
      </c>
      <c r="AM482">
        <v>130.52000000000001</v>
      </c>
      <c r="AN482">
        <v>42.89</v>
      </c>
      <c r="AO482">
        <v>81.83</v>
      </c>
      <c r="AP482">
        <v>81.349999999999994</v>
      </c>
      <c r="AV482">
        <v>152.36000000000001</v>
      </c>
      <c r="AW482">
        <v>199.08</v>
      </c>
      <c r="AX482">
        <v>64.52</v>
      </c>
    </row>
    <row r="483" spans="1:50">
      <c r="A483">
        <v>41.5</v>
      </c>
      <c r="B483">
        <v>158.01</v>
      </c>
      <c r="C483">
        <v>158.01</v>
      </c>
      <c r="D483">
        <v>158.66999999999999</v>
      </c>
      <c r="E483">
        <v>162.01</v>
      </c>
      <c r="F483">
        <v>63.95</v>
      </c>
      <c r="G483">
        <v>59.17</v>
      </c>
      <c r="H483">
        <v>55.45</v>
      </c>
      <c r="I483">
        <v>61.17</v>
      </c>
      <c r="J483">
        <v>45.56</v>
      </c>
      <c r="K483">
        <v>28.95</v>
      </c>
      <c r="L483">
        <v>0</v>
      </c>
      <c r="M483">
        <v>7.0000000000000007E-2</v>
      </c>
      <c r="N483">
        <v>7.0000000000000007E-2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2.36</v>
      </c>
      <c r="W483">
        <v>2.27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1038.31</v>
      </c>
      <c r="AD483">
        <v>176.18</v>
      </c>
      <c r="AE483">
        <v>41.28</v>
      </c>
      <c r="AF483">
        <v>83.73</v>
      </c>
      <c r="AG483">
        <v>83.19</v>
      </c>
      <c r="AM483">
        <v>132.21</v>
      </c>
      <c r="AN483">
        <v>41.28</v>
      </c>
      <c r="AO483">
        <v>79.09</v>
      </c>
      <c r="AP483">
        <v>78.650000000000006</v>
      </c>
      <c r="AV483">
        <v>154.21</v>
      </c>
      <c r="AW483">
        <v>198.42</v>
      </c>
      <c r="AX483">
        <v>63.79</v>
      </c>
    </row>
    <row r="484" spans="1:50">
      <c r="A484">
        <v>41.67</v>
      </c>
      <c r="B484">
        <v>157.72999999999999</v>
      </c>
      <c r="C484">
        <v>157.84</v>
      </c>
      <c r="D484">
        <v>158.51</v>
      </c>
      <c r="E484">
        <v>162.01</v>
      </c>
      <c r="F484">
        <v>63.95</v>
      </c>
      <c r="G484">
        <v>59.28</v>
      </c>
      <c r="H484">
        <v>55.45</v>
      </c>
      <c r="I484">
        <v>61.34</v>
      </c>
      <c r="J484">
        <v>45.73</v>
      </c>
      <c r="K484">
        <v>28.95</v>
      </c>
      <c r="L484">
        <v>0</v>
      </c>
      <c r="M484">
        <v>7.0000000000000007E-2</v>
      </c>
      <c r="N484">
        <v>7.0000000000000007E-2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5.56</v>
      </c>
      <c r="W484">
        <v>4.37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1111.0999999999999</v>
      </c>
      <c r="AD484">
        <v>176.88</v>
      </c>
      <c r="AE484">
        <v>39.590000000000003</v>
      </c>
      <c r="AF484">
        <v>80.84</v>
      </c>
      <c r="AG484">
        <v>80.290000000000006</v>
      </c>
      <c r="AM484">
        <v>133.72999999999999</v>
      </c>
      <c r="AN484">
        <v>39.590000000000003</v>
      </c>
      <c r="AO484">
        <v>76.25</v>
      </c>
      <c r="AP484">
        <v>75.790000000000006</v>
      </c>
      <c r="AV484">
        <v>155.86000000000001</v>
      </c>
      <c r="AW484">
        <v>197.76</v>
      </c>
      <c r="AX484">
        <v>63.07</v>
      </c>
    </row>
    <row r="485" spans="1:50">
      <c r="A485">
        <v>41.83</v>
      </c>
      <c r="B485">
        <v>157.22999999999999</v>
      </c>
      <c r="C485">
        <v>157.51</v>
      </c>
      <c r="D485">
        <v>158.06</v>
      </c>
      <c r="E485">
        <v>162.56</v>
      </c>
      <c r="F485">
        <v>64.06</v>
      </c>
      <c r="G485">
        <v>59.34</v>
      </c>
      <c r="H485">
        <v>55.4</v>
      </c>
      <c r="I485">
        <v>61.56</v>
      </c>
      <c r="J485">
        <v>45.9</v>
      </c>
      <c r="K485">
        <v>28.9</v>
      </c>
      <c r="L485">
        <v>0</v>
      </c>
      <c r="M485">
        <v>0.09</v>
      </c>
      <c r="N485">
        <v>0.1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1153.28</v>
      </c>
      <c r="AD485">
        <v>177.59</v>
      </c>
      <c r="AE485">
        <v>39.01</v>
      </c>
      <c r="AF485">
        <v>78.27</v>
      </c>
      <c r="AG485">
        <v>77.62</v>
      </c>
      <c r="AM485">
        <v>135.36000000000001</v>
      </c>
      <c r="AN485">
        <v>39.01</v>
      </c>
      <c r="AO485">
        <v>73.760000000000005</v>
      </c>
      <c r="AP485">
        <v>73.19</v>
      </c>
      <c r="AV485">
        <v>157.63</v>
      </c>
      <c r="AW485">
        <v>197.09</v>
      </c>
      <c r="AX485">
        <v>62.37</v>
      </c>
    </row>
    <row r="486" spans="1:50">
      <c r="A486">
        <v>42</v>
      </c>
      <c r="B486">
        <v>157.4</v>
      </c>
      <c r="C486">
        <v>157.34</v>
      </c>
      <c r="D486">
        <v>157.72999999999999</v>
      </c>
      <c r="E486">
        <v>163.84</v>
      </c>
      <c r="F486">
        <v>64.17</v>
      </c>
      <c r="G486">
        <v>59.51</v>
      </c>
      <c r="H486">
        <v>55.51</v>
      </c>
      <c r="I486">
        <v>61.62</v>
      </c>
      <c r="J486">
        <v>46.01</v>
      </c>
      <c r="K486">
        <v>28.9</v>
      </c>
      <c r="L486">
        <v>0</v>
      </c>
      <c r="M486">
        <v>0.09</v>
      </c>
      <c r="N486">
        <v>0.09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1111.07</v>
      </c>
      <c r="AD486">
        <v>178.3</v>
      </c>
      <c r="AE486">
        <v>37.29</v>
      </c>
      <c r="AF486">
        <v>74.599999999999994</v>
      </c>
      <c r="AG486">
        <v>73.91</v>
      </c>
      <c r="AM486">
        <v>137.05000000000001</v>
      </c>
      <c r="AN486">
        <v>37.29</v>
      </c>
      <c r="AO486">
        <v>70.14</v>
      </c>
      <c r="AP486">
        <v>69.53</v>
      </c>
      <c r="AV486">
        <v>159.47</v>
      </c>
      <c r="AW486">
        <v>196.43</v>
      </c>
      <c r="AX486">
        <v>61.67</v>
      </c>
    </row>
    <row r="487" spans="1:50">
      <c r="A487">
        <v>42.17</v>
      </c>
      <c r="B487">
        <v>158.01</v>
      </c>
      <c r="C487">
        <v>157.28</v>
      </c>
      <c r="D487">
        <v>157.62</v>
      </c>
      <c r="E487">
        <v>164.4</v>
      </c>
      <c r="F487">
        <v>64.28</v>
      </c>
      <c r="G487">
        <v>59.67</v>
      </c>
      <c r="H487">
        <v>55.62</v>
      </c>
      <c r="I487">
        <v>61.78</v>
      </c>
      <c r="J487">
        <v>46.17</v>
      </c>
      <c r="K487">
        <v>28.9</v>
      </c>
      <c r="L487">
        <v>0</v>
      </c>
      <c r="M487">
        <v>7.0000000000000007E-2</v>
      </c>
      <c r="N487">
        <v>7.0000000000000007E-2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4.21</v>
      </c>
      <c r="W487">
        <v>5.41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1016.87</v>
      </c>
      <c r="AD487">
        <v>179.01</v>
      </c>
      <c r="AE487">
        <v>36.78</v>
      </c>
      <c r="AF487">
        <v>71.34</v>
      </c>
      <c r="AG487">
        <v>70.73</v>
      </c>
      <c r="AM487">
        <v>138.66999999999999</v>
      </c>
      <c r="AN487">
        <v>36.78</v>
      </c>
      <c r="AO487">
        <v>66.95</v>
      </c>
      <c r="AP487">
        <v>66.42</v>
      </c>
      <c r="AV487">
        <v>161.24</v>
      </c>
      <c r="AW487">
        <v>195.77</v>
      </c>
      <c r="AX487">
        <v>60.99</v>
      </c>
    </row>
    <row r="488" spans="1:50">
      <c r="A488">
        <v>42.33</v>
      </c>
      <c r="B488">
        <v>159.01</v>
      </c>
      <c r="C488">
        <v>157.01</v>
      </c>
      <c r="D488">
        <v>157.22999999999999</v>
      </c>
      <c r="E488">
        <v>164.51</v>
      </c>
      <c r="F488">
        <v>64.34</v>
      </c>
      <c r="G488">
        <v>59.67</v>
      </c>
      <c r="H488">
        <v>55.67</v>
      </c>
      <c r="I488">
        <v>61.95</v>
      </c>
      <c r="J488">
        <v>46.28</v>
      </c>
      <c r="K488">
        <v>28.9</v>
      </c>
      <c r="L488">
        <v>0</v>
      </c>
      <c r="M488">
        <v>7.0000000000000007E-2</v>
      </c>
      <c r="N488">
        <v>7.0000000000000007E-2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0.35</v>
      </c>
      <c r="W488">
        <v>0.68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1096.42</v>
      </c>
      <c r="AD488">
        <v>179.71</v>
      </c>
      <c r="AE488">
        <v>35.74</v>
      </c>
      <c r="AF488">
        <v>69.16</v>
      </c>
      <c r="AG488">
        <v>68.64</v>
      </c>
      <c r="AM488">
        <v>140.13</v>
      </c>
      <c r="AN488">
        <v>35.74</v>
      </c>
      <c r="AO488">
        <v>64.87</v>
      </c>
      <c r="AP488">
        <v>64.44</v>
      </c>
      <c r="AV488">
        <v>162.83000000000001</v>
      </c>
      <c r="AW488">
        <v>195.1</v>
      </c>
      <c r="AX488">
        <v>60.31</v>
      </c>
    </row>
    <row r="489" spans="1:50">
      <c r="A489">
        <v>42.5</v>
      </c>
      <c r="B489">
        <v>159.62</v>
      </c>
      <c r="C489">
        <v>157.12</v>
      </c>
      <c r="D489">
        <v>157.16999999999999</v>
      </c>
      <c r="E489">
        <v>164.23</v>
      </c>
      <c r="F489">
        <v>64.45</v>
      </c>
      <c r="G489">
        <v>59.84</v>
      </c>
      <c r="H489">
        <v>55.78</v>
      </c>
      <c r="I489">
        <v>62.12</v>
      </c>
      <c r="J489">
        <v>46.4</v>
      </c>
      <c r="K489">
        <v>28.9</v>
      </c>
      <c r="L489">
        <v>0</v>
      </c>
      <c r="M489">
        <v>7.0000000000000007E-2</v>
      </c>
      <c r="N489">
        <v>7.0000000000000007E-2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5.36</v>
      </c>
      <c r="W489">
        <v>2.94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1075.4100000000001</v>
      </c>
      <c r="AD489">
        <v>180.42</v>
      </c>
      <c r="AE489">
        <v>35.57</v>
      </c>
      <c r="AF489">
        <v>66.78</v>
      </c>
      <c r="AG489">
        <v>66.28</v>
      </c>
      <c r="AM489">
        <v>141.72</v>
      </c>
      <c r="AN489">
        <v>35.57</v>
      </c>
      <c r="AO489">
        <v>62.57</v>
      </c>
      <c r="AP489">
        <v>62.16</v>
      </c>
      <c r="AV489">
        <v>164.55</v>
      </c>
      <c r="AW489">
        <v>194.44</v>
      </c>
      <c r="AX489">
        <v>59.65</v>
      </c>
    </row>
    <row r="490" spans="1:50">
      <c r="A490">
        <v>42.67</v>
      </c>
      <c r="B490">
        <v>159.62</v>
      </c>
      <c r="C490">
        <v>157.12</v>
      </c>
      <c r="D490">
        <v>157.16999999999999</v>
      </c>
      <c r="E490">
        <v>164.12</v>
      </c>
      <c r="F490">
        <v>64.510000000000005</v>
      </c>
      <c r="G490">
        <v>59.95</v>
      </c>
      <c r="H490">
        <v>55.95</v>
      </c>
      <c r="I490">
        <v>62.23</v>
      </c>
      <c r="J490">
        <v>46.56</v>
      </c>
      <c r="K490">
        <v>28.9</v>
      </c>
      <c r="L490">
        <v>0</v>
      </c>
      <c r="M490">
        <v>7.0000000000000007E-2</v>
      </c>
      <c r="N490">
        <v>7.0000000000000007E-2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5.8</v>
      </c>
      <c r="W490">
        <v>4.84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939.42</v>
      </c>
      <c r="AD490">
        <v>181.13</v>
      </c>
      <c r="AE490">
        <v>35.46</v>
      </c>
      <c r="AF490">
        <v>64.92</v>
      </c>
      <c r="AG490">
        <v>64.25</v>
      </c>
      <c r="AM490">
        <v>143.27000000000001</v>
      </c>
      <c r="AN490">
        <v>35.46</v>
      </c>
      <c r="AO490">
        <v>60.83</v>
      </c>
      <c r="AP490">
        <v>60.23</v>
      </c>
      <c r="AV490">
        <v>166.24</v>
      </c>
      <c r="AW490">
        <v>193.78</v>
      </c>
      <c r="AX490">
        <v>58.99</v>
      </c>
    </row>
    <row r="491" spans="1:50">
      <c r="A491">
        <v>42.83</v>
      </c>
      <c r="B491">
        <v>159.28</v>
      </c>
      <c r="C491">
        <v>157.72999999999999</v>
      </c>
      <c r="D491">
        <v>157.84</v>
      </c>
      <c r="E491">
        <v>164.23</v>
      </c>
      <c r="F491">
        <v>64.56</v>
      </c>
      <c r="G491">
        <v>60.06</v>
      </c>
      <c r="H491">
        <v>56.01</v>
      </c>
      <c r="I491">
        <v>62.4</v>
      </c>
      <c r="J491">
        <v>46.78</v>
      </c>
      <c r="K491">
        <v>28.95</v>
      </c>
      <c r="L491">
        <v>0</v>
      </c>
      <c r="M491">
        <v>7.0000000000000007E-2</v>
      </c>
      <c r="N491">
        <v>7.0000000000000007E-2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6.46</v>
      </c>
      <c r="W491">
        <v>7.2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872.65</v>
      </c>
      <c r="AD491">
        <v>181.84</v>
      </c>
      <c r="AE491">
        <v>34.6</v>
      </c>
      <c r="AF491">
        <v>63.21</v>
      </c>
      <c r="AG491">
        <v>62.49</v>
      </c>
      <c r="AM491">
        <v>144.61000000000001</v>
      </c>
      <c r="AN491">
        <v>34.6</v>
      </c>
      <c r="AO491">
        <v>59.26</v>
      </c>
      <c r="AP491">
        <v>58.61</v>
      </c>
      <c r="AV491">
        <v>167.68</v>
      </c>
      <c r="AW491">
        <v>193.12</v>
      </c>
      <c r="AX491">
        <v>58.35</v>
      </c>
    </row>
    <row r="492" spans="1:50">
      <c r="A492">
        <v>43</v>
      </c>
      <c r="B492">
        <v>159.12</v>
      </c>
      <c r="C492">
        <v>159.12</v>
      </c>
      <c r="D492">
        <v>159.51</v>
      </c>
      <c r="E492">
        <v>164.28</v>
      </c>
      <c r="F492">
        <v>64.67</v>
      </c>
      <c r="G492">
        <v>60.23</v>
      </c>
      <c r="H492">
        <v>56.23</v>
      </c>
      <c r="I492">
        <v>62.45</v>
      </c>
      <c r="J492">
        <v>46.84</v>
      </c>
      <c r="K492">
        <v>28.9</v>
      </c>
      <c r="L492">
        <v>0</v>
      </c>
      <c r="M492">
        <v>7.0000000000000007E-2</v>
      </c>
      <c r="N492">
        <v>7.0000000000000007E-2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14.78</v>
      </c>
      <c r="W492">
        <v>12.59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843.27</v>
      </c>
      <c r="AD492">
        <v>182.54</v>
      </c>
      <c r="AE492">
        <v>33.85</v>
      </c>
      <c r="AF492">
        <v>61.62</v>
      </c>
      <c r="AG492">
        <v>60.98</v>
      </c>
      <c r="AM492">
        <v>145.83000000000001</v>
      </c>
      <c r="AN492">
        <v>33.85</v>
      </c>
      <c r="AO492">
        <v>57.81</v>
      </c>
      <c r="AP492">
        <v>57.24</v>
      </c>
      <c r="AV492">
        <v>169</v>
      </c>
      <c r="AW492">
        <v>192.45</v>
      </c>
      <c r="AX492">
        <v>57.72</v>
      </c>
    </row>
    <row r="493" spans="1:50">
      <c r="A493">
        <v>43.17</v>
      </c>
      <c r="B493">
        <v>159.01</v>
      </c>
      <c r="C493">
        <v>160.62</v>
      </c>
      <c r="D493">
        <v>161.01</v>
      </c>
      <c r="E493">
        <v>164.23</v>
      </c>
      <c r="F493">
        <v>64.67</v>
      </c>
      <c r="G493">
        <v>60.4</v>
      </c>
      <c r="H493">
        <v>56.23</v>
      </c>
      <c r="I493">
        <v>62.62</v>
      </c>
      <c r="J493">
        <v>47.01</v>
      </c>
      <c r="K493">
        <v>28.95</v>
      </c>
      <c r="L493">
        <v>0</v>
      </c>
      <c r="M493">
        <v>7.0000000000000007E-2</v>
      </c>
      <c r="N493">
        <v>7.0000000000000007E-2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8.9499999999999993</v>
      </c>
      <c r="W493">
        <v>12.65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864.12</v>
      </c>
      <c r="AD493">
        <v>183.25</v>
      </c>
      <c r="AE493">
        <v>32.799999999999997</v>
      </c>
      <c r="AF493">
        <v>60.68</v>
      </c>
      <c r="AG493">
        <v>59.91</v>
      </c>
      <c r="AM493">
        <v>147</v>
      </c>
      <c r="AN493">
        <v>32.799999999999997</v>
      </c>
      <c r="AO493">
        <v>57.07</v>
      </c>
      <c r="AP493">
        <v>56.36</v>
      </c>
      <c r="AV493">
        <v>170.26</v>
      </c>
      <c r="AW493">
        <v>191.79</v>
      </c>
      <c r="AX493">
        <v>57.1</v>
      </c>
    </row>
    <row r="494" spans="1:50">
      <c r="A494">
        <v>43.33</v>
      </c>
      <c r="B494">
        <v>159.34</v>
      </c>
      <c r="C494">
        <v>161.4</v>
      </c>
      <c r="D494">
        <v>161.94999999999999</v>
      </c>
      <c r="E494">
        <v>164.73</v>
      </c>
      <c r="F494">
        <v>64.84</v>
      </c>
      <c r="G494">
        <v>60.45</v>
      </c>
      <c r="H494">
        <v>56.4</v>
      </c>
      <c r="I494">
        <v>62.78</v>
      </c>
      <c r="J494">
        <v>47.17</v>
      </c>
      <c r="K494">
        <v>28.9</v>
      </c>
      <c r="L494">
        <v>0</v>
      </c>
      <c r="M494">
        <v>7.0000000000000007E-2</v>
      </c>
      <c r="N494">
        <v>7.0000000000000007E-2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23.35</v>
      </c>
      <c r="W494">
        <v>21.63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772.73</v>
      </c>
      <c r="AD494">
        <v>183.96</v>
      </c>
      <c r="AE494">
        <v>33.36</v>
      </c>
      <c r="AF494">
        <v>59.32</v>
      </c>
      <c r="AG494">
        <v>58.85</v>
      </c>
      <c r="AM494">
        <v>148.19999999999999</v>
      </c>
      <c r="AN494">
        <v>33.36</v>
      </c>
      <c r="AO494">
        <v>55.84</v>
      </c>
      <c r="AP494">
        <v>55.47</v>
      </c>
      <c r="AV494">
        <v>171.56</v>
      </c>
      <c r="AW494">
        <v>191.13</v>
      </c>
      <c r="AX494">
        <v>56.49</v>
      </c>
    </row>
    <row r="495" spans="1:50">
      <c r="A495">
        <v>43.5</v>
      </c>
      <c r="B495">
        <v>159.16999999999999</v>
      </c>
      <c r="C495">
        <v>161.51</v>
      </c>
      <c r="D495">
        <v>162.16999999999999</v>
      </c>
      <c r="E495">
        <v>164.73</v>
      </c>
      <c r="F495">
        <v>64.95</v>
      </c>
      <c r="G495">
        <v>60.62</v>
      </c>
      <c r="H495">
        <v>56.51</v>
      </c>
      <c r="I495">
        <v>62.84</v>
      </c>
      <c r="J495">
        <v>47.28</v>
      </c>
      <c r="K495">
        <v>28.9</v>
      </c>
      <c r="L495">
        <v>0</v>
      </c>
      <c r="M495">
        <v>7.0000000000000007E-2</v>
      </c>
      <c r="N495">
        <v>7.0000000000000007E-2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32.86</v>
      </c>
      <c r="W495">
        <v>32.28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701.9</v>
      </c>
      <c r="AD495">
        <v>184.67</v>
      </c>
      <c r="AE495">
        <v>33.83</v>
      </c>
      <c r="AF495">
        <v>59.13</v>
      </c>
      <c r="AG495">
        <v>58.57</v>
      </c>
      <c r="AM495">
        <v>149.25</v>
      </c>
      <c r="AN495">
        <v>33.83</v>
      </c>
      <c r="AO495">
        <v>55.91</v>
      </c>
      <c r="AP495">
        <v>55.43</v>
      </c>
      <c r="AV495">
        <v>172.69</v>
      </c>
      <c r="AW495">
        <v>190.46</v>
      </c>
      <c r="AX495">
        <v>55.89</v>
      </c>
    </row>
    <row r="496" spans="1:50">
      <c r="A496">
        <v>43.67</v>
      </c>
      <c r="B496">
        <v>159.28</v>
      </c>
      <c r="C496">
        <v>161.44999999999999</v>
      </c>
      <c r="D496">
        <v>162.16999999999999</v>
      </c>
      <c r="E496">
        <v>164.84</v>
      </c>
      <c r="F496">
        <v>65.06</v>
      </c>
      <c r="G496">
        <v>60.78</v>
      </c>
      <c r="H496">
        <v>56.56</v>
      </c>
      <c r="I496">
        <v>63.01</v>
      </c>
      <c r="J496">
        <v>47.45</v>
      </c>
      <c r="K496">
        <v>28.9</v>
      </c>
      <c r="L496">
        <v>0</v>
      </c>
      <c r="M496">
        <v>7.0000000000000007E-2</v>
      </c>
      <c r="N496">
        <v>7.0000000000000007E-2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57.83</v>
      </c>
      <c r="W496">
        <v>57.27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650.29</v>
      </c>
      <c r="AD496">
        <v>185.37</v>
      </c>
      <c r="AE496">
        <v>37.14</v>
      </c>
      <c r="AF496">
        <v>59.68</v>
      </c>
      <c r="AG496">
        <v>59.12</v>
      </c>
      <c r="AM496">
        <v>150.19</v>
      </c>
      <c r="AN496">
        <v>37.14</v>
      </c>
      <c r="AO496">
        <v>56.78</v>
      </c>
      <c r="AP496">
        <v>56.3</v>
      </c>
      <c r="AV496">
        <v>173.69</v>
      </c>
      <c r="AW496">
        <v>189.8</v>
      </c>
      <c r="AX496">
        <v>55.3</v>
      </c>
    </row>
    <row r="497" spans="1:50">
      <c r="A497">
        <v>43.83</v>
      </c>
      <c r="B497">
        <v>159.51</v>
      </c>
      <c r="C497">
        <v>161.01</v>
      </c>
      <c r="D497">
        <v>161.72999999999999</v>
      </c>
      <c r="E497">
        <v>164.84</v>
      </c>
      <c r="F497">
        <v>65.06</v>
      </c>
      <c r="G497">
        <v>60.78</v>
      </c>
      <c r="H497">
        <v>56.51</v>
      </c>
      <c r="I497">
        <v>63.06</v>
      </c>
      <c r="J497">
        <v>47.56</v>
      </c>
      <c r="K497">
        <v>28.9</v>
      </c>
      <c r="L497">
        <v>0</v>
      </c>
      <c r="M497">
        <v>7.0000000000000007E-2</v>
      </c>
      <c r="N497">
        <v>7.0000000000000007E-2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29.77</v>
      </c>
      <c r="W497">
        <v>26.64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651.5</v>
      </c>
      <c r="AD497">
        <v>186.08</v>
      </c>
      <c r="AE497">
        <v>37.58</v>
      </c>
      <c r="AF497">
        <v>62.22</v>
      </c>
      <c r="AG497">
        <v>61.71</v>
      </c>
      <c r="AM497">
        <v>151.05000000000001</v>
      </c>
      <c r="AN497">
        <v>37.58</v>
      </c>
      <c r="AO497">
        <v>59.84</v>
      </c>
      <c r="AP497">
        <v>59.41</v>
      </c>
      <c r="AV497">
        <v>174.6</v>
      </c>
      <c r="AW497">
        <v>189.14</v>
      </c>
      <c r="AX497">
        <v>54.72</v>
      </c>
    </row>
    <row r="498" spans="1:50">
      <c r="A498">
        <v>44</v>
      </c>
      <c r="B498">
        <v>158.9</v>
      </c>
      <c r="C498">
        <v>160.62</v>
      </c>
      <c r="D498">
        <v>161.28</v>
      </c>
      <c r="E498">
        <v>164.9</v>
      </c>
      <c r="F498">
        <v>65.23</v>
      </c>
      <c r="G498">
        <v>61.01</v>
      </c>
      <c r="H498">
        <v>56.67</v>
      </c>
      <c r="I498">
        <v>63.17</v>
      </c>
      <c r="J498">
        <v>47.67</v>
      </c>
      <c r="K498">
        <v>28.9</v>
      </c>
      <c r="L498">
        <v>0</v>
      </c>
      <c r="M498">
        <v>7.0000000000000007E-2</v>
      </c>
      <c r="N498">
        <v>7.0000000000000007E-2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16.02</v>
      </c>
      <c r="W498">
        <v>17.57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483.27</v>
      </c>
      <c r="AD498">
        <v>186.79</v>
      </c>
      <c r="AE498">
        <v>37.17</v>
      </c>
      <c r="AF498">
        <v>62.59</v>
      </c>
      <c r="AG498">
        <v>61.89</v>
      </c>
      <c r="AM498">
        <v>151.91</v>
      </c>
      <c r="AN498">
        <v>37.17</v>
      </c>
      <c r="AO498">
        <v>60.44</v>
      </c>
      <c r="AP498">
        <v>59.8</v>
      </c>
      <c r="AV498">
        <v>175.52</v>
      </c>
      <c r="AW498">
        <v>188.47</v>
      </c>
      <c r="AX498">
        <v>54.14</v>
      </c>
    </row>
    <row r="499" spans="1:50">
      <c r="A499">
        <v>44.17</v>
      </c>
      <c r="B499">
        <v>158.34</v>
      </c>
      <c r="C499">
        <v>160.28</v>
      </c>
      <c r="D499">
        <v>160.94999999999999</v>
      </c>
      <c r="E499">
        <v>164.73</v>
      </c>
      <c r="F499">
        <v>65.34</v>
      </c>
      <c r="G499">
        <v>61.17</v>
      </c>
      <c r="H499">
        <v>56.78</v>
      </c>
      <c r="I499">
        <v>63.4</v>
      </c>
      <c r="J499">
        <v>47.9</v>
      </c>
      <c r="K499">
        <v>28.9</v>
      </c>
      <c r="L499">
        <v>0</v>
      </c>
      <c r="M499">
        <v>7.0000000000000007E-2</v>
      </c>
      <c r="N499">
        <v>7.0000000000000007E-2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25.64</v>
      </c>
      <c r="W499">
        <v>24.23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509.07</v>
      </c>
      <c r="AD499">
        <v>187.5</v>
      </c>
      <c r="AE499">
        <v>36.76</v>
      </c>
      <c r="AF499">
        <v>61.91</v>
      </c>
      <c r="AG499">
        <v>61.37</v>
      </c>
      <c r="AM499">
        <v>152.5</v>
      </c>
      <c r="AN499">
        <v>36.76</v>
      </c>
      <c r="AO499">
        <v>59.86</v>
      </c>
      <c r="AP499">
        <v>59.39</v>
      </c>
      <c r="AV499">
        <v>176.14</v>
      </c>
      <c r="AW499">
        <v>187.81</v>
      </c>
      <c r="AX499">
        <v>53.58</v>
      </c>
    </row>
    <row r="500" spans="1:50">
      <c r="A500">
        <v>44.33</v>
      </c>
      <c r="B500">
        <v>158.01</v>
      </c>
      <c r="C500">
        <v>159.78</v>
      </c>
      <c r="D500">
        <v>160.62</v>
      </c>
      <c r="E500">
        <v>164.45</v>
      </c>
      <c r="F500">
        <v>65.28</v>
      </c>
      <c r="G500">
        <v>61.28</v>
      </c>
      <c r="H500">
        <v>56.9</v>
      </c>
      <c r="I500">
        <v>63.4</v>
      </c>
      <c r="J500">
        <v>47.95</v>
      </c>
      <c r="K500">
        <v>28.95</v>
      </c>
      <c r="L500">
        <v>0</v>
      </c>
      <c r="M500">
        <v>7.0000000000000007E-2</v>
      </c>
      <c r="N500">
        <v>7.0000000000000007E-2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20.09</v>
      </c>
      <c r="W500">
        <v>20.46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515.15</v>
      </c>
      <c r="AD500">
        <v>188.21</v>
      </c>
      <c r="AE500">
        <v>36.72</v>
      </c>
      <c r="AF500">
        <v>61.95</v>
      </c>
      <c r="AG500">
        <v>61.34</v>
      </c>
      <c r="AM500">
        <v>153.13</v>
      </c>
      <c r="AN500">
        <v>36.72</v>
      </c>
      <c r="AO500">
        <v>60.06</v>
      </c>
      <c r="AP500">
        <v>59.52</v>
      </c>
      <c r="AV500">
        <v>176.79</v>
      </c>
      <c r="AW500">
        <v>187.15</v>
      </c>
      <c r="AX500">
        <v>53.03</v>
      </c>
    </row>
    <row r="501" spans="1:50">
      <c r="A501">
        <v>44.5</v>
      </c>
      <c r="B501">
        <v>157.22999999999999</v>
      </c>
      <c r="C501">
        <v>159.51</v>
      </c>
      <c r="D501">
        <v>160.34</v>
      </c>
      <c r="E501">
        <v>164.4</v>
      </c>
      <c r="F501">
        <v>65.45</v>
      </c>
      <c r="G501">
        <v>61.51</v>
      </c>
      <c r="H501">
        <v>57.01</v>
      </c>
      <c r="I501">
        <v>63.62</v>
      </c>
      <c r="J501">
        <v>48.06</v>
      </c>
      <c r="K501">
        <v>28.95</v>
      </c>
      <c r="L501">
        <v>0</v>
      </c>
      <c r="M501">
        <v>7.0000000000000007E-2</v>
      </c>
      <c r="N501">
        <v>7.0000000000000007E-2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33.979999999999997</v>
      </c>
      <c r="W501">
        <v>33.08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445.93</v>
      </c>
      <c r="AD501">
        <v>188.91</v>
      </c>
      <c r="AE501">
        <v>36.979999999999997</v>
      </c>
      <c r="AF501">
        <v>61.58</v>
      </c>
      <c r="AG501">
        <v>61.03</v>
      </c>
      <c r="AM501">
        <v>153.77000000000001</v>
      </c>
      <c r="AN501">
        <v>36.979999999999997</v>
      </c>
      <c r="AO501">
        <v>59.8</v>
      </c>
      <c r="AP501">
        <v>59.33</v>
      </c>
      <c r="AV501">
        <v>177.46</v>
      </c>
      <c r="AW501">
        <v>186.49</v>
      </c>
      <c r="AX501">
        <v>52.49</v>
      </c>
    </row>
    <row r="502" spans="1:50">
      <c r="A502">
        <v>44.67</v>
      </c>
      <c r="B502">
        <v>156.84</v>
      </c>
      <c r="C502">
        <v>159.16999999999999</v>
      </c>
      <c r="D502">
        <v>160.06</v>
      </c>
      <c r="E502">
        <v>164.56</v>
      </c>
      <c r="F502">
        <v>65.56</v>
      </c>
      <c r="G502">
        <v>61.62</v>
      </c>
      <c r="H502">
        <v>57.06</v>
      </c>
      <c r="I502">
        <v>63.78</v>
      </c>
      <c r="J502">
        <v>48.23</v>
      </c>
      <c r="K502">
        <v>28.9</v>
      </c>
      <c r="L502">
        <v>0</v>
      </c>
      <c r="M502">
        <v>7.0000000000000007E-2</v>
      </c>
      <c r="N502">
        <v>7.0000000000000007E-2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30.88</v>
      </c>
      <c r="W502">
        <v>30.97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425.16</v>
      </c>
      <c r="AD502">
        <v>189.62</v>
      </c>
      <c r="AE502">
        <v>37.78</v>
      </c>
      <c r="AF502">
        <v>62.25</v>
      </c>
      <c r="AG502">
        <v>61.7</v>
      </c>
      <c r="AM502">
        <v>154.30000000000001</v>
      </c>
      <c r="AN502">
        <v>37.78</v>
      </c>
      <c r="AO502">
        <v>60.69</v>
      </c>
      <c r="AP502">
        <v>60.2</v>
      </c>
      <c r="AV502">
        <v>178.01</v>
      </c>
      <c r="AW502">
        <v>185.82</v>
      </c>
      <c r="AX502">
        <v>51.95</v>
      </c>
    </row>
    <row r="503" spans="1:50">
      <c r="A503">
        <v>44.83</v>
      </c>
      <c r="B503">
        <v>156.66999999999999</v>
      </c>
      <c r="C503">
        <v>158.94999999999999</v>
      </c>
      <c r="D503">
        <v>159.72999999999999</v>
      </c>
      <c r="E503">
        <v>166.51</v>
      </c>
      <c r="F503">
        <v>65.62</v>
      </c>
      <c r="G503">
        <v>61.84</v>
      </c>
      <c r="H503">
        <v>57.17</v>
      </c>
      <c r="I503">
        <v>63.95</v>
      </c>
      <c r="J503">
        <v>48.4</v>
      </c>
      <c r="K503">
        <v>28.9</v>
      </c>
      <c r="L503">
        <v>0</v>
      </c>
      <c r="M503">
        <v>7.0000000000000007E-2</v>
      </c>
      <c r="N503">
        <v>7.0000000000000007E-2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28.56</v>
      </c>
      <c r="W503">
        <v>26.47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422.28</v>
      </c>
      <c r="AD503">
        <v>190.33</v>
      </c>
      <c r="AE503">
        <v>38.44</v>
      </c>
      <c r="AF503">
        <v>62.71</v>
      </c>
      <c r="AG503">
        <v>62.21</v>
      </c>
      <c r="AM503">
        <v>154.79</v>
      </c>
      <c r="AN503">
        <v>38.44</v>
      </c>
      <c r="AO503">
        <v>61.33</v>
      </c>
      <c r="AP503">
        <v>60.9</v>
      </c>
      <c r="AV503">
        <v>178.52</v>
      </c>
      <c r="AW503">
        <v>185.16</v>
      </c>
      <c r="AX503">
        <v>51.43</v>
      </c>
    </row>
    <row r="504" spans="1:50">
      <c r="A504">
        <v>45</v>
      </c>
      <c r="B504">
        <v>156.84</v>
      </c>
      <c r="C504">
        <v>158.56</v>
      </c>
      <c r="D504">
        <v>159.22999999999999</v>
      </c>
      <c r="E504">
        <v>169.01</v>
      </c>
      <c r="F504">
        <v>65.78</v>
      </c>
      <c r="G504">
        <v>61.9</v>
      </c>
      <c r="H504">
        <v>57.23</v>
      </c>
      <c r="I504">
        <v>64.12</v>
      </c>
      <c r="J504">
        <v>48.51</v>
      </c>
      <c r="K504">
        <v>28.9</v>
      </c>
      <c r="L504">
        <v>0</v>
      </c>
      <c r="M504">
        <v>7.0000000000000007E-2</v>
      </c>
      <c r="N504">
        <v>7.0000000000000007E-2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22.63</v>
      </c>
      <c r="W504">
        <v>22.04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318.93</v>
      </c>
      <c r="AD504">
        <v>191.04</v>
      </c>
      <c r="AE504">
        <v>39.03</v>
      </c>
      <c r="AF504">
        <v>63.02</v>
      </c>
      <c r="AG504">
        <v>62.41</v>
      </c>
      <c r="AM504">
        <v>155.28</v>
      </c>
      <c r="AN504">
        <v>39.03</v>
      </c>
      <c r="AO504">
        <v>61.79</v>
      </c>
      <c r="AP504">
        <v>61.23</v>
      </c>
      <c r="AV504">
        <v>179.02</v>
      </c>
      <c r="AW504">
        <v>184.5</v>
      </c>
      <c r="AX504">
        <v>50.91</v>
      </c>
    </row>
    <row r="505" spans="1:50">
      <c r="A505">
        <v>45.17</v>
      </c>
      <c r="B505">
        <v>157.34</v>
      </c>
      <c r="C505">
        <v>158.44999999999999</v>
      </c>
      <c r="D505">
        <v>158.9</v>
      </c>
      <c r="E505">
        <v>169.51</v>
      </c>
      <c r="F505">
        <v>65.84</v>
      </c>
      <c r="G505">
        <v>62.06</v>
      </c>
      <c r="H505">
        <v>57.4</v>
      </c>
      <c r="I505">
        <v>64.28</v>
      </c>
      <c r="J505">
        <v>48.62</v>
      </c>
      <c r="K505">
        <v>28.95</v>
      </c>
      <c r="L505">
        <v>0</v>
      </c>
      <c r="M505">
        <v>0.09</v>
      </c>
      <c r="N505">
        <v>0.08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367.75</v>
      </c>
      <c r="AD505">
        <v>191.74</v>
      </c>
      <c r="AE505">
        <v>37.659999999999997</v>
      </c>
      <c r="AF505">
        <v>62.92</v>
      </c>
      <c r="AG505">
        <v>62.31</v>
      </c>
      <c r="AM505">
        <v>155.61000000000001</v>
      </c>
      <c r="AN505">
        <v>37.659999999999997</v>
      </c>
      <c r="AO505">
        <v>61.78</v>
      </c>
      <c r="AP505">
        <v>61.21</v>
      </c>
      <c r="AV505">
        <v>179.34</v>
      </c>
      <c r="AW505">
        <v>183.83</v>
      </c>
      <c r="AX505">
        <v>50.41</v>
      </c>
    </row>
    <row r="506" spans="1:50">
      <c r="A506">
        <v>45.33</v>
      </c>
      <c r="B506">
        <v>157.62</v>
      </c>
      <c r="C506">
        <v>158.44999999999999</v>
      </c>
      <c r="D506">
        <v>158.72999999999999</v>
      </c>
      <c r="E506">
        <v>169.45</v>
      </c>
      <c r="F506">
        <v>66.12</v>
      </c>
      <c r="G506">
        <v>62.23</v>
      </c>
      <c r="H506">
        <v>57.62</v>
      </c>
      <c r="I506">
        <v>64.510000000000005</v>
      </c>
      <c r="J506">
        <v>48.78</v>
      </c>
      <c r="K506">
        <v>28.9</v>
      </c>
      <c r="L506">
        <v>0</v>
      </c>
      <c r="M506">
        <v>7.0000000000000007E-2</v>
      </c>
      <c r="N506">
        <v>7.0000000000000007E-2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1.62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239.58</v>
      </c>
      <c r="AD506">
        <v>192.45</v>
      </c>
      <c r="AE506">
        <v>36.03</v>
      </c>
      <c r="AF506">
        <v>60.69</v>
      </c>
      <c r="AG506">
        <v>60.24</v>
      </c>
      <c r="AM506">
        <v>156.01</v>
      </c>
      <c r="AN506">
        <v>36.03</v>
      </c>
      <c r="AO506">
        <v>59.4</v>
      </c>
      <c r="AP506">
        <v>59.01</v>
      </c>
      <c r="AV506">
        <v>179.74</v>
      </c>
      <c r="AW506">
        <v>183.17</v>
      </c>
      <c r="AX506">
        <v>49.91</v>
      </c>
    </row>
    <row r="507" spans="1:50">
      <c r="A507">
        <v>45.5</v>
      </c>
      <c r="B507">
        <v>158.44999999999999</v>
      </c>
      <c r="C507">
        <v>158.28</v>
      </c>
      <c r="D507">
        <v>158.56</v>
      </c>
      <c r="E507">
        <v>169.23</v>
      </c>
      <c r="F507">
        <v>66.17</v>
      </c>
      <c r="G507">
        <v>62.28</v>
      </c>
      <c r="H507">
        <v>57.67</v>
      </c>
      <c r="I507">
        <v>64.56</v>
      </c>
      <c r="J507">
        <v>48.9</v>
      </c>
      <c r="K507">
        <v>28.9</v>
      </c>
      <c r="L507">
        <v>0</v>
      </c>
      <c r="M507">
        <v>7.0000000000000007E-2</v>
      </c>
      <c r="N507">
        <v>7.0000000000000007E-2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3.18</v>
      </c>
      <c r="W507">
        <v>2.78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314.12</v>
      </c>
      <c r="AD507">
        <v>193.16</v>
      </c>
      <c r="AE507">
        <v>34.729999999999997</v>
      </c>
      <c r="AF507">
        <v>59.03</v>
      </c>
      <c r="AG507">
        <v>58.43</v>
      </c>
      <c r="AM507">
        <v>156.19999999999999</v>
      </c>
      <c r="AN507">
        <v>34.729999999999997</v>
      </c>
      <c r="AO507">
        <v>57.66</v>
      </c>
      <c r="AP507">
        <v>57.1</v>
      </c>
      <c r="AV507">
        <v>179.91</v>
      </c>
      <c r="AW507">
        <v>182.51</v>
      </c>
      <c r="AX507">
        <v>49.42</v>
      </c>
    </row>
    <row r="508" spans="1:50">
      <c r="A508">
        <v>45.67</v>
      </c>
      <c r="B508">
        <v>159.22999999999999</v>
      </c>
      <c r="C508">
        <v>158.44999999999999</v>
      </c>
      <c r="D508">
        <v>158.56</v>
      </c>
      <c r="E508">
        <v>169.01</v>
      </c>
      <c r="F508">
        <v>66.34</v>
      </c>
      <c r="G508">
        <v>62.51</v>
      </c>
      <c r="H508">
        <v>57.84</v>
      </c>
      <c r="I508">
        <v>64.78</v>
      </c>
      <c r="J508">
        <v>49.01</v>
      </c>
      <c r="K508">
        <v>28.9</v>
      </c>
      <c r="L508">
        <v>0</v>
      </c>
      <c r="M508">
        <v>0.08</v>
      </c>
      <c r="N508">
        <v>7.0000000000000007E-2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261.29000000000002</v>
      </c>
      <c r="AD508">
        <v>193.87</v>
      </c>
      <c r="AE508">
        <v>33.99</v>
      </c>
      <c r="AF508">
        <v>57.51</v>
      </c>
      <c r="AG508">
        <v>56.9</v>
      </c>
      <c r="AM508">
        <v>156.51</v>
      </c>
      <c r="AN508">
        <v>33.99</v>
      </c>
      <c r="AO508">
        <v>56.08</v>
      </c>
      <c r="AP508">
        <v>55.5</v>
      </c>
      <c r="AV508">
        <v>180.21</v>
      </c>
      <c r="AW508">
        <v>181.84</v>
      </c>
      <c r="AX508">
        <v>48.94</v>
      </c>
    </row>
    <row r="509" spans="1:50">
      <c r="A509">
        <v>45.83</v>
      </c>
      <c r="B509">
        <v>159.51</v>
      </c>
      <c r="C509">
        <v>158.78</v>
      </c>
      <c r="D509">
        <v>158.9</v>
      </c>
      <c r="E509">
        <v>168.73</v>
      </c>
      <c r="F509">
        <v>66.400000000000006</v>
      </c>
      <c r="G509">
        <v>62.62</v>
      </c>
      <c r="H509">
        <v>57.95</v>
      </c>
      <c r="I509">
        <v>64.900000000000006</v>
      </c>
      <c r="J509">
        <v>49.12</v>
      </c>
      <c r="K509">
        <v>28.95</v>
      </c>
      <c r="L509">
        <v>0</v>
      </c>
      <c r="M509">
        <v>7.0000000000000007E-2</v>
      </c>
      <c r="N509">
        <v>7.0000000000000007E-2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9.94</v>
      </c>
      <c r="W509">
        <v>9.08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262.64999999999998</v>
      </c>
      <c r="AD509">
        <v>194.57</v>
      </c>
      <c r="AE509">
        <v>32.86</v>
      </c>
      <c r="AF509">
        <v>55.74</v>
      </c>
      <c r="AG509">
        <v>55.19</v>
      </c>
      <c r="AM509">
        <v>156.72999999999999</v>
      </c>
      <c r="AN509">
        <v>32.86</v>
      </c>
      <c r="AO509">
        <v>54.23</v>
      </c>
      <c r="AP509">
        <v>53.71</v>
      </c>
      <c r="AV509">
        <v>180.42</v>
      </c>
      <c r="AW509">
        <v>181.18</v>
      </c>
      <c r="AX509">
        <v>48.47</v>
      </c>
    </row>
    <row r="510" spans="1:50">
      <c r="A510">
        <v>46</v>
      </c>
      <c r="B510">
        <v>159.62</v>
      </c>
      <c r="C510">
        <v>159.78</v>
      </c>
      <c r="D510">
        <v>159.94999999999999</v>
      </c>
      <c r="E510">
        <v>168.62</v>
      </c>
      <c r="F510">
        <v>66.45</v>
      </c>
      <c r="G510">
        <v>62.78</v>
      </c>
      <c r="H510">
        <v>58.01</v>
      </c>
      <c r="I510">
        <v>65.06</v>
      </c>
      <c r="J510">
        <v>49.23</v>
      </c>
      <c r="K510">
        <v>28.9</v>
      </c>
      <c r="L510">
        <v>0</v>
      </c>
      <c r="M510">
        <v>7.0000000000000007E-2</v>
      </c>
      <c r="N510">
        <v>7.0000000000000007E-2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5.94</v>
      </c>
      <c r="W510">
        <v>6.08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224.24</v>
      </c>
      <c r="AD510">
        <v>195.28</v>
      </c>
      <c r="AE510">
        <v>32.51</v>
      </c>
      <c r="AF510">
        <v>54.81</v>
      </c>
      <c r="AG510">
        <v>54.21</v>
      </c>
      <c r="AM510">
        <v>156.94999999999999</v>
      </c>
      <c r="AN510">
        <v>32.51</v>
      </c>
      <c r="AO510">
        <v>53.31</v>
      </c>
      <c r="AP510">
        <v>52.75</v>
      </c>
      <c r="AV510">
        <v>180.62</v>
      </c>
      <c r="AW510">
        <v>180.52</v>
      </c>
      <c r="AX510">
        <v>48</v>
      </c>
    </row>
    <row r="511" spans="1:50">
      <c r="A511">
        <v>46.17</v>
      </c>
      <c r="B511">
        <v>160.06</v>
      </c>
      <c r="C511">
        <v>161.94999999999999</v>
      </c>
      <c r="D511">
        <v>162.12</v>
      </c>
      <c r="E511">
        <v>168.62</v>
      </c>
      <c r="F511">
        <v>66.56</v>
      </c>
      <c r="G511">
        <v>62.78</v>
      </c>
      <c r="H511">
        <v>58.12</v>
      </c>
      <c r="I511">
        <v>65.17</v>
      </c>
      <c r="J511">
        <v>49.4</v>
      </c>
      <c r="K511">
        <v>28.95</v>
      </c>
      <c r="L511">
        <v>0</v>
      </c>
      <c r="M511">
        <v>7.0000000000000007E-2</v>
      </c>
      <c r="N511">
        <v>7.0000000000000007E-2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5.98</v>
      </c>
      <c r="W511">
        <v>5.77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199.88</v>
      </c>
      <c r="AD511">
        <v>195.99</v>
      </c>
      <c r="AE511">
        <v>31.93</v>
      </c>
      <c r="AF511">
        <v>53.63</v>
      </c>
      <c r="AG511">
        <v>53.07</v>
      </c>
      <c r="AM511">
        <v>157.11000000000001</v>
      </c>
      <c r="AN511">
        <v>31.93</v>
      </c>
      <c r="AO511">
        <v>52.12</v>
      </c>
      <c r="AP511">
        <v>51.6</v>
      </c>
      <c r="AV511">
        <v>180.76</v>
      </c>
      <c r="AW511">
        <v>179.86</v>
      </c>
      <c r="AX511">
        <v>47.55</v>
      </c>
    </row>
    <row r="512" spans="1:50">
      <c r="A512">
        <v>46.33</v>
      </c>
      <c r="B512">
        <v>160.01</v>
      </c>
      <c r="C512">
        <v>163.12</v>
      </c>
      <c r="D512">
        <v>163.51</v>
      </c>
      <c r="E512">
        <v>168.84</v>
      </c>
      <c r="F512">
        <v>66.67</v>
      </c>
      <c r="G512">
        <v>62.95</v>
      </c>
      <c r="H512">
        <v>58.23</v>
      </c>
      <c r="I512">
        <v>65.28</v>
      </c>
      <c r="J512">
        <v>49.45</v>
      </c>
      <c r="K512">
        <v>28.9</v>
      </c>
      <c r="L512">
        <v>0</v>
      </c>
      <c r="M512">
        <v>7.0000000000000007E-2</v>
      </c>
      <c r="N512">
        <v>7.0000000000000007E-2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13.16</v>
      </c>
      <c r="W512">
        <v>11.55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194.03</v>
      </c>
      <c r="AD512">
        <v>196.7</v>
      </c>
      <c r="AE512">
        <v>31.56</v>
      </c>
      <c r="AF512">
        <v>52.5</v>
      </c>
      <c r="AG512">
        <v>51.94</v>
      </c>
      <c r="AM512">
        <v>157.22999999999999</v>
      </c>
      <c r="AN512">
        <v>31.56</v>
      </c>
      <c r="AO512">
        <v>50.98</v>
      </c>
      <c r="AP512">
        <v>50.46</v>
      </c>
      <c r="AV512">
        <v>180.85</v>
      </c>
      <c r="AW512">
        <v>179.19</v>
      </c>
      <c r="AX512">
        <v>47.1</v>
      </c>
    </row>
    <row r="513" spans="1:50">
      <c r="A513">
        <v>46.5</v>
      </c>
      <c r="B513">
        <v>160.12</v>
      </c>
      <c r="C513">
        <v>163.4</v>
      </c>
      <c r="D513">
        <v>163.9</v>
      </c>
      <c r="E513">
        <v>168.84</v>
      </c>
      <c r="F513">
        <v>66.73</v>
      </c>
      <c r="G513">
        <v>63.12</v>
      </c>
      <c r="H513">
        <v>58.4</v>
      </c>
      <c r="I513">
        <v>65.45</v>
      </c>
      <c r="J513">
        <v>49.67</v>
      </c>
      <c r="K513">
        <v>28.95</v>
      </c>
      <c r="L513">
        <v>0</v>
      </c>
      <c r="M513">
        <v>7.0000000000000007E-2</v>
      </c>
      <c r="N513">
        <v>7.0000000000000007E-2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0.2</v>
      </c>
      <c r="W513">
        <v>1.92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184.58</v>
      </c>
      <c r="AD513">
        <v>197.4</v>
      </c>
      <c r="AE513">
        <v>32.22</v>
      </c>
      <c r="AF513">
        <v>51.94</v>
      </c>
      <c r="AG513">
        <v>51.3</v>
      </c>
      <c r="AM513">
        <v>157.34</v>
      </c>
      <c r="AN513">
        <v>32.22</v>
      </c>
      <c r="AO513">
        <v>50.48</v>
      </c>
      <c r="AP513">
        <v>49.86</v>
      </c>
      <c r="AV513">
        <v>180.93</v>
      </c>
      <c r="AW513">
        <v>178.53</v>
      </c>
      <c r="AX513">
        <v>46.66</v>
      </c>
    </row>
    <row r="514" spans="1:50">
      <c r="A514">
        <v>46.67</v>
      </c>
      <c r="B514">
        <v>160.06</v>
      </c>
      <c r="C514">
        <v>163.22999999999999</v>
      </c>
      <c r="D514">
        <v>163.9</v>
      </c>
      <c r="E514">
        <v>168.62</v>
      </c>
      <c r="F514">
        <v>66.95</v>
      </c>
      <c r="G514">
        <v>63.28</v>
      </c>
      <c r="H514">
        <v>58.51</v>
      </c>
      <c r="I514">
        <v>65.56</v>
      </c>
      <c r="J514">
        <v>49.78</v>
      </c>
      <c r="K514">
        <v>28.9</v>
      </c>
      <c r="L514">
        <v>0</v>
      </c>
      <c r="M514">
        <v>7.0000000000000007E-2</v>
      </c>
      <c r="N514">
        <v>7.0000000000000007E-2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1.46</v>
      </c>
      <c r="W514">
        <v>1.58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239.83</v>
      </c>
      <c r="AD514">
        <v>198.11</v>
      </c>
      <c r="AE514">
        <v>31.63</v>
      </c>
      <c r="AF514">
        <v>50.53</v>
      </c>
      <c r="AG514">
        <v>50.04</v>
      </c>
      <c r="AM514">
        <v>157.44</v>
      </c>
      <c r="AN514">
        <v>31.63</v>
      </c>
      <c r="AO514">
        <v>49.04</v>
      </c>
      <c r="AP514">
        <v>48.58</v>
      </c>
      <c r="AV514">
        <v>180.99</v>
      </c>
      <c r="AW514">
        <v>177.87</v>
      </c>
      <c r="AX514">
        <v>46.23</v>
      </c>
    </row>
    <row r="515" spans="1:50">
      <c r="A515">
        <v>46.83</v>
      </c>
      <c r="B515">
        <v>159.94999999999999</v>
      </c>
      <c r="C515">
        <v>162.72999999999999</v>
      </c>
      <c r="D515">
        <v>163.51</v>
      </c>
      <c r="E515">
        <v>168.17</v>
      </c>
      <c r="F515">
        <v>67.06</v>
      </c>
      <c r="G515">
        <v>63.4</v>
      </c>
      <c r="H515">
        <v>58.62</v>
      </c>
      <c r="I515">
        <v>65.62</v>
      </c>
      <c r="J515">
        <v>49.9</v>
      </c>
      <c r="K515">
        <v>28.9</v>
      </c>
      <c r="L515">
        <v>0</v>
      </c>
      <c r="M515">
        <v>7.0000000000000007E-2</v>
      </c>
      <c r="N515">
        <v>7.0000000000000007E-2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1.32</v>
      </c>
      <c r="W515">
        <v>0.78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150.44999999999999</v>
      </c>
      <c r="AD515">
        <v>198.82</v>
      </c>
      <c r="AE515">
        <v>30.78</v>
      </c>
      <c r="AF515">
        <v>49.28</v>
      </c>
      <c r="AG515">
        <v>48.81</v>
      </c>
      <c r="AM515">
        <v>157.62</v>
      </c>
      <c r="AN515">
        <v>30.78</v>
      </c>
      <c r="AO515">
        <v>47.76</v>
      </c>
      <c r="AP515">
        <v>47.33</v>
      </c>
      <c r="AV515">
        <v>181.15</v>
      </c>
      <c r="AW515">
        <v>177.2</v>
      </c>
      <c r="AX515">
        <v>45.81</v>
      </c>
    </row>
    <row r="516" spans="1:50">
      <c r="A516">
        <v>47</v>
      </c>
      <c r="B516">
        <v>160.16999999999999</v>
      </c>
      <c r="C516">
        <v>162.28</v>
      </c>
      <c r="D516">
        <v>163.06</v>
      </c>
      <c r="E516">
        <v>167.67</v>
      </c>
      <c r="F516">
        <v>67.23</v>
      </c>
      <c r="G516">
        <v>63.56</v>
      </c>
      <c r="H516">
        <v>58.78</v>
      </c>
      <c r="I516">
        <v>65.78</v>
      </c>
      <c r="J516">
        <v>50.01</v>
      </c>
      <c r="K516">
        <v>28.9</v>
      </c>
      <c r="L516">
        <v>0</v>
      </c>
      <c r="M516">
        <v>0.08</v>
      </c>
      <c r="N516">
        <v>0.08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143.84</v>
      </c>
      <c r="AD516">
        <v>199.53</v>
      </c>
      <c r="AE516">
        <v>30.21</v>
      </c>
      <c r="AF516">
        <v>48.04</v>
      </c>
      <c r="AG516">
        <v>47.54</v>
      </c>
      <c r="AM516">
        <v>157.66</v>
      </c>
      <c r="AN516">
        <v>30.21</v>
      </c>
      <c r="AO516">
        <v>46.5</v>
      </c>
      <c r="AP516">
        <v>46.04</v>
      </c>
      <c r="AV516">
        <v>181.15</v>
      </c>
      <c r="AW516">
        <v>176.54</v>
      </c>
      <c r="AX516">
        <v>45.39</v>
      </c>
    </row>
    <row r="517" spans="1:50">
      <c r="A517">
        <v>47.17</v>
      </c>
      <c r="B517">
        <v>160.16999999999999</v>
      </c>
      <c r="C517">
        <v>161.72999999999999</v>
      </c>
      <c r="D517">
        <v>162.44999999999999</v>
      </c>
      <c r="E517">
        <v>167.17</v>
      </c>
      <c r="F517">
        <v>67.400000000000006</v>
      </c>
      <c r="G517">
        <v>63.73</v>
      </c>
      <c r="H517">
        <v>58.95</v>
      </c>
      <c r="I517">
        <v>65.95</v>
      </c>
      <c r="J517">
        <v>50.12</v>
      </c>
      <c r="K517">
        <v>28.9</v>
      </c>
      <c r="L517">
        <v>0</v>
      </c>
      <c r="M517">
        <v>7.0000000000000007E-2</v>
      </c>
      <c r="N517">
        <v>7.0000000000000007E-2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6.33</v>
      </c>
      <c r="W517">
        <v>4.13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192.33</v>
      </c>
      <c r="AD517">
        <v>200.23</v>
      </c>
      <c r="AE517">
        <v>29.43</v>
      </c>
      <c r="AF517">
        <v>46.62</v>
      </c>
      <c r="AG517">
        <v>46.09</v>
      </c>
      <c r="AM517">
        <v>157.68</v>
      </c>
      <c r="AN517">
        <v>29.43</v>
      </c>
      <c r="AO517">
        <v>45.06</v>
      </c>
      <c r="AP517">
        <v>44.57</v>
      </c>
      <c r="AV517">
        <v>181.14</v>
      </c>
      <c r="AW517">
        <v>175.88</v>
      </c>
      <c r="AX517">
        <v>44.98</v>
      </c>
    </row>
    <row r="518" spans="1:50">
      <c r="A518">
        <v>47.33</v>
      </c>
      <c r="B518">
        <v>159.72999999999999</v>
      </c>
      <c r="C518">
        <v>161.44999999999999</v>
      </c>
      <c r="D518">
        <v>162.16999999999999</v>
      </c>
      <c r="E518">
        <v>167.01</v>
      </c>
      <c r="F518">
        <v>67.62</v>
      </c>
      <c r="G518">
        <v>63.84</v>
      </c>
      <c r="H518">
        <v>59.12</v>
      </c>
      <c r="I518">
        <v>66.06</v>
      </c>
      <c r="J518">
        <v>50.28</v>
      </c>
      <c r="K518">
        <v>28.9</v>
      </c>
      <c r="L518">
        <v>0</v>
      </c>
      <c r="M518">
        <v>0.08</v>
      </c>
      <c r="N518">
        <v>7.0000000000000007E-2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1.78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93.86</v>
      </c>
      <c r="AD518">
        <v>200.94</v>
      </c>
      <c r="AE518">
        <v>29.23</v>
      </c>
      <c r="AF518">
        <v>45.84</v>
      </c>
      <c r="AG518">
        <v>45.17</v>
      </c>
      <c r="AM518">
        <v>157.78</v>
      </c>
      <c r="AN518">
        <v>29.23</v>
      </c>
      <c r="AO518">
        <v>44.31</v>
      </c>
      <c r="AP518">
        <v>43.67</v>
      </c>
      <c r="AV518">
        <v>181.21</v>
      </c>
      <c r="AW518">
        <v>175.21</v>
      </c>
      <c r="AX518">
        <v>44.58</v>
      </c>
    </row>
    <row r="519" spans="1:50">
      <c r="A519">
        <v>47.5</v>
      </c>
      <c r="B519">
        <v>159.28</v>
      </c>
      <c r="C519">
        <v>161.06</v>
      </c>
      <c r="D519">
        <v>161.72999999999999</v>
      </c>
      <c r="E519">
        <v>166.9</v>
      </c>
      <c r="F519">
        <v>67.56</v>
      </c>
      <c r="G519">
        <v>63.9</v>
      </c>
      <c r="H519">
        <v>58.95</v>
      </c>
      <c r="I519">
        <v>66.12</v>
      </c>
      <c r="J519">
        <v>50.34</v>
      </c>
      <c r="K519">
        <v>28.95</v>
      </c>
      <c r="L519">
        <v>0</v>
      </c>
      <c r="M519">
        <v>7.0000000000000007E-2</v>
      </c>
      <c r="N519">
        <v>7.0000000000000007E-2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11.85</v>
      </c>
      <c r="W519">
        <v>10.119999999999999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186.77</v>
      </c>
      <c r="AD519">
        <v>201.65</v>
      </c>
      <c r="AE519">
        <v>28.99</v>
      </c>
      <c r="AF519">
        <v>44.55</v>
      </c>
      <c r="AG519">
        <v>44.14</v>
      </c>
      <c r="AM519">
        <v>157.72999999999999</v>
      </c>
      <c r="AN519">
        <v>28.99</v>
      </c>
      <c r="AO519">
        <v>43.01</v>
      </c>
      <c r="AP519">
        <v>42.64</v>
      </c>
      <c r="AV519">
        <v>181.11</v>
      </c>
      <c r="AW519">
        <v>174.55</v>
      </c>
      <c r="AX519">
        <v>44.18</v>
      </c>
    </row>
    <row r="520" spans="1:50">
      <c r="A520">
        <v>47.67</v>
      </c>
      <c r="B520">
        <v>158.84</v>
      </c>
      <c r="C520">
        <v>160.94999999999999</v>
      </c>
      <c r="D520">
        <v>161.66999999999999</v>
      </c>
      <c r="E520">
        <v>167.45</v>
      </c>
      <c r="F520">
        <v>67.78</v>
      </c>
      <c r="G520">
        <v>64.12</v>
      </c>
      <c r="H520">
        <v>59.17</v>
      </c>
      <c r="I520">
        <v>66.34</v>
      </c>
      <c r="J520">
        <v>50.51</v>
      </c>
      <c r="K520">
        <v>28.95</v>
      </c>
      <c r="L520">
        <v>0</v>
      </c>
      <c r="M520">
        <v>7.0000000000000007E-2</v>
      </c>
      <c r="N520">
        <v>7.0000000000000007E-2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8.83</v>
      </c>
      <c r="W520">
        <v>8.67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123.36</v>
      </c>
      <c r="AD520">
        <v>202.36</v>
      </c>
      <c r="AE520">
        <v>28.88</v>
      </c>
      <c r="AF520">
        <v>44.29</v>
      </c>
      <c r="AG520">
        <v>43.77</v>
      </c>
      <c r="AM520">
        <v>157.82</v>
      </c>
      <c r="AN520">
        <v>28.88</v>
      </c>
      <c r="AO520">
        <v>42.84</v>
      </c>
      <c r="AP520">
        <v>42.35</v>
      </c>
      <c r="AV520">
        <v>181.17</v>
      </c>
      <c r="AW520">
        <v>173.89</v>
      </c>
      <c r="AX520">
        <v>43.8</v>
      </c>
    </row>
    <row r="521" spans="1:50">
      <c r="A521">
        <v>47.83</v>
      </c>
      <c r="B521">
        <v>159.01</v>
      </c>
      <c r="C521">
        <v>160.78</v>
      </c>
      <c r="D521">
        <v>161.44999999999999</v>
      </c>
      <c r="E521">
        <v>169.17</v>
      </c>
      <c r="F521">
        <v>67.900000000000006</v>
      </c>
      <c r="G521">
        <v>64.23</v>
      </c>
      <c r="H521">
        <v>59.28</v>
      </c>
      <c r="I521">
        <v>66.56</v>
      </c>
      <c r="J521">
        <v>50.67</v>
      </c>
      <c r="K521">
        <v>28.95</v>
      </c>
      <c r="L521">
        <v>0</v>
      </c>
      <c r="M521">
        <v>7.0000000000000007E-2</v>
      </c>
      <c r="N521">
        <v>7.0000000000000007E-2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15.24</v>
      </c>
      <c r="W521">
        <v>16.02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180.44</v>
      </c>
      <c r="AD521">
        <v>203.06</v>
      </c>
      <c r="AE521">
        <v>29.01</v>
      </c>
      <c r="AF521">
        <v>43.81</v>
      </c>
      <c r="AG521">
        <v>43.31</v>
      </c>
      <c r="AM521">
        <v>157.81</v>
      </c>
      <c r="AN521">
        <v>29.01</v>
      </c>
      <c r="AO521">
        <v>42.43</v>
      </c>
      <c r="AP521">
        <v>41.96</v>
      </c>
      <c r="AV521">
        <v>181.12</v>
      </c>
      <c r="AW521">
        <v>173.22</v>
      </c>
      <c r="AX521">
        <v>43.42</v>
      </c>
    </row>
    <row r="522" spans="1:50">
      <c r="A522">
        <v>48</v>
      </c>
      <c r="B522">
        <v>158.78</v>
      </c>
      <c r="C522">
        <v>160.44999999999999</v>
      </c>
      <c r="D522">
        <v>161.12</v>
      </c>
      <c r="E522">
        <v>170.95</v>
      </c>
      <c r="F522">
        <v>67.95</v>
      </c>
      <c r="G522">
        <v>64.28</v>
      </c>
      <c r="H522">
        <v>59.34</v>
      </c>
      <c r="I522">
        <v>66.73</v>
      </c>
      <c r="J522">
        <v>50.73</v>
      </c>
      <c r="K522">
        <v>28.9</v>
      </c>
      <c r="L522">
        <v>0</v>
      </c>
      <c r="M522">
        <v>7.0000000000000007E-2</v>
      </c>
      <c r="N522">
        <v>7.0000000000000007E-2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12.28</v>
      </c>
      <c r="W522">
        <v>10.16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59.72</v>
      </c>
      <c r="AD522">
        <v>203.77</v>
      </c>
      <c r="AE522">
        <v>28.78</v>
      </c>
      <c r="AF522">
        <v>43.84</v>
      </c>
      <c r="AG522">
        <v>43.44</v>
      </c>
      <c r="AM522">
        <v>157.9</v>
      </c>
      <c r="AN522">
        <v>28.78</v>
      </c>
      <c r="AO522">
        <v>42.57</v>
      </c>
      <c r="AP522">
        <v>42.21</v>
      </c>
      <c r="AV522">
        <v>181.17</v>
      </c>
      <c r="AW522">
        <v>172.56</v>
      </c>
      <c r="AX522">
        <v>43.05</v>
      </c>
    </row>
    <row r="523" spans="1:50">
      <c r="A523">
        <v>48.17</v>
      </c>
      <c r="B523">
        <v>159.94999999999999</v>
      </c>
      <c r="C523">
        <v>159.84</v>
      </c>
      <c r="D523">
        <v>160.56</v>
      </c>
      <c r="E523">
        <v>171.17</v>
      </c>
      <c r="F523">
        <v>68.12</v>
      </c>
      <c r="G523">
        <v>64.400000000000006</v>
      </c>
      <c r="H523">
        <v>59.45</v>
      </c>
      <c r="I523">
        <v>66.84</v>
      </c>
      <c r="J523">
        <v>50.84</v>
      </c>
      <c r="K523">
        <v>28.9</v>
      </c>
      <c r="L523">
        <v>0</v>
      </c>
      <c r="M523">
        <v>7.0000000000000007E-2</v>
      </c>
      <c r="N523">
        <v>7.0000000000000007E-2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11.12</v>
      </c>
      <c r="W523">
        <v>11.16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129.49</v>
      </c>
      <c r="AD523">
        <v>204.48</v>
      </c>
      <c r="AE523">
        <v>28.29</v>
      </c>
      <c r="AF523">
        <v>43.64</v>
      </c>
      <c r="AG523">
        <v>43.11</v>
      </c>
      <c r="AM523">
        <v>157.78</v>
      </c>
      <c r="AN523">
        <v>28.29</v>
      </c>
      <c r="AO523">
        <v>42.45</v>
      </c>
      <c r="AP523">
        <v>41.94</v>
      </c>
      <c r="AV523">
        <v>181</v>
      </c>
      <c r="AW523">
        <v>171.9</v>
      </c>
      <c r="AX523">
        <v>42.68</v>
      </c>
    </row>
    <row r="524" spans="1:50">
      <c r="A524">
        <v>48.33</v>
      </c>
      <c r="B524">
        <v>161.44999999999999</v>
      </c>
      <c r="C524">
        <v>159.22999999999999</v>
      </c>
      <c r="D524">
        <v>160.01</v>
      </c>
      <c r="E524">
        <v>171.28</v>
      </c>
      <c r="F524">
        <v>68.34</v>
      </c>
      <c r="G524">
        <v>64.56</v>
      </c>
      <c r="H524">
        <v>59.51</v>
      </c>
      <c r="I524">
        <v>66.95</v>
      </c>
      <c r="J524">
        <v>50.9</v>
      </c>
      <c r="K524">
        <v>28.95</v>
      </c>
      <c r="L524">
        <v>0</v>
      </c>
      <c r="M524">
        <v>7.0000000000000007E-2</v>
      </c>
      <c r="N524">
        <v>7.0000000000000007E-2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11.66</v>
      </c>
      <c r="W524">
        <v>11.97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129.72</v>
      </c>
      <c r="AD524">
        <v>205.19</v>
      </c>
      <c r="AE524">
        <v>28.06</v>
      </c>
      <c r="AF524">
        <v>43.34</v>
      </c>
      <c r="AG524">
        <v>42.84</v>
      </c>
      <c r="AM524">
        <v>157.78</v>
      </c>
      <c r="AN524">
        <v>28.06</v>
      </c>
      <c r="AO524">
        <v>42.21</v>
      </c>
      <c r="AP524">
        <v>41.74</v>
      </c>
      <c r="AV524">
        <v>180.96</v>
      </c>
      <c r="AW524">
        <v>171.24</v>
      </c>
      <c r="AX524">
        <v>42.32</v>
      </c>
    </row>
    <row r="525" spans="1:50">
      <c r="A525">
        <v>48.5</v>
      </c>
      <c r="B525">
        <v>162.28</v>
      </c>
      <c r="C525">
        <v>159.01</v>
      </c>
      <c r="D525">
        <v>159.66999999999999</v>
      </c>
      <c r="E525">
        <v>171.01</v>
      </c>
      <c r="F525">
        <v>68.510000000000005</v>
      </c>
      <c r="G525">
        <v>64.67</v>
      </c>
      <c r="H525">
        <v>59.67</v>
      </c>
      <c r="I525">
        <v>67.17</v>
      </c>
      <c r="J525">
        <v>51.01</v>
      </c>
      <c r="K525">
        <v>28.9</v>
      </c>
      <c r="L525">
        <v>0</v>
      </c>
      <c r="M525">
        <v>7.0000000000000007E-2</v>
      </c>
      <c r="N525">
        <v>7.0000000000000007E-2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2.08</v>
      </c>
      <c r="W525">
        <v>2.39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119.35</v>
      </c>
      <c r="AD525">
        <v>205.89</v>
      </c>
      <c r="AE525">
        <v>27.89</v>
      </c>
      <c r="AF525">
        <v>43.08</v>
      </c>
      <c r="AG525">
        <v>42.63</v>
      </c>
      <c r="AM525">
        <v>157.78</v>
      </c>
      <c r="AN525">
        <v>27.89</v>
      </c>
      <c r="AO525">
        <v>42.01</v>
      </c>
      <c r="AP525">
        <v>41.6</v>
      </c>
      <c r="AV525">
        <v>180.92</v>
      </c>
      <c r="AW525">
        <v>170.57</v>
      </c>
      <c r="AX525">
        <v>41.97</v>
      </c>
    </row>
    <row r="526" spans="1:50">
      <c r="A526">
        <v>48.67</v>
      </c>
      <c r="B526">
        <v>162.22999999999999</v>
      </c>
      <c r="C526">
        <v>158.94999999999999</v>
      </c>
      <c r="D526">
        <v>159.44999999999999</v>
      </c>
      <c r="E526">
        <v>170.73</v>
      </c>
      <c r="F526">
        <v>68.56</v>
      </c>
      <c r="G526">
        <v>64.73</v>
      </c>
      <c r="H526">
        <v>59.78</v>
      </c>
      <c r="I526">
        <v>67.28</v>
      </c>
      <c r="J526">
        <v>51.17</v>
      </c>
      <c r="K526">
        <v>28.9</v>
      </c>
      <c r="L526">
        <v>0</v>
      </c>
      <c r="M526">
        <v>7.0000000000000007E-2</v>
      </c>
      <c r="N526">
        <v>7.0000000000000007E-2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0.05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89.98</v>
      </c>
      <c r="AD526">
        <v>206.6</v>
      </c>
      <c r="AE526">
        <v>27.73</v>
      </c>
      <c r="AF526">
        <v>42.13</v>
      </c>
      <c r="AG526">
        <v>41.73</v>
      </c>
      <c r="AM526">
        <v>157.77000000000001</v>
      </c>
      <c r="AN526">
        <v>27.73</v>
      </c>
      <c r="AO526">
        <v>41.05</v>
      </c>
      <c r="AP526">
        <v>40.68</v>
      </c>
      <c r="AV526">
        <v>180.86</v>
      </c>
      <c r="AW526">
        <v>169.91</v>
      </c>
      <c r="AX526">
        <v>41.63</v>
      </c>
    </row>
    <row r="527" spans="1:50">
      <c r="A527">
        <v>48.83</v>
      </c>
      <c r="B527">
        <v>162.12</v>
      </c>
      <c r="C527">
        <v>159.34</v>
      </c>
      <c r="D527">
        <v>159.66999999999999</v>
      </c>
      <c r="E527">
        <v>170.4</v>
      </c>
      <c r="F527">
        <v>68.73</v>
      </c>
      <c r="G527">
        <v>65.010000000000005</v>
      </c>
      <c r="H527">
        <v>59.9</v>
      </c>
      <c r="I527">
        <v>67.400000000000006</v>
      </c>
      <c r="J527">
        <v>51.23</v>
      </c>
      <c r="K527">
        <v>28.9</v>
      </c>
      <c r="L527">
        <v>0</v>
      </c>
      <c r="M527">
        <v>0.13</v>
      </c>
      <c r="N527">
        <v>0.12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111.09</v>
      </c>
      <c r="AD527">
        <v>207.31</v>
      </c>
      <c r="AE527">
        <v>27.84</v>
      </c>
      <c r="AF527">
        <v>41.1</v>
      </c>
      <c r="AG527">
        <v>40.69</v>
      </c>
      <c r="AM527">
        <v>157.69999999999999</v>
      </c>
      <c r="AN527">
        <v>27.84</v>
      </c>
      <c r="AO527">
        <v>39.979999999999997</v>
      </c>
      <c r="AP527">
        <v>39.61</v>
      </c>
      <c r="AV527">
        <v>180.75</v>
      </c>
      <c r="AW527">
        <v>169.25</v>
      </c>
      <c r="AX527">
        <v>41.29</v>
      </c>
    </row>
    <row r="528" spans="1:50">
      <c r="A528">
        <v>49</v>
      </c>
      <c r="B528">
        <v>161.78</v>
      </c>
      <c r="C528">
        <v>160.28</v>
      </c>
      <c r="D528">
        <v>160.51</v>
      </c>
      <c r="E528">
        <v>170.06</v>
      </c>
      <c r="F528">
        <v>68.78</v>
      </c>
      <c r="G528">
        <v>65.12</v>
      </c>
      <c r="H528">
        <v>60.06</v>
      </c>
      <c r="I528">
        <v>67.56</v>
      </c>
      <c r="J528">
        <v>51.4</v>
      </c>
      <c r="K528">
        <v>28.95</v>
      </c>
      <c r="L528">
        <v>0</v>
      </c>
      <c r="M528">
        <v>0.11</v>
      </c>
      <c r="N528">
        <v>0.1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122.35</v>
      </c>
      <c r="AD528">
        <v>208.02</v>
      </c>
      <c r="AE528">
        <v>27.98</v>
      </c>
      <c r="AF528">
        <v>39.35</v>
      </c>
      <c r="AG528">
        <v>39.090000000000003</v>
      </c>
      <c r="AM528">
        <v>157.66999999999999</v>
      </c>
      <c r="AN528">
        <v>27.98</v>
      </c>
      <c r="AO528">
        <v>38.200000000000003</v>
      </c>
      <c r="AP528">
        <v>37.979999999999997</v>
      </c>
      <c r="AV528">
        <v>180.68</v>
      </c>
      <c r="AW528">
        <v>168.58</v>
      </c>
      <c r="AX528">
        <v>40.950000000000003</v>
      </c>
    </row>
    <row r="529" spans="1:50">
      <c r="A529">
        <v>49.17</v>
      </c>
      <c r="B529">
        <v>161.4</v>
      </c>
      <c r="C529">
        <v>162.06</v>
      </c>
      <c r="D529">
        <v>162.22999999999999</v>
      </c>
      <c r="E529">
        <v>170.01</v>
      </c>
      <c r="F529">
        <v>68.900000000000006</v>
      </c>
      <c r="G529">
        <v>65.23</v>
      </c>
      <c r="H529">
        <v>60.23</v>
      </c>
      <c r="I529">
        <v>67.73</v>
      </c>
      <c r="J529">
        <v>51.45</v>
      </c>
      <c r="K529">
        <v>28.9</v>
      </c>
      <c r="L529">
        <v>0</v>
      </c>
      <c r="M529">
        <v>0.09</v>
      </c>
      <c r="N529">
        <v>0.09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67.63</v>
      </c>
      <c r="AD529">
        <v>208.72</v>
      </c>
      <c r="AE529">
        <v>27.98</v>
      </c>
      <c r="AF529">
        <v>38.130000000000003</v>
      </c>
      <c r="AG529">
        <v>37.950000000000003</v>
      </c>
      <c r="AM529">
        <v>157.66</v>
      </c>
      <c r="AN529">
        <v>27.98</v>
      </c>
      <c r="AO529">
        <v>36.979999999999997</v>
      </c>
      <c r="AP529">
        <v>36.840000000000003</v>
      </c>
      <c r="AV529">
        <v>180.62</v>
      </c>
      <c r="AW529">
        <v>167.92</v>
      </c>
      <c r="AX529">
        <v>40.630000000000003</v>
      </c>
    </row>
    <row r="530" spans="1:50">
      <c r="A530">
        <v>49.33</v>
      </c>
      <c r="B530">
        <v>161.4</v>
      </c>
      <c r="C530">
        <v>162.9</v>
      </c>
      <c r="D530">
        <v>163.06</v>
      </c>
      <c r="E530">
        <v>170.01</v>
      </c>
      <c r="F530">
        <v>69.06</v>
      </c>
      <c r="G530">
        <v>65.45</v>
      </c>
      <c r="H530">
        <v>60.45</v>
      </c>
      <c r="I530">
        <v>67.84</v>
      </c>
      <c r="J530">
        <v>51.67</v>
      </c>
      <c r="K530">
        <v>28.95</v>
      </c>
      <c r="L530">
        <v>0</v>
      </c>
      <c r="M530">
        <v>0.1</v>
      </c>
      <c r="N530">
        <v>0.09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94.64</v>
      </c>
      <c r="AD530">
        <v>209.43</v>
      </c>
      <c r="AE530">
        <v>28.22</v>
      </c>
      <c r="AF530">
        <v>37.229999999999997</v>
      </c>
      <c r="AG530">
        <v>37.01</v>
      </c>
      <c r="AM530">
        <v>157.56</v>
      </c>
      <c r="AN530">
        <v>28.22</v>
      </c>
      <c r="AO530">
        <v>36.090000000000003</v>
      </c>
      <c r="AP530">
        <v>35.909999999999997</v>
      </c>
      <c r="AV530">
        <v>180.47</v>
      </c>
      <c r="AW530">
        <v>167.26</v>
      </c>
      <c r="AX530">
        <v>40.31</v>
      </c>
    </row>
    <row r="531" spans="1:50">
      <c r="A531">
        <v>49.5</v>
      </c>
      <c r="B531">
        <v>160.72999999999999</v>
      </c>
      <c r="C531">
        <v>162.9</v>
      </c>
      <c r="D531">
        <v>163.22999999999999</v>
      </c>
      <c r="E531">
        <v>170.06</v>
      </c>
      <c r="F531">
        <v>69.28</v>
      </c>
      <c r="G531">
        <v>65.56</v>
      </c>
      <c r="H531">
        <v>60.56</v>
      </c>
      <c r="I531">
        <v>67.95</v>
      </c>
      <c r="J531">
        <v>51.73</v>
      </c>
      <c r="K531">
        <v>28.9</v>
      </c>
      <c r="L531">
        <v>0</v>
      </c>
      <c r="M531">
        <v>0.09</v>
      </c>
      <c r="N531">
        <v>0.1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85.67</v>
      </c>
      <c r="AD531">
        <v>210.14</v>
      </c>
      <c r="AE531">
        <v>27.6</v>
      </c>
      <c r="AF531">
        <v>36.369999999999997</v>
      </c>
      <c r="AG531">
        <v>36.21</v>
      </c>
      <c r="AM531">
        <v>157.51</v>
      </c>
      <c r="AN531">
        <v>27.6</v>
      </c>
      <c r="AO531">
        <v>35.26</v>
      </c>
      <c r="AP531">
        <v>35.130000000000003</v>
      </c>
      <c r="AV531">
        <v>180.37</v>
      </c>
      <c r="AW531">
        <v>166.59</v>
      </c>
      <c r="AX531">
        <v>40</v>
      </c>
    </row>
    <row r="532" spans="1:50">
      <c r="A532">
        <v>49.67</v>
      </c>
      <c r="B532">
        <v>160.16999999999999</v>
      </c>
      <c r="C532">
        <v>162.78</v>
      </c>
      <c r="D532">
        <v>163.16999999999999</v>
      </c>
      <c r="E532">
        <v>169.73</v>
      </c>
      <c r="F532">
        <v>69.400000000000006</v>
      </c>
      <c r="G532">
        <v>65.73</v>
      </c>
      <c r="H532">
        <v>60.62</v>
      </c>
      <c r="I532">
        <v>68.12</v>
      </c>
      <c r="J532">
        <v>51.84</v>
      </c>
      <c r="K532">
        <v>28.9</v>
      </c>
      <c r="L532">
        <v>0</v>
      </c>
      <c r="M532">
        <v>0.09</v>
      </c>
      <c r="N532">
        <v>0.09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124.76</v>
      </c>
      <c r="AD532">
        <v>210.85</v>
      </c>
      <c r="AE532">
        <v>27.32</v>
      </c>
      <c r="AF532">
        <v>35.54</v>
      </c>
      <c r="AG532">
        <v>35.39</v>
      </c>
      <c r="AM532">
        <v>157.44</v>
      </c>
      <c r="AN532">
        <v>27.32</v>
      </c>
      <c r="AO532">
        <v>34.450000000000003</v>
      </c>
      <c r="AP532">
        <v>34.33</v>
      </c>
      <c r="AV532">
        <v>180.25</v>
      </c>
      <c r="AW532">
        <v>165.93</v>
      </c>
      <c r="AX532">
        <v>39.69</v>
      </c>
    </row>
    <row r="533" spans="1:50">
      <c r="A533">
        <v>49.83</v>
      </c>
      <c r="B533">
        <v>159.94999999999999</v>
      </c>
      <c r="C533">
        <v>162.44999999999999</v>
      </c>
      <c r="D533">
        <v>162.78</v>
      </c>
      <c r="E533">
        <v>169.34</v>
      </c>
      <c r="F533">
        <v>69.62</v>
      </c>
      <c r="G533">
        <v>65.84</v>
      </c>
      <c r="H533">
        <v>60.78</v>
      </c>
      <c r="I533">
        <v>68.23</v>
      </c>
      <c r="J533">
        <v>52.01</v>
      </c>
      <c r="K533">
        <v>28.9</v>
      </c>
      <c r="L533">
        <v>0</v>
      </c>
      <c r="M533">
        <v>0.09</v>
      </c>
      <c r="N533">
        <v>0.11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54.91</v>
      </c>
      <c r="AD533">
        <v>211.55</v>
      </c>
      <c r="AE533">
        <v>27.28</v>
      </c>
      <c r="AF533">
        <v>34.79</v>
      </c>
      <c r="AG533">
        <v>34.659999999999997</v>
      </c>
      <c r="AM533">
        <v>157.43</v>
      </c>
      <c r="AN533">
        <v>27.28</v>
      </c>
      <c r="AO533">
        <v>33.729999999999997</v>
      </c>
      <c r="AP533">
        <v>33.619999999999997</v>
      </c>
      <c r="AV533">
        <v>180.2</v>
      </c>
      <c r="AW533">
        <v>165.27</v>
      </c>
      <c r="AX533">
        <v>39.39</v>
      </c>
    </row>
    <row r="534" spans="1:50">
      <c r="A534">
        <v>50</v>
      </c>
      <c r="B534">
        <v>159.12</v>
      </c>
      <c r="C534">
        <v>162.01</v>
      </c>
      <c r="D534">
        <v>162.4</v>
      </c>
      <c r="E534">
        <v>169.06</v>
      </c>
      <c r="F534">
        <v>69.67</v>
      </c>
      <c r="G534">
        <v>65.95</v>
      </c>
      <c r="H534">
        <v>60.78</v>
      </c>
      <c r="I534">
        <v>68.34</v>
      </c>
      <c r="J534">
        <v>52.01</v>
      </c>
      <c r="K534">
        <v>28.9</v>
      </c>
      <c r="L534">
        <v>0</v>
      </c>
      <c r="M534">
        <v>0.08</v>
      </c>
      <c r="N534">
        <v>0.09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115.95</v>
      </c>
      <c r="AD534">
        <v>212.26</v>
      </c>
      <c r="AE534">
        <v>27.4</v>
      </c>
      <c r="AF534">
        <v>34.11</v>
      </c>
      <c r="AG534">
        <v>33.85</v>
      </c>
      <c r="AM534">
        <v>157.31</v>
      </c>
      <c r="AN534">
        <v>27.4</v>
      </c>
      <c r="AO534">
        <v>33.07</v>
      </c>
      <c r="AP534">
        <v>32.85</v>
      </c>
      <c r="AV534">
        <v>180.02</v>
      </c>
      <c r="AW534">
        <v>164.61</v>
      </c>
      <c r="AX534">
        <v>39.090000000000003</v>
      </c>
    </row>
    <row r="535" spans="1:50">
      <c r="A535">
        <v>50.17</v>
      </c>
      <c r="B535">
        <v>158.51</v>
      </c>
      <c r="C535">
        <v>161.72999999999999</v>
      </c>
      <c r="D535">
        <v>162.12</v>
      </c>
      <c r="E535">
        <v>169.01</v>
      </c>
      <c r="F535">
        <v>70.010000000000005</v>
      </c>
      <c r="G535">
        <v>66.28</v>
      </c>
      <c r="H535">
        <v>61.17</v>
      </c>
      <c r="I535">
        <v>68.56</v>
      </c>
      <c r="J535">
        <v>52.23</v>
      </c>
      <c r="K535">
        <v>28.9</v>
      </c>
      <c r="L535">
        <v>0</v>
      </c>
      <c r="M535">
        <v>0.11</v>
      </c>
      <c r="N535">
        <v>0.1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123.72</v>
      </c>
      <c r="AD535">
        <v>212.97</v>
      </c>
      <c r="AE535">
        <v>27.88</v>
      </c>
      <c r="AF535">
        <v>33.549999999999997</v>
      </c>
      <c r="AG535">
        <v>33.270000000000003</v>
      </c>
      <c r="AM535">
        <v>157.28</v>
      </c>
      <c r="AN535">
        <v>27.88</v>
      </c>
      <c r="AO535">
        <v>32.549999999999997</v>
      </c>
      <c r="AP535">
        <v>32.299999999999997</v>
      </c>
      <c r="AV535">
        <v>179.96</v>
      </c>
      <c r="AW535">
        <v>163.94</v>
      </c>
      <c r="AX535">
        <v>38.799999999999997</v>
      </c>
    </row>
    <row r="536" spans="1:50">
      <c r="A536">
        <v>50.33</v>
      </c>
      <c r="B536">
        <v>157.16999999999999</v>
      </c>
      <c r="C536">
        <v>161.28</v>
      </c>
      <c r="D536">
        <v>161.9</v>
      </c>
      <c r="E536">
        <v>168.78</v>
      </c>
      <c r="F536">
        <v>70.06</v>
      </c>
      <c r="G536">
        <v>66.34</v>
      </c>
      <c r="H536">
        <v>61.17</v>
      </c>
      <c r="I536">
        <v>68.62</v>
      </c>
      <c r="J536">
        <v>52.28</v>
      </c>
      <c r="K536">
        <v>28.9</v>
      </c>
      <c r="L536">
        <v>0</v>
      </c>
      <c r="M536">
        <v>0.1</v>
      </c>
      <c r="N536">
        <v>0.1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59.13</v>
      </c>
      <c r="AD536">
        <v>213.68</v>
      </c>
      <c r="AE536">
        <v>28.32</v>
      </c>
      <c r="AF536">
        <v>32.950000000000003</v>
      </c>
      <c r="AG536">
        <v>32.729999999999997</v>
      </c>
      <c r="AM536">
        <v>157.28</v>
      </c>
      <c r="AN536">
        <v>28.32</v>
      </c>
      <c r="AO536">
        <v>32</v>
      </c>
      <c r="AP536">
        <v>31.81</v>
      </c>
      <c r="AV536">
        <v>179.91</v>
      </c>
      <c r="AW536">
        <v>163.28</v>
      </c>
      <c r="AX536">
        <v>38.520000000000003</v>
      </c>
    </row>
    <row r="537" spans="1:50">
      <c r="A537">
        <v>50.5</v>
      </c>
      <c r="B537">
        <v>156.28</v>
      </c>
      <c r="C537">
        <v>160.94999999999999</v>
      </c>
      <c r="D537">
        <v>161.56</v>
      </c>
      <c r="E537">
        <v>168.73</v>
      </c>
      <c r="F537">
        <v>70.23</v>
      </c>
      <c r="G537">
        <v>66.510000000000005</v>
      </c>
      <c r="H537">
        <v>61.34</v>
      </c>
      <c r="I537">
        <v>68.900000000000006</v>
      </c>
      <c r="J537">
        <v>52.4</v>
      </c>
      <c r="K537">
        <v>28.9</v>
      </c>
      <c r="L537">
        <v>0</v>
      </c>
      <c r="M537">
        <v>0.14000000000000001</v>
      </c>
      <c r="N537">
        <v>0.15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73.930000000000007</v>
      </c>
      <c r="AD537">
        <v>214.38</v>
      </c>
      <c r="AE537">
        <v>28.49</v>
      </c>
      <c r="AF537">
        <v>32.49</v>
      </c>
      <c r="AG537">
        <v>32.28</v>
      </c>
      <c r="AM537">
        <v>157.16</v>
      </c>
      <c r="AN537">
        <v>28.49</v>
      </c>
      <c r="AO537">
        <v>31.59</v>
      </c>
      <c r="AP537">
        <v>31.41</v>
      </c>
      <c r="AV537">
        <v>179.74</v>
      </c>
      <c r="AW537">
        <v>162.62</v>
      </c>
      <c r="AX537">
        <v>38.24</v>
      </c>
    </row>
    <row r="538" spans="1:50">
      <c r="A538">
        <v>50.67</v>
      </c>
      <c r="B538">
        <v>155.84</v>
      </c>
      <c r="C538">
        <v>160.9</v>
      </c>
      <c r="D538">
        <v>161.44999999999999</v>
      </c>
      <c r="E538">
        <v>169.17</v>
      </c>
      <c r="F538">
        <v>70.28</v>
      </c>
      <c r="G538">
        <v>66.73</v>
      </c>
      <c r="H538">
        <v>61.4</v>
      </c>
      <c r="I538">
        <v>68.95</v>
      </c>
      <c r="J538">
        <v>52.51</v>
      </c>
      <c r="K538">
        <v>28.95</v>
      </c>
      <c r="L538">
        <v>0</v>
      </c>
      <c r="M538">
        <v>0.12</v>
      </c>
      <c r="N538">
        <v>0.12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50.63</v>
      </c>
      <c r="AD538">
        <v>215.09</v>
      </c>
      <c r="AE538">
        <v>28.53</v>
      </c>
      <c r="AF538">
        <v>31.94</v>
      </c>
      <c r="AG538">
        <v>31.7</v>
      </c>
      <c r="AM538">
        <v>157.08000000000001</v>
      </c>
      <c r="AN538">
        <v>28.53</v>
      </c>
      <c r="AO538">
        <v>31.12</v>
      </c>
      <c r="AP538">
        <v>30.92</v>
      </c>
      <c r="AV538">
        <v>179.6</v>
      </c>
      <c r="AW538">
        <v>161.94999999999999</v>
      </c>
      <c r="AX538">
        <v>37.97</v>
      </c>
    </row>
    <row r="539" spans="1:50">
      <c r="A539">
        <v>50.83</v>
      </c>
      <c r="B539">
        <v>155.51</v>
      </c>
      <c r="C539">
        <v>160.66999999999999</v>
      </c>
      <c r="D539">
        <v>161.4</v>
      </c>
      <c r="E539">
        <v>170.84</v>
      </c>
      <c r="F539">
        <v>70.45</v>
      </c>
      <c r="G539">
        <v>66.84</v>
      </c>
      <c r="H539">
        <v>61.56</v>
      </c>
      <c r="I539">
        <v>69.06</v>
      </c>
      <c r="J539">
        <v>52.62</v>
      </c>
      <c r="K539">
        <v>28.9</v>
      </c>
      <c r="L539">
        <v>0</v>
      </c>
      <c r="M539">
        <v>0.16</v>
      </c>
      <c r="N539">
        <v>0.14000000000000001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93.56</v>
      </c>
      <c r="AD539">
        <v>215.8</v>
      </c>
      <c r="AE539">
        <v>28.7</v>
      </c>
      <c r="AF539">
        <v>31.54</v>
      </c>
      <c r="AG539">
        <v>31.32</v>
      </c>
      <c r="AM539">
        <v>156.94999999999999</v>
      </c>
      <c r="AN539">
        <v>28.7</v>
      </c>
      <c r="AO539">
        <v>30.78</v>
      </c>
      <c r="AP539">
        <v>30.6</v>
      </c>
      <c r="AV539">
        <v>179.43</v>
      </c>
      <c r="AW539">
        <v>161.29</v>
      </c>
      <c r="AX539">
        <v>37.700000000000003</v>
      </c>
    </row>
    <row r="540" spans="1:50">
      <c r="A540">
        <v>51</v>
      </c>
      <c r="B540">
        <v>156.84</v>
      </c>
      <c r="C540">
        <v>160.51</v>
      </c>
      <c r="D540">
        <v>161.22999999999999</v>
      </c>
      <c r="E540">
        <v>172.62</v>
      </c>
      <c r="F540">
        <v>70.67</v>
      </c>
      <c r="G540">
        <v>67.06</v>
      </c>
      <c r="H540">
        <v>61.73</v>
      </c>
      <c r="I540">
        <v>69.28</v>
      </c>
      <c r="J540">
        <v>52.78</v>
      </c>
      <c r="K540">
        <v>28.9</v>
      </c>
      <c r="L540">
        <v>0</v>
      </c>
      <c r="M540">
        <v>0.14000000000000001</v>
      </c>
      <c r="N540">
        <v>0.14000000000000001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77.14</v>
      </c>
      <c r="AD540">
        <v>216.51</v>
      </c>
      <c r="AE540">
        <v>28.74</v>
      </c>
      <c r="AF540">
        <v>31.09</v>
      </c>
      <c r="AG540">
        <v>30.94</v>
      </c>
      <c r="AM540">
        <v>156.9</v>
      </c>
      <c r="AN540">
        <v>28.74</v>
      </c>
      <c r="AO540">
        <v>30.41</v>
      </c>
      <c r="AP540">
        <v>30.29</v>
      </c>
      <c r="AV540">
        <v>179.32</v>
      </c>
      <c r="AW540">
        <v>160.63</v>
      </c>
      <c r="AX540">
        <v>37.44</v>
      </c>
    </row>
    <row r="541" spans="1:50">
      <c r="A541">
        <v>51.17</v>
      </c>
      <c r="B541">
        <v>158.62</v>
      </c>
      <c r="C541">
        <v>160.4</v>
      </c>
      <c r="D541">
        <v>161.06</v>
      </c>
      <c r="E541">
        <v>173.01</v>
      </c>
      <c r="F541">
        <v>70.78</v>
      </c>
      <c r="G541">
        <v>67.23</v>
      </c>
      <c r="H541">
        <v>61.84</v>
      </c>
      <c r="I541">
        <v>69.400000000000006</v>
      </c>
      <c r="J541">
        <v>52.84</v>
      </c>
      <c r="K541">
        <v>28.9</v>
      </c>
      <c r="L541">
        <v>0</v>
      </c>
      <c r="M541">
        <v>0.16</v>
      </c>
      <c r="N541">
        <v>0.19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75</v>
      </c>
      <c r="AD541">
        <v>217.21</v>
      </c>
      <c r="AE541">
        <v>28.74</v>
      </c>
      <c r="AF541">
        <v>30.76</v>
      </c>
      <c r="AG541">
        <v>30.63</v>
      </c>
      <c r="AM541">
        <v>156.81</v>
      </c>
      <c r="AN541">
        <v>28.74</v>
      </c>
      <c r="AO541">
        <v>30.15</v>
      </c>
      <c r="AP541">
        <v>30.05</v>
      </c>
      <c r="AV541">
        <v>179.19</v>
      </c>
      <c r="AW541">
        <v>159.96</v>
      </c>
      <c r="AX541">
        <v>37.19</v>
      </c>
    </row>
    <row r="542" spans="1:50">
      <c r="A542">
        <v>51.33</v>
      </c>
      <c r="B542">
        <v>159.84</v>
      </c>
      <c r="C542">
        <v>160.28</v>
      </c>
      <c r="D542">
        <v>160.84</v>
      </c>
      <c r="E542">
        <v>172.78</v>
      </c>
      <c r="F542">
        <v>71.010000000000005</v>
      </c>
      <c r="G542">
        <v>67.34</v>
      </c>
      <c r="H542">
        <v>61.9</v>
      </c>
      <c r="I542">
        <v>69.510000000000005</v>
      </c>
      <c r="J542">
        <v>52.95</v>
      </c>
      <c r="K542">
        <v>28.9</v>
      </c>
      <c r="L542">
        <v>0</v>
      </c>
      <c r="M542">
        <v>0.16</v>
      </c>
      <c r="N542">
        <v>0.15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58.57</v>
      </c>
      <c r="AD542">
        <v>217.92</v>
      </c>
      <c r="AE542">
        <v>28.78</v>
      </c>
      <c r="AF542">
        <v>30.44</v>
      </c>
      <c r="AG542">
        <v>30.28</v>
      </c>
      <c r="AM542">
        <v>156.72999999999999</v>
      </c>
      <c r="AN542">
        <v>28.78</v>
      </c>
      <c r="AO542">
        <v>29.9</v>
      </c>
      <c r="AP542">
        <v>29.78</v>
      </c>
      <c r="AV542">
        <v>179.06</v>
      </c>
      <c r="AW542">
        <v>159.30000000000001</v>
      </c>
      <c r="AX542">
        <v>36.94</v>
      </c>
    </row>
    <row r="543" spans="1:50">
      <c r="A543">
        <v>51.5</v>
      </c>
      <c r="B543">
        <v>160.44999999999999</v>
      </c>
      <c r="C543">
        <v>160.16999999999999</v>
      </c>
      <c r="D543">
        <v>160.66999999999999</v>
      </c>
      <c r="E543">
        <v>172.62</v>
      </c>
      <c r="F543">
        <v>71.17</v>
      </c>
      <c r="G543">
        <v>67.56</v>
      </c>
      <c r="H543">
        <v>62.06</v>
      </c>
      <c r="I543">
        <v>69.67</v>
      </c>
      <c r="J543">
        <v>53.06</v>
      </c>
      <c r="K543">
        <v>28.9</v>
      </c>
      <c r="L543">
        <v>0</v>
      </c>
      <c r="M543">
        <v>7.0000000000000007E-2</v>
      </c>
      <c r="N543">
        <v>0.1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0.17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128.12</v>
      </c>
      <c r="AD543">
        <v>218.63</v>
      </c>
      <c r="AE543">
        <v>28.5</v>
      </c>
      <c r="AF543">
        <v>30.17</v>
      </c>
      <c r="AG543">
        <v>30.05</v>
      </c>
      <c r="AM543">
        <v>156.62</v>
      </c>
      <c r="AN543">
        <v>28.5</v>
      </c>
      <c r="AO543">
        <v>29.7</v>
      </c>
      <c r="AP543">
        <v>29.61</v>
      </c>
      <c r="AV543">
        <v>178.89</v>
      </c>
      <c r="AW543">
        <v>158.63999999999999</v>
      </c>
      <c r="AX543">
        <v>36.69</v>
      </c>
    </row>
    <row r="544" spans="1:50">
      <c r="A544">
        <v>51.67</v>
      </c>
      <c r="B544">
        <v>160.66999999999999</v>
      </c>
      <c r="C544">
        <v>160.12</v>
      </c>
      <c r="D544">
        <v>160.62</v>
      </c>
      <c r="E544">
        <v>172.45</v>
      </c>
      <c r="F544">
        <v>71.34</v>
      </c>
      <c r="G544">
        <v>67.78</v>
      </c>
      <c r="H544">
        <v>62.23</v>
      </c>
      <c r="I544">
        <v>69.78</v>
      </c>
      <c r="J544">
        <v>53.12</v>
      </c>
      <c r="K544">
        <v>28.9</v>
      </c>
      <c r="L544">
        <v>0</v>
      </c>
      <c r="M544">
        <v>0.1</v>
      </c>
      <c r="N544">
        <v>0.16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58.77</v>
      </c>
      <c r="AD544">
        <v>219.34</v>
      </c>
      <c r="AE544">
        <v>28.45</v>
      </c>
      <c r="AF544">
        <v>30.06</v>
      </c>
      <c r="AG544">
        <v>29.9</v>
      </c>
      <c r="AM544">
        <v>156.62</v>
      </c>
      <c r="AN544">
        <v>28.45</v>
      </c>
      <c r="AO544">
        <v>29.62</v>
      </c>
      <c r="AP544">
        <v>29.49</v>
      </c>
      <c r="AV544">
        <v>178.85</v>
      </c>
      <c r="AW544">
        <v>157.97999999999999</v>
      </c>
      <c r="AX544">
        <v>36.450000000000003</v>
      </c>
    </row>
    <row r="545" spans="1:50">
      <c r="A545">
        <v>51.83</v>
      </c>
      <c r="B545">
        <v>160.94999999999999</v>
      </c>
      <c r="C545">
        <v>162.28</v>
      </c>
      <c r="D545">
        <v>162.44999999999999</v>
      </c>
      <c r="E545">
        <v>172.01</v>
      </c>
      <c r="F545">
        <v>71.510000000000005</v>
      </c>
      <c r="G545">
        <v>67.95</v>
      </c>
      <c r="H545">
        <v>62.34</v>
      </c>
      <c r="I545">
        <v>69.95</v>
      </c>
      <c r="J545">
        <v>53.34</v>
      </c>
      <c r="K545">
        <v>28.9</v>
      </c>
      <c r="L545">
        <v>0</v>
      </c>
      <c r="M545">
        <v>0.15</v>
      </c>
      <c r="N545">
        <v>0.14000000000000001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24.04</v>
      </c>
      <c r="AD545">
        <v>220.04</v>
      </c>
      <c r="AE545">
        <v>28.37</v>
      </c>
      <c r="AF545">
        <v>29.9</v>
      </c>
      <c r="AG545">
        <v>29.66</v>
      </c>
      <c r="AM545">
        <v>156.51</v>
      </c>
      <c r="AN545">
        <v>28.37</v>
      </c>
      <c r="AO545">
        <v>29.48</v>
      </c>
      <c r="AP545">
        <v>29.3</v>
      </c>
      <c r="AV545">
        <v>178.69</v>
      </c>
      <c r="AW545">
        <v>157.31</v>
      </c>
      <c r="AX545">
        <v>36.21</v>
      </c>
    </row>
    <row r="546" spans="1:50">
      <c r="A546">
        <v>52</v>
      </c>
      <c r="B546">
        <v>160.72999999999999</v>
      </c>
      <c r="C546">
        <v>165.34</v>
      </c>
      <c r="D546">
        <v>165.34</v>
      </c>
      <c r="E546">
        <v>171.84</v>
      </c>
      <c r="F546">
        <v>71.67</v>
      </c>
      <c r="G546">
        <v>68.010000000000005</v>
      </c>
      <c r="H546">
        <v>62.51</v>
      </c>
      <c r="I546">
        <v>70.06</v>
      </c>
      <c r="J546">
        <v>53.4</v>
      </c>
      <c r="K546">
        <v>28.9</v>
      </c>
      <c r="L546">
        <v>0</v>
      </c>
      <c r="M546">
        <v>0.17</v>
      </c>
      <c r="N546">
        <v>0.19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93.28</v>
      </c>
      <c r="AD546">
        <v>220.75</v>
      </c>
      <c r="AE546">
        <v>28.37</v>
      </c>
      <c r="AF546">
        <v>29.67</v>
      </c>
      <c r="AG546">
        <v>29.48</v>
      </c>
      <c r="AM546">
        <v>156.34</v>
      </c>
      <c r="AN546">
        <v>28.37</v>
      </c>
      <c r="AO546">
        <v>29.3</v>
      </c>
      <c r="AP546">
        <v>29.15</v>
      </c>
      <c r="AV546">
        <v>178.47</v>
      </c>
      <c r="AW546">
        <v>156.65</v>
      </c>
      <c r="AX546">
        <v>35.979999999999997</v>
      </c>
    </row>
    <row r="547" spans="1:50">
      <c r="A547">
        <v>52.17</v>
      </c>
      <c r="B547">
        <v>160.94999999999999</v>
      </c>
      <c r="C547">
        <v>166.12</v>
      </c>
      <c r="D547">
        <v>166.28</v>
      </c>
      <c r="E547">
        <v>172.12</v>
      </c>
      <c r="F547">
        <v>71.78</v>
      </c>
      <c r="G547">
        <v>68.17</v>
      </c>
      <c r="H547">
        <v>62.67</v>
      </c>
      <c r="I547">
        <v>70.23</v>
      </c>
      <c r="J547">
        <v>53.45</v>
      </c>
      <c r="K547">
        <v>28.9</v>
      </c>
      <c r="L547">
        <v>0</v>
      </c>
      <c r="M547">
        <v>0.23</v>
      </c>
      <c r="N547">
        <v>0.26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-0.16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28.6</v>
      </c>
      <c r="AD547">
        <v>221.46</v>
      </c>
      <c r="AE547">
        <v>28.47</v>
      </c>
      <c r="AF547">
        <v>29.45</v>
      </c>
      <c r="AG547">
        <v>29.26</v>
      </c>
      <c r="AM547">
        <v>156.28</v>
      </c>
      <c r="AN547">
        <v>28.47</v>
      </c>
      <c r="AO547">
        <v>29.13</v>
      </c>
      <c r="AP547">
        <v>28.98</v>
      </c>
      <c r="AV547">
        <v>178.37</v>
      </c>
      <c r="AW547">
        <v>155.99</v>
      </c>
      <c r="AX547">
        <v>35.76</v>
      </c>
    </row>
    <row r="548" spans="1:50">
      <c r="A548">
        <v>52.33</v>
      </c>
      <c r="B548">
        <v>160.94999999999999</v>
      </c>
      <c r="C548">
        <v>165.9</v>
      </c>
      <c r="D548">
        <v>166.23</v>
      </c>
      <c r="E548">
        <v>172.45</v>
      </c>
      <c r="F548">
        <v>71.95</v>
      </c>
      <c r="G548">
        <v>68.34</v>
      </c>
      <c r="H548">
        <v>62.84</v>
      </c>
      <c r="I548">
        <v>70.400000000000006</v>
      </c>
      <c r="J548">
        <v>53.62</v>
      </c>
      <c r="K548">
        <v>28.95</v>
      </c>
      <c r="L548">
        <v>0</v>
      </c>
      <c r="M548">
        <v>7.0000000000000007E-2</v>
      </c>
      <c r="N548">
        <v>7.0000000000000007E-2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2.34</v>
      </c>
      <c r="W548">
        <v>3.51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222.17</v>
      </c>
      <c r="AE548">
        <v>28.44</v>
      </c>
      <c r="AF548">
        <v>29.23</v>
      </c>
      <c r="AG548">
        <v>29.01</v>
      </c>
      <c r="AM548">
        <v>156.13</v>
      </c>
      <c r="AN548">
        <v>28.44</v>
      </c>
      <c r="AO548">
        <v>28.96</v>
      </c>
      <c r="AP548">
        <v>28.79</v>
      </c>
      <c r="AV548">
        <v>178.15</v>
      </c>
      <c r="AW548">
        <v>155.32</v>
      </c>
      <c r="AX548">
        <v>35.54</v>
      </c>
    </row>
    <row r="549" spans="1:50">
      <c r="A549">
        <v>52.5</v>
      </c>
      <c r="B549">
        <v>160.44999999999999</v>
      </c>
      <c r="C549">
        <v>165.56</v>
      </c>
      <c r="D549">
        <v>166.06</v>
      </c>
      <c r="E549">
        <v>172.28</v>
      </c>
      <c r="F549">
        <v>72.12</v>
      </c>
      <c r="G549">
        <v>68.400000000000006</v>
      </c>
      <c r="H549">
        <v>62.9</v>
      </c>
      <c r="I549">
        <v>70.45</v>
      </c>
      <c r="J549">
        <v>53.67</v>
      </c>
      <c r="K549">
        <v>28.9</v>
      </c>
      <c r="L549">
        <v>0</v>
      </c>
      <c r="M549">
        <v>0.13</v>
      </c>
      <c r="N549">
        <v>0.26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-0.17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16.559999999999999</v>
      </c>
      <c r="AD549">
        <v>222.87</v>
      </c>
      <c r="AE549">
        <v>28.51</v>
      </c>
      <c r="AF549">
        <v>29.34</v>
      </c>
      <c r="AG549">
        <v>29.23</v>
      </c>
      <c r="AM549">
        <v>155.84</v>
      </c>
      <c r="AN549">
        <v>28.51</v>
      </c>
      <c r="AO549">
        <v>29.11</v>
      </c>
      <c r="AP549">
        <v>29.04</v>
      </c>
      <c r="AV549">
        <v>177.78</v>
      </c>
      <c r="AW549">
        <v>154.66</v>
      </c>
      <c r="AX549">
        <v>35.32</v>
      </c>
    </row>
    <row r="550" spans="1:50">
      <c r="A550">
        <v>52.67</v>
      </c>
      <c r="B550">
        <v>160.62</v>
      </c>
      <c r="C550">
        <v>165.17</v>
      </c>
      <c r="D550">
        <v>165.73</v>
      </c>
      <c r="E550">
        <v>172.01</v>
      </c>
      <c r="F550">
        <v>72.28</v>
      </c>
      <c r="G550">
        <v>68.56</v>
      </c>
      <c r="H550">
        <v>63.01</v>
      </c>
      <c r="I550">
        <v>70.62</v>
      </c>
      <c r="J550">
        <v>53.84</v>
      </c>
      <c r="K550">
        <v>28.9</v>
      </c>
      <c r="L550">
        <v>0</v>
      </c>
      <c r="M550">
        <v>7.0000000000000007E-2</v>
      </c>
      <c r="N550">
        <v>0.1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0.41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223.58</v>
      </c>
      <c r="AE550">
        <v>28.55</v>
      </c>
      <c r="AF550">
        <v>29.23</v>
      </c>
      <c r="AG550">
        <v>29</v>
      </c>
      <c r="AM550">
        <v>155.66</v>
      </c>
      <c r="AN550">
        <v>28.55</v>
      </c>
      <c r="AO550">
        <v>29.02</v>
      </c>
      <c r="AP550">
        <v>28.84</v>
      </c>
      <c r="AV550">
        <v>177.54</v>
      </c>
      <c r="AW550">
        <v>154</v>
      </c>
      <c r="AX550">
        <v>35.11</v>
      </c>
    </row>
    <row r="551" spans="1:50">
      <c r="A551">
        <v>52.83</v>
      </c>
      <c r="B551">
        <v>160.44999999999999</v>
      </c>
      <c r="C551">
        <v>164.67</v>
      </c>
      <c r="D551">
        <v>165.4</v>
      </c>
      <c r="E551">
        <v>171.51</v>
      </c>
      <c r="F551">
        <v>72.510000000000005</v>
      </c>
      <c r="G551">
        <v>68.78</v>
      </c>
      <c r="H551">
        <v>63.17</v>
      </c>
      <c r="I551">
        <v>70.78</v>
      </c>
      <c r="J551">
        <v>53.95</v>
      </c>
      <c r="K551">
        <v>28.9</v>
      </c>
      <c r="L551">
        <v>0</v>
      </c>
      <c r="M551">
        <v>7.0000000000000007E-2</v>
      </c>
      <c r="N551">
        <v>7.0000000000000007E-2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0.94</v>
      </c>
      <c r="W551">
        <v>1.9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224.29</v>
      </c>
      <c r="AE551">
        <v>28.56</v>
      </c>
      <c r="AF551">
        <v>29.21</v>
      </c>
      <c r="AG551">
        <v>28.95</v>
      </c>
      <c r="AM551">
        <v>155.34</v>
      </c>
      <c r="AN551">
        <v>28.56</v>
      </c>
      <c r="AO551">
        <v>29.01</v>
      </c>
      <c r="AP551">
        <v>28.81</v>
      </c>
      <c r="AV551">
        <v>177.12</v>
      </c>
      <c r="AW551">
        <v>153.33000000000001</v>
      </c>
      <c r="AX551">
        <v>34.9</v>
      </c>
    </row>
    <row r="552" spans="1:50">
      <c r="A552">
        <v>53</v>
      </c>
      <c r="B552">
        <v>159.66999999999999</v>
      </c>
      <c r="C552">
        <v>164.01</v>
      </c>
      <c r="D552">
        <v>164.67</v>
      </c>
      <c r="E552">
        <v>171.23</v>
      </c>
      <c r="F552">
        <v>72.67</v>
      </c>
      <c r="G552">
        <v>68.95</v>
      </c>
      <c r="H552">
        <v>63.34</v>
      </c>
      <c r="I552">
        <v>70.900000000000006</v>
      </c>
      <c r="J552">
        <v>53.95</v>
      </c>
      <c r="K552">
        <v>28.9</v>
      </c>
      <c r="L552">
        <v>0</v>
      </c>
      <c r="M552">
        <v>7.0000000000000007E-2</v>
      </c>
      <c r="N552">
        <v>7.0000000000000007E-2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11.74</v>
      </c>
      <c r="W552">
        <v>11.37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9.94</v>
      </c>
      <c r="AD552">
        <v>225</v>
      </c>
      <c r="AE552">
        <v>28.84</v>
      </c>
      <c r="AF552">
        <v>29.23</v>
      </c>
      <c r="AG552">
        <v>29.06</v>
      </c>
      <c r="AM552">
        <v>155.12</v>
      </c>
      <c r="AN552">
        <v>28.84</v>
      </c>
      <c r="AO552">
        <v>29.05</v>
      </c>
      <c r="AP552">
        <v>28.94</v>
      </c>
      <c r="AV552">
        <v>176.83</v>
      </c>
      <c r="AW552">
        <v>152.66999999999999</v>
      </c>
      <c r="AX552">
        <v>34.700000000000003</v>
      </c>
    </row>
    <row r="553" spans="1:50">
      <c r="A553">
        <v>53.17</v>
      </c>
      <c r="B553">
        <v>159.01</v>
      </c>
      <c r="C553">
        <v>163.56</v>
      </c>
      <c r="D553">
        <v>164.23</v>
      </c>
      <c r="E553">
        <v>171.06</v>
      </c>
      <c r="F553">
        <v>72.84</v>
      </c>
      <c r="G553">
        <v>69.12</v>
      </c>
      <c r="H553">
        <v>63.4</v>
      </c>
      <c r="I553">
        <v>71.010000000000005</v>
      </c>
      <c r="J553">
        <v>54.06</v>
      </c>
      <c r="K553">
        <v>28.9</v>
      </c>
      <c r="L553">
        <v>0</v>
      </c>
      <c r="M553">
        <v>7.0000000000000007E-2</v>
      </c>
      <c r="N553">
        <v>7.0000000000000007E-2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4.22</v>
      </c>
      <c r="W553">
        <v>2.74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39.130000000000003</v>
      </c>
      <c r="AD553">
        <v>225.7</v>
      </c>
      <c r="AE553">
        <v>29.64</v>
      </c>
      <c r="AF553">
        <v>30.05</v>
      </c>
      <c r="AG553">
        <v>29.88</v>
      </c>
      <c r="AM553">
        <v>154.93</v>
      </c>
      <c r="AN553">
        <v>29.64</v>
      </c>
      <c r="AO553">
        <v>29.97</v>
      </c>
      <c r="AP553">
        <v>29.86</v>
      </c>
      <c r="AV553">
        <v>176.58</v>
      </c>
      <c r="AW553">
        <v>152.01</v>
      </c>
      <c r="AX553">
        <v>34.5</v>
      </c>
    </row>
    <row r="554" spans="1:50">
      <c r="A554">
        <v>53.33</v>
      </c>
      <c r="B554">
        <v>158.22999999999999</v>
      </c>
      <c r="C554">
        <v>163.22999999999999</v>
      </c>
      <c r="D554">
        <v>163.84</v>
      </c>
      <c r="E554">
        <v>170.73</v>
      </c>
      <c r="F554">
        <v>73.06</v>
      </c>
      <c r="G554">
        <v>69.28</v>
      </c>
      <c r="H554">
        <v>63.51</v>
      </c>
      <c r="I554">
        <v>71.12</v>
      </c>
      <c r="J554">
        <v>54.23</v>
      </c>
      <c r="K554">
        <v>28.9</v>
      </c>
      <c r="L554">
        <v>0</v>
      </c>
      <c r="M554">
        <v>7.0000000000000007E-2</v>
      </c>
      <c r="N554">
        <v>7.0000000000000007E-2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2.2200000000000002</v>
      </c>
      <c r="W554">
        <v>2.44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49.84</v>
      </c>
      <c r="AD554">
        <v>226.41</v>
      </c>
      <c r="AE554">
        <v>29.9</v>
      </c>
      <c r="AF554">
        <v>30.32</v>
      </c>
      <c r="AG554">
        <v>30.06</v>
      </c>
      <c r="AM554">
        <v>154.79</v>
      </c>
      <c r="AN554">
        <v>29.9</v>
      </c>
      <c r="AO554">
        <v>30.29</v>
      </c>
      <c r="AP554">
        <v>30.07</v>
      </c>
      <c r="AV554">
        <v>176.39</v>
      </c>
      <c r="AW554">
        <v>151.34</v>
      </c>
      <c r="AX554">
        <v>34.31</v>
      </c>
    </row>
    <row r="555" spans="1:50">
      <c r="A555">
        <v>53.5</v>
      </c>
      <c r="B555">
        <v>157.28</v>
      </c>
      <c r="C555">
        <v>162.9</v>
      </c>
      <c r="D555">
        <v>163.56</v>
      </c>
      <c r="E555">
        <v>171.01</v>
      </c>
      <c r="F555">
        <v>73.17</v>
      </c>
      <c r="G555">
        <v>69.45</v>
      </c>
      <c r="H555">
        <v>63.67</v>
      </c>
      <c r="I555">
        <v>71.17</v>
      </c>
      <c r="J555">
        <v>54.28</v>
      </c>
      <c r="K555">
        <v>28.9</v>
      </c>
      <c r="L555">
        <v>0</v>
      </c>
      <c r="M555">
        <v>7.0000000000000007E-2</v>
      </c>
      <c r="N555">
        <v>7.0000000000000007E-2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5.27</v>
      </c>
      <c r="W555">
        <v>4.96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14.84</v>
      </c>
      <c r="AD555">
        <v>227.12</v>
      </c>
      <c r="AE555">
        <v>30.06</v>
      </c>
      <c r="AF555">
        <v>30.45</v>
      </c>
      <c r="AG555">
        <v>30.23</v>
      </c>
      <c r="AM555">
        <v>154.66999999999999</v>
      </c>
      <c r="AN555">
        <v>30.06</v>
      </c>
      <c r="AO555">
        <v>30.43</v>
      </c>
      <c r="AP555">
        <v>30.25</v>
      </c>
      <c r="AV555">
        <v>176.22</v>
      </c>
      <c r="AW555">
        <v>150.68</v>
      </c>
      <c r="AX555">
        <v>34.119999999999997</v>
      </c>
    </row>
    <row r="556" spans="1:50">
      <c r="A556">
        <v>53.67</v>
      </c>
      <c r="B556">
        <v>157.51</v>
      </c>
      <c r="C556">
        <v>162.72999999999999</v>
      </c>
      <c r="D556">
        <v>163.4</v>
      </c>
      <c r="E556">
        <v>171.67</v>
      </c>
      <c r="F556">
        <v>73.34</v>
      </c>
      <c r="G556">
        <v>69.62</v>
      </c>
      <c r="H556">
        <v>63.9</v>
      </c>
      <c r="I556">
        <v>71.34</v>
      </c>
      <c r="J556">
        <v>54.45</v>
      </c>
      <c r="K556">
        <v>28.9</v>
      </c>
      <c r="L556">
        <v>0</v>
      </c>
      <c r="M556">
        <v>7.0000000000000007E-2</v>
      </c>
      <c r="N556">
        <v>7.0000000000000007E-2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5.47</v>
      </c>
      <c r="W556">
        <v>5.19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27.3</v>
      </c>
      <c r="AD556">
        <v>227.83</v>
      </c>
      <c r="AE556">
        <v>30.41</v>
      </c>
      <c r="AF556">
        <v>30.8</v>
      </c>
      <c r="AG556">
        <v>30.58</v>
      </c>
      <c r="AM556">
        <v>154.5</v>
      </c>
      <c r="AN556">
        <v>30.41</v>
      </c>
      <c r="AO556">
        <v>30.83</v>
      </c>
      <c r="AP556">
        <v>30.64</v>
      </c>
      <c r="AV556">
        <v>175.99</v>
      </c>
      <c r="AW556">
        <v>150.02000000000001</v>
      </c>
      <c r="AX556">
        <v>33.93</v>
      </c>
    </row>
    <row r="557" spans="1:50">
      <c r="A557">
        <v>53.83</v>
      </c>
      <c r="B557">
        <v>157.78</v>
      </c>
      <c r="C557">
        <v>162.56</v>
      </c>
      <c r="D557">
        <v>163.22999999999999</v>
      </c>
      <c r="E557">
        <v>173.9</v>
      </c>
      <c r="F557">
        <v>73.510000000000005</v>
      </c>
      <c r="G557">
        <v>69.84</v>
      </c>
      <c r="H557">
        <v>64.06</v>
      </c>
      <c r="I557">
        <v>71.34</v>
      </c>
      <c r="J557">
        <v>54.51</v>
      </c>
      <c r="K557">
        <v>28.9</v>
      </c>
      <c r="L557">
        <v>0</v>
      </c>
      <c r="M557">
        <v>7.0000000000000007E-2</v>
      </c>
      <c r="N557">
        <v>7.0000000000000007E-2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7.23</v>
      </c>
      <c r="W557">
        <v>3.82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17.7</v>
      </c>
      <c r="AD557">
        <v>228.53</v>
      </c>
      <c r="AE557">
        <v>30.93</v>
      </c>
      <c r="AF557">
        <v>31.17</v>
      </c>
      <c r="AG557">
        <v>30.95</v>
      </c>
      <c r="AM557">
        <v>154.34</v>
      </c>
      <c r="AN557">
        <v>30.93</v>
      </c>
      <c r="AO557">
        <v>31.23</v>
      </c>
      <c r="AP557">
        <v>31.05</v>
      </c>
      <c r="AV557">
        <v>175.77</v>
      </c>
      <c r="AW557">
        <v>149.36000000000001</v>
      </c>
      <c r="AX557">
        <v>33.75</v>
      </c>
    </row>
    <row r="558" spans="1:50">
      <c r="A558">
        <v>54</v>
      </c>
      <c r="B558">
        <v>158.84</v>
      </c>
      <c r="C558">
        <v>162.51</v>
      </c>
      <c r="D558">
        <v>162.94999999999999</v>
      </c>
      <c r="E558">
        <v>174.95</v>
      </c>
      <c r="F558">
        <v>73.62</v>
      </c>
      <c r="G558">
        <v>69.900000000000006</v>
      </c>
      <c r="H558">
        <v>64.17</v>
      </c>
      <c r="I558">
        <v>71.510000000000005</v>
      </c>
      <c r="J558">
        <v>54.67</v>
      </c>
      <c r="K558">
        <v>28.95</v>
      </c>
      <c r="L558">
        <v>0</v>
      </c>
      <c r="M558">
        <v>7.0000000000000007E-2</v>
      </c>
      <c r="N558">
        <v>0.26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4.8600000000000003</v>
      </c>
      <c r="W558">
        <v>1.37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30.91</v>
      </c>
      <c r="AD558">
        <v>229.24</v>
      </c>
      <c r="AE558">
        <v>31.42</v>
      </c>
      <c r="AF558">
        <v>31.67</v>
      </c>
      <c r="AG558">
        <v>31.23</v>
      </c>
      <c r="AM558">
        <v>154.16999999999999</v>
      </c>
      <c r="AN558">
        <v>31.42</v>
      </c>
      <c r="AO558">
        <v>31.79</v>
      </c>
      <c r="AP558">
        <v>31.35</v>
      </c>
      <c r="AV558">
        <v>175.55</v>
      </c>
      <c r="AW558">
        <v>148.69</v>
      </c>
      <c r="AX558">
        <v>33.57</v>
      </c>
    </row>
    <row r="559" spans="1:50">
      <c r="A559">
        <v>54.17</v>
      </c>
      <c r="B559">
        <v>159.94999999999999</v>
      </c>
      <c r="C559">
        <v>162.22999999999999</v>
      </c>
      <c r="D559">
        <v>162.62</v>
      </c>
      <c r="E559">
        <v>174.95</v>
      </c>
      <c r="F559">
        <v>73.78</v>
      </c>
      <c r="G559">
        <v>70.06</v>
      </c>
      <c r="H559">
        <v>64.28</v>
      </c>
      <c r="I559">
        <v>71.56</v>
      </c>
      <c r="J559">
        <v>54.78</v>
      </c>
      <c r="K559">
        <v>28.95</v>
      </c>
      <c r="L559">
        <v>0</v>
      </c>
      <c r="M559">
        <v>7.0000000000000007E-2</v>
      </c>
      <c r="N559">
        <v>0.26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6.12</v>
      </c>
      <c r="W559">
        <v>1.01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12.59</v>
      </c>
      <c r="AD559">
        <v>229.95</v>
      </c>
      <c r="AE559">
        <v>31.8</v>
      </c>
      <c r="AF559">
        <v>32</v>
      </c>
      <c r="AG559">
        <v>31.63</v>
      </c>
      <c r="AM559">
        <v>154.03</v>
      </c>
      <c r="AN559">
        <v>31.8</v>
      </c>
      <c r="AO559">
        <v>32.15</v>
      </c>
      <c r="AP559">
        <v>31.77</v>
      </c>
      <c r="AV559">
        <v>175.35</v>
      </c>
      <c r="AW559">
        <v>148.03</v>
      </c>
      <c r="AX559">
        <v>33.4</v>
      </c>
    </row>
    <row r="560" spans="1:50">
      <c r="A560">
        <v>54.33</v>
      </c>
      <c r="B560">
        <v>160.56</v>
      </c>
      <c r="C560">
        <v>162.16999999999999</v>
      </c>
      <c r="D560">
        <v>162.4</v>
      </c>
      <c r="E560">
        <v>174.56</v>
      </c>
      <c r="F560">
        <v>73.95</v>
      </c>
      <c r="G560">
        <v>70.23</v>
      </c>
      <c r="H560">
        <v>64.45</v>
      </c>
      <c r="I560">
        <v>71.73</v>
      </c>
      <c r="J560">
        <v>54.84</v>
      </c>
      <c r="K560">
        <v>28.9</v>
      </c>
      <c r="L560">
        <v>0</v>
      </c>
      <c r="M560">
        <v>0.24</v>
      </c>
      <c r="N560">
        <v>0.26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2.11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112.64</v>
      </c>
      <c r="AD560">
        <v>230.66</v>
      </c>
      <c r="AE560">
        <v>32.46</v>
      </c>
      <c r="AF560">
        <v>32.43</v>
      </c>
      <c r="AG560">
        <v>31.94</v>
      </c>
      <c r="AM560">
        <v>153.85</v>
      </c>
      <c r="AN560">
        <v>32.46</v>
      </c>
      <c r="AO560">
        <v>32.61</v>
      </c>
      <c r="AP560">
        <v>32.07</v>
      </c>
      <c r="AV560">
        <v>175.11</v>
      </c>
      <c r="AW560">
        <v>147.37</v>
      </c>
      <c r="AX560">
        <v>33.229999999999997</v>
      </c>
    </row>
    <row r="561" spans="1:50">
      <c r="A561">
        <v>54.5</v>
      </c>
      <c r="B561">
        <v>160.94999999999999</v>
      </c>
      <c r="C561">
        <v>162.01</v>
      </c>
      <c r="D561">
        <v>162.16999999999999</v>
      </c>
      <c r="E561">
        <v>174.23</v>
      </c>
      <c r="F561">
        <v>74.17</v>
      </c>
      <c r="G561">
        <v>70.400000000000006</v>
      </c>
      <c r="H561">
        <v>64.67</v>
      </c>
      <c r="I561">
        <v>71.73</v>
      </c>
      <c r="J561">
        <v>54.95</v>
      </c>
      <c r="K561">
        <v>28.9</v>
      </c>
      <c r="L561">
        <v>0</v>
      </c>
      <c r="M561">
        <v>7.0000000000000007E-2</v>
      </c>
      <c r="N561">
        <v>0.26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5.62</v>
      </c>
      <c r="W561">
        <v>1.28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14.3</v>
      </c>
      <c r="AD561">
        <v>231.36</v>
      </c>
      <c r="AE561">
        <v>32.840000000000003</v>
      </c>
      <c r="AF561">
        <v>32.94</v>
      </c>
      <c r="AG561">
        <v>32.340000000000003</v>
      </c>
      <c r="AM561">
        <v>153.84</v>
      </c>
      <c r="AN561">
        <v>32.840000000000003</v>
      </c>
      <c r="AO561">
        <v>33.130000000000003</v>
      </c>
      <c r="AP561">
        <v>32.47</v>
      </c>
      <c r="AV561">
        <v>175.06</v>
      </c>
      <c r="AW561">
        <v>146.69999999999999</v>
      </c>
      <c r="AX561">
        <v>33.06</v>
      </c>
    </row>
    <row r="562" spans="1:50">
      <c r="A562">
        <v>54.67</v>
      </c>
      <c r="B562">
        <v>161.22999999999999</v>
      </c>
      <c r="C562">
        <v>162.01</v>
      </c>
      <c r="D562">
        <v>162.12</v>
      </c>
      <c r="E562">
        <v>173.95</v>
      </c>
      <c r="F562">
        <v>74.34</v>
      </c>
      <c r="G562">
        <v>70.62</v>
      </c>
      <c r="H562">
        <v>64.73</v>
      </c>
      <c r="I562">
        <v>71.900000000000006</v>
      </c>
      <c r="J562">
        <v>55.06</v>
      </c>
      <c r="K562">
        <v>28.9</v>
      </c>
      <c r="L562">
        <v>0</v>
      </c>
      <c r="M562">
        <v>7.0000000000000007E-2</v>
      </c>
      <c r="N562">
        <v>0.26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4.54</v>
      </c>
      <c r="W562">
        <v>0.66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31.11</v>
      </c>
      <c r="AD562">
        <v>232.07</v>
      </c>
      <c r="AE562">
        <v>33.340000000000003</v>
      </c>
      <c r="AF562">
        <v>33.340000000000003</v>
      </c>
      <c r="AG562">
        <v>32.799999999999997</v>
      </c>
      <c r="AM562">
        <v>153.66999999999999</v>
      </c>
      <c r="AN562">
        <v>33.340000000000003</v>
      </c>
      <c r="AO562">
        <v>33.56</v>
      </c>
      <c r="AP562">
        <v>32.950000000000003</v>
      </c>
      <c r="AV562">
        <v>174.83</v>
      </c>
      <c r="AW562">
        <v>146.04</v>
      </c>
      <c r="AX562">
        <v>32.9</v>
      </c>
    </row>
    <row r="563" spans="1:50">
      <c r="A563">
        <v>54.83</v>
      </c>
      <c r="B563">
        <v>161.01</v>
      </c>
      <c r="C563">
        <v>163.9</v>
      </c>
      <c r="D563">
        <v>163.95</v>
      </c>
      <c r="E563">
        <v>173.67</v>
      </c>
      <c r="F563">
        <v>74.62</v>
      </c>
      <c r="G563">
        <v>70.78</v>
      </c>
      <c r="H563">
        <v>64.900000000000006</v>
      </c>
      <c r="I563">
        <v>72.06</v>
      </c>
      <c r="J563">
        <v>55.23</v>
      </c>
      <c r="K563">
        <v>28.9</v>
      </c>
      <c r="L563">
        <v>0</v>
      </c>
      <c r="M563">
        <v>7.0000000000000007E-2</v>
      </c>
      <c r="N563">
        <v>0.26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6.37</v>
      </c>
      <c r="W563">
        <v>1.5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78.14</v>
      </c>
      <c r="AD563">
        <v>232.78</v>
      </c>
      <c r="AE563">
        <v>33.56</v>
      </c>
      <c r="AF563">
        <v>33.67</v>
      </c>
      <c r="AG563">
        <v>33.11</v>
      </c>
      <c r="AM563">
        <v>153.52000000000001</v>
      </c>
      <c r="AN563">
        <v>33.56</v>
      </c>
      <c r="AO563">
        <v>33.9</v>
      </c>
      <c r="AP563">
        <v>33.25</v>
      </c>
      <c r="AV563">
        <v>174.63</v>
      </c>
      <c r="AW563">
        <v>145.38</v>
      </c>
      <c r="AX563">
        <v>32.75</v>
      </c>
    </row>
    <row r="564" spans="1:50">
      <c r="A564">
        <v>55</v>
      </c>
      <c r="B564">
        <v>160.94999999999999</v>
      </c>
      <c r="C564">
        <v>166.9</v>
      </c>
      <c r="D564">
        <v>166.78</v>
      </c>
      <c r="E564">
        <v>173.45</v>
      </c>
      <c r="F564">
        <v>74.67</v>
      </c>
      <c r="G564">
        <v>70.84</v>
      </c>
      <c r="H564">
        <v>65.06</v>
      </c>
      <c r="I564">
        <v>72.12</v>
      </c>
      <c r="J564">
        <v>55.4</v>
      </c>
      <c r="K564">
        <v>28.9</v>
      </c>
      <c r="L564">
        <v>0</v>
      </c>
      <c r="M564">
        <v>7.0000000000000007E-2</v>
      </c>
      <c r="N564">
        <v>0.26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4.38</v>
      </c>
      <c r="W564">
        <v>1.1200000000000001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233.49</v>
      </c>
      <c r="AE564">
        <v>33.78</v>
      </c>
      <c r="AF564">
        <v>34.119999999999997</v>
      </c>
      <c r="AG564">
        <v>33.619999999999997</v>
      </c>
      <c r="AM564">
        <v>153.46</v>
      </c>
      <c r="AN564">
        <v>33.78</v>
      </c>
      <c r="AO564">
        <v>34.39</v>
      </c>
      <c r="AP564">
        <v>33.78</v>
      </c>
      <c r="AV564">
        <v>174.52</v>
      </c>
      <c r="AW564">
        <v>144.71</v>
      </c>
      <c r="AX564">
        <v>32.590000000000003</v>
      </c>
    </row>
    <row r="565" spans="1:50">
      <c r="A565">
        <v>55.17</v>
      </c>
      <c r="B565">
        <v>161.01</v>
      </c>
      <c r="C565">
        <v>167.84</v>
      </c>
      <c r="D565">
        <v>167.84</v>
      </c>
      <c r="E565">
        <v>173.28</v>
      </c>
      <c r="F565">
        <v>74.78</v>
      </c>
      <c r="G565">
        <v>71.010000000000005</v>
      </c>
      <c r="H565">
        <v>65.23</v>
      </c>
      <c r="I565">
        <v>72.23</v>
      </c>
      <c r="J565">
        <v>55.45</v>
      </c>
      <c r="K565">
        <v>28.95</v>
      </c>
      <c r="L565">
        <v>0</v>
      </c>
      <c r="M565">
        <v>7.0000000000000007E-2</v>
      </c>
      <c r="N565">
        <v>0.26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4.74</v>
      </c>
      <c r="W565">
        <v>1.24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9.6999999999999993</v>
      </c>
      <c r="AD565">
        <v>234.2</v>
      </c>
      <c r="AE565">
        <v>34.11</v>
      </c>
      <c r="AF565">
        <v>34.409999999999997</v>
      </c>
      <c r="AG565">
        <v>33.950000000000003</v>
      </c>
      <c r="AM565">
        <v>153.25</v>
      </c>
      <c r="AN565">
        <v>34.11</v>
      </c>
      <c r="AO565">
        <v>34.69</v>
      </c>
      <c r="AP565">
        <v>34.1</v>
      </c>
      <c r="AV565">
        <v>174.25</v>
      </c>
      <c r="AW565">
        <v>144.05000000000001</v>
      </c>
      <c r="AX565">
        <v>32.44</v>
      </c>
    </row>
    <row r="566" spans="1:50">
      <c r="A566">
        <v>55.33</v>
      </c>
      <c r="B566">
        <v>160.4</v>
      </c>
      <c r="C566">
        <v>167.67</v>
      </c>
      <c r="D566">
        <v>167.9</v>
      </c>
      <c r="E566">
        <v>173.28</v>
      </c>
      <c r="F566">
        <v>75.010000000000005</v>
      </c>
      <c r="G566">
        <v>71.17</v>
      </c>
      <c r="H566">
        <v>65.28</v>
      </c>
      <c r="I566">
        <v>72.400000000000006</v>
      </c>
      <c r="J566">
        <v>55.56</v>
      </c>
      <c r="K566">
        <v>28.9</v>
      </c>
      <c r="L566">
        <v>0</v>
      </c>
      <c r="M566">
        <v>7.0000000000000007E-2</v>
      </c>
      <c r="N566">
        <v>7.0000000000000007E-2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8.08</v>
      </c>
      <c r="W566">
        <v>6.39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5.14</v>
      </c>
      <c r="AD566">
        <v>234.9</v>
      </c>
      <c r="AE566">
        <v>34.28</v>
      </c>
      <c r="AF566">
        <v>34.729999999999997</v>
      </c>
      <c r="AG566">
        <v>34.32</v>
      </c>
      <c r="AM566">
        <v>153.07</v>
      </c>
      <c r="AN566">
        <v>34.28</v>
      </c>
      <c r="AO566">
        <v>35.020000000000003</v>
      </c>
      <c r="AP566">
        <v>34.46</v>
      </c>
      <c r="AV566">
        <v>174.02</v>
      </c>
      <c r="AW566">
        <v>143.38999999999999</v>
      </c>
      <c r="AX566">
        <v>32.29</v>
      </c>
    </row>
    <row r="567" spans="1:50">
      <c r="A567">
        <v>55.5</v>
      </c>
      <c r="B567">
        <v>160.28</v>
      </c>
      <c r="C567">
        <v>167.17</v>
      </c>
      <c r="D567">
        <v>167.56</v>
      </c>
      <c r="E567">
        <v>173.01</v>
      </c>
      <c r="F567">
        <v>75.010000000000005</v>
      </c>
      <c r="G567">
        <v>71.12</v>
      </c>
      <c r="H567">
        <v>65.34</v>
      </c>
      <c r="I567">
        <v>72.400000000000006</v>
      </c>
      <c r="J567">
        <v>55.67</v>
      </c>
      <c r="K567">
        <v>28.9</v>
      </c>
      <c r="L567">
        <v>0</v>
      </c>
      <c r="M567">
        <v>7.0000000000000007E-2</v>
      </c>
      <c r="N567">
        <v>7.0000000000000007E-2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5.84</v>
      </c>
      <c r="W567">
        <v>5.97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235.61</v>
      </c>
      <c r="AE567">
        <v>34.4</v>
      </c>
      <c r="AF567">
        <v>35.28</v>
      </c>
      <c r="AG567">
        <v>34.78</v>
      </c>
      <c r="AM567">
        <v>152.88999999999999</v>
      </c>
      <c r="AN567">
        <v>34.4</v>
      </c>
      <c r="AO567">
        <v>35.61</v>
      </c>
      <c r="AP567">
        <v>34.97</v>
      </c>
      <c r="AV567">
        <v>173.78</v>
      </c>
      <c r="AW567">
        <v>142.72999999999999</v>
      </c>
      <c r="AX567">
        <v>32.15</v>
      </c>
    </row>
    <row r="568" spans="1:50">
      <c r="A568">
        <v>55.67</v>
      </c>
      <c r="B568">
        <v>159.51</v>
      </c>
      <c r="C568">
        <v>166.62</v>
      </c>
      <c r="D568">
        <v>167.17</v>
      </c>
      <c r="E568">
        <v>172.62</v>
      </c>
      <c r="F568">
        <v>75.12</v>
      </c>
      <c r="G568">
        <v>71.34</v>
      </c>
      <c r="H568">
        <v>65.56</v>
      </c>
      <c r="I568">
        <v>72.56</v>
      </c>
      <c r="J568">
        <v>55.78</v>
      </c>
      <c r="K568">
        <v>28.9</v>
      </c>
      <c r="L568">
        <v>0</v>
      </c>
      <c r="M568">
        <v>7.0000000000000007E-2</v>
      </c>
      <c r="N568">
        <v>7.0000000000000007E-2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5.82</v>
      </c>
      <c r="W568">
        <v>7.01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2.95</v>
      </c>
      <c r="AD568">
        <v>236.32</v>
      </c>
      <c r="AE568">
        <v>34.56</v>
      </c>
      <c r="AF568">
        <v>35.64</v>
      </c>
      <c r="AG568">
        <v>35.19</v>
      </c>
      <c r="AM568">
        <v>152.66</v>
      </c>
      <c r="AN568">
        <v>34.56</v>
      </c>
      <c r="AO568">
        <v>35.979999999999997</v>
      </c>
      <c r="AP568">
        <v>35.409999999999997</v>
      </c>
      <c r="AV568">
        <v>173.48</v>
      </c>
      <c r="AW568">
        <v>142.06</v>
      </c>
      <c r="AX568">
        <v>32.01</v>
      </c>
    </row>
    <row r="569" spans="1:50">
      <c r="A569">
        <v>55.83</v>
      </c>
      <c r="B569">
        <v>158.94999999999999</v>
      </c>
      <c r="C569">
        <v>166.01</v>
      </c>
      <c r="D569">
        <v>166.51</v>
      </c>
      <c r="E569">
        <v>172.23</v>
      </c>
      <c r="F569">
        <v>75.12</v>
      </c>
      <c r="G569">
        <v>71.45</v>
      </c>
      <c r="H569">
        <v>65.67</v>
      </c>
      <c r="I569">
        <v>72.62</v>
      </c>
      <c r="J569">
        <v>55.95</v>
      </c>
      <c r="K569">
        <v>28.9</v>
      </c>
      <c r="L569">
        <v>0</v>
      </c>
      <c r="M569">
        <v>7.0000000000000007E-2</v>
      </c>
      <c r="N569">
        <v>7.0000000000000007E-2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2.67</v>
      </c>
      <c r="W569">
        <v>2.2400000000000002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237.03</v>
      </c>
      <c r="AE569">
        <v>34.700000000000003</v>
      </c>
      <c r="AF569">
        <v>35.979999999999997</v>
      </c>
      <c r="AG569">
        <v>35.659999999999997</v>
      </c>
      <c r="AM569">
        <v>152.47999999999999</v>
      </c>
      <c r="AN569">
        <v>34.700000000000003</v>
      </c>
      <c r="AO569">
        <v>36.33</v>
      </c>
      <c r="AP569">
        <v>35.909999999999997</v>
      </c>
      <c r="AV569">
        <v>173.24</v>
      </c>
      <c r="AW569">
        <v>141.4</v>
      </c>
      <c r="AX569">
        <v>31.87</v>
      </c>
    </row>
    <row r="570" spans="1:50">
      <c r="A570">
        <v>56</v>
      </c>
      <c r="B570">
        <v>158.34</v>
      </c>
      <c r="C570">
        <v>165.34</v>
      </c>
      <c r="D570">
        <v>166.06</v>
      </c>
      <c r="E570">
        <v>171.78</v>
      </c>
      <c r="F570">
        <v>75.28</v>
      </c>
      <c r="G570">
        <v>71.510000000000005</v>
      </c>
      <c r="H570">
        <v>65.67</v>
      </c>
      <c r="I570">
        <v>72.78</v>
      </c>
      <c r="J570">
        <v>56.01</v>
      </c>
      <c r="K570">
        <v>28.9</v>
      </c>
      <c r="L570">
        <v>0</v>
      </c>
      <c r="M570">
        <v>0.24</v>
      </c>
      <c r="N570">
        <v>0.26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-1.71</v>
      </c>
      <c r="W570">
        <v>-0.87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237.73</v>
      </c>
      <c r="AE570">
        <v>34.520000000000003</v>
      </c>
      <c r="AF570">
        <v>36.08</v>
      </c>
      <c r="AG570">
        <v>35.75</v>
      </c>
      <c r="AM570">
        <v>152.22999999999999</v>
      </c>
      <c r="AN570">
        <v>34.520000000000003</v>
      </c>
      <c r="AO570">
        <v>36.42</v>
      </c>
      <c r="AP570">
        <v>36</v>
      </c>
      <c r="AV570">
        <v>172.91</v>
      </c>
      <c r="AW570">
        <v>140.74</v>
      </c>
      <c r="AX570">
        <v>31.74</v>
      </c>
    </row>
    <row r="571" spans="1:50">
      <c r="A571">
        <v>56.17</v>
      </c>
      <c r="B571">
        <v>157.9</v>
      </c>
      <c r="C571">
        <v>165.23</v>
      </c>
      <c r="D571">
        <v>165.84</v>
      </c>
      <c r="E571">
        <v>171.51</v>
      </c>
      <c r="F571">
        <v>75.510000000000005</v>
      </c>
      <c r="G571">
        <v>71.73</v>
      </c>
      <c r="H571">
        <v>65.84</v>
      </c>
      <c r="I571">
        <v>72.84</v>
      </c>
      <c r="J571">
        <v>56.17</v>
      </c>
      <c r="K571">
        <v>28.9</v>
      </c>
      <c r="L571">
        <v>0</v>
      </c>
      <c r="M571">
        <v>0.24</v>
      </c>
      <c r="N571">
        <v>0.26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-2.59</v>
      </c>
      <c r="W571">
        <v>-2.87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238.44</v>
      </c>
      <c r="AE571">
        <v>33.72</v>
      </c>
      <c r="AF571">
        <v>35.299999999999997</v>
      </c>
      <c r="AG571">
        <v>35.21</v>
      </c>
      <c r="AM571">
        <v>152.01</v>
      </c>
      <c r="AN571">
        <v>33.72</v>
      </c>
      <c r="AO571">
        <v>35.46</v>
      </c>
      <c r="AP571">
        <v>35.32</v>
      </c>
      <c r="AV571">
        <v>172.62</v>
      </c>
      <c r="AW571">
        <v>140.07</v>
      </c>
      <c r="AX571">
        <v>31.61</v>
      </c>
    </row>
    <row r="572" spans="1:50">
      <c r="A572">
        <v>56.33</v>
      </c>
      <c r="B572">
        <v>157.34</v>
      </c>
      <c r="C572">
        <v>164.78</v>
      </c>
      <c r="D572">
        <v>165.56</v>
      </c>
      <c r="E572">
        <v>171.17</v>
      </c>
      <c r="F572">
        <v>75.56</v>
      </c>
      <c r="G572">
        <v>71.900000000000006</v>
      </c>
      <c r="H572">
        <v>65.95</v>
      </c>
      <c r="I572">
        <v>72.95</v>
      </c>
      <c r="J572">
        <v>56.4</v>
      </c>
      <c r="K572">
        <v>28.9</v>
      </c>
      <c r="L572">
        <v>0</v>
      </c>
      <c r="M572">
        <v>0.24</v>
      </c>
      <c r="N572">
        <v>0.26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-1.63</v>
      </c>
      <c r="W572">
        <v>-1.87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239.15</v>
      </c>
      <c r="AE572">
        <v>31.44</v>
      </c>
      <c r="AF572">
        <v>34.299999999999997</v>
      </c>
      <c r="AG572">
        <v>34.08</v>
      </c>
      <c r="AM572">
        <v>151.78</v>
      </c>
      <c r="AN572">
        <v>31.44</v>
      </c>
      <c r="AO572">
        <v>34.299999999999997</v>
      </c>
      <c r="AP572">
        <v>34.03</v>
      </c>
      <c r="AV572">
        <v>172.33</v>
      </c>
      <c r="AW572">
        <v>139.41</v>
      </c>
      <c r="AX572">
        <v>31.48</v>
      </c>
    </row>
    <row r="573" spans="1:50">
      <c r="A573">
        <v>56.5</v>
      </c>
      <c r="B573">
        <v>156.84</v>
      </c>
      <c r="C573">
        <v>164.56</v>
      </c>
      <c r="D573">
        <v>165.23</v>
      </c>
      <c r="E573">
        <v>171.12</v>
      </c>
      <c r="F573">
        <v>75.67</v>
      </c>
      <c r="G573">
        <v>71.95</v>
      </c>
      <c r="H573">
        <v>66.12</v>
      </c>
      <c r="I573">
        <v>73.010000000000005</v>
      </c>
      <c r="J573">
        <v>56.45</v>
      </c>
      <c r="K573">
        <v>28.9</v>
      </c>
      <c r="L573">
        <v>0</v>
      </c>
      <c r="M573">
        <v>7.0000000000000007E-2</v>
      </c>
      <c r="N573">
        <v>7.0000000000000007E-2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2.5</v>
      </c>
      <c r="W573">
        <v>2.88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239.86</v>
      </c>
      <c r="AE573">
        <v>29.96</v>
      </c>
      <c r="AF573">
        <v>33.22</v>
      </c>
      <c r="AG573">
        <v>32.9</v>
      </c>
      <c r="AM573">
        <v>151.52000000000001</v>
      </c>
      <c r="AN573">
        <v>29.96</v>
      </c>
      <c r="AO573">
        <v>33.11</v>
      </c>
      <c r="AP573">
        <v>32.74</v>
      </c>
      <c r="AV573">
        <v>171.98</v>
      </c>
      <c r="AW573">
        <v>138.75</v>
      </c>
      <c r="AX573">
        <v>31.36</v>
      </c>
    </row>
    <row r="574" spans="1:50">
      <c r="A574">
        <v>56.67</v>
      </c>
      <c r="B574">
        <v>157.01</v>
      </c>
      <c r="C574">
        <v>164.4</v>
      </c>
      <c r="D574">
        <v>164.9</v>
      </c>
      <c r="E574">
        <v>172.78</v>
      </c>
      <c r="F574">
        <v>75.78</v>
      </c>
      <c r="G574">
        <v>72.12</v>
      </c>
      <c r="H574">
        <v>66.17</v>
      </c>
      <c r="I574">
        <v>73.17</v>
      </c>
      <c r="J574">
        <v>56.51</v>
      </c>
      <c r="K574">
        <v>28.9</v>
      </c>
      <c r="L574">
        <v>0</v>
      </c>
      <c r="M574">
        <v>7.0000000000000007E-2</v>
      </c>
      <c r="N574">
        <v>7.0000000000000007E-2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2.25</v>
      </c>
      <c r="W574">
        <v>4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240.56</v>
      </c>
      <c r="AE574">
        <v>29.2</v>
      </c>
      <c r="AF574">
        <v>33.17</v>
      </c>
      <c r="AG574">
        <v>32.9</v>
      </c>
      <c r="AM574">
        <v>151.28</v>
      </c>
      <c r="AN574">
        <v>29.2</v>
      </c>
      <c r="AO574">
        <v>33.06</v>
      </c>
      <c r="AP574">
        <v>32.75</v>
      </c>
      <c r="AV574">
        <v>171.68</v>
      </c>
      <c r="AW574">
        <v>138.08000000000001</v>
      </c>
      <c r="AX574">
        <v>31.23</v>
      </c>
    </row>
    <row r="575" spans="1:50">
      <c r="A575">
        <v>56.83</v>
      </c>
      <c r="B575">
        <v>158.62</v>
      </c>
      <c r="C575">
        <v>164.06</v>
      </c>
      <c r="D575">
        <v>164.73</v>
      </c>
      <c r="E575">
        <v>173.78</v>
      </c>
      <c r="F575">
        <v>75.95</v>
      </c>
      <c r="G575">
        <v>72.23</v>
      </c>
      <c r="H575">
        <v>66.23</v>
      </c>
      <c r="I575">
        <v>73.23</v>
      </c>
      <c r="J575">
        <v>56.56</v>
      </c>
      <c r="K575">
        <v>28.9</v>
      </c>
      <c r="L575">
        <v>0</v>
      </c>
      <c r="M575">
        <v>7.0000000000000007E-2</v>
      </c>
      <c r="N575">
        <v>7.0000000000000007E-2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6.65</v>
      </c>
      <c r="W575">
        <v>6.38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241.27</v>
      </c>
      <c r="AE575">
        <v>28.46</v>
      </c>
      <c r="AF575">
        <v>33.049999999999997</v>
      </c>
      <c r="AG575">
        <v>32.92</v>
      </c>
      <c r="AM575">
        <v>151.02000000000001</v>
      </c>
      <c r="AN575">
        <v>28.46</v>
      </c>
      <c r="AO575">
        <v>32.93</v>
      </c>
      <c r="AP575">
        <v>32.78</v>
      </c>
      <c r="AV575">
        <v>171.34</v>
      </c>
      <c r="AW575">
        <v>137.41999999999999</v>
      </c>
      <c r="AX575">
        <v>31.12</v>
      </c>
    </row>
    <row r="576" spans="1:50">
      <c r="A576">
        <v>57</v>
      </c>
      <c r="B576">
        <v>162.22999999999999</v>
      </c>
      <c r="C576">
        <v>163.72999999999999</v>
      </c>
      <c r="D576">
        <v>164.4</v>
      </c>
      <c r="E576">
        <v>173.84</v>
      </c>
      <c r="F576">
        <v>76.17</v>
      </c>
      <c r="G576">
        <v>72.400000000000006</v>
      </c>
      <c r="H576">
        <v>66.34</v>
      </c>
      <c r="I576">
        <v>73.34</v>
      </c>
      <c r="J576">
        <v>56.78</v>
      </c>
      <c r="K576">
        <v>28.9</v>
      </c>
      <c r="L576">
        <v>0</v>
      </c>
      <c r="M576">
        <v>7.0000000000000007E-2</v>
      </c>
      <c r="N576">
        <v>7.0000000000000007E-2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6.57</v>
      </c>
      <c r="W576">
        <v>4.96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241.98</v>
      </c>
      <c r="AE576">
        <v>28.11</v>
      </c>
      <c r="AF576">
        <v>33.200000000000003</v>
      </c>
      <c r="AG576">
        <v>33.06</v>
      </c>
      <c r="AM576">
        <v>150.78</v>
      </c>
      <c r="AN576">
        <v>28.11</v>
      </c>
      <c r="AO576">
        <v>33.1</v>
      </c>
      <c r="AP576">
        <v>32.950000000000003</v>
      </c>
      <c r="AV576">
        <v>171.03</v>
      </c>
      <c r="AW576">
        <v>136.76</v>
      </c>
      <c r="AX576">
        <v>31</v>
      </c>
    </row>
    <row r="577" spans="1:50">
      <c r="A577">
        <v>57.17</v>
      </c>
      <c r="B577">
        <v>163.44999999999999</v>
      </c>
      <c r="C577">
        <v>163.51</v>
      </c>
      <c r="D577">
        <v>164.06</v>
      </c>
      <c r="E577">
        <v>173.95</v>
      </c>
      <c r="F577">
        <v>76.17</v>
      </c>
      <c r="G577">
        <v>72.45</v>
      </c>
      <c r="H577">
        <v>66.400000000000006</v>
      </c>
      <c r="I577">
        <v>73.400000000000006</v>
      </c>
      <c r="J577">
        <v>56.84</v>
      </c>
      <c r="K577">
        <v>28.95</v>
      </c>
      <c r="L577">
        <v>0</v>
      </c>
      <c r="M577">
        <v>0.1</v>
      </c>
      <c r="N577">
        <v>7.0000000000000007E-2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7.0000000000000007E-2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242.69</v>
      </c>
      <c r="AE577">
        <v>27.9</v>
      </c>
      <c r="AF577">
        <v>33.299999999999997</v>
      </c>
      <c r="AG577">
        <v>33.06</v>
      </c>
      <c r="AM577">
        <v>150.53</v>
      </c>
      <c r="AN577">
        <v>27.9</v>
      </c>
      <c r="AO577">
        <v>33.229999999999997</v>
      </c>
      <c r="AP577">
        <v>32.96</v>
      </c>
      <c r="AV577">
        <v>170.7</v>
      </c>
      <c r="AW577">
        <v>136.1</v>
      </c>
      <c r="AX577">
        <v>30.89</v>
      </c>
    </row>
    <row r="578" spans="1:50">
      <c r="A578">
        <v>57.33</v>
      </c>
      <c r="B578">
        <v>163.51</v>
      </c>
      <c r="C578">
        <v>163.34</v>
      </c>
      <c r="D578">
        <v>163.72999999999999</v>
      </c>
      <c r="E578">
        <v>173.62</v>
      </c>
      <c r="F578">
        <v>76.28</v>
      </c>
      <c r="G578">
        <v>72.62</v>
      </c>
      <c r="H578">
        <v>66.510000000000005</v>
      </c>
      <c r="I578">
        <v>73.400000000000006</v>
      </c>
      <c r="J578">
        <v>56.95</v>
      </c>
      <c r="K578">
        <v>28.95</v>
      </c>
      <c r="L578">
        <v>0</v>
      </c>
      <c r="M578">
        <v>7.0000000000000007E-2</v>
      </c>
      <c r="N578">
        <v>7.0000000000000007E-2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2.93</v>
      </c>
      <c r="W578">
        <v>1.82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243.39</v>
      </c>
      <c r="AE578">
        <v>27.71</v>
      </c>
      <c r="AF578">
        <v>32.78</v>
      </c>
      <c r="AG578">
        <v>32.69</v>
      </c>
      <c r="AM578">
        <v>150.24</v>
      </c>
      <c r="AN578">
        <v>27.71</v>
      </c>
      <c r="AO578">
        <v>32.659999999999997</v>
      </c>
      <c r="AP578">
        <v>32.549999999999997</v>
      </c>
      <c r="AV578">
        <v>170.33</v>
      </c>
      <c r="AW578">
        <v>135.43</v>
      </c>
      <c r="AX578">
        <v>30.78</v>
      </c>
    </row>
    <row r="579" spans="1:50">
      <c r="A579">
        <v>57.5</v>
      </c>
      <c r="B579">
        <v>163.16999999999999</v>
      </c>
      <c r="C579">
        <v>163.22999999999999</v>
      </c>
      <c r="D579">
        <v>163.56</v>
      </c>
      <c r="E579">
        <v>173.4</v>
      </c>
      <c r="F579">
        <v>76.34</v>
      </c>
      <c r="G579">
        <v>72.67</v>
      </c>
      <c r="H579">
        <v>66.62</v>
      </c>
      <c r="I579">
        <v>73.56</v>
      </c>
      <c r="J579">
        <v>57.06</v>
      </c>
      <c r="K579">
        <v>28.9</v>
      </c>
      <c r="L579">
        <v>0</v>
      </c>
      <c r="M579">
        <v>7.0000000000000007E-2</v>
      </c>
      <c r="N579">
        <v>7.0000000000000007E-2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8.09</v>
      </c>
      <c r="W579">
        <v>8.59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244.1</v>
      </c>
      <c r="AE579">
        <v>27.62</v>
      </c>
      <c r="AF579">
        <v>32.630000000000003</v>
      </c>
      <c r="AG579">
        <v>32.46</v>
      </c>
      <c r="AM579">
        <v>150.01</v>
      </c>
      <c r="AN579">
        <v>27.62</v>
      </c>
      <c r="AO579">
        <v>32.5</v>
      </c>
      <c r="AP579">
        <v>32.31</v>
      </c>
      <c r="AV579">
        <v>170.02</v>
      </c>
      <c r="AW579">
        <v>134.77000000000001</v>
      </c>
      <c r="AX579">
        <v>30.67</v>
      </c>
    </row>
    <row r="580" spans="1:50">
      <c r="A580">
        <v>57.67</v>
      </c>
      <c r="B580">
        <v>162.51</v>
      </c>
      <c r="C580">
        <v>163.16999999999999</v>
      </c>
      <c r="D580">
        <v>163.56</v>
      </c>
      <c r="E580">
        <v>173.17</v>
      </c>
      <c r="F580">
        <v>76.510000000000005</v>
      </c>
      <c r="G580">
        <v>72.78</v>
      </c>
      <c r="H580">
        <v>66.73</v>
      </c>
      <c r="I580">
        <v>73.67</v>
      </c>
      <c r="J580">
        <v>57.17</v>
      </c>
      <c r="K580">
        <v>28.9</v>
      </c>
      <c r="L580">
        <v>0</v>
      </c>
      <c r="M580">
        <v>7.0000000000000007E-2</v>
      </c>
      <c r="N580">
        <v>7.0000000000000007E-2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10.97</v>
      </c>
      <c r="W580">
        <v>11.16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244.81</v>
      </c>
      <c r="AE580">
        <v>27.46</v>
      </c>
      <c r="AF580">
        <v>32.85</v>
      </c>
      <c r="AG580">
        <v>32.729999999999997</v>
      </c>
      <c r="AM580">
        <v>149.78</v>
      </c>
      <c r="AN580">
        <v>27.46</v>
      </c>
      <c r="AO580">
        <v>32.76</v>
      </c>
      <c r="AP580">
        <v>32.619999999999997</v>
      </c>
      <c r="AV580">
        <v>169.73</v>
      </c>
      <c r="AW580">
        <v>134.11000000000001</v>
      </c>
      <c r="AX580">
        <v>30.57</v>
      </c>
    </row>
    <row r="581" spans="1:50">
      <c r="A581">
        <v>57.83</v>
      </c>
      <c r="B581">
        <v>162.22999999999999</v>
      </c>
      <c r="C581">
        <v>164.06</v>
      </c>
      <c r="D581">
        <v>164.17</v>
      </c>
      <c r="E581">
        <v>172.95</v>
      </c>
      <c r="F581">
        <v>76.67</v>
      </c>
      <c r="G581">
        <v>73.010000000000005</v>
      </c>
      <c r="H581">
        <v>66.900000000000006</v>
      </c>
      <c r="I581">
        <v>73.73</v>
      </c>
      <c r="J581">
        <v>57.28</v>
      </c>
      <c r="K581">
        <v>28.9</v>
      </c>
      <c r="L581">
        <v>0</v>
      </c>
      <c r="M581">
        <v>7.0000000000000007E-2</v>
      </c>
      <c r="N581">
        <v>7.0000000000000007E-2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11.66</v>
      </c>
      <c r="W581">
        <v>12.88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245.52</v>
      </c>
      <c r="AE581">
        <v>27.81</v>
      </c>
      <c r="AF581">
        <v>33.25</v>
      </c>
      <c r="AG581">
        <v>33.159999999999997</v>
      </c>
      <c r="AM581">
        <v>149.47999999999999</v>
      </c>
      <c r="AN581">
        <v>27.81</v>
      </c>
      <c r="AO581">
        <v>33.21</v>
      </c>
      <c r="AP581">
        <v>33.11</v>
      </c>
      <c r="AV581">
        <v>169.35</v>
      </c>
      <c r="AW581">
        <v>133.44</v>
      </c>
      <c r="AX581">
        <v>30.47</v>
      </c>
    </row>
    <row r="582" spans="1:50">
      <c r="A582">
        <v>58</v>
      </c>
      <c r="B582">
        <v>162.56</v>
      </c>
      <c r="C582">
        <v>167.56</v>
      </c>
      <c r="D582">
        <v>167.17</v>
      </c>
      <c r="E582">
        <v>172.95</v>
      </c>
      <c r="F582">
        <v>76.78</v>
      </c>
      <c r="G582">
        <v>73.17</v>
      </c>
      <c r="H582">
        <v>67.010000000000005</v>
      </c>
      <c r="I582">
        <v>73.78</v>
      </c>
      <c r="J582">
        <v>57.4</v>
      </c>
      <c r="K582">
        <v>28.9</v>
      </c>
      <c r="L582">
        <v>0</v>
      </c>
      <c r="M582">
        <v>7.0000000000000007E-2</v>
      </c>
      <c r="N582">
        <v>7.0000000000000007E-2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18.66</v>
      </c>
      <c r="W582">
        <v>15.97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246.22</v>
      </c>
      <c r="AE582">
        <v>28.31</v>
      </c>
      <c r="AF582">
        <v>33.700000000000003</v>
      </c>
      <c r="AG582">
        <v>33.71</v>
      </c>
      <c r="AM582">
        <v>149.11000000000001</v>
      </c>
      <c r="AN582">
        <v>28.31</v>
      </c>
      <c r="AO582">
        <v>33.71</v>
      </c>
      <c r="AP582">
        <v>33.729999999999997</v>
      </c>
      <c r="AV582">
        <v>168.86</v>
      </c>
      <c r="AW582">
        <v>132.78</v>
      </c>
      <c r="AX582">
        <v>30.37</v>
      </c>
    </row>
    <row r="583" spans="1:50">
      <c r="A583">
        <v>58.17</v>
      </c>
      <c r="B583">
        <v>162.62</v>
      </c>
      <c r="C583">
        <v>167.78</v>
      </c>
      <c r="D583">
        <v>167.78</v>
      </c>
      <c r="E583">
        <v>172.95</v>
      </c>
      <c r="F583">
        <v>77.010000000000005</v>
      </c>
      <c r="G583">
        <v>73.28</v>
      </c>
      <c r="H583">
        <v>67.23</v>
      </c>
      <c r="I583">
        <v>73.900000000000006</v>
      </c>
      <c r="J583">
        <v>57.51</v>
      </c>
      <c r="K583">
        <v>28.9</v>
      </c>
      <c r="L583">
        <v>0</v>
      </c>
      <c r="M583">
        <v>7.0000000000000007E-2</v>
      </c>
      <c r="N583">
        <v>7.0000000000000007E-2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18.309999999999999</v>
      </c>
      <c r="W583">
        <v>18.149999999999999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246.93</v>
      </c>
      <c r="AE583">
        <v>29.15</v>
      </c>
      <c r="AF583">
        <v>34.659999999999997</v>
      </c>
      <c r="AG583">
        <v>34.49</v>
      </c>
      <c r="AM583">
        <v>148.81</v>
      </c>
      <c r="AN583">
        <v>29.15</v>
      </c>
      <c r="AO583">
        <v>34.770000000000003</v>
      </c>
      <c r="AP583">
        <v>34.590000000000003</v>
      </c>
      <c r="AV583">
        <v>168.47</v>
      </c>
      <c r="AW583">
        <v>132.12</v>
      </c>
      <c r="AX583">
        <v>30.27</v>
      </c>
    </row>
    <row r="584" spans="1:50">
      <c r="A584">
        <v>58.33</v>
      </c>
      <c r="B584">
        <v>162.62</v>
      </c>
      <c r="C584">
        <v>167.34</v>
      </c>
      <c r="D584">
        <v>167.56</v>
      </c>
      <c r="E584">
        <v>172.9</v>
      </c>
      <c r="F584">
        <v>77.12</v>
      </c>
      <c r="G584">
        <v>73.400000000000006</v>
      </c>
      <c r="H584">
        <v>67.28</v>
      </c>
      <c r="I584">
        <v>74.010000000000005</v>
      </c>
      <c r="J584">
        <v>57.62</v>
      </c>
      <c r="K584">
        <v>28.95</v>
      </c>
      <c r="L584">
        <v>0</v>
      </c>
      <c r="M584">
        <v>7.0000000000000007E-2</v>
      </c>
      <c r="N584">
        <v>7.0000000000000007E-2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27.15</v>
      </c>
      <c r="W584">
        <v>27.06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247.64</v>
      </c>
      <c r="AE584">
        <v>29.17</v>
      </c>
      <c r="AF584">
        <v>35.58</v>
      </c>
      <c r="AG584">
        <v>35.43</v>
      </c>
      <c r="AM584">
        <v>148.47</v>
      </c>
      <c r="AN584">
        <v>29.17</v>
      </c>
      <c r="AO584">
        <v>35.79</v>
      </c>
      <c r="AP584">
        <v>35.630000000000003</v>
      </c>
      <c r="AV584">
        <v>168.03</v>
      </c>
      <c r="AW584">
        <v>131.44999999999999</v>
      </c>
      <c r="AX584">
        <v>30.18</v>
      </c>
    </row>
    <row r="585" spans="1:50">
      <c r="A585">
        <v>58.5</v>
      </c>
      <c r="B585">
        <v>162.06</v>
      </c>
      <c r="C585">
        <v>167.01</v>
      </c>
      <c r="D585">
        <v>167.4</v>
      </c>
      <c r="E585">
        <v>172.62</v>
      </c>
      <c r="F585">
        <v>77.45</v>
      </c>
      <c r="G585">
        <v>73.62</v>
      </c>
      <c r="H585">
        <v>67.56</v>
      </c>
      <c r="I585">
        <v>74.06</v>
      </c>
      <c r="J585">
        <v>57.78</v>
      </c>
      <c r="K585">
        <v>28.9</v>
      </c>
      <c r="L585">
        <v>0</v>
      </c>
      <c r="M585">
        <v>7.0000000000000007E-2</v>
      </c>
      <c r="N585">
        <v>7.0000000000000007E-2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27.35</v>
      </c>
      <c r="W585">
        <v>27.03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248.35</v>
      </c>
      <c r="AE585">
        <v>29.65</v>
      </c>
      <c r="AF585">
        <v>37.07</v>
      </c>
      <c r="AG585">
        <v>36.950000000000003</v>
      </c>
      <c r="AM585">
        <v>148.13</v>
      </c>
      <c r="AN585">
        <v>29.65</v>
      </c>
      <c r="AO585">
        <v>37.43</v>
      </c>
      <c r="AP585">
        <v>37.31</v>
      </c>
      <c r="AV585">
        <v>167.59</v>
      </c>
      <c r="AW585">
        <v>130.79</v>
      </c>
      <c r="AX585">
        <v>30.09</v>
      </c>
    </row>
    <row r="586" spans="1:50">
      <c r="A586">
        <v>58.67</v>
      </c>
      <c r="B586">
        <v>161.51</v>
      </c>
      <c r="C586">
        <v>166.73</v>
      </c>
      <c r="D586">
        <v>167.17</v>
      </c>
      <c r="E586">
        <v>172.28</v>
      </c>
      <c r="F586">
        <v>77.510000000000005</v>
      </c>
      <c r="G586">
        <v>73.78</v>
      </c>
      <c r="H586">
        <v>67.67</v>
      </c>
      <c r="I586">
        <v>74.12</v>
      </c>
      <c r="J586">
        <v>57.9</v>
      </c>
      <c r="K586">
        <v>28.9</v>
      </c>
      <c r="L586">
        <v>0</v>
      </c>
      <c r="M586">
        <v>7.0000000000000007E-2</v>
      </c>
      <c r="N586">
        <v>7.0000000000000007E-2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9.39</v>
      </c>
      <c r="W586">
        <v>10.119999999999999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249.05</v>
      </c>
      <c r="AE586">
        <v>29.9</v>
      </c>
      <c r="AF586">
        <v>38.51</v>
      </c>
      <c r="AG586">
        <v>38.4</v>
      </c>
      <c r="AM586">
        <v>147.78</v>
      </c>
      <c r="AN586">
        <v>29.9</v>
      </c>
      <c r="AO586">
        <v>39</v>
      </c>
      <c r="AP586">
        <v>38.89</v>
      </c>
      <c r="AV586">
        <v>167.14</v>
      </c>
      <c r="AW586">
        <v>130.13</v>
      </c>
      <c r="AX586">
        <v>30</v>
      </c>
    </row>
    <row r="587" spans="1:50">
      <c r="A587">
        <v>58.83</v>
      </c>
      <c r="B587">
        <v>160.9</v>
      </c>
      <c r="C587">
        <v>166.23</v>
      </c>
      <c r="D587">
        <v>166.84</v>
      </c>
      <c r="E587">
        <v>171.73</v>
      </c>
      <c r="F587">
        <v>77.73</v>
      </c>
      <c r="G587">
        <v>73.900000000000006</v>
      </c>
      <c r="H587">
        <v>67.78</v>
      </c>
      <c r="I587">
        <v>74.12</v>
      </c>
      <c r="J587">
        <v>57.9</v>
      </c>
      <c r="K587">
        <v>28.9</v>
      </c>
      <c r="L587">
        <v>0</v>
      </c>
      <c r="M587">
        <v>7.0000000000000007E-2</v>
      </c>
      <c r="N587">
        <v>7.0000000000000007E-2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23.22</v>
      </c>
      <c r="W587">
        <v>23.03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249.76</v>
      </c>
      <c r="AE587">
        <v>30.54</v>
      </c>
      <c r="AF587">
        <v>38.56</v>
      </c>
      <c r="AG587">
        <v>38.520000000000003</v>
      </c>
      <c r="AM587">
        <v>147.55000000000001</v>
      </c>
      <c r="AN587">
        <v>30.54</v>
      </c>
      <c r="AO587">
        <v>39.03</v>
      </c>
      <c r="AP587">
        <v>38.979999999999997</v>
      </c>
      <c r="AV587">
        <v>166.84</v>
      </c>
      <c r="AW587">
        <v>129.46</v>
      </c>
      <c r="AX587">
        <v>29.91</v>
      </c>
    </row>
    <row r="588" spans="1:50">
      <c r="A588">
        <v>59</v>
      </c>
      <c r="B588">
        <v>160.78</v>
      </c>
      <c r="C588">
        <v>165.67</v>
      </c>
      <c r="D588">
        <v>166.23</v>
      </c>
      <c r="E588">
        <v>171.51</v>
      </c>
      <c r="F588">
        <v>77.900000000000006</v>
      </c>
      <c r="G588">
        <v>73.95</v>
      </c>
      <c r="H588">
        <v>67.84</v>
      </c>
      <c r="I588">
        <v>74.28</v>
      </c>
      <c r="J588">
        <v>58.06</v>
      </c>
      <c r="K588">
        <v>28.9</v>
      </c>
      <c r="L588">
        <v>0</v>
      </c>
      <c r="M588">
        <v>7.0000000000000007E-2</v>
      </c>
      <c r="N588">
        <v>7.0000000000000007E-2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15.86</v>
      </c>
      <c r="W588">
        <v>14.67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250.47</v>
      </c>
      <c r="AE588">
        <v>31.06</v>
      </c>
      <c r="AF588">
        <v>39.659999999999997</v>
      </c>
      <c r="AG588">
        <v>39.619999999999997</v>
      </c>
      <c r="AM588">
        <v>147.15</v>
      </c>
      <c r="AN588">
        <v>31.06</v>
      </c>
      <c r="AO588">
        <v>40.21</v>
      </c>
      <c r="AP588">
        <v>40.17</v>
      </c>
      <c r="AV588">
        <v>166.33</v>
      </c>
      <c r="AW588">
        <v>128.80000000000001</v>
      </c>
      <c r="AX588">
        <v>29.83</v>
      </c>
    </row>
    <row r="589" spans="1:50">
      <c r="A589">
        <v>59.17</v>
      </c>
      <c r="B589">
        <v>160.28</v>
      </c>
      <c r="C589">
        <v>165.01</v>
      </c>
      <c r="D589">
        <v>165.73</v>
      </c>
      <c r="E589">
        <v>171.23</v>
      </c>
      <c r="F589">
        <v>78.06</v>
      </c>
      <c r="G589">
        <v>74.12</v>
      </c>
      <c r="H589">
        <v>67.95</v>
      </c>
      <c r="I589">
        <v>74.28</v>
      </c>
      <c r="J589">
        <v>58.23</v>
      </c>
      <c r="K589">
        <v>28.9</v>
      </c>
      <c r="L589">
        <v>0</v>
      </c>
      <c r="M589">
        <v>7.0000000000000007E-2</v>
      </c>
      <c r="N589">
        <v>7.0000000000000007E-2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26.25</v>
      </c>
      <c r="W589">
        <v>24.05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251.18</v>
      </c>
      <c r="AE589">
        <v>32.119999999999997</v>
      </c>
      <c r="AF589">
        <v>40.18</v>
      </c>
      <c r="AG589">
        <v>40.07</v>
      </c>
      <c r="AM589">
        <v>146.87</v>
      </c>
      <c r="AN589">
        <v>32.119999999999997</v>
      </c>
      <c r="AO589">
        <v>40.74</v>
      </c>
      <c r="AP589">
        <v>40.619999999999997</v>
      </c>
      <c r="AV589">
        <v>165.96</v>
      </c>
      <c r="AW589">
        <v>128.13999999999999</v>
      </c>
      <c r="AX589">
        <v>29.75</v>
      </c>
    </row>
    <row r="590" spans="1:50">
      <c r="A590">
        <v>59.33</v>
      </c>
      <c r="B590">
        <v>160.12</v>
      </c>
      <c r="C590">
        <v>164.56</v>
      </c>
      <c r="D590">
        <v>165.28</v>
      </c>
      <c r="E590">
        <v>171.01</v>
      </c>
      <c r="F590">
        <v>78.28</v>
      </c>
      <c r="G590">
        <v>74.28</v>
      </c>
      <c r="H590">
        <v>68.12</v>
      </c>
      <c r="I590">
        <v>74.45</v>
      </c>
      <c r="J590">
        <v>58.34</v>
      </c>
      <c r="K590">
        <v>28.9</v>
      </c>
      <c r="L590">
        <v>0</v>
      </c>
      <c r="M590">
        <v>7.0000000000000007E-2</v>
      </c>
      <c r="N590">
        <v>7.0000000000000007E-2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24.47</v>
      </c>
      <c r="W590">
        <v>26.48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251.88</v>
      </c>
      <c r="AE590">
        <v>33.1</v>
      </c>
      <c r="AF590">
        <v>41.49</v>
      </c>
      <c r="AG590">
        <v>41.25</v>
      </c>
      <c r="AM590">
        <v>146.6</v>
      </c>
      <c r="AN590">
        <v>33.1</v>
      </c>
      <c r="AO590">
        <v>42.16</v>
      </c>
      <c r="AP590">
        <v>41.89</v>
      </c>
      <c r="AV590">
        <v>165.61</v>
      </c>
      <c r="AW590">
        <v>127.48</v>
      </c>
      <c r="AX590">
        <v>29.67</v>
      </c>
    </row>
    <row r="591" spans="1:50">
      <c r="A591">
        <v>59.5</v>
      </c>
      <c r="B591">
        <v>160.34</v>
      </c>
      <c r="C591">
        <v>164.23</v>
      </c>
      <c r="D591">
        <v>164.84</v>
      </c>
      <c r="E591">
        <v>170.84</v>
      </c>
      <c r="F591">
        <v>78.56</v>
      </c>
      <c r="G591">
        <v>74.45</v>
      </c>
      <c r="H591">
        <v>68.23</v>
      </c>
      <c r="I591">
        <v>74.56</v>
      </c>
      <c r="J591">
        <v>58.4</v>
      </c>
      <c r="K591">
        <v>28.9</v>
      </c>
      <c r="L591">
        <v>0</v>
      </c>
      <c r="M591">
        <v>7.0000000000000007E-2</v>
      </c>
      <c r="N591">
        <v>7.0000000000000007E-2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23.02</v>
      </c>
      <c r="W591">
        <v>21.94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252.59</v>
      </c>
      <c r="AE591">
        <v>34.68</v>
      </c>
      <c r="AF591">
        <v>42.65</v>
      </c>
      <c r="AG591">
        <v>42.59</v>
      </c>
      <c r="AM591">
        <v>146.34</v>
      </c>
      <c r="AN591">
        <v>34.68</v>
      </c>
      <c r="AO591">
        <v>43.39</v>
      </c>
      <c r="AP591">
        <v>43.33</v>
      </c>
      <c r="AV591">
        <v>165.27</v>
      </c>
      <c r="AW591">
        <v>126.81</v>
      </c>
      <c r="AX591">
        <v>29.59</v>
      </c>
    </row>
    <row r="592" spans="1:50">
      <c r="A592">
        <v>59.67</v>
      </c>
      <c r="B592">
        <v>160.84</v>
      </c>
      <c r="C592">
        <v>164.06</v>
      </c>
      <c r="D592">
        <v>164.45</v>
      </c>
      <c r="E592">
        <v>171.01</v>
      </c>
      <c r="F592">
        <v>78.78</v>
      </c>
      <c r="G592">
        <v>74.62</v>
      </c>
      <c r="H592">
        <v>68.400000000000006</v>
      </c>
      <c r="I592">
        <v>74.67</v>
      </c>
      <c r="J592">
        <v>58.56</v>
      </c>
      <c r="K592">
        <v>28.9</v>
      </c>
      <c r="L592">
        <v>0</v>
      </c>
      <c r="M592">
        <v>7.0000000000000007E-2</v>
      </c>
      <c r="N592">
        <v>7.0000000000000007E-2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0.68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10.77</v>
      </c>
      <c r="AD592">
        <v>253.3</v>
      </c>
      <c r="AE592">
        <v>39.06</v>
      </c>
      <c r="AF592">
        <v>43.73</v>
      </c>
      <c r="AG592">
        <v>43.62</v>
      </c>
      <c r="AM592">
        <v>145.94999999999999</v>
      </c>
      <c r="AN592">
        <v>39.06</v>
      </c>
      <c r="AO592">
        <v>44.54</v>
      </c>
      <c r="AP592">
        <v>44.42</v>
      </c>
      <c r="AV592">
        <v>164.77</v>
      </c>
      <c r="AW592">
        <v>126.15</v>
      </c>
      <c r="AX592">
        <v>29.51</v>
      </c>
    </row>
    <row r="593" spans="1:50">
      <c r="A593">
        <v>59.83</v>
      </c>
      <c r="B593">
        <v>160.84</v>
      </c>
      <c r="C593">
        <v>163.56</v>
      </c>
      <c r="D593">
        <v>163.95</v>
      </c>
      <c r="E593">
        <v>172.06</v>
      </c>
      <c r="F593">
        <v>78.95</v>
      </c>
      <c r="G593">
        <v>74.67</v>
      </c>
      <c r="H593">
        <v>68.510000000000005</v>
      </c>
      <c r="I593">
        <v>74.78</v>
      </c>
      <c r="J593">
        <v>58.67</v>
      </c>
      <c r="K593">
        <v>28.9</v>
      </c>
      <c r="L593">
        <v>0</v>
      </c>
      <c r="M593">
        <v>0.08</v>
      </c>
      <c r="N593">
        <v>0.1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254.01</v>
      </c>
      <c r="AE593">
        <v>38.9</v>
      </c>
      <c r="AF593">
        <v>43.44</v>
      </c>
      <c r="AG593">
        <v>43.28</v>
      </c>
      <c r="AM593">
        <v>145.80000000000001</v>
      </c>
      <c r="AN593">
        <v>38.9</v>
      </c>
      <c r="AO593">
        <v>44.15</v>
      </c>
      <c r="AP593">
        <v>43.98</v>
      </c>
      <c r="AV593">
        <v>164.56</v>
      </c>
      <c r="AW593">
        <v>125.49</v>
      </c>
      <c r="AX593">
        <v>29.44</v>
      </c>
    </row>
    <row r="594" spans="1:50">
      <c r="A594">
        <v>60</v>
      </c>
      <c r="B594">
        <v>160.62</v>
      </c>
      <c r="C594">
        <v>163.4</v>
      </c>
      <c r="D594">
        <v>163.72999999999999</v>
      </c>
      <c r="E594">
        <v>171.95</v>
      </c>
      <c r="F594">
        <v>79.17</v>
      </c>
      <c r="G594">
        <v>74.84</v>
      </c>
      <c r="H594">
        <v>68.62</v>
      </c>
      <c r="I594">
        <v>74.84</v>
      </c>
      <c r="J594">
        <v>58.73</v>
      </c>
      <c r="K594">
        <v>28.9</v>
      </c>
      <c r="L594">
        <v>0</v>
      </c>
      <c r="M594">
        <v>7.0000000000000007E-2</v>
      </c>
      <c r="N594">
        <v>7.0000000000000007E-2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3.8</v>
      </c>
      <c r="W594">
        <v>2.0499999999999998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254.71</v>
      </c>
      <c r="AE594">
        <v>38.119999999999997</v>
      </c>
      <c r="AF594">
        <v>43.06</v>
      </c>
      <c r="AG594">
        <v>42.84</v>
      </c>
      <c r="AM594">
        <v>145.4</v>
      </c>
      <c r="AN594">
        <v>38.119999999999997</v>
      </c>
      <c r="AO594">
        <v>43.66</v>
      </c>
      <c r="AP594">
        <v>43.41</v>
      </c>
      <c r="AV594">
        <v>164.03</v>
      </c>
      <c r="AW594">
        <v>124.82</v>
      </c>
      <c r="AX594">
        <v>29.37</v>
      </c>
    </row>
    <row r="595" spans="1:50">
      <c r="A595">
        <v>60.17</v>
      </c>
      <c r="B595">
        <v>160.22999999999999</v>
      </c>
      <c r="C595">
        <v>163.01</v>
      </c>
      <c r="D595">
        <v>163.44999999999999</v>
      </c>
      <c r="E595">
        <v>171.45</v>
      </c>
      <c r="F595">
        <v>79.34</v>
      </c>
      <c r="G595">
        <v>75.010000000000005</v>
      </c>
      <c r="H595">
        <v>68.73</v>
      </c>
      <c r="I595">
        <v>74.900000000000006</v>
      </c>
      <c r="J595">
        <v>58.9</v>
      </c>
      <c r="K595">
        <v>28.9</v>
      </c>
      <c r="L595">
        <v>0</v>
      </c>
      <c r="M595">
        <v>7.0000000000000007E-2</v>
      </c>
      <c r="N595">
        <v>7.0000000000000007E-2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2.93</v>
      </c>
      <c r="W595">
        <v>4.66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255.42</v>
      </c>
      <c r="AE595">
        <v>37.9</v>
      </c>
      <c r="AF595">
        <v>42.98</v>
      </c>
      <c r="AG595">
        <v>42.64</v>
      </c>
      <c r="AM595">
        <v>145.12</v>
      </c>
      <c r="AN595">
        <v>37.9</v>
      </c>
      <c r="AO595">
        <v>43.52</v>
      </c>
      <c r="AP595">
        <v>43.14</v>
      </c>
      <c r="AV595">
        <v>163.66999999999999</v>
      </c>
      <c r="AW595">
        <v>124.16</v>
      </c>
      <c r="AX595">
        <v>29.3</v>
      </c>
    </row>
    <row r="596" spans="1:50">
      <c r="A596">
        <v>60.33</v>
      </c>
      <c r="B596">
        <v>159.44999999999999</v>
      </c>
      <c r="C596">
        <v>162.62</v>
      </c>
      <c r="D596">
        <v>163.06</v>
      </c>
      <c r="E596">
        <v>171.28</v>
      </c>
      <c r="F596">
        <v>79.400000000000006</v>
      </c>
      <c r="G596">
        <v>75.06</v>
      </c>
      <c r="H596">
        <v>68.84</v>
      </c>
      <c r="I596">
        <v>74.900000000000006</v>
      </c>
      <c r="J596">
        <v>58.95</v>
      </c>
      <c r="K596">
        <v>28.95</v>
      </c>
      <c r="L596">
        <v>0</v>
      </c>
      <c r="M596">
        <v>7.0000000000000007E-2</v>
      </c>
      <c r="N596">
        <v>7.0000000000000007E-2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8.24</v>
      </c>
      <c r="W596">
        <v>7.52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256.13</v>
      </c>
      <c r="AE596">
        <v>37.58</v>
      </c>
      <c r="AF596">
        <v>42.82</v>
      </c>
      <c r="AG596">
        <v>42.64</v>
      </c>
      <c r="AM596">
        <v>144.69</v>
      </c>
      <c r="AN596">
        <v>37.58</v>
      </c>
      <c r="AO596">
        <v>43.31</v>
      </c>
      <c r="AP596">
        <v>43.09</v>
      </c>
      <c r="AV596">
        <v>163.11000000000001</v>
      </c>
      <c r="AW596">
        <v>123.5</v>
      </c>
      <c r="AX596">
        <v>29.23</v>
      </c>
    </row>
    <row r="597" spans="1:50">
      <c r="A597">
        <v>60.5</v>
      </c>
      <c r="B597">
        <v>158.78</v>
      </c>
      <c r="C597">
        <v>162.01</v>
      </c>
      <c r="D597">
        <v>162.56</v>
      </c>
      <c r="E597">
        <v>171.01</v>
      </c>
      <c r="F597">
        <v>79.67</v>
      </c>
      <c r="G597">
        <v>75.23</v>
      </c>
      <c r="H597">
        <v>69.010000000000005</v>
      </c>
      <c r="I597">
        <v>75.06</v>
      </c>
      <c r="J597">
        <v>59.12</v>
      </c>
      <c r="K597">
        <v>28.95</v>
      </c>
      <c r="L597">
        <v>0</v>
      </c>
      <c r="M597">
        <v>7.0000000000000007E-2</v>
      </c>
      <c r="N597">
        <v>7.0000000000000007E-2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3.69</v>
      </c>
      <c r="W597">
        <v>4.21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256.83999999999997</v>
      </c>
      <c r="AE597">
        <v>37.36</v>
      </c>
      <c r="AF597">
        <v>43.04</v>
      </c>
      <c r="AG597">
        <v>42.82</v>
      </c>
      <c r="AM597">
        <v>144.47</v>
      </c>
      <c r="AN597">
        <v>37.36</v>
      </c>
      <c r="AO597">
        <v>43.51</v>
      </c>
      <c r="AP597">
        <v>43.26</v>
      </c>
      <c r="AV597">
        <v>162.83000000000001</v>
      </c>
      <c r="AW597">
        <v>122.83</v>
      </c>
      <c r="AX597">
        <v>29.17</v>
      </c>
    </row>
    <row r="598" spans="1:50">
      <c r="A598">
        <v>60.67</v>
      </c>
      <c r="B598">
        <v>158.22999999999999</v>
      </c>
      <c r="C598">
        <v>161.56</v>
      </c>
      <c r="D598">
        <v>162.12</v>
      </c>
      <c r="E598">
        <v>170.67</v>
      </c>
      <c r="F598">
        <v>79.900000000000006</v>
      </c>
      <c r="G598">
        <v>75.45</v>
      </c>
      <c r="H598">
        <v>69.17</v>
      </c>
      <c r="I598">
        <v>75.23</v>
      </c>
      <c r="J598">
        <v>59.28</v>
      </c>
      <c r="K598">
        <v>28.9</v>
      </c>
      <c r="L598">
        <v>0</v>
      </c>
      <c r="M598">
        <v>7.0000000000000007E-2</v>
      </c>
      <c r="N598">
        <v>7.0000000000000007E-2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5.46</v>
      </c>
      <c r="W598">
        <v>5.26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257.54000000000002</v>
      </c>
      <c r="AE598">
        <v>36.729999999999997</v>
      </c>
      <c r="AF598">
        <v>42.9</v>
      </c>
      <c r="AG598">
        <v>42.73</v>
      </c>
      <c r="AM598">
        <v>144.18</v>
      </c>
      <c r="AN598">
        <v>36.729999999999997</v>
      </c>
      <c r="AO598">
        <v>43.31</v>
      </c>
      <c r="AP598">
        <v>43.12</v>
      </c>
      <c r="AV598">
        <v>162.44</v>
      </c>
      <c r="AW598">
        <v>122.17</v>
      </c>
      <c r="AX598">
        <v>29.1</v>
      </c>
    </row>
    <row r="599" spans="1:50">
      <c r="A599">
        <v>60.83</v>
      </c>
      <c r="B599">
        <v>157.66999999999999</v>
      </c>
      <c r="C599">
        <v>161.06</v>
      </c>
      <c r="D599">
        <v>161.62</v>
      </c>
      <c r="E599">
        <v>170.4</v>
      </c>
      <c r="F599">
        <v>80.06</v>
      </c>
      <c r="G599">
        <v>75.56</v>
      </c>
      <c r="H599">
        <v>69.23</v>
      </c>
      <c r="I599">
        <v>75.28</v>
      </c>
      <c r="J599">
        <v>59.34</v>
      </c>
      <c r="K599">
        <v>28.9</v>
      </c>
      <c r="L599">
        <v>0</v>
      </c>
      <c r="M599">
        <v>7.0000000000000007E-2</v>
      </c>
      <c r="N599">
        <v>7.0000000000000007E-2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8.0500000000000007</v>
      </c>
      <c r="W599">
        <v>6.65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258.25</v>
      </c>
      <c r="AE599">
        <v>36.020000000000003</v>
      </c>
      <c r="AF599">
        <v>42.85</v>
      </c>
      <c r="AG599">
        <v>42.67</v>
      </c>
      <c r="AM599">
        <v>143.87</v>
      </c>
      <c r="AN599">
        <v>36.020000000000003</v>
      </c>
      <c r="AO599">
        <v>43.22</v>
      </c>
      <c r="AP599">
        <v>43.03</v>
      </c>
      <c r="AV599">
        <v>162.05000000000001</v>
      </c>
      <c r="AW599">
        <v>121.51</v>
      </c>
      <c r="AX599">
        <v>29.04</v>
      </c>
    </row>
    <row r="600" spans="1:50">
      <c r="A600">
        <v>61</v>
      </c>
      <c r="B600">
        <v>159.51</v>
      </c>
      <c r="C600">
        <v>160.62</v>
      </c>
      <c r="D600">
        <v>161.28</v>
      </c>
      <c r="E600">
        <v>170.01</v>
      </c>
      <c r="F600">
        <v>80.12</v>
      </c>
      <c r="G600">
        <v>75.62</v>
      </c>
      <c r="H600">
        <v>69.34</v>
      </c>
      <c r="I600">
        <v>75.34</v>
      </c>
      <c r="J600">
        <v>59.34</v>
      </c>
      <c r="K600">
        <v>28.9</v>
      </c>
      <c r="L600">
        <v>0</v>
      </c>
      <c r="M600">
        <v>7.0000000000000007E-2</v>
      </c>
      <c r="N600">
        <v>7.0000000000000007E-2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5.28</v>
      </c>
      <c r="W600">
        <v>6.42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258.95999999999998</v>
      </c>
      <c r="AE600">
        <v>35.49</v>
      </c>
      <c r="AF600">
        <v>42.94</v>
      </c>
      <c r="AG600">
        <v>42.67</v>
      </c>
      <c r="AM600">
        <v>143.56</v>
      </c>
      <c r="AN600">
        <v>35.49</v>
      </c>
      <c r="AO600">
        <v>43.29</v>
      </c>
      <c r="AP600">
        <v>43</v>
      </c>
      <c r="AV600">
        <v>161.63999999999999</v>
      </c>
      <c r="AW600">
        <v>120.85</v>
      </c>
      <c r="AX600">
        <v>28.98</v>
      </c>
    </row>
    <row r="601" spans="1:50">
      <c r="A601">
        <v>61.17</v>
      </c>
      <c r="B601">
        <v>161.22999999999999</v>
      </c>
      <c r="C601">
        <v>159.94999999999999</v>
      </c>
      <c r="D601">
        <v>160.66999999999999</v>
      </c>
      <c r="E601">
        <v>169.73</v>
      </c>
      <c r="F601">
        <v>80.34</v>
      </c>
      <c r="G601">
        <v>75.900000000000006</v>
      </c>
      <c r="H601">
        <v>69.45</v>
      </c>
      <c r="I601">
        <v>75.45</v>
      </c>
      <c r="J601">
        <v>59.62</v>
      </c>
      <c r="K601">
        <v>28.9</v>
      </c>
      <c r="L601">
        <v>0</v>
      </c>
      <c r="M601">
        <v>7.0000000000000007E-2</v>
      </c>
      <c r="N601">
        <v>7.0000000000000007E-2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3.93</v>
      </c>
      <c r="W601">
        <v>2.0699999999999998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259.67</v>
      </c>
      <c r="AE601">
        <v>35.07</v>
      </c>
      <c r="AF601">
        <v>42.78</v>
      </c>
      <c r="AG601">
        <v>42.62</v>
      </c>
      <c r="AM601">
        <v>143.26</v>
      </c>
      <c r="AN601">
        <v>35.07</v>
      </c>
      <c r="AO601">
        <v>43.09</v>
      </c>
      <c r="AP601">
        <v>42.91</v>
      </c>
      <c r="AV601">
        <v>161.25</v>
      </c>
      <c r="AW601">
        <v>120.18</v>
      </c>
      <c r="AX601">
        <v>28.92</v>
      </c>
    </row>
    <row r="602" spans="1:50">
      <c r="A602">
        <v>61.33</v>
      </c>
      <c r="B602">
        <v>162.4</v>
      </c>
      <c r="C602">
        <v>159.12</v>
      </c>
      <c r="D602">
        <v>160.12</v>
      </c>
      <c r="E602">
        <v>169.67</v>
      </c>
      <c r="F602">
        <v>80.45</v>
      </c>
      <c r="G602">
        <v>76.06</v>
      </c>
      <c r="H602">
        <v>69.56</v>
      </c>
      <c r="I602">
        <v>75.45</v>
      </c>
      <c r="J602">
        <v>59.67</v>
      </c>
      <c r="K602">
        <v>28.9</v>
      </c>
      <c r="L602">
        <v>0</v>
      </c>
      <c r="M602">
        <v>7.0000000000000007E-2</v>
      </c>
      <c r="N602">
        <v>7.0000000000000007E-2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3.24</v>
      </c>
      <c r="W602">
        <v>5.48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6.56</v>
      </c>
      <c r="AD602">
        <v>260.37</v>
      </c>
      <c r="AE602">
        <v>34.64</v>
      </c>
      <c r="AF602">
        <v>42.51</v>
      </c>
      <c r="AG602">
        <v>42.22</v>
      </c>
      <c r="AM602">
        <v>142.96</v>
      </c>
      <c r="AN602">
        <v>34.64</v>
      </c>
      <c r="AO602">
        <v>42.76</v>
      </c>
      <c r="AP602">
        <v>42.44</v>
      </c>
      <c r="AV602">
        <v>160.86000000000001</v>
      </c>
      <c r="AW602">
        <v>119.52</v>
      </c>
      <c r="AX602">
        <v>28.87</v>
      </c>
    </row>
    <row r="603" spans="1:50">
      <c r="A603">
        <v>61.5</v>
      </c>
      <c r="B603">
        <v>164.34</v>
      </c>
      <c r="C603">
        <v>158.34</v>
      </c>
      <c r="D603">
        <v>159.51</v>
      </c>
      <c r="E603">
        <v>169.84</v>
      </c>
      <c r="F603">
        <v>80.67</v>
      </c>
      <c r="G603">
        <v>76.23</v>
      </c>
      <c r="H603">
        <v>69.73</v>
      </c>
      <c r="I603">
        <v>75.56</v>
      </c>
      <c r="J603">
        <v>59.78</v>
      </c>
      <c r="K603">
        <v>28.95</v>
      </c>
      <c r="L603">
        <v>0</v>
      </c>
      <c r="M603">
        <v>7.0000000000000007E-2</v>
      </c>
      <c r="N603">
        <v>7.0000000000000007E-2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7.6</v>
      </c>
      <c r="W603">
        <v>5.97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261.08</v>
      </c>
      <c r="AE603">
        <v>34.57</v>
      </c>
      <c r="AF603">
        <v>42.17</v>
      </c>
      <c r="AG603">
        <v>42.06</v>
      </c>
      <c r="AM603">
        <v>142.80000000000001</v>
      </c>
      <c r="AN603">
        <v>34.57</v>
      </c>
      <c r="AO603">
        <v>42.37</v>
      </c>
      <c r="AP603">
        <v>42.25</v>
      </c>
      <c r="AV603">
        <v>160.65</v>
      </c>
      <c r="AW603">
        <v>118.86</v>
      </c>
      <c r="AX603">
        <v>28.81</v>
      </c>
    </row>
    <row r="604" spans="1:50">
      <c r="A604">
        <v>61.67</v>
      </c>
      <c r="B604">
        <v>165.51</v>
      </c>
      <c r="C604">
        <v>158.16999999999999</v>
      </c>
      <c r="D604">
        <v>159.12</v>
      </c>
      <c r="E604">
        <v>170.01</v>
      </c>
      <c r="F604">
        <v>80.78</v>
      </c>
      <c r="G604">
        <v>76.34</v>
      </c>
      <c r="H604">
        <v>69.78</v>
      </c>
      <c r="I604">
        <v>75.62</v>
      </c>
      <c r="J604">
        <v>59.9</v>
      </c>
      <c r="K604">
        <v>28.95</v>
      </c>
      <c r="L604">
        <v>0</v>
      </c>
      <c r="M604">
        <v>7.0000000000000007E-2</v>
      </c>
      <c r="N604">
        <v>7.0000000000000007E-2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13.22</v>
      </c>
      <c r="W604">
        <v>15.25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261.79000000000002</v>
      </c>
      <c r="AE604">
        <v>34.29</v>
      </c>
      <c r="AF604">
        <v>42.17</v>
      </c>
      <c r="AG604">
        <v>41.95</v>
      </c>
      <c r="AM604">
        <v>142.62</v>
      </c>
      <c r="AN604">
        <v>34.29</v>
      </c>
      <c r="AO604">
        <v>42.35</v>
      </c>
      <c r="AP604">
        <v>42.11</v>
      </c>
      <c r="AV604">
        <v>160.41999999999999</v>
      </c>
      <c r="AW604">
        <v>118.19</v>
      </c>
      <c r="AX604">
        <v>28.76</v>
      </c>
    </row>
    <row r="605" spans="1:50">
      <c r="A605">
        <v>61.83</v>
      </c>
      <c r="B605">
        <v>167.01</v>
      </c>
      <c r="C605">
        <v>159.01</v>
      </c>
      <c r="D605">
        <v>159.78</v>
      </c>
      <c r="E605">
        <v>170.56</v>
      </c>
      <c r="F605">
        <v>81.010000000000005</v>
      </c>
      <c r="G605">
        <v>76.510000000000005</v>
      </c>
      <c r="H605">
        <v>69.900000000000006</v>
      </c>
      <c r="I605">
        <v>75.62</v>
      </c>
      <c r="J605">
        <v>60.01</v>
      </c>
      <c r="K605">
        <v>28.9</v>
      </c>
      <c r="L605">
        <v>0</v>
      </c>
      <c r="M605">
        <v>7.0000000000000007E-2</v>
      </c>
      <c r="N605">
        <v>7.0000000000000007E-2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3.7</v>
      </c>
      <c r="W605">
        <v>4.4000000000000004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262.5</v>
      </c>
      <c r="AE605">
        <v>35.07</v>
      </c>
      <c r="AF605">
        <v>42.56</v>
      </c>
      <c r="AG605">
        <v>42.51</v>
      </c>
      <c r="AM605">
        <v>142.27000000000001</v>
      </c>
      <c r="AN605">
        <v>35.07</v>
      </c>
      <c r="AO605">
        <v>42.77</v>
      </c>
      <c r="AP605">
        <v>42.72</v>
      </c>
      <c r="AV605">
        <v>159.97</v>
      </c>
      <c r="AW605">
        <v>117.53</v>
      </c>
      <c r="AX605">
        <v>28.71</v>
      </c>
    </row>
    <row r="606" spans="1:50">
      <c r="A606">
        <v>62</v>
      </c>
      <c r="B606">
        <v>168.67</v>
      </c>
      <c r="C606">
        <v>159.78</v>
      </c>
      <c r="D606">
        <v>160.66999999999999</v>
      </c>
      <c r="E606">
        <v>171.67</v>
      </c>
      <c r="F606">
        <v>81.17</v>
      </c>
      <c r="G606">
        <v>76.62</v>
      </c>
      <c r="H606">
        <v>70.010000000000005</v>
      </c>
      <c r="I606">
        <v>75.67</v>
      </c>
      <c r="J606">
        <v>60.06</v>
      </c>
      <c r="K606">
        <v>28.95</v>
      </c>
      <c r="L606">
        <v>0</v>
      </c>
      <c r="M606">
        <v>7.0000000000000007E-2</v>
      </c>
      <c r="N606">
        <v>7.0000000000000007E-2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9.68</v>
      </c>
      <c r="W606">
        <v>8.8800000000000008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263.2</v>
      </c>
      <c r="AE606">
        <v>35.24</v>
      </c>
      <c r="AF606">
        <v>42.28</v>
      </c>
      <c r="AG606">
        <v>42.28</v>
      </c>
      <c r="AM606">
        <v>141.84</v>
      </c>
      <c r="AN606">
        <v>35.24</v>
      </c>
      <c r="AO606">
        <v>42.45</v>
      </c>
      <c r="AP606">
        <v>42.45</v>
      </c>
      <c r="AV606">
        <v>159.41</v>
      </c>
      <c r="AW606">
        <v>116.87</v>
      </c>
      <c r="AX606">
        <v>28.66</v>
      </c>
    </row>
    <row r="607" spans="1:50">
      <c r="A607">
        <v>62.17</v>
      </c>
      <c r="B607">
        <v>170.45</v>
      </c>
      <c r="C607">
        <v>161.4</v>
      </c>
      <c r="D607">
        <v>162.12</v>
      </c>
      <c r="E607">
        <v>172.95</v>
      </c>
      <c r="F607">
        <v>81.34</v>
      </c>
      <c r="G607">
        <v>76.84</v>
      </c>
      <c r="H607">
        <v>70.23</v>
      </c>
      <c r="I607">
        <v>75.78</v>
      </c>
      <c r="J607">
        <v>60.17</v>
      </c>
      <c r="K607">
        <v>28.9</v>
      </c>
      <c r="L607">
        <v>0</v>
      </c>
      <c r="M607">
        <v>7.0000000000000007E-2</v>
      </c>
      <c r="N607">
        <v>7.0000000000000007E-2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9.25</v>
      </c>
      <c r="W607">
        <v>8.7100000000000009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263.91000000000003</v>
      </c>
      <c r="AE607">
        <v>35.659999999999997</v>
      </c>
      <c r="AF607">
        <v>42.47</v>
      </c>
      <c r="AG607">
        <v>42.42</v>
      </c>
      <c r="AM607">
        <v>141.65</v>
      </c>
      <c r="AN607">
        <v>35.659999999999997</v>
      </c>
      <c r="AO607">
        <v>42.64</v>
      </c>
      <c r="AP607">
        <v>42.59</v>
      </c>
      <c r="AV607">
        <v>159.16</v>
      </c>
      <c r="AW607">
        <v>116.2</v>
      </c>
      <c r="AX607">
        <v>28.61</v>
      </c>
    </row>
    <row r="608" spans="1:50">
      <c r="A608">
        <v>62.33</v>
      </c>
      <c r="B608">
        <v>172.01</v>
      </c>
      <c r="C608">
        <v>163.34</v>
      </c>
      <c r="D608">
        <v>164.17</v>
      </c>
      <c r="E608">
        <v>174.23</v>
      </c>
      <c r="F608">
        <v>81.62</v>
      </c>
      <c r="G608">
        <v>76.95</v>
      </c>
      <c r="H608">
        <v>70.400000000000006</v>
      </c>
      <c r="I608">
        <v>75.84</v>
      </c>
      <c r="J608">
        <v>60.28</v>
      </c>
      <c r="K608">
        <v>28.9</v>
      </c>
      <c r="L608">
        <v>0</v>
      </c>
      <c r="M608">
        <v>7.0000000000000007E-2</v>
      </c>
      <c r="N608">
        <v>7.0000000000000007E-2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15.44</v>
      </c>
      <c r="W608">
        <v>15.44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264.62</v>
      </c>
      <c r="AE608">
        <v>36.21</v>
      </c>
      <c r="AF608">
        <v>42.65</v>
      </c>
      <c r="AG608">
        <v>42.56</v>
      </c>
      <c r="AM608">
        <v>141.47</v>
      </c>
      <c r="AN608">
        <v>36.21</v>
      </c>
      <c r="AO608">
        <v>42.83</v>
      </c>
      <c r="AP608">
        <v>42.73</v>
      </c>
      <c r="AV608">
        <v>158.93</v>
      </c>
      <c r="AW608">
        <v>115.54</v>
      </c>
      <c r="AX608">
        <v>28.56</v>
      </c>
    </row>
    <row r="609" spans="1:50">
      <c r="A609">
        <v>62.5</v>
      </c>
      <c r="B609">
        <v>172.73</v>
      </c>
      <c r="C609">
        <v>164.67</v>
      </c>
      <c r="D609">
        <v>165.51</v>
      </c>
      <c r="E609">
        <v>175.62</v>
      </c>
      <c r="F609">
        <v>81.78</v>
      </c>
      <c r="G609">
        <v>77.12</v>
      </c>
      <c r="H609">
        <v>70.510000000000005</v>
      </c>
      <c r="I609">
        <v>75.95</v>
      </c>
      <c r="J609">
        <v>60.4</v>
      </c>
      <c r="K609">
        <v>28.9</v>
      </c>
      <c r="L609">
        <v>0</v>
      </c>
      <c r="M609">
        <v>7.0000000000000007E-2</v>
      </c>
      <c r="N609">
        <v>7.0000000000000007E-2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20.49</v>
      </c>
      <c r="W609">
        <v>20.3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265.33</v>
      </c>
      <c r="AE609">
        <v>36.880000000000003</v>
      </c>
      <c r="AF609">
        <v>43.3</v>
      </c>
      <c r="AG609">
        <v>43.23</v>
      </c>
      <c r="AM609">
        <v>141.30000000000001</v>
      </c>
      <c r="AN609">
        <v>36.880000000000003</v>
      </c>
      <c r="AO609">
        <v>43.53</v>
      </c>
      <c r="AP609">
        <v>43.46</v>
      </c>
      <c r="AV609">
        <v>158.71</v>
      </c>
      <c r="AW609">
        <v>114.88</v>
      </c>
      <c r="AX609">
        <v>28.52</v>
      </c>
    </row>
    <row r="610" spans="1:50">
      <c r="A610">
        <v>62.67</v>
      </c>
      <c r="B610">
        <v>173.23</v>
      </c>
      <c r="C610">
        <v>166.23</v>
      </c>
      <c r="D610">
        <v>166.9</v>
      </c>
      <c r="E610">
        <v>176.95</v>
      </c>
      <c r="F610">
        <v>82.06</v>
      </c>
      <c r="G610">
        <v>77.28</v>
      </c>
      <c r="H610">
        <v>70.67</v>
      </c>
      <c r="I610">
        <v>76.06</v>
      </c>
      <c r="J610">
        <v>60.56</v>
      </c>
      <c r="K610">
        <v>28.9</v>
      </c>
      <c r="L610">
        <v>0</v>
      </c>
      <c r="M610">
        <v>7.0000000000000007E-2</v>
      </c>
      <c r="N610">
        <v>7.0000000000000007E-2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21.33</v>
      </c>
      <c r="W610">
        <v>22.6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266.02999999999997</v>
      </c>
      <c r="AE610">
        <v>37.43</v>
      </c>
      <c r="AF610">
        <v>44.31</v>
      </c>
      <c r="AG610">
        <v>44.25</v>
      </c>
      <c r="AM610">
        <v>141.02000000000001</v>
      </c>
      <c r="AN610">
        <v>37.43</v>
      </c>
      <c r="AO610">
        <v>44.64</v>
      </c>
      <c r="AP610">
        <v>44.58</v>
      </c>
      <c r="AV610">
        <v>158.34</v>
      </c>
      <c r="AW610">
        <v>114.22</v>
      </c>
      <c r="AX610">
        <v>28.48</v>
      </c>
    </row>
    <row r="611" spans="1:50">
      <c r="A611">
        <v>62.83</v>
      </c>
      <c r="B611">
        <v>173.73</v>
      </c>
      <c r="C611">
        <v>167.51</v>
      </c>
      <c r="D611">
        <v>168.06</v>
      </c>
      <c r="E611">
        <v>178.12</v>
      </c>
      <c r="F611">
        <v>82.17</v>
      </c>
      <c r="G611">
        <v>77.34</v>
      </c>
      <c r="H611">
        <v>70.73</v>
      </c>
      <c r="I611">
        <v>76.12</v>
      </c>
      <c r="J611">
        <v>60.62</v>
      </c>
      <c r="K611">
        <v>28.95</v>
      </c>
      <c r="L611">
        <v>0</v>
      </c>
      <c r="M611">
        <v>7.0000000000000007E-2</v>
      </c>
      <c r="N611">
        <v>7.0000000000000007E-2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17.53</v>
      </c>
      <c r="W611">
        <v>16.649999999999999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266.74</v>
      </c>
      <c r="AE611">
        <v>38.06</v>
      </c>
      <c r="AF611">
        <v>45.35</v>
      </c>
      <c r="AG611">
        <v>45.41</v>
      </c>
      <c r="AM611">
        <v>140.72999999999999</v>
      </c>
      <c r="AN611">
        <v>38.06</v>
      </c>
      <c r="AO611">
        <v>45.77</v>
      </c>
      <c r="AP611">
        <v>45.84</v>
      </c>
      <c r="AV611">
        <v>157.96</v>
      </c>
      <c r="AW611">
        <v>113.55</v>
      </c>
      <c r="AX611">
        <v>28.43</v>
      </c>
    </row>
    <row r="612" spans="1:50">
      <c r="A612">
        <v>63</v>
      </c>
      <c r="B612">
        <v>173.95</v>
      </c>
      <c r="C612">
        <v>168.67</v>
      </c>
      <c r="D612">
        <v>169.17</v>
      </c>
      <c r="E612">
        <v>179.45</v>
      </c>
      <c r="F612">
        <v>82.34</v>
      </c>
      <c r="G612">
        <v>77.45</v>
      </c>
      <c r="H612">
        <v>70.900000000000006</v>
      </c>
      <c r="I612">
        <v>76.17</v>
      </c>
      <c r="J612">
        <v>60.73</v>
      </c>
      <c r="K612">
        <v>28.95</v>
      </c>
      <c r="L612">
        <v>0</v>
      </c>
      <c r="M612">
        <v>7.0000000000000007E-2</v>
      </c>
      <c r="N612">
        <v>7.0000000000000007E-2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13.64</v>
      </c>
      <c r="W612">
        <v>14.3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267.45</v>
      </c>
      <c r="AE612">
        <v>38.1</v>
      </c>
      <c r="AF612">
        <v>46.09</v>
      </c>
      <c r="AG612">
        <v>46.09</v>
      </c>
      <c r="AM612">
        <v>140.38</v>
      </c>
      <c r="AN612">
        <v>38.1</v>
      </c>
      <c r="AO612">
        <v>46.56</v>
      </c>
      <c r="AP612">
        <v>46.56</v>
      </c>
      <c r="AV612">
        <v>157.52000000000001</v>
      </c>
      <c r="AW612">
        <v>112.89</v>
      </c>
      <c r="AX612">
        <v>28.39</v>
      </c>
    </row>
    <row r="613" spans="1:50">
      <c r="A613">
        <v>63.17</v>
      </c>
      <c r="B613">
        <v>173.9</v>
      </c>
      <c r="C613">
        <v>169.51</v>
      </c>
      <c r="D613">
        <v>170.12</v>
      </c>
      <c r="E613">
        <v>181.01</v>
      </c>
      <c r="F613">
        <v>82.62</v>
      </c>
      <c r="G613">
        <v>77.56</v>
      </c>
      <c r="H613">
        <v>71.010000000000005</v>
      </c>
      <c r="I613">
        <v>76.23</v>
      </c>
      <c r="J613">
        <v>60.84</v>
      </c>
      <c r="K613">
        <v>28.95</v>
      </c>
      <c r="L613">
        <v>0</v>
      </c>
      <c r="M613">
        <v>7.0000000000000007E-2</v>
      </c>
      <c r="N613">
        <v>7.0000000000000007E-2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15.13</v>
      </c>
      <c r="W613">
        <v>13.97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268.16000000000003</v>
      </c>
      <c r="AE613">
        <v>38.47</v>
      </c>
      <c r="AF613">
        <v>46.49</v>
      </c>
      <c r="AG613">
        <v>46.55</v>
      </c>
      <c r="AM613">
        <v>140.16999999999999</v>
      </c>
      <c r="AN613">
        <v>38.47</v>
      </c>
      <c r="AO613">
        <v>46.97</v>
      </c>
      <c r="AP613">
        <v>47.04</v>
      </c>
      <c r="AV613">
        <v>157.25</v>
      </c>
      <c r="AW613">
        <v>112.23</v>
      </c>
      <c r="AX613">
        <v>28.35</v>
      </c>
    </row>
    <row r="614" spans="1:50">
      <c r="A614">
        <v>63.33</v>
      </c>
      <c r="B614">
        <v>173.56</v>
      </c>
      <c r="C614">
        <v>170.45</v>
      </c>
      <c r="D614">
        <v>171.06</v>
      </c>
      <c r="E614">
        <v>182.34</v>
      </c>
      <c r="F614">
        <v>82.73</v>
      </c>
      <c r="G614">
        <v>77.73</v>
      </c>
      <c r="H614">
        <v>71.12</v>
      </c>
      <c r="I614">
        <v>76.34</v>
      </c>
      <c r="J614">
        <v>60.95</v>
      </c>
      <c r="K614">
        <v>28.95</v>
      </c>
      <c r="L614">
        <v>0</v>
      </c>
      <c r="M614">
        <v>7.0000000000000007E-2</v>
      </c>
      <c r="N614">
        <v>7.0000000000000007E-2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12.84</v>
      </c>
      <c r="W614">
        <v>12.31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268.86</v>
      </c>
      <c r="AE614">
        <v>38.93</v>
      </c>
      <c r="AF614">
        <v>47.01</v>
      </c>
      <c r="AG614">
        <v>46.98</v>
      </c>
      <c r="AM614">
        <v>139.88999999999999</v>
      </c>
      <c r="AN614">
        <v>38.93</v>
      </c>
      <c r="AO614">
        <v>47.5</v>
      </c>
      <c r="AP614">
        <v>47.48</v>
      </c>
      <c r="AV614">
        <v>156.88</v>
      </c>
      <c r="AW614">
        <v>111.56</v>
      </c>
      <c r="AX614">
        <v>28.31</v>
      </c>
    </row>
    <row r="615" spans="1:50">
      <c r="A615">
        <v>63.5</v>
      </c>
      <c r="B615">
        <v>172.95</v>
      </c>
      <c r="C615">
        <v>171.23</v>
      </c>
      <c r="D615">
        <v>171.62</v>
      </c>
      <c r="E615">
        <v>183.17</v>
      </c>
      <c r="F615">
        <v>82.95</v>
      </c>
      <c r="G615">
        <v>77.84</v>
      </c>
      <c r="H615">
        <v>71.28</v>
      </c>
      <c r="I615">
        <v>76.400000000000006</v>
      </c>
      <c r="J615">
        <v>61.06</v>
      </c>
      <c r="K615">
        <v>28.95</v>
      </c>
      <c r="L615">
        <v>0</v>
      </c>
      <c r="M615">
        <v>7.0000000000000007E-2</v>
      </c>
      <c r="N615">
        <v>7.0000000000000007E-2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14.48</v>
      </c>
      <c r="W615">
        <v>16.41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269.57</v>
      </c>
      <c r="AE615">
        <v>38.92</v>
      </c>
      <c r="AF615">
        <v>47.35</v>
      </c>
      <c r="AG615">
        <v>47.29</v>
      </c>
      <c r="AM615">
        <v>139.52000000000001</v>
      </c>
      <c r="AN615">
        <v>38.92</v>
      </c>
      <c r="AO615">
        <v>47.85</v>
      </c>
      <c r="AP615">
        <v>47.79</v>
      </c>
      <c r="AV615">
        <v>156.4</v>
      </c>
      <c r="AW615">
        <v>110.9</v>
      </c>
      <c r="AX615">
        <v>28.28</v>
      </c>
    </row>
    <row r="616" spans="1:50">
      <c r="A616">
        <v>63.67</v>
      </c>
      <c r="B616">
        <v>172.17</v>
      </c>
      <c r="C616">
        <v>171.84</v>
      </c>
      <c r="D616">
        <v>172.12</v>
      </c>
      <c r="E616">
        <v>183.73</v>
      </c>
      <c r="F616">
        <v>83.12</v>
      </c>
      <c r="G616">
        <v>77.95</v>
      </c>
      <c r="H616">
        <v>71.34</v>
      </c>
      <c r="I616">
        <v>76.56</v>
      </c>
      <c r="J616">
        <v>61.17</v>
      </c>
      <c r="K616">
        <v>28.95</v>
      </c>
      <c r="L616">
        <v>0</v>
      </c>
      <c r="M616">
        <v>7.0000000000000007E-2</v>
      </c>
      <c r="N616">
        <v>7.0000000000000007E-2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15.69</v>
      </c>
      <c r="W616">
        <v>12.85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270.27999999999997</v>
      </c>
      <c r="AE616">
        <v>39.07</v>
      </c>
      <c r="AF616">
        <v>47.78</v>
      </c>
      <c r="AG616">
        <v>47.88</v>
      </c>
      <c r="AM616">
        <v>139.18</v>
      </c>
      <c r="AN616">
        <v>39.07</v>
      </c>
      <c r="AO616">
        <v>48.29</v>
      </c>
      <c r="AP616">
        <v>48.4</v>
      </c>
      <c r="AV616">
        <v>155.94999999999999</v>
      </c>
      <c r="AW616">
        <v>110.24</v>
      </c>
      <c r="AX616">
        <v>28.24</v>
      </c>
    </row>
    <row r="617" spans="1:50">
      <c r="A617">
        <v>63.83</v>
      </c>
      <c r="B617">
        <v>171.01</v>
      </c>
      <c r="C617">
        <v>172.12</v>
      </c>
      <c r="D617">
        <v>172.34</v>
      </c>
      <c r="E617">
        <v>184.34</v>
      </c>
      <c r="F617">
        <v>83.28</v>
      </c>
      <c r="G617">
        <v>78.06</v>
      </c>
      <c r="H617">
        <v>71.510000000000005</v>
      </c>
      <c r="I617">
        <v>76.56</v>
      </c>
      <c r="J617">
        <v>61.34</v>
      </c>
      <c r="K617">
        <v>28.9</v>
      </c>
      <c r="L617">
        <v>0</v>
      </c>
      <c r="M617">
        <v>7.0000000000000007E-2</v>
      </c>
      <c r="N617">
        <v>7.0000000000000007E-2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13.53</v>
      </c>
      <c r="W617">
        <v>13.46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270.99</v>
      </c>
      <c r="AE617">
        <v>39.51</v>
      </c>
      <c r="AF617">
        <v>48.29</v>
      </c>
      <c r="AG617">
        <v>48.18</v>
      </c>
      <c r="AM617">
        <v>138.88999999999999</v>
      </c>
      <c r="AN617">
        <v>39.51</v>
      </c>
      <c r="AO617">
        <v>48.81</v>
      </c>
      <c r="AP617">
        <v>48.69</v>
      </c>
      <c r="AV617">
        <v>155.58000000000001</v>
      </c>
      <c r="AW617">
        <v>109.57</v>
      </c>
      <c r="AX617">
        <v>28.21</v>
      </c>
    </row>
    <row r="618" spans="1:50">
      <c r="A618">
        <v>64</v>
      </c>
      <c r="B618">
        <v>170.51</v>
      </c>
      <c r="C618">
        <v>172.34</v>
      </c>
      <c r="D618">
        <v>172.62</v>
      </c>
      <c r="E618">
        <v>184.78</v>
      </c>
      <c r="F618">
        <v>83.45</v>
      </c>
      <c r="G618">
        <v>78.12</v>
      </c>
      <c r="H618">
        <v>71.56</v>
      </c>
      <c r="I618">
        <v>76.67</v>
      </c>
      <c r="J618">
        <v>61.4</v>
      </c>
      <c r="K618">
        <v>28.9</v>
      </c>
      <c r="L618">
        <v>0</v>
      </c>
      <c r="M618">
        <v>7.0000000000000007E-2</v>
      </c>
      <c r="N618">
        <v>7.0000000000000007E-2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13.23</v>
      </c>
      <c r="W618">
        <v>14.14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271.69</v>
      </c>
      <c r="AE618">
        <v>39.58</v>
      </c>
      <c r="AF618">
        <v>48.63</v>
      </c>
      <c r="AG618">
        <v>48.53</v>
      </c>
      <c r="AM618">
        <v>138.61000000000001</v>
      </c>
      <c r="AN618">
        <v>39.58</v>
      </c>
      <c r="AO618">
        <v>49.15</v>
      </c>
      <c r="AP618">
        <v>49.04</v>
      </c>
      <c r="AV618">
        <v>155.21</v>
      </c>
      <c r="AW618">
        <v>108.91</v>
      </c>
      <c r="AX618">
        <v>28.17</v>
      </c>
    </row>
    <row r="619" spans="1:50">
      <c r="A619">
        <v>64.17</v>
      </c>
      <c r="B619">
        <v>169.84</v>
      </c>
      <c r="C619">
        <v>172.62</v>
      </c>
      <c r="D619">
        <v>172.78</v>
      </c>
      <c r="E619">
        <v>185.45</v>
      </c>
      <c r="F619">
        <v>83.62</v>
      </c>
      <c r="G619">
        <v>78.28</v>
      </c>
      <c r="H619">
        <v>71.67</v>
      </c>
      <c r="I619">
        <v>76.73</v>
      </c>
      <c r="J619">
        <v>61.51</v>
      </c>
      <c r="K619">
        <v>28.95</v>
      </c>
      <c r="L619">
        <v>0</v>
      </c>
      <c r="M619">
        <v>7.0000000000000007E-2</v>
      </c>
      <c r="N619">
        <v>7.0000000000000007E-2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11.18</v>
      </c>
      <c r="W619">
        <v>10.65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272.39999999999998</v>
      </c>
      <c r="AE619">
        <v>39.58</v>
      </c>
      <c r="AF619">
        <v>48.93</v>
      </c>
      <c r="AG619">
        <v>48.91</v>
      </c>
      <c r="AM619">
        <v>138.28</v>
      </c>
      <c r="AN619">
        <v>39.58</v>
      </c>
      <c r="AO619">
        <v>49.44</v>
      </c>
      <c r="AP619">
        <v>49.42</v>
      </c>
      <c r="AV619">
        <v>154.78</v>
      </c>
      <c r="AW619">
        <v>108.25</v>
      </c>
      <c r="AX619">
        <v>28.14</v>
      </c>
    </row>
    <row r="620" spans="1:50">
      <c r="A620">
        <v>64.33</v>
      </c>
      <c r="B620">
        <v>169.28</v>
      </c>
      <c r="C620">
        <v>173.23</v>
      </c>
      <c r="D620">
        <v>173.28</v>
      </c>
      <c r="E620">
        <v>186.06</v>
      </c>
      <c r="F620">
        <v>83.9</v>
      </c>
      <c r="G620">
        <v>78.56</v>
      </c>
      <c r="H620">
        <v>71.84</v>
      </c>
      <c r="I620">
        <v>76.84</v>
      </c>
      <c r="J620">
        <v>61.73</v>
      </c>
      <c r="K620">
        <v>28.95</v>
      </c>
      <c r="L620">
        <v>0</v>
      </c>
      <c r="M620">
        <v>7.0000000000000007E-2</v>
      </c>
      <c r="N620">
        <v>7.0000000000000007E-2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13.52</v>
      </c>
      <c r="W620">
        <v>13.39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273.11</v>
      </c>
      <c r="AE620">
        <v>39.700000000000003</v>
      </c>
      <c r="AF620">
        <v>49.06</v>
      </c>
      <c r="AG620">
        <v>49.01</v>
      </c>
      <c r="AM620">
        <v>138</v>
      </c>
      <c r="AN620">
        <v>39.700000000000003</v>
      </c>
      <c r="AO620">
        <v>49.55</v>
      </c>
      <c r="AP620">
        <v>49.48</v>
      </c>
      <c r="AV620">
        <v>154.43</v>
      </c>
      <c r="AW620">
        <v>107.59</v>
      </c>
      <c r="AX620">
        <v>28.11</v>
      </c>
    </row>
    <row r="621" spans="1:50">
      <c r="A621">
        <v>64.5</v>
      </c>
      <c r="B621">
        <v>168.84</v>
      </c>
      <c r="C621">
        <v>174.45</v>
      </c>
      <c r="D621">
        <v>174.12</v>
      </c>
      <c r="E621">
        <v>186.4</v>
      </c>
      <c r="F621">
        <v>84.34</v>
      </c>
      <c r="G621">
        <v>78.67</v>
      </c>
      <c r="H621">
        <v>71.95</v>
      </c>
      <c r="I621">
        <v>76.95</v>
      </c>
      <c r="J621">
        <v>61.9</v>
      </c>
      <c r="K621">
        <v>28.95</v>
      </c>
      <c r="L621">
        <v>0</v>
      </c>
      <c r="M621">
        <v>7.0000000000000007E-2</v>
      </c>
      <c r="N621">
        <v>7.0000000000000007E-2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12.53</v>
      </c>
      <c r="W621">
        <v>13.18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273.82</v>
      </c>
      <c r="AE621">
        <v>39.619999999999997</v>
      </c>
      <c r="AF621">
        <v>49.36</v>
      </c>
      <c r="AG621">
        <v>49.31</v>
      </c>
      <c r="AM621">
        <v>137.62</v>
      </c>
      <c r="AN621">
        <v>39.619999999999997</v>
      </c>
      <c r="AO621">
        <v>49.84</v>
      </c>
      <c r="AP621">
        <v>49.78</v>
      </c>
      <c r="AV621">
        <v>153.91999999999999</v>
      </c>
      <c r="AW621">
        <v>106.92</v>
      </c>
      <c r="AX621">
        <v>28.08</v>
      </c>
    </row>
    <row r="622" spans="1:50">
      <c r="A622">
        <v>64.67</v>
      </c>
      <c r="B622">
        <v>168.62</v>
      </c>
      <c r="C622">
        <v>175.62</v>
      </c>
      <c r="D622">
        <v>175.23</v>
      </c>
      <c r="E622">
        <v>186.67</v>
      </c>
      <c r="F622">
        <v>84.56</v>
      </c>
      <c r="G622">
        <v>78.78</v>
      </c>
      <c r="H622">
        <v>72.06</v>
      </c>
      <c r="I622">
        <v>77.010000000000005</v>
      </c>
      <c r="J622">
        <v>61.95</v>
      </c>
      <c r="K622">
        <v>28.95</v>
      </c>
      <c r="L622">
        <v>0</v>
      </c>
      <c r="M622">
        <v>7.0000000000000007E-2</v>
      </c>
      <c r="N622">
        <v>7.0000000000000007E-2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14.46</v>
      </c>
      <c r="W622">
        <v>14.39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274.52</v>
      </c>
      <c r="AE622">
        <v>39.729999999999997</v>
      </c>
      <c r="AF622">
        <v>49.56</v>
      </c>
      <c r="AG622">
        <v>49.56</v>
      </c>
      <c r="AM622">
        <v>137.36000000000001</v>
      </c>
      <c r="AN622">
        <v>39.729999999999997</v>
      </c>
      <c r="AO622">
        <v>50.03</v>
      </c>
      <c r="AP622">
        <v>50.03</v>
      </c>
      <c r="AV622">
        <v>153.59</v>
      </c>
      <c r="AW622">
        <v>106.26</v>
      </c>
      <c r="AX622">
        <v>28.05</v>
      </c>
    </row>
    <row r="623" spans="1:50">
      <c r="A623">
        <v>64.83</v>
      </c>
      <c r="B623">
        <v>168.62</v>
      </c>
      <c r="C623">
        <v>176.51</v>
      </c>
      <c r="D623">
        <v>176.23</v>
      </c>
      <c r="E623">
        <v>186.17</v>
      </c>
      <c r="F623">
        <v>84.73</v>
      </c>
      <c r="G623">
        <v>78.95</v>
      </c>
      <c r="H623">
        <v>72.23</v>
      </c>
      <c r="I623">
        <v>77.17</v>
      </c>
      <c r="J623">
        <v>62.12</v>
      </c>
      <c r="K623">
        <v>28.9</v>
      </c>
      <c r="L623">
        <v>0</v>
      </c>
      <c r="M623">
        <v>7.0000000000000007E-2</v>
      </c>
      <c r="N623">
        <v>7.0000000000000007E-2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11.51</v>
      </c>
      <c r="W623">
        <v>11.34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275.23</v>
      </c>
      <c r="AE623">
        <v>40.06</v>
      </c>
      <c r="AF623">
        <v>49.9</v>
      </c>
      <c r="AG623">
        <v>49.9</v>
      </c>
      <c r="AM623">
        <v>137.06</v>
      </c>
      <c r="AN623">
        <v>40.06</v>
      </c>
      <c r="AO623">
        <v>50.36</v>
      </c>
      <c r="AP623">
        <v>50.36</v>
      </c>
      <c r="AV623">
        <v>153.19999999999999</v>
      </c>
      <c r="AW623">
        <v>105.6</v>
      </c>
      <c r="AX623">
        <v>28.02</v>
      </c>
    </row>
    <row r="624" spans="1:50">
      <c r="A624">
        <v>65</v>
      </c>
      <c r="B624">
        <v>169.23</v>
      </c>
      <c r="C624">
        <v>176.56</v>
      </c>
      <c r="D624">
        <v>176.67</v>
      </c>
      <c r="E624">
        <v>185.95</v>
      </c>
      <c r="F624">
        <v>84.9</v>
      </c>
      <c r="G624">
        <v>79.010000000000005</v>
      </c>
      <c r="H624">
        <v>72.28</v>
      </c>
      <c r="I624">
        <v>77.23</v>
      </c>
      <c r="J624">
        <v>62.17</v>
      </c>
      <c r="K624">
        <v>28.95</v>
      </c>
      <c r="L624">
        <v>0</v>
      </c>
      <c r="M624">
        <v>7.0000000000000007E-2</v>
      </c>
      <c r="N624">
        <v>7.0000000000000007E-2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9.35</v>
      </c>
      <c r="W624">
        <v>8.9700000000000006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275.94</v>
      </c>
      <c r="AE624">
        <v>40.270000000000003</v>
      </c>
      <c r="AF624">
        <v>50.02</v>
      </c>
      <c r="AG624">
        <v>50.01</v>
      </c>
      <c r="AM624">
        <v>136.77000000000001</v>
      </c>
      <c r="AN624">
        <v>40.270000000000003</v>
      </c>
      <c r="AO624">
        <v>50.46</v>
      </c>
      <c r="AP624">
        <v>50.44</v>
      </c>
      <c r="AV624">
        <v>152.83000000000001</v>
      </c>
      <c r="AW624">
        <v>104.93</v>
      </c>
      <c r="AX624">
        <v>27.99</v>
      </c>
    </row>
    <row r="625" spans="1:50">
      <c r="A625">
        <v>65.17</v>
      </c>
      <c r="B625">
        <v>170.01</v>
      </c>
      <c r="C625">
        <v>176.62</v>
      </c>
      <c r="D625">
        <v>176.95</v>
      </c>
      <c r="E625">
        <v>185.45</v>
      </c>
      <c r="F625">
        <v>85.06</v>
      </c>
      <c r="G625">
        <v>79.12</v>
      </c>
      <c r="H625">
        <v>72.45</v>
      </c>
      <c r="I625">
        <v>77.34</v>
      </c>
      <c r="J625">
        <v>62.28</v>
      </c>
      <c r="K625">
        <v>28.95</v>
      </c>
      <c r="L625">
        <v>0</v>
      </c>
      <c r="M625">
        <v>7.0000000000000007E-2</v>
      </c>
      <c r="N625">
        <v>7.0000000000000007E-2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12.21</v>
      </c>
      <c r="W625">
        <v>11.87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276.64999999999998</v>
      </c>
      <c r="AE625">
        <v>40.36</v>
      </c>
      <c r="AF625">
        <v>49.99</v>
      </c>
      <c r="AG625">
        <v>49.95</v>
      </c>
      <c r="AM625">
        <v>136.52000000000001</v>
      </c>
      <c r="AN625">
        <v>40.36</v>
      </c>
      <c r="AO625">
        <v>50.39</v>
      </c>
      <c r="AP625">
        <v>50.35</v>
      </c>
      <c r="AV625">
        <v>152.51</v>
      </c>
      <c r="AW625">
        <v>104.27</v>
      </c>
      <c r="AX625">
        <v>27.97</v>
      </c>
    </row>
    <row r="626" spans="1:50">
      <c r="A626">
        <v>65.33</v>
      </c>
      <c r="B626">
        <v>171.67</v>
      </c>
      <c r="C626">
        <v>176.9</v>
      </c>
      <c r="D626">
        <v>177.17</v>
      </c>
      <c r="E626">
        <v>185.28</v>
      </c>
      <c r="F626">
        <v>85.34</v>
      </c>
      <c r="G626">
        <v>79.28</v>
      </c>
      <c r="H626">
        <v>72.62</v>
      </c>
      <c r="I626">
        <v>77.45</v>
      </c>
      <c r="J626">
        <v>62.4</v>
      </c>
      <c r="K626">
        <v>28.9</v>
      </c>
      <c r="L626">
        <v>0</v>
      </c>
      <c r="M626">
        <v>7.0000000000000007E-2</v>
      </c>
      <c r="N626">
        <v>7.0000000000000007E-2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11.29</v>
      </c>
      <c r="W626">
        <v>11.97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277.35000000000002</v>
      </c>
      <c r="AE626">
        <v>40.42</v>
      </c>
      <c r="AF626">
        <v>50.17</v>
      </c>
      <c r="AG626">
        <v>50.12</v>
      </c>
      <c r="AM626">
        <v>136.19999999999999</v>
      </c>
      <c r="AN626">
        <v>40.42</v>
      </c>
      <c r="AO626">
        <v>50.56</v>
      </c>
      <c r="AP626">
        <v>50.5</v>
      </c>
      <c r="AV626">
        <v>152.09</v>
      </c>
      <c r="AW626">
        <v>103.61</v>
      </c>
      <c r="AX626">
        <v>27.94</v>
      </c>
    </row>
    <row r="627" spans="1:50">
      <c r="A627">
        <v>65.5</v>
      </c>
      <c r="B627">
        <v>172.34</v>
      </c>
      <c r="C627">
        <v>176.9</v>
      </c>
      <c r="D627">
        <v>177.23</v>
      </c>
      <c r="E627">
        <v>185.17</v>
      </c>
      <c r="F627">
        <v>85.51</v>
      </c>
      <c r="G627">
        <v>79.34</v>
      </c>
      <c r="H627">
        <v>72.95</v>
      </c>
      <c r="I627">
        <v>77.56</v>
      </c>
      <c r="J627">
        <v>62.56</v>
      </c>
      <c r="K627">
        <v>28.95</v>
      </c>
      <c r="L627">
        <v>0</v>
      </c>
      <c r="M627">
        <v>7.0000000000000007E-2</v>
      </c>
      <c r="N627">
        <v>7.0000000000000007E-2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8.1300000000000008</v>
      </c>
      <c r="W627">
        <v>8.65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278.06</v>
      </c>
      <c r="AE627">
        <v>40.75</v>
      </c>
      <c r="AF627">
        <v>50.28</v>
      </c>
      <c r="AG627">
        <v>50.28</v>
      </c>
      <c r="AM627">
        <v>135.88</v>
      </c>
      <c r="AN627">
        <v>40.75</v>
      </c>
      <c r="AO627">
        <v>50.66</v>
      </c>
      <c r="AP627">
        <v>50.65</v>
      </c>
      <c r="AV627">
        <v>151.66999999999999</v>
      </c>
      <c r="AW627">
        <v>102.94</v>
      </c>
      <c r="AX627">
        <v>27.92</v>
      </c>
    </row>
    <row r="628" spans="1:50">
      <c r="A628">
        <v>65.67</v>
      </c>
      <c r="B628">
        <v>172.67</v>
      </c>
      <c r="C628">
        <v>176.73</v>
      </c>
      <c r="D628">
        <v>177.17</v>
      </c>
      <c r="E628">
        <v>185.01</v>
      </c>
      <c r="F628">
        <v>85.73</v>
      </c>
      <c r="G628">
        <v>79.45</v>
      </c>
      <c r="H628">
        <v>73.12</v>
      </c>
      <c r="I628">
        <v>77.67</v>
      </c>
      <c r="J628">
        <v>62.62</v>
      </c>
      <c r="K628">
        <v>28.9</v>
      </c>
      <c r="L628">
        <v>0</v>
      </c>
      <c r="M628">
        <v>7.0000000000000007E-2</v>
      </c>
      <c r="N628">
        <v>7.0000000000000007E-2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14.67</v>
      </c>
      <c r="W628">
        <v>13.34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278.77</v>
      </c>
      <c r="AE628">
        <v>40.78</v>
      </c>
      <c r="AF628">
        <v>50.18</v>
      </c>
      <c r="AG628">
        <v>50.22</v>
      </c>
      <c r="AM628">
        <v>135.63</v>
      </c>
      <c r="AN628">
        <v>40.78</v>
      </c>
      <c r="AO628">
        <v>50.51</v>
      </c>
      <c r="AP628">
        <v>50.55</v>
      </c>
      <c r="AV628">
        <v>151.34</v>
      </c>
      <c r="AW628">
        <v>102.28</v>
      </c>
      <c r="AX628">
        <v>27.89</v>
      </c>
    </row>
    <row r="629" spans="1:50">
      <c r="A629">
        <v>65.83</v>
      </c>
      <c r="B629">
        <v>172.95</v>
      </c>
      <c r="C629">
        <v>176.51</v>
      </c>
      <c r="D629">
        <v>177.06</v>
      </c>
      <c r="E629">
        <v>184.78</v>
      </c>
      <c r="F629">
        <v>85.84</v>
      </c>
      <c r="G629">
        <v>79.510000000000005</v>
      </c>
      <c r="H629">
        <v>73.23</v>
      </c>
      <c r="I629">
        <v>77.73</v>
      </c>
      <c r="J629">
        <v>62.67</v>
      </c>
      <c r="K629">
        <v>28.95</v>
      </c>
      <c r="L629">
        <v>0</v>
      </c>
      <c r="M629">
        <v>7.0000000000000007E-2</v>
      </c>
      <c r="N629">
        <v>7.0000000000000007E-2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10.77</v>
      </c>
      <c r="W629">
        <v>11.47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279.48</v>
      </c>
      <c r="AE629">
        <v>40.79</v>
      </c>
      <c r="AF629">
        <v>50.56</v>
      </c>
      <c r="AG629">
        <v>50.51</v>
      </c>
      <c r="AM629">
        <v>135.29</v>
      </c>
      <c r="AN629">
        <v>40.79</v>
      </c>
      <c r="AO629">
        <v>50.91</v>
      </c>
      <c r="AP629">
        <v>50.84</v>
      </c>
      <c r="AV629">
        <v>150.9</v>
      </c>
      <c r="AW629">
        <v>101.62</v>
      </c>
      <c r="AX629">
        <v>27.87</v>
      </c>
    </row>
    <row r="630" spans="1:50">
      <c r="A630">
        <v>66</v>
      </c>
      <c r="B630">
        <v>173.4</v>
      </c>
      <c r="C630">
        <v>176.62</v>
      </c>
      <c r="D630">
        <v>177.23</v>
      </c>
      <c r="E630">
        <v>184.9</v>
      </c>
      <c r="F630">
        <v>86.12</v>
      </c>
      <c r="G630">
        <v>79.67</v>
      </c>
      <c r="H630">
        <v>73.400000000000006</v>
      </c>
      <c r="I630">
        <v>77.84</v>
      </c>
      <c r="J630">
        <v>62.84</v>
      </c>
      <c r="K630">
        <v>28.9</v>
      </c>
      <c r="L630">
        <v>0</v>
      </c>
      <c r="M630">
        <v>7.0000000000000007E-2</v>
      </c>
      <c r="N630">
        <v>7.0000000000000007E-2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14.11</v>
      </c>
      <c r="W630">
        <v>13.8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280.19</v>
      </c>
      <c r="AE630">
        <v>40.630000000000003</v>
      </c>
      <c r="AF630">
        <v>50.63</v>
      </c>
      <c r="AG630">
        <v>50.63</v>
      </c>
      <c r="AM630">
        <v>134.94999999999999</v>
      </c>
      <c r="AN630">
        <v>40.630000000000003</v>
      </c>
      <c r="AO630">
        <v>50.96</v>
      </c>
      <c r="AP630">
        <v>50.96</v>
      </c>
      <c r="AV630">
        <v>150.46</v>
      </c>
      <c r="AW630">
        <v>100.95</v>
      </c>
      <c r="AX630">
        <v>27.85</v>
      </c>
    </row>
    <row r="631" spans="1:50">
      <c r="A631">
        <v>66.17</v>
      </c>
      <c r="B631">
        <v>173.62</v>
      </c>
      <c r="C631">
        <v>176.78</v>
      </c>
      <c r="D631">
        <v>177.62</v>
      </c>
      <c r="E631">
        <v>185.9</v>
      </c>
      <c r="F631">
        <v>86.51</v>
      </c>
      <c r="G631">
        <v>79.73</v>
      </c>
      <c r="H631">
        <v>73.510000000000005</v>
      </c>
      <c r="I631">
        <v>77.900000000000006</v>
      </c>
      <c r="J631">
        <v>62.9</v>
      </c>
      <c r="K631">
        <v>28.95</v>
      </c>
      <c r="L631">
        <v>0</v>
      </c>
      <c r="M631">
        <v>7.0000000000000007E-2</v>
      </c>
      <c r="N631">
        <v>7.0000000000000007E-2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8.49</v>
      </c>
      <c r="W631">
        <v>10.65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280.89</v>
      </c>
      <c r="AE631">
        <v>40.82</v>
      </c>
      <c r="AF631">
        <v>50.93</v>
      </c>
      <c r="AG631">
        <v>50.91</v>
      </c>
      <c r="AM631">
        <v>134.66999999999999</v>
      </c>
      <c r="AN631">
        <v>40.82</v>
      </c>
      <c r="AO631">
        <v>51.27</v>
      </c>
      <c r="AP631">
        <v>51.24</v>
      </c>
      <c r="AV631">
        <v>150.1</v>
      </c>
      <c r="AW631">
        <v>100.29</v>
      </c>
      <c r="AX631">
        <v>27.83</v>
      </c>
    </row>
    <row r="632" spans="1:50">
      <c r="A632">
        <v>66.33</v>
      </c>
      <c r="B632">
        <v>173.28</v>
      </c>
      <c r="C632">
        <v>177.12</v>
      </c>
      <c r="D632">
        <v>178.06</v>
      </c>
      <c r="E632">
        <v>186.78</v>
      </c>
      <c r="F632">
        <v>86.67</v>
      </c>
      <c r="G632">
        <v>79.84</v>
      </c>
      <c r="H632">
        <v>73.62</v>
      </c>
      <c r="I632">
        <v>78.010000000000005</v>
      </c>
      <c r="J632">
        <v>63.06</v>
      </c>
      <c r="K632">
        <v>28.95</v>
      </c>
      <c r="L632">
        <v>0</v>
      </c>
      <c r="M632">
        <v>7.0000000000000007E-2</v>
      </c>
      <c r="N632">
        <v>7.0000000000000007E-2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6.18</v>
      </c>
      <c r="W632">
        <v>6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281.60000000000002</v>
      </c>
      <c r="AE632">
        <v>40.65</v>
      </c>
      <c r="AF632">
        <v>50.81</v>
      </c>
      <c r="AG632">
        <v>50.95</v>
      </c>
      <c r="AM632">
        <v>134.4</v>
      </c>
      <c r="AN632">
        <v>40.65</v>
      </c>
      <c r="AO632">
        <v>51.11</v>
      </c>
      <c r="AP632">
        <v>51.26</v>
      </c>
      <c r="AV632">
        <v>149.75</v>
      </c>
      <c r="AW632">
        <v>99.63</v>
      </c>
      <c r="AX632">
        <v>27.81</v>
      </c>
    </row>
    <row r="633" spans="1:50">
      <c r="A633">
        <v>66.5</v>
      </c>
      <c r="B633">
        <v>172.62</v>
      </c>
      <c r="C633">
        <v>176.9</v>
      </c>
      <c r="D633">
        <v>177.78</v>
      </c>
      <c r="E633">
        <v>186.62</v>
      </c>
      <c r="F633">
        <v>86.84</v>
      </c>
      <c r="G633">
        <v>79.95</v>
      </c>
      <c r="H633">
        <v>73.78</v>
      </c>
      <c r="I633">
        <v>78.17</v>
      </c>
      <c r="J633">
        <v>63.17</v>
      </c>
      <c r="K633">
        <v>28.95</v>
      </c>
      <c r="L633">
        <v>0</v>
      </c>
      <c r="M633">
        <v>7.0000000000000007E-2</v>
      </c>
      <c r="N633">
        <v>7.0000000000000007E-2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9.1300000000000008</v>
      </c>
      <c r="W633">
        <v>8.66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282.31</v>
      </c>
      <c r="AE633">
        <v>40.340000000000003</v>
      </c>
      <c r="AF633">
        <v>50.53</v>
      </c>
      <c r="AG633">
        <v>50.64</v>
      </c>
      <c r="AM633">
        <v>134.1</v>
      </c>
      <c r="AN633">
        <v>40.340000000000003</v>
      </c>
      <c r="AO633">
        <v>50.77</v>
      </c>
      <c r="AP633">
        <v>50.88</v>
      </c>
      <c r="AV633">
        <v>149.37</v>
      </c>
      <c r="AW633">
        <v>98.97</v>
      </c>
      <c r="AX633">
        <v>27.79</v>
      </c>
    </row>
    <row r="634" spans="1:50">
      <c r="A634">
        <v>66.67</v>
      </c>
      <c r="B634">
        <v>171.84</v>
      </c>
      <c r="C634">
        <v>176.73</v>
      </c>
      <c r="D634">
        <v>177.56</v>
      </c>
      <c r="E634">
        <v>186.73</v>
      </c>
      <c r="F634">
        <v>87.12</v>
      </c>
      <c r="G634">
        <v>80.17</v>
      </c>
      <c r="H634">
        <v>73.900000000000006</v>
      </c>
      <c r="I634">
        <v>78.400000000000006</v>
      </c>
      <c r="J634">
        <v>63.34</v>
      </c>
      <c r="K634">
        <v>28.95</v>
      </c>
      <c r="L634">
        <v>0</v>
      </c>
      <c r="M634">
        <v>7.0000000000000007E-2</v>
      </c>
      <c r="N634">
        <v>7.0000000000000007E-2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10.41</v>
      </c>
      <c r="W634">
        <v>11.09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283.02</v>
      </c>
      <c r="AE634">
        <v>40.07</v>
      </c>
      <c r="AF634">
        <v>50.45</v>
      </c>
      <c r="AG634">
        <v>50.52</v>
      </c>
      <c r="AM634">
        <v>133.75</v>
      </c>
      <c r="AN634">
        <v>40.07</v>
      </c>
      <c r="AO634">
        <v>50.66</v>
      </c>
      <c r="AP634">
        <v>50.73</v>
      </c>
      <c r="AV634">
        <v>148.91</v>
      </c>
      <c r="AW634">
        <v>98.3</v>
      </c>
      <c r="AX634">
        <v>27.77</v>
      </c>
    </row>
    <row r="635" spans="1:50">
      <c r="A635">
        <v>66.83</v>
      </c>
      <c r="B635">
        <v>170.4</v>
      </c>
      <c r="C635">
        <v>176.73</v>
      </c>
      <c r="D635">
        <v>177.4</v>
      </c>
      <c r="E635">
        <v>186.45</v>
      </c>
      <c r="F635">
        <v>87.12</v>
      </c>
      <c r="G635">
        <v>80.23</v>
      </c>
      <c r="H635">
        <v>74.010000000000005</v>
      </c>
      <c r="I635">
        <v>78.95</v>
      </c>
      <c r="J635">
        <v>63.4</v>
      </c>
      <c r="K635">
        <v>28.95</v>
      </c>
      <c r="L635">
        <v>0</v>
      </c>
      <c r="M635">
        <v>7.0000000000000007E-2</v>
      </c>
      <c r="N635">
        <v>7.0000000000000007E-2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11.33</v>
      </c>
      <c r="W635">
        <v>10.58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283.72000000000003</v>
      </c>
      <c r="AE635">
        <v>39.950000000000003</v>
      </c>
      <c r="AF635">
        <v>50.45</v>
      </c>
      <c r="AG635">
        <v>50.56</v>
      </c>
      <c r="AM635">
        <v>133.51</v>
      </c>
      <c r="AN635">
        <v>39.950000000000003</v>
      </c>
      <c r="AO635">
        <v>50.65</v>
      </c>
      <c r="AP635">
        <v>50.77</v>
      </c>
      <c r="AV635">
        <v>148.59</v>
      </c>
      <c r="AW635">
        <v>97.64</v>
      </c>
      <c r="AX635">
        <v>27.75</v>
      </c>
    </row>
    <row r="636" spans="1:50">
      <c r="A636">
        <v>67</v>
      </c>
      <c r="B636">
        <v>169.01</v>
      </c>
      <c r="C636">
        <v>176.9</v>
      </c>
      <c r="D636">
        <v>177.28</v>
      </c>
      <c r="E636">
        <v>186.4</v>
      </c>
      <c r="F636">
        <v>87.4</v>
      </c>
      <c r="G636">
        <v>80.400000000000006</v>
      </c>
      <c r="H636">
        <v>74.23</v>
      </c>
      <c r="I636">
        <v>79.12</v>
      </c>
      <c r="J636">
        <v>63.56</v>
      </c>
      <c r="K636">
        <v>28.95</v>
      </c>
      <c r="L636">
        <v>0</v>
      </c>
      <c r="M636">
        <v>7.0000000000000007E-2</v>
      </c>
      <c r="N636">
        <v>7.0000000000000007E-2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11.46</v>
      </c>
      <c r="W636">
        <v>11.59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284.43</v>
      </c>
      <c r="AE636">
        <v>39.729999999999997</v>
      </c>
      <c r="AF636">
        <v>50.51</v>
      </c>
      <c r="AG636">
        <v>50.56</v>
      </c>
      <c r="AM636">
        <v>133.21</v>
      </c>
      <c r="AN636">
        <v>39.729999999999997</v>
      </c>
      <c r="AO636">
        <v>50.7</v>
      </c>
      <c r="AP636">
        <v>50.75</v>
      </c>
      <c r="AV636">
        <v>148.21</v>
      </c>
      <c r="AW636">
        <v>96.98</v>
      </c>
      <c r="AX636">
        <v>27.73</v>
      </c>
    </row>
    <row r="637" spans="1:50">
      <c r="A637">
        <v>67.17</v>
      </c>
      <c r="B637">
        <v>167.67</v>
      </c>
      <c r="C637">
        <v>176.56</v>
      </c>
      <c r="D637">
        <v>177.06</v>
      </c>
      <c r="E637">
        <v>186.01</v>
      </c>
      <c r="F637">
        <v>87.45</v>
      </c>
      <c r="G637">
        <v>80.510000000000005</v>
      </c>
      <c r="H637">
        <v>74.45</v>
      </c>
      <c r="I637">
        <v>79.17</v>
      </c>
      <c r="J637">
        <v>63.56</v>
      </c>
      <c r="K637">
        <v>28.9</v>
      </c>
      <c r="L637">
        <v>0</v>
      </c>
      <c r="M637">
        <v>7.0000000000000007E-2</v>
      </c>
      <c r="N637">
        <v>7.0000000000000007E-2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10.48</v>
      </c>
      <c r="W637">
        <v>10.199999999999999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285.14</v>
      </c>
      <c r="AE637">
        <v>39.659999999999997</v>
      </c>
      <c r="AF637">
        <v>50.56</v>
      </c>
      <c r="AG637">
        <v>50.62</v>
      </c>
      <c r="AM637">
        <v>132.9</v>
      </c>
      <c r="AN637">
        <v>39.659999999999997</v>
      </c>
      <c r="AO637">
        <v>50.74</v>
      </c>
      <c r="AP637">
        <v>50.79</v>
      </c>
      <c r="AV637">
        <v>147.81</v>
      </c>
      <c r="AW637">
        <v>96.31</v>
      </c>
      <c r="AX637">
        <v>27.72</v>
      </c>
    </row>
    <row r="638" spans="1:50">
      <c r="A638">
        <v>67.33</v>
      </c>
      <c r="B638">
        <v>166.73</v>
      </c>
      <c r="C638">
        <v>176.67</v>
      </c>
      <c r="D638">
        <v>177.01</v>
      </c>
      <c r="E638">
        <v>185.9</v>
      </c>
      <c r="F638">
        <v>87.62</v>
      </c>
      <c r="G638">
        <v>80.67</v>
      </c>
      <c r="H638">
        <v>74.62</v>
      </c>
      <c r="I638">
        <v>79.400000000000006</v>
      </c>
      <c r="J638">
        <v>63.73</v>
      </c>
      <c r="K638">
        <v>28.9</v>
      </c>
      <c r="L638">
        <v>0</v>
      </c>
      <c r="M638">
        <v>7.0000000000000007E-2</v>
      </c>
      <c r="N638">
        <v>7.0000000000000007E-2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10.58</v>
      </c>
      <c r="W638">
        <v>11.41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285.85000000000002</v>
      </c>
      <c r="AE638">
        <v>39.450000000000003</v>
      </c>
      <c r="AF638">
        <v>50.53</v>
      </c>
      <c r="AG638">
        <v>50.56</v>
      </c>
      <c r="AM638">
        <v>132.56</v>
      </c>
      <c r="AN638">
        <v>39.450000000000003</v>
      </c>
      <c r="AO638">
        <v>50.69</v>
      </c>
      <c r="AP638">
        <v>50.72</v>
      </c>
      <c r="AV638">
        <v>147.37</v>
      </c>
      <c r="AW638">
        <v>95.65</v>
      </c>
      <c r="AX638">
        <v>27.7</v>
      </c>
    </row>
    <row r="639" spans="1:50">
      <c r="A639">
        <v>67.5</v>
      </c>
      <c r="B639">
        <v>166.06</v>
      </c>
      <c r="C639">
        <v>176.56</v>
      </c>
      <c r="D639">
        <v>176.9</v>
      </c>
      <c r="E639">
        <v>185.78</v>
      </c>
      <c r="F639">
        <v>87.9</v>
      </c>
      <c r="G639">
        <v>80.84</v>
      </c>
      <c r="H639">
        <v>74.84</v>
      </c>
      <c r="I639">
        <v>79.510000000000005</v>
      </c>
      <c r="J639">
        <v>63.84</v>
      </c>
      <c r="K639">
        <v>28.95</v>
      </c>
      <c r="L639">
        <v>0</v>
      </c>
      <c r="M639">
        <v>7.0000000000000007E-2</v>
      </c>
      <c r="N639">
        <v>7.0000000000000007E-2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12.37</v>
      </c>
      <c r="W639">
        <v>11.23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286.55</v>
      </c>
      <c r="AE639">
        <v>39.229999999999997</v>
      </c>
      <c r="AF639">
        <v>50.5</v>
      </c>
      <c r="AG639">
        <v>50.58</v>
      </c>
      <c r="AM639">
        <v>132.33000000000001</v>
      </c>
      <c r="AN639">
        <v>39.229999999999997</v>
      </c>
      <c r="AO639">
        <v>50.64</v>
      </c>
      <c r="AP639">
        <v>50.73</v>
      </c>
      <c r="AV639">
        <v>147.07</v>
      </c>
      <c r="AW639">
        <v>94.99</v>
      </c>
      <c r="AX639">
        <v>27.69</v>
      </c>
    </row>
    <row r="640" spans="1:50">
      <c r="A640">
        <v>67.67</v>
      </c>
      <c r="B640">
        <v>165.67</v>
      </c>
      <c r="C640">
        <v>176.84</v>
      </c>
      <c r="D640">
        <v>176.9</v>
      </c>
      <c r="E640">
        <v>185.67</v>
      </c>
      <c r="F640">
        <v>87.95</v>
      </c>
      <c r="G640">
        <v>80.95</v>
      </c>
      <c r="H640">
        <v>75.12</v>
      </c>
      <c r="I640">
        <v>79.56</v>
      </c>
      <c r="J640">
        <v>63.95</v>
      </c>
      <c r="K640">
        <v>28.9</v>
      </c>
      <c r="L640">
        <v>0</v>
      </c>
      <c r="M640">
        <v>7.0000000000000007E-2</v>
      </c>
      <c r="N640">
        <v>7.0000000000000007E-2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9.67</v>
      </c>
      <c r="W640">
        <v>11.1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287.26</v>
      </c>
      <c r="AE640">
        <v>39.19</v>
      </c>
      <c r="AF640">
        <v>50.57</v>
      </c>
      <c r="AG640">
        <v>50.57</v>
      </c>
      <c r="AM640">
        <v>131.99</v>
      </c>
      <c r="AN640">
        <v>39.19</v>
      </c>
      <c r="AO640">
        <v>50.71</v>
      </c>
      <c r="AP640">
        <v>50.71</v>
      </c>
      <c r="AV640">
        <v>146.63999999999999</v>
      </c>
      <c r="AW640">
        <v>94.32</v>
      </c>
      <c r="AX640">
        <v>27.67</v>
      </c>
    </row>
    <row r="641" spans="1:50">
      <c r="A641">
        <v>67.83</v>
      </c>
      <c r="B641">
        <v>165.78</v>
      </c>
      <c r="C641">
        <v>177.23</v>
      </c>
      <c r="D641">
        <v>177.17</v>
      </c>
      <c r="E641">
        <v>185.45</v>
      </c>
      <c r="F641">
        <v>88.17</v>
      </c>
      <c r="G641">
        <v>81.12</v>
      </c>
      <c r="H641">
        <v>75.400000000000006</v>
      </c>
      <c r="I641">
        <v>79.62</v>
      </c>
      <c r="J641">
        <v>63.95</v>
      </c>
      <c r="K641">
        <v>28.95</v>
      </c>
      <c r="L641">
        <v>0</v>
      </c>
      <c r="M641">
        <v>7.0000000000000007E-2</v>
      </c>
      <c r="N641">
        <v>7.0000000000000007E-2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10.55</v>
      </c>
      <c r="W641">
        <v>10.79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287.97000000000003</v>
      </c>
      <c r="AE641">
        <v>39.06</v>
      </c>
      <c r="AF641">
        <v>50.45</v>
      </c>
      <c r="AG641">
        <v>50.55</v>
      </c>
      <c r="AM641">
        <v>131.78</v>
      </c>
      <c r="AN641">
        <v>39.06</v>
      </c>
      <c r="AO641">
        <v>50.57</v>
      </c>
      <c r="AP641">
        <v>50.67</v>
      </c>
      <c r="AV641">
        <v>146.37</v>
      </c>
      <c r="AW641">
        <v>93.66</v>
      </c>
      <c r="AX641">
        <v>27.66</v>
      </c>
    </row>
    <row r="642" spans="1:50">
      <c r="A642">
        <v>68</v>
      </c>
      <c r="B642">
        <v>166.01</v>
      </c>
      <c r="C642">
        <v>177.4</v>
      </c>
      <c r="D642">
        <v>177.51</v>
      </c>
      <c r="E642">
        <v>185.01</v>
      </c>
      <c r="F642">
        <v>88.34</v>
      </c>
      <c r="G642">
        <v>81.34</v>
      </c>
      <c r="H642">
        <v>75.62</v>
      </c>
      <c r="I642">
        <v>79.78</v>
      </c>
      <c r="J642">
        <v>64.17</v>
      </c>
      <c r="K642">
        <v>28.95</v>
      </c>
      <c r="L642">
        <v>0</v>
      </c>
      <c r="M642">
        <v>7.0000000000000007E-2</v>
      </c>
      <c r="N642">
        <v>7.0000000000000007E-2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12.85</v>
      </c>
      <c r="W642">
        <v>13.11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288.68</v>
      </c>
      <c r="AE642">
        <v>38.78</v>
      </c>
      <c r="AF642">
        <v>50.39</v>
      </c>
      <c r="AG642">
        <v>50.5</v>
      </c>
      <c r="AM642">
        <v>131.38999999999999</v>
      </c>
      <c r="AN642">
        <v>38.78</v>
      </c>
      <c r="AO642">
        <v>50.49</v>
      </c>
      <c r="AP642">
        <v>50.6</v>
      </c>
      <c r="AV642">
        <v>145.86000000000001</v>
      </c>
      <c r="AW642">
        <v>93</v>
      </c>
      <c r="AX642">
        <v>27.65</v>
      </c>
    </row>
    <row r="643" spans="1:50">
      <c r="A643">
        <v>68.17</v>
      </c>
      <c r="B643">
        <v>166.73</v>
      </c>
      <c r="C643">
        <v>177.45</v>
      </c>
      <c r="D643">
        <v>177.73</v>
      </c>
      <c r="E643">
        <v>184.78</v>
      </c>
      <c r="F643">
        <v>88.45</v>
      </c>
      <c r="G643">
        <v>81.400000000000006</v>
      </c>
      <c r="H643">
        <v>75.78</v>
      </c>
      <c r="I643">
        <v>79.84</v>
      </c>
      <c r="J643">
        <v>64.28</v>
      </c>
      <c r="K643">
        <v>28.95</v>
      </c>
      <c r="L643">
        <v>0</v>
      </c>
      <c r="M643">
        <v>7.0000000000000007E-2</v>
      </c>
      <c r="N643">
        <v>7.0000000000000007E-2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10.74</v>
      </c>
      <c r="W643">
        <v>10.71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289.38</v>
      </c>
      <c r="AE643">
        <v>38.700000000000003</v>
      </c>
      <c r="AF643">
        <v>50.48</v>
      </c>
      <c r="AG643">
        <v>50.6</v>
      </c>
      <c r="AM643">
        <v>131.1</v>
      </c>
      <c r="AN643">
        <v>38.700000000000003</v>
      </c>
      <c r="AO643">
        <v>50.58</v>
      </c>
      <c r="AP643">
        <v>50.71</v>
      </c>
      <c r="AV643">
        <v>145.5</v>
      </c>
      <c r="AW643">
        <v>92.34</v>
      </c>
      <c r="AX643">
        <v>27.63</v>
      </c>
    </row>
    <row r="644" spans="1:50">
      <c r="A644">
        <v>68.33</v>
      </c>
      <c r="B644">
        <v>168.12</v>
      </c>
      <c r="C644">
        <v>177.4</v>
      </c>
      <c r="D644">
        <v>177.73</v>
      </c>
      <c r="E644">
        <v>184.4</v>
      </c>
      <c r="F644">
        <v>88.56</v>
      </c>
      <c r="G644">
        <v>81.510000000000005</v>
      </c>
      <c r="H644">
        <v>75.84</v>
      </c>
      <c r="I644">
        <v>79.95</v>
      </c>
      <c r="J644">
        <v>64.400000000000006</v>
      </c>
      <c r="K644">
        <v>28.9</v>
      </c>
      <c r="L644">
        <v>0</v>
      </c>
      <c r="M644">
        <v>7.0000000000000007E-2</v>
      </c>
      <c r="N644">
        <v>7.0000000000000007E-2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7.37</v>
      </c>
      <c r="W644">
        <v>7.88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290.08999999999997</v>
      </c>
      <c r="AE644">
        <v>38.590000000000003</v>
      </c>
      <c r="AF644">
        <v>50.4</v>
      </c>
      <c r="AG644">
        <v>50.52</v>
      </c>
      <c r="AM644">
        <v>130.82</v>
      </c>
      <c r="AN644">
        <v>38.590000000000003</v>
      </c>
      <c r="AO644">
        <v>50.49</v>
      </c>
      <c r="AP644">
        <v>50.6</v>
      </c>
      <c r="AV644">
        <v>145.13</v>
      </c>
      <c r="AW644">
        <v>91.67</v>
      </c>
      <c r="AX644">
        <v>27.62</v>
      </c>
    </row>
    <row r="645" spans="1:50">
      <c r="A645">
        <v>68.5</v>
      </c>
      <c r="B645">
        <v>169.51</v>
      </c>
      <c r="C645">
        <v>177.34</v>
      </c>
      <c r="D645">
        <v>177.78</v>
      </c>
      <c r="E645">
        <v>184.01</v>
      </c>
      <c r="F645">
        <v>88.73</v>
      </c>
      <c r="G645">
        <v>81.62</v>
      </c>
      <c r="H645">
        <v>76.010000000000005</v>
      </c>
      <c r="I645">
        <v>80.06</v>
      </c>
      <c r="J645">
        <v>64.510000000000005</v>
      </c>
      <c r="K645">
        <v>28.95</v>
      </c>
      <c r="L645">
        <v>0</v>
      </c>
      <c r="M645">
        <v>7.0000000000000007E-2</v>
      </c>
      <c r="N645">
        <v>7.0000000000000007E-2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11.99</v>
      </c>
      <c r="W645">
        <v>10.29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290.8</v>
      </c>
      <c r="AE645">
        <v>38.340000000000003</v>
      </c>
      <c r="AF645">
        <v>50.09</v>
      </c>
      <c r="AG645">
        <v>50.22</v>
      </c>
      <c r="AM645">
        <v>130.47</v>
      </c>
      <c r="AN645">
        <v>38.340000000000003</v>
      </c>
      <c r="AO645">
        <v>50.13</v>
      </c>
      <c r="AP645">
        <v>50.27</v>
      </c>
      <c r="AV645">
        <v>144.69</v>
      </c>
      <c r="AW645">
        <v>91.01</v>
      </c>
      <c r="AX645">
        <v>27.61</v>
      </c>
    </row>
    <row r="646" spans="1:50">
      <c r="A646">
        <v>68.67</v>
      </c>
      <c r="B646">
        <v>170.34</v>
      </c>
      <c r="C646">
        <v>177.34</v>
      </c>
      <c r="D646">
        <v>177.73</v>
      </c>
      <c r="E646">
        <v>183.73</v>
      </c>
      <c r="F646">
        <v>88.78</v>
      </c>
      <c r="G646">
        <v>81.78</v>
      </c>
      <c r="H646">
        <v>76.12</v>
      </c>
      <c r="I646">
        <v>80.23</v>
      </c>
      <c r="J646">
        <v>64.62</v>
      </c>
      <c r="K646">
        <v>28.9</v>
      </c>
      <c r="L646">
        <v>0</v>
      </c>
      <c r="M646">
        <v>7.0000000000000007E-2</v>
      </c>
      <c r="N646">
        <v>7.0000000000000007E-2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11.23</v>
      </c>
      <c r="W646">
        <v>11.92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291.51</v>
      </c>
      <c r="AE646">
        <v>38.380000000000003</v>
      </c>
      <c r="AF646">
        <v>50.1</v>
      </c>
      <c r="AG646">
        <v>50.1</v>
      </c>
      <c r="AM646">
        <v>130.24</v>
      </c>
      <c r="AN646">
        <v>38.380000000000003</v>
      </c>
      <c r="AO646">
        <v>50.14</v>
      </c>
      <c r="AP646">
        <v>50.13</v>
      </c>
      <c r="AV646">
        <v>144.38999999999999</v>
      </c>
      <c r="AW646">
        <v>90.35</v>
      </c>
      <c r="AX646">
        <v>27.6</v>
      </c>
    </row>
    <row r="647" spans="1:50">
      <c r="A647">
        <v>68.83</v>
      </c>
      <c r="B647">
        <v>170.28</v>
      </c>
      <c r="C647">
        <v>177.23</v>
      </c>
      <c r="D647">
        <v>177.73</v>
      </c>
      <c r="E647">
        <v>183.62</v>
      </c>
      <c r="F647">
        <v>88.9</v>
      </c>
      <c r="G647">
        <v>81.900000000000006</v>
      </c>
      <c r="H647">
        <v>76.34</v>
      </c>
      <c r="I647">
        <v>80.28</v>
      </c>
      <c r="J647">
        <v>64.67</v>
      </c>
      <c r="K647">
        <v>28.9</v>
      </c>
      <c r="L647">
        <v>0</v>
      </c>
      <c r="M647">
        <v>7.0000000000000007E-2</v>
      </c>
      <c r="N647">
        <v>7.0000000000000007E-2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11.75</v>
      </c>
      <c r="W647">
        <v>11.83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292.20999999999998</v>
      </c>
      <c r="AE647">
        <v>38.29</v>
      </c>
      <c r="AF647">
        <v>50.07</v>
      </c>
      <c r="AG647">
        <v>50.12</v>
      </c>
      <c r="AM647">
        <v>129.96</v>
      </c>
      <c r="AN647">
        <v>38.29</v>
      </c>
      <c r="AO647">
        <v>50.1</v>
      </c>
      <c r="AP647">
        <v>50.15</v>
      </c>
      <c r="AV647">
        <v>144.03</v>
      </c>
      <c r="AW647">
        <v>89.68</v>
      </c>
      <c r="AX647">
        <v>27.59</v>
      </c>
    </row>
    <row r="648" spans="1:50">
      <c r="A648">
        <v>69</v>
      </c>
      <c r="B648">
        <v>170.34</v>
      </c>
      <c r="C648">
        <v>177.45</v>
      </c>
      <c r="D648">
        <v>178.01</v>
      </c>
      <c r="E648">
        <v>183.51</v>
      </c>
      <c r="F648">
        <v>89.06</v>
      </c>
      <c r="G648">
        <v>82.01</v>
      </c>
      <c r="H648">
        <v>76.73</v>
      </c>
      <c r="I648">
        <v>80.400000000000006</v>
      </c>
      <c r="J648">
        <v>64.84</v>
      </c>
      <c r="K648">
        <v>28.95</v>
      </c>
      <c r="L648">
        <v>0</v>
      </c>
      <c r="M648">
        <v>7.0000000000000007E-2</v>
      </c>
      <c r="N648">
        <v>7.0000000000000007E-2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11.14</v>
      </c>
      <c r="W648">
        <v>10.66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292.92</v>
      </c>
      <c r="AE648">
        <v>38.29</v>
      </c>
      <c r="AF648">
        <v>50.07</v>
      </c>
      <c r="AG648">
        <v>50.12</v>
      </c>
      <c r="AM648">
        <v>129.66999999999999</v>
      </c>
      <c r="AN648">
        <v>38.29</v>
      </c>
      <c r="AO648">
        <v>50.1</v>
      </c>
      <c r="AP648">
        <v>50.14</v>
      </c>
      <c r="AV648">
        <v>143.65</v>
      </c>
      <c r="AW648">
        <v>89.02</v>
      </c>
      <c r="AX648">
        <v>27.58</v>
      </c>
    </row>
    <row r="649" spans="1:50">
      <c r="A649">
        <v>69.17</v>
      </c>
      <c r="B649">
        <v>171.01</v>
      </c>
      <c r="C649">
        <v>178.23</v>
      </c>
      <c r="D649">
        <v>179.01</v>
      </c>
      <c r="E649">
        <v>184.01</v>
      </c>
      <c r="F649">
        <v>89.28</v>
      </c>
      <c r="G649">
        <v>82.17</v>
      </c>
      <c r="H649">
        <v>76.95</v>
      </c>
      <c r="I649">
        <v>80.510000000000005</v>
      </c>
      <c r="J649">
        <v>65.010000000000005</v>
      </c>
      <c r="K649">
        <v>28.95</v>
      </c>
      <c r="L649">
        <v>0</v>
      </c>
      <c r="M649">
        <v>7.0000000000000007E-2</v>
      </c>
      <c r="N649">
        <v>7.0000000000000007E-2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10.06</v>
      </c>
      <c r="W649">
        <v>10.39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293.63</v>
      </c>
      <c r="AE649">
        <v>38.24</v>
      </c>
      <c r="AF649">
        <v>50.02</v>
      </c>
      <c r="AG649">
        <v>50.03</v>
      </c>
      <c r="AM649">
        <v>129.35</v>
      </c>
      <c r="AN649">
        <v>38.24</v>
      </c>
      <c r="AO649">
        <v>50.04</v>
      </c>
      <c r="AP649">
        <v>50.05</v>
      </c>
      <c r="AV649">
        <v>143.25</v>
      </c>
      <c r="AW649">
        <v>88.36</v>
      </c>
      <c r="AX649">
        <v>27.57</v>
      </c>
    </row>
    <row r="650" spans="1:50">
      <c r="A650">
        <v>69.33</v>
      </c>
      <c r="B650">
        <v>170.28</v>
      </c>
      <c r="C650">
        <v>178.73</v>
      </c>
      <c r="D650">
        <v>179.67</v>
      </c>
      <c r="E650">
        <v>184.01</v>
      </c>
      <c r="F650">
        <v>89.34</v>
      </c>
      <c r="G650">
        <v>82.34</v>
      </c>
      <c r="H650">
        <v>77.12</v>
      </c>
      <c r="I650">
        <v>80.67</v>
      </c>
      <c r="J650">
        <v>65.06</v>
      </c>
      <c r="K650">
        <v>28.95</v>
      </c>
      <c r="L650">
        <v>0</v>
      </c>
      <c r="M650">
        <v>7.0000000000000007E-2</v>
      </c>
      <c r="N650">
        <v>7.0000000000000007E-2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11.78</v>
      </c>
      <c r="W650">
        <v>11.35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294.33999999999997</v>
      </c>
      <c r="AE650">
        <v>38.119999999999997</v>
      </c>
      <c r="AF650">
        <v>49.9</v>
      </c>
      <c r="AG650">
        <v>49.93</v>
      </c>
      <c r="AM650">
        <v>129.1</v>
      </c>
      <c r="AN650">
        <v>38.119999999999997</v>
      </c>
      <c r="AO650">
        <v>49.9</v>
      </c>
      <c r="AP650">
        <v>49.93</v>
      </c>
      <c r="AV650">
        <v>142.91999999999999</v>
      </c>
      <c r="AW650">
        <v>87.69</v>
      </c>
      <c r="AX650">
        <v>27.56</v>
      </c>
    </row>
    <row r="651" spans="1:50">
      <c r="A651">
        <v>69.5</v>
      </c>
      <c r="B651">
        <v>169.06</v>
      </c>
      <c r="C651">
        <v>178.51</v>
      </c>
      <c r="D651">
        <v>179.67</v>
      </c>
      <c r="E651">
        <v>184.23</v>
      </c>
      <c r="F651">
        <v>89.51</v>
      </c>
      <c r="G651">
        <v>82.51</v>
      </c>
      <c r="H651">
        <v>77.12</v>
      </c>
      <c r="I651">
        <v>80.78</v>
      </c>
      <c r="J651">
        <v>65.23</v>
      </c>
      <c r="K651">
        <v>28.95</v>
      </c>
      <c r="L651">
        <v>0</v>
      </c>
      <c r="M651">
        <v>7.0000000000000007E-2</v>
      </c>
      <c r="N651">
        <v>7.0000000000000007E-2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10.18</v>
      </c>
      <c r="W651">
        <v>11.4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295.04000000000002</v>
      </c>
      <c r="AE651">
        <v>37.950000000000003</v>
      </c>
      <c r="AF651">
        <v>49.9</v>
      </c>
      <c r="AG651">
        <v>49.9</v>
      </c>
      <c r="AM651">
        <v>128.69999999999999</v>
      </c>
      <c r="AN651">
        <v>37.950000000000003</v>
      </c>
      <c r="AO651">
        <v>49.9</v>
      </c>
      <c r="AP651">
        <v>49.89</v>
      </c>
      <c r="AV651">
        <v>142.41</v>
      </c>
      <c r="AW651">
        <v>87.03</v>
      </c>
      <c r="AX651">
        <v>27.55</v>
      </c>
    </row>
    <row r="652" spans="1:50">
      <c r="A652">
        <v>69.67</v>
      </c>
      <c r="B652">
        <v>168.34</v>
      </c>
      <c r="C652">
        <v>178.62</v>
      </c>
      <c r="D652">
        <v>179.73</v>
      </c>
      <c r="E652">
        <v>183.95</v>
      </c>
      <c r="F652">
        <v>89.62</v>
      </c>
      <c r="G652">
        <v>82.67</v>
      </c>
      <c r="H652">
        <v>77.28</v>
      </c>
      <c r="I652">
        <v>81.06</v>
      </c>
      <c r="J652">
        <v>65.34</v>
      </c>
      <c r="K652">
        <v>28.95</v>
      </c>
      <c r="L652">
        <v>0</v>
      </c>
      <c r="M652">
        <v>7.0000000000000007E-2</v>
      </c>
      <c r="N652">
        <v>7.0000000000000007E-2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12.06</v>
      </c>
      <c r="W652">
        <v>10.94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295.75</v>
      </c>
      <c r="AE652">
        <v>37.94</v>
      </c>
      <c r="AF652">
        <v>49.77</v>
      </c>
      <c r="AG652">
        <v>49.86</v>
      </c>
      <c r="AM652">
        <v>128.36000000000001</v>
      </c>
      <c r="AN652">
        <v>37.94</v>
      </c>
      <c r="AO652">
        <v>49.76</v>
      </c>
      <c r="AP652">
        <v>49.85</v>
      </c>
      <c r="AV652">
        <v>141.97</v>
      </c>
      <c r="AW652">
        <v>86.37</v>
      </c>
      <c r="AX652">
        <v>27.54</v>
      </c>
    </row>
    <row r="653" spans="1:50">
      <c r="A653">
        <v>69.83</v>
      </c>
      <c r="B653">
        <v>167.51</v>
      </c>
      <c r="C653">
        <v>178.51</v>
      </c>
      <c r="D653">
        <v>179.51</v>
      </c>
      <c r="E653">
        <v>183.62</v>
      </c>
      <c r="F653">
        <v>89.67</v>
      </c>
      <c r="G653">
        <v>82.78</v>
      </c>
      <c r="H653">
        <v>77.510000000000005</v>
      </c>
      <c r="I653">
        <v>81.17</v>
      </c>
      <c r="J653">
        <v>65.400000000000006</v>
      </c>
      <c r="K653">
        <v>28.95</v>
      </c>
      <c r="L653">
        <v>0</v>
      </c>
      <c r="M653">
        <v>7.0000000000000007E-2</v>
      </c>
      <c r="N653">
        <v>7.0000000000000007E-2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11.8</v>
      </c>
      <c r="W653">
        <v>11.83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296.45999999999998</v>
      </c>
      <c r="AE653">
        <v>37.96</v>
      </c>
      <c r="AF653">
        <v>49.78</v>
      </c>
      <c r="AG653">
        <v>49.78</v>
      </c>
      <c r="AM653">
        <v>128.12</v>
      </c>
      <c r="AN653">
        <v>37.96</v>
      </c>
      <c r="AO653">
        <v>49.78</v>
      </c>
      <c r="AP653">
        <v>49.77</v>
      </c>
      <c r="AV653">
        <v>141.66999999999999</v>
      </c>
      <c r="AW653">
        <v>85.71</v>
      </c>
      <c r="AX653">
        <v>27.53</v>
      </c>
    </row>
    <row r="654" spans="1:50">
      <c r="A654">
        <v>70</v>
      </c>
      <c r="B654">
        <v>167.23</v>
      </c>
      <c r="C654">
        <v>178.23</v>
      </c>
      <c r="D654">
        <v>179.17</v>
      </c>
      <c r="E654">
        <v>183.17</v>
      </c>
      <c r="F654">
        <v>89.84</v>
      </c>
      <c r="G654">
        <v>82.84</v>
      </c>
      <c r="H654">
        <v>77.56</v>
      </c>
      <c r="I654">
        <v>81.28</v>
      </c>
      <c r="J654">
        <v>65.56</v>
      </c>
      <c r="K654">
        <v>28.95</v>
      </c>
      <c r="L654">
        <v>0</v>
      </c>
      <c r="M654">
        <v>7.0000000000000007E-2</v>
      </c>
      <c r="N654">
        <v>7.0000000000000007E-2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10.68</v>
      </c>
      <c r="W654">
        <v>10.68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297.17</v>
      </c>
      <c r="AE654">
        <v>37.89</v>
      </c>
      <c r="AF654">
        <v>49.78</v>
      </c>
      <c r="AG654">
        <v>49.78</v>
      </c>
      <c r="AM654">
        <v>127.84</v>
      </c>
      <c r="AN654">
        <v>37.89</v>
      </c>
      <c r="AO654">
        <v>49.78</v>
      </c>
      <c r="AP654">
        <v>49.77</v>
      </c>
      <c r="AV654">
        <v>141.30000000000001</v>
      </c>
      <c r="AW654">
        <v>85.04</v>
      </c>
      <c r="AX654">
        <v>27.52</v>
      </c>
    </row>
    <row r="655" spans="1:50">
      <c r="A655">
        <v>70.17</v>
      </c>
      <c r="B655">
        <v>166.73</v>
      </c>
      <c r="C655">
        <v>177.67</v>
      </c>
      <c r="D655">
        <v>178.56</v>
      </c>
      <c r="E655">
        <v>182.73</v>
      </c>
      <c r="F655">
        <v>89.95</v>
      </c>
      <c r="G655">
        <v>83.01</v>
      </c>
      <c r="H655">
        <v>77.73</v>
      </c>
      <c r="I655">
        <v>81.400000000000006</v>
      </c>
      <c r="J655">
        <v>65.67</v>
      </c>
      <c r="K655">
        <v>28.9</v>
      </c>
      <c r="L655">
        <v>0</v>
      </c>
      <c r="M655">
        <v>7.0000000000000007E-2</v>
      </c>
      <c r="N655">
        <v>7.0000000000000007E-2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14.79</v>
      </c>
      <c r="W655">
        <v>14.74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297.87</v>
      </c>
      <c r="AE655">
        <v>37.68</v>
      </c>
      <c r="AF655">
        <v>49.7</v>
      </c>
      <c r="AG655">
        <v>49.7</v>
      </c>
      <c r="AM655">
        <v>127.51</v>
      </c>
      <c r="AN655">
        <v>37.68</v>
      </c>
      <c r="AO655">
        <v>49.68</v>
      </c>
      <c r="AP655">
        <v>49.67</v>
      </c>
      <c r="AV655">
        <v>140.88</v>
      </c>
      <c r="AW655">
        <v>84.38</v>
      </c>
      <c r="AX655">
        <v>27.52</v>
      </c>
    </row>
    <row r="656" spans="1:50">
      <c r="A656">
        <v>70.33</v>
      </c>
      <c r="B656">
        <v>166.23</v>
      </c>
      <c r="C656">
        <v>177.4</v>
      </c>
      <c r="D656">
        <v>178.17</v>
      </c>
      <c r="E656">
        <v>182.51</v>
      </c>
      <c r="F656">
        <v>90.01</v>
      </c>
      <c r="G656">
        <v>83.12</v>
      </c>
      <c r="H656">
        <v>77.84</v>
      </c>
      <c r="I656">
        <v>81.510000000000005</v>
      </c>
      <c r="J656">
        <v>65.78</v>
      </c>
      <c r="K656">
        <v>28.95</v>
      </c>
      <c r="L656">
        <v>0</v>
      </c>
      <c r="M656">
        <v>7.0000000000000007E-2</v>
      </c>
      <c r="N656">
        <v>7.0000000000000007E-2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12.31</v>
      </c>
      <c r="W656">
        <v>11.91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298.58</v>
      </c>
      <c r="AE656">
        <v>37.65</v>
      </c>
      <c r="AF656">
        <v>49.9</v>
      </c>
      <c r="AG656">
        <v>49.9</v>
      </c>
      <c r="AM656">
        <v>127.21</v>
      </c>
      <c r="AN656">
        <v>37.65</v>
      </c>
      <c r="AO656">
        <v>49.9</v>
      </c>
      <c r="AP656">
        <v>49.9</v>
      </c>
      <c r="AV656">
        <v>140.5</v>
      </c>
      <c r="AW656">
        <v>83.72</v>
      </c>
      <c r="AX656">
        <v>27.51</v>
      </c>
    </row>
    <row r="657" spans="1:50">
      <c r="A657">
        <v>70.5</v>
      </c>
      <c r="B657">
        <v>165.9</v>
      </c>
      <c r="C657">
        <v>177.34</v>
      </c>
      <c r="D657">
        <v>178.01</v>
      </c>
      <c r="E657">
        <v>182.45</v>
      </c>
      <c r="F657">
        <v>90.23</v>
      </c>
      <c r="G657">
        <v>83.17</v>
      </c>
      <c r="H657">
        <v>77.95</v>
      </c>
      <c r="I657">
        <v>81.62</v>
      </c>
      <c r="J657">
        <v>65.900000000000006</v>
      </c>
      <c r="K657">
        <v>28.95</v>
      </c>
      <c r="L657">
        <v>0</v>
      </c>
      <c r="M657">
        <v>7.0000000000000007E-2</v>
      </c>
      <c r="N657">
        <v>7.0000000000000007E-2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14.06</v>
      </c>
      <c r="W657">
        <v>15.15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299.29000000000002</v>
      </c>
      <c r="AE657">
        <v>37.56</v>
      </c>
      <c r="AF657">
        <v>49.9</v>
      </c>
      <c r="AG657">
        <v>49.87</v>
      </c>
      <c r="AM657">
        <v>126.92</v>
      </c>
      <c r="AN657">
        <v>37.56</v>
      </c>
      <c r="AO657">
        <v>49.91</v>
      </c>
      <c r="AP657">
        <v>49.87</v>
      </c>
      <c r="AV657">
        <v>140.13999999999999</v>
      </c>
      <c r="AW657">
        <v>83.05</v>
      </c>
      <c r="AX657">
        <v>27.5</v>
      </c>
    </row>
    <row r="658" spans="1:50">
      <c r="A658">
        <v>70.67</v>
      </c>
      <c r="B658">
        <v>165.23</v>
      </c>
      <c r="C658">
        <v>177.28</v>
      </c>
      <c r="D658">
        <v>177.84</v>
      </c>
      <c r="E658">
        <v>182.17</v>
      </c>
      <c r="F658">
        <v>90.34</v>
      </c>
      <c r="G658">
        <v>83.28</v>
      </c>
      <c r="H658">
        <v>78.06</v>
      </c>
      <c r="I658">
        <v>81.78</v>
      </c>
      <c r="J658">
        <v>66.010000000000005</v>
      </c>
      <c r="K658">
        <v>28.95</v>
      </c>
      <c r="L658">
        <v>0</v>
      </c>
      <c r="M658">
        <v>7.0000000000000007E-2</v>
      </c>
      <c r="N658">
        <v>7.0000000000000007E-2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10.64</v>
      </c>
      <c r="W658">
        <v>11.49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300</v>
      </c>
      <c r="AE658">
        <v>37.6</v>
      </c>
      <c r="AF658">
        <v>50.02</v>
      </c>
      <c r="AG658">
        <v>50.08</v>
      </c>
      <c r="AM658">
        <v>126.65</v>
      </c>
      <c r="AN658">
        <v>37.6</v>
      </c>
      <c r="AO658">
        <v>50.05</v>
      </c>
      <c r="AP658">
        <v>50.1</v>
      </c>
      <c r="AV658">
        <v>139.79</v>
      </c>
      <c r="AW658">
        <v>82.39</v>
      </c>
      <c r="AX658">
        <v>27.5</v>
      </c>
    </row>
    <row r="659" spans="1:50">
      <c r="A659">
        <v>70.83</v>
      </c>
      <c r="B659">
        <v>164.73</v>
      </c>
      <c r="C659">
        <v>177.34</v>
      </c>
      <c r="D659">
        <v>177.67</v>
      </c>
      <c r="E659">
        <v>182.01</v>
      </c>
      <c r="F659">
        <v>90.45</v>
      </c>
      <c r="G659">
        <v>83.4</v>
      </c>
      <c r="H659">
        <v>78.23</v>
      </c>
      <c r="I659">
        <v>81.95</v>
      </c>
      <c r="J659">
        <v>66.12</v>
      </c>
      <c r="K659">
        <v>28.95</v>
      </c>
      <c r="L659">
        <v>0</v>
      </c>
      <c r="M659">
        <v>7.0000000000000007E-2</v>
      </c>
      <c r="N659">
        <v>7.0000000000000007E-2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10.62</v>
      </c>
      <c r="W659">
        <v>10.01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300.7</v>
      </c>
      <c r="AE659">
        <v>37.729999999999997</v>
      </c>
      <c r="AF659">
        <v>49.9</v>
      </c>
      <c r="AG659">
        <v>50.01</v>
      </c>
      <c r="AM659">
        <v>126.4</v>
      </c>
      <c r="AN659">
        <v>37.729999999999997</v>
      </c>
      <c r="AO659">
        <v>49.9</v>
      </c>
      <c r="AP659">
        <v>50.02</v>
      </c>
      <c r="AV659">
        <v>139.46</v>
      </c>
      <c r="AW659">
        <v>81.73</v>
      </c>
      <c r="AX659">
        <v>27.49</v>
      </c>
    </row>
    <row r="660" spans="1:50">
      <c r="A660">
        <v>71</v>
      </c>
      <c r="B660">
        <v>165.4</v>
      </c>
      <c r="C660">
        <v>177.17</v>
      </c>
      <c r="D660">
        <v>177.51</v>
      </c>
      <c r="E660">
        <v>181.78</v>
      </c>
      <c r="F660">
        <v>90.62</v>
      </c>
      <c r="G660">
        <v>83.51</v>
      </c>
      <c r="H660">
        <v>78.28</v>
      </c>
      <c r="I660">
        <v>82.06</v>
      </c>
      <c r="J660">
        <v>66.28</v>
      </c>
      <c r="K660">
        <v>28.95</v>
      </c>
      <c r="L660">
        <v>0</v>
      </c>
      <c r="M660">
        <v>7.0000000000000007E-2</v>
      </c>
      <c r="N660">
        <v>7.0000000000000007E-2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12</v>
      </c>
      <c r="W660">
        <v>11.55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301.41000000000003</v>
      </c>
      <c r="AE660">
        <v>37.79</v>
      </c>
      <c r="AF660">
        <v>49.78</v>
      </c>
      <c r="AG660">
        <v>49.84</v>
      </c>
      <c r="AM660">
        <v>126.12</v>
      </c>
      <c r="AN660">
        <v>37.79</v>
      </c>
      <c r="AO660">
        <v>49.78</v>
      </c>
      <c r="AP660">
        <v>49.83</v>
      </c>
      <c r="AV660">
        <v>139.11000000000001</v>
      </c>
      <c r="AW660">
        <v>81.06</v>
      </c>
      <c r="AX660">
        <v>27.49</v>
      </c>
    </row>
    <row r="661" spans="1:50">
      <c r="A661">
        <v>71.17</v>
      </c>
      <c r="B661">
        <v>166.95</v>
      </c>
      <c r="C661">
        <v>176.56</v>
      </c>
      <c r="D661">
        <v>176.9</v>
      </c>
      <c r="E661">
        <v>181.34</v>
      </c>
      <c r="F661">
        <v>90.67</v>
      </c>
      <c r="G661">
        <v>83.56</v>
      </c>
      <c r="H661">
        <v>78.400000000000006</v>
      </c>
      <c r="I661">
        <v>82.17</v>
      </c>
      <c r="J661">
        <v>66.34</v>
      </c>
      <c r="K661">
        <v>28.95</v>
      </c>
      <c r="L661">
        <v>0</v>
      </c>
      <c r="M661">
        <v>7.0000000000000007E-2</v>
      </c>
      <c r="N661">
        <v>7.0000000000000007E-2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12.92</v>
      </c>
      <c r="W661">
        <v>13.17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302.12</v>
      </c>
      <c r="AE661">
        <v>37.9</v>
      </c>
      <c r="AF661">
        <v>49.78</v>
      </c>
      <c r="AG661">
        <v>49.8</v>
      </c>
      <c r="AM661">
        <v>125.77</v>
      </c>
      <c r="AN661">
        <v>37.9</v>
      </c>
      <c r="AO661">
        <v>49.78</v>
      </c>
      <c r="AP661">
        <v>49.79</v>
      </c>
      <c r="AV661">
        <v>138.66</v>
      </c>
      <c r="AW661">
        <v>80.400000000000006</v>
      </c>
      <c r="AX661">
        <v>27.48</v>
      </c>
    </row>
    <row r="662" spans="1:50">
      <c r="A662">
        <v>71.33</v>
      </c>
      <c r="B662">
        <v>168.9</v>
      </c>
      <c r="C662">
        <v>176.4</v>
      </c>
      <c r="D662">
        <v>176.73</v>
      </c>
      <c r="E662">
        <v>181.06</v>
      </c>
      <c r="F662">
        <v>90.84</v>
      </c>
      <c r="G662">
        <v>83.73</v>
      </c>
      <c r="H662">
        <v>78.45</v>
      </c>
      <c r="I662">
        <v>82.34</v>
      </c>
      <c r="J662">
        <v>66.510000000000005</v>
      </c>
      <c r="K662">
        <v>28.95</v>
      </c>
      <c r="L662">
        <v>0</v>
      </c>
      <c r="M662">
        <v>7.0000000000000007E-2</v>
      </c>
      <c r="N662">
        <v>7.0000000000000007E-2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14.34</v>
      </c>
      <c r="W662">
        <v>14.59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302.83</v>
      </c>
      <c r="AE662">
        <v>37.97</v>
      </c>
      <c r="AF662">
        <v>49.86</v>
      </c>
      <c r="AG662">
        <v>49.9</v>
      </c>
      <c r="AM662">
        <v>125.56</v>
      </c>
      <c r="AN662">
        <v>37.97</v>
      </c>
      <c r="AO662">
        <v>49.86</v>
      </c>
      <c r="AP662">
        <v>49.9</v>
      </c>
      <c r="AV662">
        <v>138.4</v>
      </c>
      <c r="AW662">
        <v>79.739999999999995</v>
      </c>
      <c r="AX662">
        <v>27.48</v>
      </c>
    </row>
    <row r="663" spans="1:50">
      <c r="A663">
        <v>71.5</v>
      </c>
      <c r="B663">
        <v>170.23</v>
      </c>
      <c r="C663">
        <v>176.23</v>
      </c>
      <c r="D663">
        <v>176.51</v>
      </c>
      <c r="E663">
        <v>180.95</v>
      </c>
      <c r="F663">
        <v>91.01</v>
      </c>
      <c r="G663">
        <v>83.78</v>
      </c>
      <c r="H663">
        <v>78.62</v>
      </c>
      <c r="I663">
        <v>82.45</v>
      </c>
      <c r="J663">
        <v>66.56</v>
      </c>
      <c r="K663">
        <v>28.95</v>
      </c>
      <c r="L663">
        <v>0</v>
      </c>
      <c r="M663">
        <v>7.0000000000000007E-2</v>
      </c>
      <c r="N663">
        <v>7.0000000000000007E-2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12.89</v>
      </c>
      <c r="W663">
        <v>12.69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303.52999999999997</v>
      </c>
      <c r="AE663">
        <v>38.03</v>
      </c>
      <c r="AF663">
        <v>50.03</v>
      </c>
      <c r="AG663">
        <v>50.09</v>
      </c>
      <c r="AM663">
        <v>125.23</v>
      </c>
      <c r="AN663">
        <v>38.03</v>
      </c>
      <c r="AO663">
        <v>50.06</v>
      </c>
      <c r="AP663">
        <v>50.11</v>
      </c>
      <c r="AV663">
        <v>137.97</v>
      </c>
      <c r="AW663">
        <v>79.069999999999993</v>
      </c>
      <c r="AX663">
        <v>27.47</v>
      </c>
    </row>
    <row r="664" spans="1:50">
      <c r="A664">
        <v>71.67</v>
      </c>
      <c r="B664">
        <v>170.84</v>
      </c>
      <c r="C664">
        <v>176.01</v>
      </c>
      <c r="D664">
        <v>176.34</v>
      </c>
      <c r="E664">
        <v>180.62</v>
      </c>
      <c r="F664">
        <v>91.17</v>
      </c>
      <c r="G664">
        <v>83.84</v>
      </c>
      <c r="H664">
        <v>78.56</v>
      </c>
      <c r="I664">
        <v>82.51</v>
      </c>
      <c r="J664">
        <v>66.67</v>
      </c>
      <c r="K664">
        <v>28.95</v>
      </c>
      <c r="L664">
        <v>0</v>
      </c>
      <c r="M664">
        <v>7.0000000000000007E-2</v>
      </c>
      <c r="N664">
        <v>7.0000000000000007E-2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9</v>
      </c>
      <c r="W664">
        <v>10.08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304.24</v>
      </c>
      <c r="AE664">
        <v>38.14</v>
      </c>
      <c r="AF664">
        <v>50.1</v>
      </c>
      <c r="AG664">
        <v>50.14</v>
      </c>
      <c r="AM664">
        <v>124.9</v>
      </c>
      <c r="AN664">
        <v>38.14</v>
      </c>
      <c r="AO664">
        <v>50.13</v>
      </c>
      <c r="AP664">
        <v>50.16</v>
      </c>
      <c r="AV664">
        <v>137.55000000000001</v>
      </c>
      <c r="AW664">
        <v>78.41</v>
      </c>
      <c r="AX664">
        <v>27.47</v>
      </c>
    </row>
    <row r="665" spans="1:50">
      <c r="A665">
        <v>71.83</v>
      </c>
      <c r="B665">
        <v>171.67</v>
      </c>
      <c r="C665">
        <v>175.78</v>
      </c>
      <c r="D665">
        <v>176.12</v>
      </c>
      <c r="E665">
        <v>180.51</v>
      </c>
      <c r="F665">
        <v>91.51</v>
      </c>
      <c r="G665">
        <v>84.01</v>
      </c>
      <c r="H665">
        <v>78.56</v>
      </c>
      <c r="I665">
        <v>82.73</v>
      </c>
      <c r="J665">
        <v>66.84</v>
      </c>
      <c r="K665">
        <v>28.95</v>
      </c>
      <c r="L665">
        <v>0</v>
      </c>
      <c r="M665">
        <v>7.0000000000000007E-2</v>
      </c>
      <c r="N665">
        <v>7.0000000000000007E-2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13.58</v>
      </c>
      <c r="W665">
        <v>12.16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304.95</v>
      </c>
      <c r="AE665">
        <v>38</v>
      </c>
      <c r="AF665">
        <v>49.89</v>
      </c>
      <c r="AG665">
        <v>50</v>
      </c>
      <c r="AM665">
        <v>124.63</v>
      </c>
      <c r="AN665">
        <v>38</v>
      </c>
      <c r="AO665">
        <v>49.89</v>
      </c>
      <c r="AP665">
        <v>50</v>
      </c>
      <c r="AV665">
        <v>137.21</v>
      </c>
      <c r="AW665">
        <v>77.75</v>
      </c>
      <c r="AX665">
        <v>27.46</v>
      </c>
    </row>
    <row r="666" spans="1:50">
      <c r="A666">
        <v>72</v>
      </c>
      <c r="B666">
        <v>171.67</v>
      </c>
      <c r="C666">
        <v>175.67</v>
      </c>
      <c r="D666">
        <v>176.23</v>
      </c>
      <c r="E666">
        <v>180.4</v>
      </c>
      <c r="F666">
        <v>91.73</v>
      </c>
      <c r="G666">
        <v>84.06</v>
      </c>
      <c r="H666">
        <v>78.84</v>
      </c>
      <c r="I666">
        <v>82.84</v>
      </c>
      <c r="J666">
        <v>66.95</v>
      </c>
      <c r="K666">
        <v>28.95</v>
      </c>
      <c r="L666">
        <v>0</v>
      </c>
      <c r="M666">
        <v>7.0000000000000007E-2</v>
      </c>
      <c r="N666">
        <v>7.0000000000000007E-2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9.7899999999999991</v>
      </c>
      <c r="W666">
        <v>10.36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305.66000000000003</v>
      </c>
      <c r="AE666">
        <v>37.9</v>
      </c>
      <c r="AF666">
        <v>50.01</v>
      </c>
      <c r="AG666">
        <v>50.01</v>
      </c>
      <c r="AM666">
        <v>124.29</v>
      </c>
      <c r="AN666">
        <v>37.9</v>
      </c>
      <c r="AO666">
        <v>50.02</v>
      </c>
      <c r="AP666">
        <v>50.02</v>
      </c>
      <c r="AV666">
        <v>136.77000000000001</v>
      </c>
      <c r="AW666">
        <v>77.09</v>
      </c>
      <c r="AX666">
        <v>27.46</v>
      </c>
    </row>
    <row r="667" spans="1:50">
      <c r="A667">
        <v>72.17</v>
      </c>
      <c r="B667">
        <v>172.12</v>
      </c>
      <c r="C667">
        <v>175.95</v>
      </c>
      <c r="D667">
        <v>176.62</v>
      </c>
      <c r="E667">
        <v>180.51</v>
      </c>
      <c r="F667">
        <v>91.78</v>
      </c>
      <c r="G667">
        <v>84.34</v>
      </c>
      <c r="H667">
        <v>78.84</v>
      </c>
      <c r="I667">
        <v>82.95</v>
      </c>
      <c r="J667">
        <v>67.06</v>
      </c>
      <c r="K667">
        <v>28.95</v>
      </c>
      <c r="L667">
        <v>0</v>
      </c>
      <c r="M667">
        <v>7.0000000000000007E-2</v>
      </c>
      <c r="N667">
        <v>7.0000000000000007E-2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12.08</v>
      </c>
      <c r="W667">
        <v>12.4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306.36</v>
      </c>
      <c r="AE667">
        <v>37.69</v>
      </c>
      <c r="AF667">
        <v>49.84</v>
      </c>
      <c r="AG667">
        <v>49.88</v>
      </c>
      <c r="AM667">
        <v>124.1</v>
      </c>
      <c r="AN667">
        <v>37.69</v>
      </c>
      <c r="AO667">
        <v>49.83</v>
      </c>
      <c r="AP667">
        <v>49.87</v>
      </c>
      <c r="AV667">
        <v>136.54</v>
      </c>
      <c r="AW667">
        <v>76.42</v>
      </c>
      <c r="AX667">
        <v>27.45</v>
      </c>
    </row>
    <row r="668" spans="1:50">
      <c r="A668">
        <v>72.33</v>
      </c>
      <c r="B668">
        <v>172.17</v>
      </c>
      <c r="C668">
        <v>176.73</v>
      </c>
      <c r="D668">
        <v>177.56</v>
      </c>
      <c r="E668">
        <v>181.23</v>
      </c>
      <c r="F668">
        <v>91.84</v>
      </c>
      <c r="G668">
        <v>84.51</v>
      </c>
      <c r="H668">
        <v>79.010000000000005</v>
      </c>
      <c r="I668">
        <v>83.06</v>
      </c>
      <c r="J668">
        <v>67.28</v>
      </c>
      <c r="K668">
        <v>28.95</v>
      </c>
      <c r="L668">
        <v>0</v>
      </c>
      <c r="M668">
        <v>7.0000000000000007E-2</v>
      </c>
      <c r="N668">
        <v>7.0000000000000007E-2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11.41</v>
      </c>
      <c r="W668">
        <v>11.77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307.07</v>
      </c>
      <c r="AE668">
        <v>37.72</v>
      </c>
      <c r="AF668">
        <v>49.84</v>
      </c>
      <c r="AG668">
        <v>49.9</v>
      </c>
      <c r="AM668">
        <v>123.73</v>
      </c>
      <c r="AN668">
        <v>37.72</v>
      </c>
      <c r="AO668">
        <v>49.83</v>
      </c>
      <c r="AP668">
        <v>49.89</v>
      </c>
      <c r="AV668">
        <v>136.06</v>
      </c>
      <c r="AW668">
        <v>75.760000000000005</v>
      </c>
      <c r="AX668">
        <v>27.45</v>
      </c>
    </row>
    <row r="669" spans="1:50">
      <c r="A669">
        <v>72.5</v>
      </c>
      <c r="B669">
        <v>172.01</v>
      </c>
      <c r="C669">
        <v>176.73</v>
      </c>
      <c r="D669">
        <v>177.56</v>
      </c>
      <c r="E669">
        <v>181.62</v>
      </c>
      <c r="F669">
        <v>92.06</v>
      </c>
      <c r="G669">
        <v>84.62</v>
      </c>
      <c r="H669">
        <v>79.17</v>
      </c>
      <c r="I669">
        <v>83.23</v>
      </c>
      <c r="J669">
        <v>67.400000000000006</v>
      </c>
      <c r="K669">
        <v>28.95</v>
      </c>
      <c r="L669">
        <v>0</v>
      </c>
      <c r="M669">
        <v>7.0000000000000007E-2</v>
      </c>
      <c r="N669">
        <v>7.0000000000000007E-2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11.6</v>
      </c>
      <c r="W669">
        <v>10.58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307.77999999999997</v>
      </c>
      <c r="AE669">
        <v>37.700000000000003</v>
      </c>
      <c r="AF669">
        <v>49.78</v>
      </c>
      <c r="AG669">
        <v>49.87</v>
      </c>
      <c r="AM669">
        <v>123.43</v>
      </c>
      <c r="AN669">
        <v>37.700000000000003</v>
      </c>
      <c r="AO669">
        <v>49.77</v>
      </c>
      <c r="AP669">
        <v>49.86</v>
      </c>
      <c r="AV669">
        <v>135.68</v>
      </c>
      <c r="AW669">
        <v>75.099999999999994</v>
      </c>
      <c r="AX669">
        <v>27.45</v>
      </c>
    </row>
    <row r="670" spans="1:50">
      <c r="A670">
        <v>72.67</v>
      </c>
      <c r="B670">
        <v>172.01</v>
      </c>
      <c r="C670">
        <v>176.4</v>
      </c>
      <c r="D670">
        <v>177.28</v>
      </c>
      <c r="E670">
        <v>181.51</v>
      </c>
      <c r="F670">
        <v>92.28</v>
      </c>
      <c r="G670">
        <v>84.78</v>
      </c>
      <c r="H670">
        <v>79.28</v>
      </c>
      <c r="I670">
        <v>83.4</v>
      </c>
      <c r="J670">
        <v>67.56</v>
      </c>
      <c r="K670">
        <v>28.95</v>
      </c>
      <c r="L670">
        <v>0</v>
      </c>
      <c r="M670">
        <v>7.0000000000000007E-2</v>
      </c>
      <c r="N670">
        <v>7.0000000000000007E-2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15.47</v>
      </c>
      <c r="W670">
        <v>15.57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308.49</v>
      </c>
      <c r="AE670">
        <v>37.53</v>
      </c>
      <c r="AF670">
        <v>49.75</v>
      </c>
      <c r="AG670">
        <v>49.75</v>
      </c>
      <c r="AM670">
        <v>123.1</v>
      </c>
      <c r="AN670">
        <v>37.53</v>
      </c>
      <c r="AO670">
        <v>49.74</v>
      </c>
      <c r="AP670">
        <v>49.73</v>
      </c>
      <c r="AV670">
        <v>135.27000000000001</v>
      </c>
      <c r="AW670">
        <v>74.430000000000007</v>
      </c>
      <c r="AX670">
        <v>27.44</v>
      </c>
    </row>
    <row r="671" spans="1:50">
      <c r="A671">
        <v>72.83</v>
      </c>
      <c r="B671">
        <v>171.62</v>
      </c>
      <c r="C671">
        <v>175.73</v>
      </c>
      <c r="D671">
        <v>176.62</v>
      </c>
      <c r="E671">
        <v>181.34</v>
      </c>
      <c r="F671">
        <v>92.4</v>
      </c>
      <c r="G671">
        <v>85.06</v>
      </c>
      <c r="H671">
        <v>79.67</v>
      </c>
      <c r="I671">
        <v>83.62</v>
      </c>
      <c r="J671">
        <v>67.73</v>
      </c>
      <c r="K671">
        <v>28.95</v>
      </c>
      <c r="L671">
        <v>0</v>
      </c>
      <c r="M671">
        <v>7.0000000000000007E-2</v>
      </c>
      <c r="N671">
        <v>7.0000000000000007E-2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16.100000000000001</v>
      </c>
      <c r="W671">
        <v>16.68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309.19</v>
      </c>
      <c r="AE671">
        <v>37.979999999999997</v>
      </c>
      <c r="AF671">
        <v>49.98</v>
      </c>
      <c r="AG671">
        <v>49.99</v>
      </c>
      <c r="AM671">
        <v>122.8</v>
      </c>
      <c r="AN671">
        <v>37.979999999999997</v>
      </c>
      <c r="AO671">
        <v>50</v>
      </c>
      <c r="AP671">
        <v>50</v>
      </c>
      <c r="AV671">
        <v>134.88</v>
      </c>
      <c r="AW671">
        <v>73.77</v>
      </c>
      <c r="AX671">
        <v>27.44</v>
      </c>
    </row>
    <row r="672" spans="1:50">
      <c r="A672">
        <v>73</v>
      </c>
      <c r="B672">
        <v>170.56</v>
      </c>
      <c r="C672">
        <v>175.4</v>
      </c>
      <c r="D672">
        <v>176.23</v>
      </c>
      <c r="E672">
        <v>181.01</v>
      </c>
      <c r="F672">
        <v>92.56</v>
      </c>
      <c r="G672">
        <v>85.17</v>
      </c>
      <c r="H672">
        <v>79.900000000000006</v>
      </c>
      <c r="I672">
        <v>83.73</v>
      </c>
      <c r="J672">
        <v>67.78</v>
      </c>
      <c r="K672">
        <v>28.95</v>
      </c>
      <c r="L672">
        <v>0</v>
      </c>
      <c r="M672">
        <v>7.0000000000000007E-2</v>
      </c>
      <c r="N672">
        <v>7.0000000000000007E-2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14.25</v>
      </c>
      <c r="W672">
        <v>14.89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309.89999999999998</v>
      </c>
      <c r="AE672">
        <v>38.61</v>
      </c>
      <c r="AF672">
        <v>50.28</v>
      </c>
      <c r="AG672">
        <v>50.34</v>
      </c>
      <c r="AM672">
        <v>122.57</v>
      </c>
      <c r="AN672">
        <v>38.61</v>
      </c>
      <c r="AO672">
        <v>50.32</v>
      </c>
      <c r="AP672">
        <v>50.38</v>
      </c>
      <c r="AV672">
        <v>134.58000000000001</v>
      </c>
      <c r="AW672">
        <v>73.11</v>
      </c>
      <c r="AX672">
        <v>27.44</v>
      </c>
    </row>
    <row r="673" spans="1:50">
      <c r="A673">
        <v>73.17</v>
      </c>
      <c r="B673">
        <v>169.67</v>
      </c>
      <c r="C673">
        <v>175.12</v>
      </c>
      <c r="D673">
        <v>175.84</v>
      </c>
      <c r="E673">
        <v>180.67</v>
      </c>
      <c r="F673">
        <v>92.62</v>
      </c>
      <c r="G673">
        <v>85.23</v>
      </c>
      <c r="H673">
        <v>80.010000000000005</v>
      </c>
      <c r="I673">
        <v>84.01</v>
      </c>
      <c r="J673">
        <v>67.95</v>
      </c>
      <c r="K673">
        <v>28.95</v>
      </c>
      <c r="L673">
        <v>0</v>
      </c>
      <c r="M673">
        <v>7.0000000000000007E-2</v>
      </c>
      <c r="N673">
        <v>7.0000000000000007E-2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17.510000000000002</v>
      </c>
      <c r="W673">
        <v>16.29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310.61</v>
      </c>
      <c r="AE673">
        <v>38.950000000000003</v>
      </c>
      <c r="AF673">
        <v>50.46</v>
      </c>
      <c r="AG673">
        <v>50.57</v>
      </c>
      <c r="AM673">
        <v>122.32</v>
      </c>
      <c r="AN673">
        <v>38.950000000000003</v>
      </c>
      <c r="AO673">
        <v>50.53</v>
      </c>
      <c r="AP673">
        <v>50.64</v>
      </c>
      <c r="AV673">
        <v>134.27000000000001</v>
      </c>
      <c r="AW673">
        <v>72.44</v>
      </c>
      <c r="AX673">
        <v>27.44</v>
      </c>
    </row>
    <row r="674" spans="1:50">
      <c r="A674">
        <v>73.33</v>
      </c>
      <c r="B674">
        <v>169.73</v>
      </c>
      <c r="C674">
        <v>174.67</v>
      </c>
      <c r="D674">
        <v>175.4</v>
      </c>
      <c r="E674">
        <v>180.34</v>
      </c>
      <c r="F674">
        <v>92.78</v>
      </c>
      <c r="G674">
        <v>85.4</v>
      </c>
      <c r="H674">
        <v>80.06</v>
      </c>
      <c r="I674">
        <v>84.23</v>
      </c>
      <c r="J674">
        <v>68.010000000000005</v>
      </c>
      <c r="K674">
        <v>28.9</v>
      </c>
      <c r="L674">
        <v>0</v>
      </c>
      <c r="M674">
        <v>7.0000000000000007E-2</v>
      </c>
      <c r="N674">
        <v>7.0000000000000007E-2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11.96</v>
      </c>
      <c r="W674">
        <v>13.28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311.32</v>
      </c>
      <c r="AE674">
        <v>38.94</v>
      </c>
      <c r="AF674">
        <v>50.9</v>
      </c>
      <c r="AG674">
        <v>50.91</v>
      </c>
      <c r="AM674">
        <v>121.99</v>
      </c>
      <c r="AN674">
        <v>38.94</v>
      </c>
      <c r="AO674">
        <v>51</v>
      </c>
      <c r="AP674">
        <v>51.01</v>
      </c>
      <c r="AV674">
        <v>133.85</v>
      </c>
      <c r="AW674">
        <v>71.78</v>
      </c>
      <c r="AX674">
        <v>27.43</v>
      </c>
    </row>
    <row r="675" spans="1:50">
      <c r="A675">
        <v>73.5</v>
      </c>
      <c r="B675">
        <v>170.34</v>
      </c>
      <c r="C675">
        <v>174.56</v>
      </c>
      <c r="D675">
        <v>175.12</v>
      </c>
      <c r="E675">
        <v>180.23</v>
      </c>
      <c r="F675">
        <v>92.73</v>
      </c>
      <c r="G675">
        <v>85.51</v>
      </c>
      <c r="H675">
        <v>80.28</v>
      </c>
      <c r="I675">
        <v>84.4</v>
      </c>
      <c r="J675">
        <v>68.17</v>
      </c>
      <c r="K675">
        <v>28.95</v>
      </c>
      <c r="L675">
        <v>0</v>
      </c>
      <c r="M675">
        <v>7.0000000000000007E-2</v>
      </c>
      <c r="N675">
        <v>7.0000000000000007E-2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15.33</v>
      </c>
      <c r="W675">
        <v>15.07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312.02</v>
      </c>
      <c r="AE675">
        <v>39.119999999999997</v>
      </c>
      <c r="AF675">
        <v>50.9</v>
      </c>
      <c r="AG675">
        <v>51.01</v>
      </c>
      <c r="AM675">
        <v>121.68</v>
      </c>
      <c r="AN675">
        <v>39.119999999999997</v>
      </c>
      <c r="AO675">
        <v>50.99</v>
      </c>
      <c r="AP675">
        <v>51.11</v>
      </c>
      <c r="AV675">
        <v>133.46</v>
      </c>
      <c r="AW675">
        <v>71.12</v>
      </c>
      <c r="AX675">
        <v>27.43</v>
      </c>
    </row>
    <row r="676" spans="1:50">
      <c r="A676">
        <v>73.67</v>
      </c>
      <c r="B676">
        <v>169.84</v>
      </c>
      <c r="C676">
        <v>174.45</v>
      </c>
      <c r="D676">
        <v>174.84</v>
      </c>
      <c r="E676">
        <v>179.9</v>
      </c>
      <c r="F676">
        <v>92.78</v>
      </c>
      <c r="G676">
        <v>85.51</v>
      </c>
      <c r="H676">
        <v>80.45</v>
      </c>
      <c r="I676">
        <v>84.56</v>
      </c>
      <c r="J676">
        <v>68.17</v>
      </c>
      <c r="K676">
        <v>28.95</v>
      </c>
      <c r="L676">
        <v>0</v>
      </c>
      <c r="M676">
        <v>7.0000000000000007E-2</v>
      </c>
      <c r="N676">
        <v>7.0000000000000007E-2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33.630000000000003</v>
      </c>
      <c r="W676">
        <v>31.62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312.73</v>
      </c>
      <c r="AE676">
        <v>39.22</v>
      </c>
      <c r="AF676">
        <v>51.15</v>
      </c>
      <c r="AG676">
        <v>51.24</v>
      </c>
      <c r="AM676">
        <v>121.51</v>
      </c>
      <c r="AN676">
        <v>39.22</v>
      </c>
      <c r="AO676">
        <v>51.27</v>
      </c>
      <c r="AP676">
        <v>51.36</v>
      </c>
      <c r="AV676">
        <v>133.24</v>
      </c>
      <c r="AW676">
        <v>70.459999999999994</v>
      </c>
      <c r="AX676">
        <v>27.43</v>
      </c>
    </row>
    <row r="677" spans="1:50">
      <c r="A677">
        <v>73.83</v>
      </c>
      <c r="B677">
        <v>170.12</v>
      </c>
      <c r="C677">
        <v>174.23</v>
      </c>
      <c r="D677">
        <v>174.73</v>
      </c>
      <c r="E677">
        <v>179.62</v>
      </c>
      <c r="F677">
        <v>92.84</v>
      </c>
      <c r="G677">
        <v>85.73</v>
      </c>
      <c r="H677">
        <v>80.62</v>
      </c>
      <c r="I677">
        <v>84.73</v>
      </c>
      <c r="J677">
        <v>68.400000000000006</v>
      </c>
      <c r="K677">
        <v>28.95</v>
      </c>
      <c r="L677">
        <v>0</v>
      </c>
      <c r="M677">
        <v>0.17</v>
      </c>
      <c r="N677">
        <v>0.16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313.44</v>
      </c>
      <c r="AE677">
        <v>41.47</v>
      </c>
      <c r="AF677">
        <v>52.71</v>
      </c>
      <c r="AG677">
        <v>52.68</v>
      </c>
      <c r="AM677">
        <v>121.12</v>
      </c>
      <c r="AN677">
        <v>41.47</v>
      </c>
      <c r="AO677">
        <v>53</v>
      </c>
      <c r="AP677">
        <v>52.95</v>
      </c>
      <c r="AV677">
        <v>132.74</v>
      </c>
      <c r="AW677">
        <v>69.790000000000006</v>
      </c>
      <c r="AX677">
        <v>27.43</v>
      </c>
    </row>
    <row r="678" spans="1:50">
      <c r="A678">
        <v>74</v>
      </c>
      <c r="B678">
        <v>170.73</v>
      </c>
      <c r="C678">
        <v>174.12</v>
      </c>
      <c r="D678">
        <v>174.56</v>
      </c>
      <c r="E678">
        <v>179.67</v>
      </c>
      <c r="F678">
        <v>92.95</v>
      </c>
      <c r="G678">
        <v>85.78</v>
      </c>
      <c r="H678">
        <v>80.78</v>
      </c>
      <c r="I678">
        <v>84.78</v>
      </c>
      <c r="J678">
        <v>68.510000000000005</v>
      </c>
      <c r="K678">
        <v>28.95</v>
      </c>
      <c r="L678">
        <v>0</v>
      </c>
      <c r="M678">
        <v>7.0000000000000007E-2</v>
      </c>
      <c r="N678">
        <v>7.0000000000000007E-2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3.57</v>
      </c>
      <c r="W678">
        <v>2.78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314.14999999999998</v>
      </c>
      <c r="AE678">
        <v>43.14</v>
      </c>
      <c r="AF678">
        <v>50.84</v>
      </c>
      <c r="AG678">
        <v>50.85</v>
      </c>
      <c r="AM678">
        <v>120.9</v>
      </c>
      <c r="AN678">
        <v>43.14</v>
      </c>
      <c r="AO678">
        <v>50.86</v>
      </c>
      <c r="AP678">
        <v>50.87</v>
      </c>
      <c r="AV678">
        <v>132.46</v>
      </c>
      <c r="AW678">
        <v>69.13</v>
      </c>
      <c r="AX678">
        <v>27.42</v>
      </c>
    </row>
    <row r="679" spans="1:50">
      <c r="A679">
        <v>74.17</v>
      </c>
      <c r="B679">
        <v>171.84</v>
      </c>
      <c r="C679">
        <v>174.12</v>
      </c>
      <c r="D679">
        <v>174.4</v>
      </c>
      <c r="E679">
        <v>179.51</v>
      </c>
      <c r="F679">
        <v>93.01</v>
      </c>
      <c r="G679">
        <v>85.95</v>
      </c>
      <c r="H679">
        <v>80.78</v>
      </c>
      <c r="I679">
        <v>84.9</v>
      </c>
      <c r="J679">
        <v>68.56</v>
      </c>
      <c r="K679">
        <v>28.95</v>
      </c>
      <c r="L679">
        <v>0</v>
      </c>
      <c r="M679">
        <v>0.09</v>
      </c>
      <c r="N679">
        <v>0.08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314.85000000000002</v>
      </c>
      <c r="AE679">
        <v>45.25</v>
      </c>
      <c r="AF679">
        <v>50.54</v>
      </c>
      <c r="AG679">
        <v>50.49</v>
      </c>
      <c r="AM679">
        <v>120.61</v>
      </c>
      <c r="AN679">
        <v>45.25</v>
      </c>
      <c r="AO679">
        <v>50.53</v>
      </c>
      <c r="AP679">
        <v>50.47</v>
      </c>
      <c r="AV679">
        <v>132.09</v>
      </c>
      <c r="AW679">
        <v>68.47</v>
      </c>
      <c r="AX679">
        <v>27.42</v>
      </c>
    </row>
    <row r="680" spans="1:50">
      <c r="A680">
        <v>74.33</v>
      </c>
      <c r="B680">
        <v>172.73</v>
      </c>
      <c r="C680">
        <v>173.95</v>
      </c>
      <c r="D680">
        <v>174.23</v>
      </c>
      <c r="E680">
        <v>179.45</v>
      </c>
      <c r="F680">
        <v>93.12</v>
      </c>
      <c r="G680">
        <v>86.06</v>
      </c>
      <c r="H680">
        <v>80.78</v>
      </c>
      <c r="I680">
        <v>85.06</v>
      </c>
      <c r="J680">
        <v>68.73</v>
      </c>
      <c r="K680">
        <v>28.95</v>
      </c>
      <c r="L680">
        <v>0</v>
      </c>
      <c r="M680">
        <v>0.24</v>
      </c>
      <c r="N680">
        <v>0.26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-0.64</v>
      </c>
      <c r="W680">
        <v>-0.65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315.56</v>
      </c>
      <c r="AE680">
        <v>49.74</v>
      </c>
      <c r="AF680">
        <v>50.09</v>
      </c>
      <c r="AG680">
        <v>50.09</v>
      </c>
      <c r="AM680">
        <v>120.27</v>
      </c>
      <c r="AN680">
        <v>49.74</v>
      </c>
      <c r="AO680">
        <v>50.03</v>
      </c>
      <c r="AP680">
        <v>50.02</v>
      </c>
      <c r="AV680">
        <v>131.66</v>
      </c>
      <c r="AW680">
        <v>67.8</v>
      </c>
      <c r="AX680">
        <v>27.42</v>
      </c>
    </row>
    <row r="681" spans="1:50">
      <c r="A681">
        <v>74.5</v>
      </c>
      <c r="B681">
        <v>173.56</v>
      </c>
      <c r="C681">
        <v>173.73</v>
      </c>
      <c r="D681">
        <v>173.95</v>
      </c>
      <c r="E681">
        <v>179.23</v>
      </c>
      <c r="F681">
        <v>93.01</v>
      </c>
      <c r="G681">
        <v>86.06</v>
      </c>
      <c r="H681">
        <v>80.67</v>
      </c>
      <c r="I681">
        <v>85.01</v>
      </c>
      <c r="J681">
        <v>68.78</v>
      </c>
      <c r="K681">
        <v>28.95</v>
      </c>
      <c r="L681">
        <v>0</v>
      </c>
      <c r="M681">
        <v>0.1</v>
      </c>
      <c r="N681">
        <v>7.0000000000000007E-2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-0.09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316.27</v>
      </c>
      <c r="AE681">
        <v>52.77</v>
      </c>
      <c r="AF681">
        <v>49.85</v>
      </c>
      <c r="AG681">
        <v>49.83</v>
      </c>
      <c r="AM681">
        <v>119.98</v>
      </c>
      <c r="AN681">
        <v>52.77</v>
      </c>
      <c r="AO681">
        <v>49.78</v>
      </c>
      <c r="AP681">
        <v>49.75</v>
      </c>
      <c r="AV681">
        <v>131.29</v>
      </c>
      <c r="AW681">
        <v>67.14</v>
      </c>
      <c r="AX681">
        <v>27.42</v>
      </c>
    </row>
    <row r="682" spans="1:50">
      <c r="A682">
        <v>74.67</v>
      </c>
      <c r="B682">
        <v>174.01</v>
      </c>
      <c r="C682">
        <v>173.73</v>
      </c>
      <c r="D682">
        <v>174.01</v>
      </c>
      <c r="E682">
        <v>179.28</v>
      </c>
      <c r="F682">
        <v>93.12</v>
      </c>
      <c r="G682">
        <v>86.28</v>
      </c>
      <c r="H682">
        <v>80.67</v>
      </c>
      <c r="I682">
        <v>85.23</v>
      </c>
      <c r="J682">
        <v>68.95</v>
      </c>
      <c r="K682">
        <v>28.95</v>
      </c>
      <c r="L682">
        <v>0</v>
      </c>
      <c r="M682">
        <v>7.0000000000000007E-2</v>
      </c>
      <c r="N682">
        <v>7.0000000000000007E-2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-14.02</v>
      </c>
      <c r="W682">
        <v>-14.75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316.98</v>
      </c>
      <c r="AE682">
        <v>53.53</v>
      </c>
      <c r="AF682">
        <v>50.16</v>
      </c>
      <c r="AG682">
        <v>50.04</v>
      </c>
      <c r="AM682">
        <v>119.81</v>
      </c>
      <c r="AN682">
        <v>53.53</v>
      </c>
      <c r="AO682">
        <v>50.13</v>
      </c>
      <c r="AP682">
        <v>49.99</v>
      </c>
      <c r="AV682">
        <v>131.06</v>
      </c>
      <c r="AW682">
        <v>66.48</v>
      </c>
      <c r="AX682">
        <v>27.42</v>
      </c>
    </row>
    <row r="683" spans="1:50">
      <c r="A683">
        <v>74.83</v>
      </c>
      <c r="B683">
        <v>173.9</v>
      </c>
      <c r="C683">
        <v>173.56</v>
      </c>
      <c r="D683">
        <v>174.06</v>
      </c>
      <c r="E683">
        <v>179.23</v>
      </c>
      <c r="F683">
        <v>93.17</v>
      </c>
      <c r="G683">
        <v>86.34</v>
      </c>
      <c r="H683">
        <v>80.67</v>
      </c>
      <c r="I683">
        <v>85.34</v>
      </c>
      <c r="J683">
        <v>69.12</v>
      </c>
      <c r="K683">
        <v>28.95</v>
      </c>
      <c r="L683">
        <v>0</v>
      </c>
      <c r="M683">
        <v>7.0000000000000007E-2</v>
      </c>
      <c r="N683">
        <v>7.0000000000000007E-2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-21.95</v>
      </c>
      <c r="W683">
        <v>-19.34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317.68</v>
      </c>
      <c r="AE683">
        <v>50.52</v>
      </c>
      <c r="AF683">
        <v>49.39</v>
      </c>
      <c r="AG683">
        <v>49.21</v>
      </c>
      <c r="AM683">
        <v>119.66</v>
      </c>
      <c r="AN683">
        <v>50.52</v>
      </c>
      <c r="AO683">
        <v>49.28</v>
      </c>
      <c r="AP683">
        <v>49.08</v>
      </c>
      <c r="AV683">
        <v>130.86000000000001</v>
      </c>
      <c r="AW683">
        <v>65.81</v>
      </c>
      <c r="AX683">
        <v>27.42</v>
      </c>
    </row>
    <row r="684" spans="1:50">
      <c r="A684">
        <v>75</v>
      </c>
      <c r="B684">
        <v>173.73</v>
      </c>
      <c r="C684">
        <v>173.73</v>
      </c>
      <c r="D684">
        <v>174.28</v>
      </c>
      <c r="E684">
        <v>179.23</v>
      </c>
      <c r="F684">
        <v>93.17</v>
      </c>
      <c r="G684">
        <v>86.45</v>
      </c>
      <c r="H684">
        <v>80.67</v>
      </c>
      <c r="I684">
        <v>85.45</v>
      </c>
      <c r="J684">
        <v>69.23</v>
      </c>
      <c r="K684">
        <v>28.95</v>
      </c>
      <c r="L684">
        <v>0</v>
      </c>
      <c r="M684">
        <v>0.24</v>
      </c>
      <c r="N684">
        <v>0.26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-3.61</v>
      </c>
      <c r="W684">
        <v>-2.75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318.39</v>
      </c>
      <c r="AE684">
        <v>45.63</v>
      </c>
      <c r="AF684">
        <v>47.89</v>
      </c>
      <c r="AG684">
        <v>47.89</v>
      </c>
      <c r="AM684">
        <v>119.36</v>
      </c>
      <c r="AN684">
        <v>45.63</v>
      </c>
      <c r="AO684">
        <v>47.62</v>
      </c>
      <c r="AP684">
        <v>47.62</v>
      </c>
      <c r="AV684">
        <v>130.47999999999999</v>
      </c>
      <c r="AW684">
        <v>65.150000000000006</v>
      </c>
      <c r="AX684">
        <v>27.42</v>
      </c>
    </row>
    <row r="685" spans="1:50">
      <c r="A685">
        <v>75.17</v>
      </c>
      <c r="B685">
        <v>173.62</v>
      </c>
      <c r="C685">
        <v>173.9</v>
      </c>
      <c r="D685">
        <v>174.56</v>
      </c>
      <c r="E685">
        <v>180.12</v>
      </c>
      <c r="F685">
        <v>93.23</v>
      </c>
      <c r="G685">
        <v>86.51</v>
      </c>
      <c r="H685">
        <v>80.78</v>
      </c>
      <c r="I685">
        <v>85.51</v>
      </c>
      <c r="J685">
        <v>69.28</v>
      </c>
      <c r="K685">
        <v>28.95</v>
      </c>
      <c r="L685">
        <v>0</v>
      </c>
      <c r="M685">
        <v>0.21</v>
      </c>
      <c r="N685">
        <v>0.22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319.10000000000002</v>
      </c>
      <c r="AE685">
        <v>40.85</v>
      </c>
      <c r="AF685">
        <v>46.49</v>
      </c>
      <c r="AG685">
        <v>46.59</v>
      </c>
      <c r="AM685">
        <v>119.17</v>
      </c>
      <c r="AN685">
        <v>40.85</v>
      </c>
      <c r="AO685">
        <v>46.13</v>
      </c>
      <c r="AP685">
        <v>46.25</v>
      </c>
      <c r="AV685">
        <v>130.22999999999999</v>
      </c>
      <c r="AW685">
        <v>64.489999999999995</v>
      </c>
      <c r="AX685">
        <v>27.42</v>
      </c>
    </row>
    <row r="686" spans="1:50">
      <c r="A686">
        <v>75.33</v>
      </c>
      <c r="B686">
        <v>173.56</v>
      </c>
      <c r="C686">
        <v>174.01</v>
      </c>
      <c r="D686">
        <v>174.73</v>
      </c>
      <c r="E686">
        <v>181.95</v>
      </c>
      <c r="F686">
        <v>93.4</v>
      </c>
      <c r="G686">
        <v>86.67</v>
      </c>
      <c r="H686">
        <v>81.06</v>
      </c>
      <c r="I686">
        <v>85.67</v>
      </c>
      <c r="J686">
        <v>69.45</v>
      </c>
      <c r="K686">
        <v>28.95</v>
      </c>
      <c r="L686">
        <v>0</v>
      </c>
      <c r="M686">
        <v>7.0000000000000007E-2</v>
      </c>
      <c r="N686">
        <v>7.0000000000000007E-2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5.0999999999999996</v>
      </c>
      <c r="W686">
        <v>3.69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319.81</v>
      </c>
      <c r="AE686">
        <v>38.83</v>
      </c>
      <c r="AF686">
        <v>45.32</v>
      </c>
      <c r="AG686">
        <v>45.35</v>
      </c>
      <c r="AM686">
        <v>118.98</v>
      </c>
      <c r="AN686">
        <v>38.83</v>
      </c>
      <c r="AO686">
        <v>44.91</v>
      </c>
      <c r="AP686">
        <v>44.95</v>
      </c>
      <c r="AV686">
        <v>130</v>
      </c>
      <c r="AW686">
        <v>63.83</v>
      </c>
      <c r="AX686">
        <v>27.41</v>
      </c>
    </row>
    <row r="687" spans="1:50">
      <c r="A687">
        <v>75.5</v>
      </c>
      <c r="B687">
        <v>173.51</v>
      </c>
      <c r="C687">
        <v>173.67</v>
      </c>
      <c r="D687">
        <v>174.51</v>
      </c>
      <c r="E687">
        <v>182.51</v>
      </c>
      <c r="F687">
        <v>93.45</v>
      </c>
      <c r="G687">
        <v>86.78</v>
      </c>
      <c r="H687">
        <v>81.17</v>
      </c>
      <c r="I687">
        <v>85.73</v>
      </c>
      <c r="J687">
        <v>69.62</v>
      </c>
      <c r="K687">
        <v>28.95</v>
      </c>
      <c r="L687">
        <v>0</v>
      </c>
      <c r="M687">
        <v>7.0000000000000007E-2</v>
      </c>
      <c r="N687">
        <v>7.0000000000000007E-2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5.24</v>
      </c>
      <c r="W687">
        <v>5.89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320.51</v>
      </c>
      <c r="AE687">
        <v>38.479999999999997</v>
      </c>
      <c r="AF687">
        <v>45.22</v>
      </c>
      <c r="AG687">
        <v>45.14</v>
      </c>
      <c r="AM687">
        <v>118.67</v>
      </c>
      <c r="AN687">
        <v>38.479999999999997</v>
      </c>
      <c r="AO687">
        <v>44.83</v>
      </c>
      <c r="AP687">
        <v>44.75</v>
      </c>
      <c r="AV687">
        <v>129.61000000000001</v>
      </c>
      <c r="AW687">
        <v>63.16</v>
      </c>
      <c r="AX687">
        <v>27.41</v>
      </c>
    </row>
    <row r="688" spans="1:50">
      <c r="A688">
        <v>75.67</v>
      </c>
      <c r="B688">
        <v>173.45</v>
      </c>
      <c r="C688">
        <v>173.12</v>
      </c>
      <c r="D688">
        <v>174.12</v>
      </c>
      <c r="E688">
        <v>182.45</v>
      </c>
      <c r="F688">
        <v>93.51</v>
      </c>
      <c r="G688">
        <v>86.9</v>
      </c>
      <c r="H688">
        <v>81.17</v>
      </c>
      <c r="I688">
        <v>85.95</v>
      </c>
      <c r="J688">
        <v>69.73</v>
      </c>
      <c r="K688">
        <v>28.95</v>
      </c>
      <c r="L688">
        <v>0</v>
      </c>
      <c r="M688">
        <v>7.0000000000000007E-2</v>
      </c>
      <c r="N688">
        <v>7.0000000000000007E-2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3.32</v>
      </c>
      <c r="W688">
        <v>2.95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321.22000000000003</v>
      </c>
      <c r="AE688">
        <v>37.54</v>
      </c>
      <c r="AF688">
        <v>45.11</v>
      </c>
      <c r="AG688">
        <v>45.08</v>
      </c>
      <c r="AM688">
        <v>118.37</v>
      </c>
      <c r="AN688">
        <v>37.54</v>
      </c>
      <c r="AO688">
        <v>44.74</v>
      </c>
      <c r="AP688">
        <v>44.72</v>
      </c>
      <c r="AV688">
        <v>129.22</v>
      </c>
      <c r="AW688">
        <v>62.5</v>
      </c>
      <c r="AX688">
        <v>27.41</v>
      </c>
    </row>
    <row r="689" spans="1:50">
      <c r="A689">
        <v>75.83</v>
      </c>
      <c r="B689">
        <v>173.4</v>
      </c>
      <c r="C689">
        <v>172.9</v>
      </c>
      <c r="D689">
        <v>173.73</v>
      </c>
      <c r="E689">
        <v>182.01</v>
      </c>
      <c r="F689">
        <v>93.67</v>
      </c>
      <c r="G689">
        <v>87.01</v>
      </c>
      <c r="H689">
        <v>81.23</v>
      </c>
      <c r="I689">
        <v>86.01</v>
      </c>
      <c r="J689">
        <v>69.78</v>
      </c>
      <c r="K689">
        <v>28.95</v>
      </c>
      <c r="L689">
        <v>0</v>
      </c>
      <c r="M689">
        <v>7.0000000000000007E-2</v>
      </c>
      <c r="N689">
        <v>7.0000000000000007E-2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8.82</v>
      </c>
      <c r="W689">
        <v>7.35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321.93</v>
      </c>
      <c r="AE689">
        <v>36</v>
      </c>
      <c r="AF689">
        <v>44.8</v>
      </c>
      <c r="AG689">
        <v>44.75</v>
      </c>
      <c r="AM689">
        <v>118.15</v>
      </c>
      <c r="AN689">
        <v>36</v>
      </c>
      <c r="AO689">
        <v>44.43</v>
      </c>
      <c r="AP689">
        <v>44.37</v>
      </c>
      <c r="AV689">
        <v>128.94999999999999</v>
      </c>
      <c r="AW689">
        <v>61.84</v>
      </c>
      <c r="AX689">
        <v>27.41</v>
      </c>
    </row>
    <row r="690" spans="1:50">
      <c r="A690">
        <v>76</v>
      </c>
      <c r="B690">
        <v>172.95</v>
      </c>
      <c r="C690">
        <v>172.28</v>
      </c>
      <c r="D690">
        <v>173.23</v>
      </c>
      <c r="E690">
        <v>181.84</v>
      </c>
      <c r="F690">
        <v>93.73</v>
      </c>
      <c r="G690">
        <v>87.06</v>
      </c>
      <c r="H690">
        <v>81.23</v>
      </c>
      <c r="I690">
        <v>86.23</v>
      </c>
      <c r="J690">
        <v>69.95</v>
      </c>
      <c r="K690">
        <v>28.95</v>
      </c>
      <c r="L690">
        <v>0</v>
      </c>
      <c r="M690">
        <v>7.0000000000000007E-2</v>
      </c>
      <c r="N690">
        <v>7.0000000000000007E-2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17.37</v>
      </c>
      <c r="W690">
        <v>18.440000000000001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322.64</v>
      </c>
      <c r="AE690">
        <v>36.450000000000003</v>
      </c>
      <c r="AF690">
        <v>44.8</v>
      </c>
      <c r="AG690">
        <v>44.64</v>
      </c>
      <c r="AM690">
        <v>118</v>
      </c>
      <c r="AN690">
        <v>36.450000000000003</v>
      </c>
      <c r="AO690">
        <v>44.46</v>
      </c>
      <c r="AP690">
        <v>44.29</v>
      </c>
      <c r="AV690">
        <v>128.75</v>
      </c>
      <c r="AW690">
        <v>61.17</v>
      </c>
      <c r="AX690">
        <v>27.41</v>
      </c>
    </row>
    <row r="691" spans="1:50">
      <c r="A691">
        <v>76.17</v>
      </c>
      <c r="B691">
        <v>172.84</v>
      </c>
      <c r="C691">
        <v>171.67</v>
      </c>
      <c r="D691">
        <v>172.62</v>
      </c>
      <c r="E691">
        <v>181.62</v>
      </c>
      <c r="F691">
        <v>94.06</v>
      </c>
      <c r="G691">
        <v>87.23</v>
      </c>
      <c r="H691">
        <v>81.34</v>
      </c>
      <c r="I691">
        <v>86.28</v>
      </c>
      <c r="J691">
        <v>70.06</v>
      </c>
      <c r="K691">
        <v>28.95</v>
      </c>
      <c r="L691">
        <v>0</v>
      </c>
      <c r="M691">
        <v>7.0000000000000007E-2</v>
      </c>
      <c r="N691">
        <v>7.0000000000000007E-2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0.28000000000000003</v>
      </c>
      <c r="W691">
        <v>1.89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323.33999999999997</v>
      </c>
      <c r="AE691">
        <v>37.630000000000003</v>
      </c>
      <c r="AF691">
        <v>45.45</v>
      </c>
      <c r="AG691">
        <v>45.39</v>
      </c>
      <c r="AM691">
        <v>117.67</v>
      </c>
      <c r="AN691">
        <v>37.630000000000003</v>
      </c>
      <c r="AO691">
        <v>45.21</v>
      </c>
      <c r="AP691">
        <v>45.15</v>
      </c>
      <c r="AV691">
        <v>128.34</v>
      </c>
      <c r="AW691">
        <v>60.51</v>
      </c>
      <c r="AX691">
        <v>27.41</v>
      </c>
    </row>
    <row r="692" spans="1:50">
      <c r="A692">
        <v>76.33</v>
      </c>
      <c r="B692">
        <v>173.12</v>
      </c>
      <c r="C692">
        <v>171.62</v>
      </c>
      <c r="D692">
        <v>172.34</v>
      </c>
      <c r="E692">
        <v>181.34</v>
      </c>
      <c r="F692">
        <v>94.12</v>
      </c>
      <c r="G692">
        <v>87.4</v>
      </c>
      <c r="H692">
        <v>81.45</v>
      </c>
      <c r="I692">
        <v>86.51</v>
      </c>
      <c r="J692">
        <v>70.23</v>
      </c>
      <c r="K692">
        <v>28.95</v>
      </c>
      <c r="L692">
        <v>0</v>
      </c>
      <c r="M692">
        <v>0.15</v>
      </c>
      <c r="N692">
        <v>0.17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324.05</v>
      </c>
      <c r="AE692">
        <v>37.96</v>
      </c>
      <c r="AF692">
        <v>44.91</v>
      </c>
      <c r="AG692">
        <v>44.96</v>
      </c>
      <c r="AM692">
        <v>117.54</v>
      </c>
      <c r="AN692">
        <v>37.96</v>
      </c>
      <c r="AO692">
        <v>44.62</v>
      </c>
      <c r="AP692">
        <v>44.69</v>
      </c>
      <c r="AV692">
        <v>128.18</v>
      </c>
      <c r="AW692">
        <v>59.85</v>
      </c>
      <c r="AX692">
        <v>27.41</v>
      </c>
    </row>
    <row r="693" spans="1:50">
      <c r="A693">
        <v>76.5</v>
      </c>
      <c r="B693">
        <v>172.95</v>
      </c>
      <c r="C693">
        <v>171.62</v>
      </c>
      <c r="D693">
        <v>172.17</v>
      </c>
      <c r="E693">
        <v>181.12</v>
      </c>
      <c r="F693">
        <v>94.28</v>
      </c>
      <c r="G693">
        <v>87.51</v>
      </c>
      <c r="H693">
        <v>81.510000000000005</v>
      </c>
      <c r="I693">
        <v>86.56</v>
      </c>
      <c r="J693">
        <v>70.34</v>
      </c>
      <c r="K693">
        <v>28.95</v>
      </c>
      <c r="L693">
        <v>0</v>
      </c>
      <c r="M693">
        <v>7.0000000000000007E-2</v>
      </c>
      <c r="N693">
        <v>7.0000000000000007E-2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19.739999999999998</v>
      </c>
      <c r="W693">
        <v>16.89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324.76</v>
      </c>
      <c r="AE693">
        <v>36.229999999999997</v>
      </c>
      <c r="AF693">
        <v>43.86</v>
      </c>
      <c r="AG693">
        <v>43.8</v>
      </c>
      <c r="AM693">
        <v>117.3</v>
      </c>
      <c r="AN693">
        <v>36.229999999999997</v>
      </c>
      <c r="AO693">
        <v>43.5</v>
      </c>
      <c r="AP693">
        <v>43.45</v>
      </c>
      <c r="AV693">
        <v>127.87</v>
      </c>
      <c r="AW693">
        <v>59.18</v>
      </c>
      <c r="AX693">
        <v>27.41</v>
      </c>
    </row>
    <row r="694" spans="1:50">
      <c r="A694">
        <v>76.67</v>
      </c>
      <c r="B694">
        <v>172.9</v>
      </c>
      <c r="C694">
        <v>171.84</v>
      </c>
      <c r="D694">
        <v>172.12</v>
      </c>
      <c r="E694">
        <v>180.84</v>
      </c>
      <c r="F694">
        <v>94.34</v>
      </c>
      <c r="G694">
        <v>87.56</v>
      </c>
      <c r="H694">
        <v>81.56</v>
      </c>
      <c r="I694">
        <v>86.67</v>
      </c>
      <c r="J694">
        <v>70.400000000000006</v>
      </c>
      <c r="K694">
        <v>28.95</v>
      </c>
      <c r="L694">
        <v>0</v>
      </c>
      <c r="M694">
        <v>7.0000000000000007E-2</v>
      </c>
      <c r="N694">
        <v>7.0000000000000007E-2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1.08</v>
      </c>
      <c r="W694">
        <v>4.03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40.090000000000003</v>
      </c>
      <c r="AD694">
        <v>325.47000000000003</v>
      </c>
      <c r="AE694">
        <v>37.950000000000003</v>
      </c>
      <c r="AF694">
        <v>44.73</v>
      </c>
      <c r="AG694">
        <v>44.48</v>
      </c>
      <c r="AM694">
        <v>117.09</v>
      </c>
      <c r="AN694">
        <v>37.950000000000003</v>
      </c>
      <c r="AO694">
        <v>44.5</v>
      </c>
      <c r="AP694">
        <v>44.24</v>
      </c>
      <c r="AV694">
        <v>127.61</v>
      </c>
      <c r="AW694">
        <v>58.52</v>
      </c>
      <c r="AX694">
        <v>27.41</v>
      </c>
    </row>
    <row r="695" spans="1:50">
      <c r="A695">
        <v>76.83</v>
      </c>
      <c r="B695">
        <v>173.34</v>
      </c>
      <c r="C695">
        <v>171.95</v>
      </c>
      <c r="D695">
        <v>172.23</v>
      </c>
      <c r="E695">
        <v>180.67</v>
      </c>
      <c r="F695">
        <v>94.51</v>
      </c>
      <c r="G695">
        <v>87.78</v>
      </c>
      <c r="H695">
        <v>81.78</v>
      </c>
      <c r="I695">
        <v>86.84</v>
      </c>
      <c r="J695">
        <v>70.56</v>
      </c>
      <c r="K695">
        <v>28.9</v>
      </c>
      <c r="L695">
        <v>0</v>
      </c>
      <c r="M695">
        <v>0.24</v>
      </c>
      <c r="N695">
        <v>0.26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-1.01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326.18</v>
      </c>
      <c r="AE695">
        <v>38.17</v>
      </c>
      <c r="AF695">
        <v>44.32</v>
      </c>
      <c r="AG695">
        <v>44.3</v>
      </c>
      <c r="AM695">
        <v>117.03</v>
      </c>
      <c r="AN695">
        <v>38.17</v>
      </c>
      <c r="AO695">
        <v>44.06</v>
      </c>
      <c r="AP695">
        <v>44.05</v>
      </c>
      <c r="AV695">
        <v>127.52</v>
      </c>
      <c r="AW695">
        <v>57.86</v>
      </c>
      <c r="AX695">
        <v>27.41</v>
      </c>
    </row>
    <row r="696" spans="1:50">
      <c r="A696">
        <v>77</v>
      </c>
      <c r="B696">
        <v>174.23</v>
      </c>
      <c r="C696">
        <v>171.84</v>
      </c>
      <c r="D696">
        <v>172.01</v>
      </c>
      <c r="E696">
        <v>180.34</v>
      </c>
      <c r="F696">
        <v>94.67</v>
      </c>
      <c r="G696">
        <v>87.9</v>
      </c>
      <c r="H696">
        <v>81.900000000000006</v>
      </c>
      <c r="I696">
        <v>86.9</v>
      </c>
      <c r="J696">
        <v>70.62</v>
      </c>
      <c r="K696">
        <v>28.95</v>
      </c>
      <c r="L696">
        <v>0</v>
      </c>
      <c r="M696">
        <v>0.1</v>
      </c>
      <c r="N696">
        <v>0.11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326.88</v>
      </c>
      <c r="AE696">
        <v>35.89</v>
      </c>
      <c r="AF696">
        <v>42.61</v>
      </c>
      <c r="AG696">
        <v>42.72</v>
      </c>
      <c r="AM696">
        <v>116.75</v>
      </c>
      <c r="AN696">
        <v>35.89</v>
      </c>
      <c r="AO696">
        <v>42.23</v>
      </c>
      <c r="AP696">
        <v>42.36</v>
      </c>
      <c r="AV696">
        <v>127.17</v>
      </c>
      <c r="AW696">
        <v>57.2</v>
      </c>
      <c r="AX696">
        <v>27.41</v>
      </c>
    </row>
    <row r="697" spans="1:50">
      <c r="A697">
        <v>77.17</v>
      </c>
      <c r="B697">
        <v>175.01</v>
      </c>
      <c r="C697">
        <v>172.01</v>
      </c>
      <c r="D697">
        <v>172.17</v>
      </c>
      <c r="E697">
        <v>180.4</v>
      </c>
      <c r="F697">
        <v>94.78</v>
      </c>
      <c r="G697">
        <v>88.06</v>
      </c>
      <c r="H697">
        <v>82.17</v>
      </c>
      <c r="I697">
        <v>87.06</v>
      </c>
      <c r="J697">
        <v>70.78</v>
      </c>
      <c r="K697">
        <v>28.95</v>
      </c>
      <c r="L697">
        <v>0</v>
      </c>
      <c r="M697">
        <v>0.11</v>
      </c>
      <c r="N697">
        <v>0.12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327.58999999999997</v>
      </c>
      <c r="AE697">
        <v>34.229999999999997</v>
      </c>
      <c r="AF697">
        <v>41.95</v>
      </c>
      <c r="AG697">
        <v>41.95</v>
      </c>
      <c r="AM697">
        <v>116.56</v>
      </c>
      <c r="AN697">
        <v>34.229999999999997</v>
      </c>
      <c r="AO697">
        <v>41.54</v>
      </c>
      <c r="AP697">
        <v>41.55</v>
      </c>
      <c r="AV697">
        <v>126.93</v>
      </c>
      <c r="AW697">
        <v>56.53</v>
      </c>
      <c r="AX697">
        <v>27.41</v>
      </c>
    </row>
    <row r="698" spans="1:50">
      <c r="A698">
        <v>77.33</v>
      </c>
      <c r="B698">
        <v>176.51</v>
      </c>
      <c r="C698">
        <v>172.06</v>
      </c>
      <c r="D698">
        <v>172.28</v>
      </c>
      <c r="E698">
        <v>180.17</v>
      </c>
      <c r="F698">
        <v>94.9</v>
      </c>
      <c r="G698">
        <v>88.17</v>
      </c>
      <c r="H698">
        <v>82.34</v>
      </c>
      <c r="I698">
        <v>87.12</v>
      </c>
      <c r="J698">
        <v>70.900000000000006</v>
      </c>
      <c r="K698">
        <v>28.95</v>
      </c>
      <c r="L698">
        <v>0</v>
      </c>
      <c r="M698">
        <v>7.0000000000000007E-2</v>
      </c>
      <c r="N698">
        <v>0.08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65.25</v>
      </c>
      <c r="AD698">
        <v>328.3</v>
      </c>
      <c r="AE698">
        <v>33.19</v>
      </c>
      <c r="AF698">
        <v>41.13</v>
      </c>
      <c r="AG698">
        <v>41.03</v>
      </c>
      <c r="AM698">
        <v>116.16</v>
      </c>
      <c r="AN698">
        <v>33.19</v>
      </c>
      <c r="AO698">
        <v>40.67</v>
      </c>
      <c r="AP698">
        <v>40.58</v>
      </c>
      <c r="AV698">
        <v>126.44</v>
      </c>
      <c r="AW698">
        <v>55.87</v>
      </c>
      <c r="AX698">
        <v>27.41</v>
      </c>
    </row>
    <row r="699" spans="1:50">
      <c r="A699">
        <v>77.5</v>
      </c>
      <c r="B699">
        <v>177.28</v>
      </c>
      <c r="C699">
        <v>172.01</v>
      </c>
      <c r="D699">
        <v>172.17</v>
      </c>
      <c r="E699">
        <v>179.9</v>
      </c>
      <c r="F699">
        <v>95.01</v>
      </c>
      <c r="G699">
        <v>88.34</v>
      </c>
      <c r="H699">
        <v>82.51</v>
      </c>
      <c r="I699">
        <v>87.34</v>
      </c>
      <c r="J699">
        <v>71.010000000000005</v>
      </c>
      <c r="K699">
        <v>28.95</v>
      </c>
      <c r="L699">
        <v>0</v>
      </c>
      <c r="M699">
        <v>7.0000000000000007E-2</v>
      </c>
      <c r="N699">
        <v>7.0000000000000007E-2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5.44</v>
      </c>
      <c r="W699">
        <v>6.16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329.01</v>
      </c>
      <c r="AE699">
        <v>32.270000000000003</v>
      </c>
      <c r="AF699">
        <v>40.54</v>
      </c>
      <c r="AG699">
        <v>40.43</v>
      </c>
      <c r="AM699">
        <v>116.14</v>
      </c>
      <c r="AN699">
        <v>32.270000000000003</v>
      </c>
      <c r="AO699">
        <v>40.06</v>
      </c>
      <c r="AP699">
        <v>39.96</v>
      </c>
      <c r="AV699">
        <v>126.39</v>
      </c>
      <c r="AW699">
        <v>55.21</v>
      </c>
      <c r="AX699">
        <v>27.41</v>
      </c>
    </row>
    <row r="700" spans="1:50">
      <c r="A700">
        <v>77.67</v>
      </c>
      <c r="B700">
        <v>177.45</v>
      </c>
      <c r="C700">
        <v>171.73</v>
      </c>
      <c r="D700">
        <v>172.01</v>
      </c>
      <c r="E700">
        <v>179.4</v>
      </c>
      <c r="F700">
        <v>95.01</v>
      </c>
      <c r="G700">
        <v>88.4</v>
      </c>
      <c r="H700">
        <v>82.51</v>
      </c>
      <c r="I700">
        <v>87.4</v>
      </c>
      <c r="J700">
        <v>71.12</v>
      </c>
      <c r="K700">
        <v>28.95</v>
      </c>
      <c r="L700">
        <v>0</v>
      </c>
      <c r="M700">
        <v>7.0000000000000007E-2</v>
      </c>
      <c r="N700">
        <v>7.0000000000000007E-2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11.13</v>
      </c>
      <c r="W700">
        <v>10.53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329.71</v>
      </c>
      <c r="AE700">
        <v>31.48</v>
      </c>
      <c r="AF700">
        <v>40.340000000000003</v>
      </c>
      <c r="AG700">
        <v>40.29</v>
      </c>
      <c r="AM700">
        <v>115.92</v>
      </c>
      <c r="AN700">
        <v>31.48</v>
      </c>
      <c r="AO700">
        <v>39.869999999999997</v>
      </c>
      <c r="AP700">
        <v>39.83</v>
      </c>
      <c r="AV700">
        <v>126.12</v>
      </c>
      <c r="AW700">
        <v>54.54</v>
      </c>
      <c r="AX700">
        <v>27.41</v>
      </c>
    </row>
    <row r="701" spans="1:50">
      <c r="A701">
        <v>77.83</v>
      </c>
      <c r="B701">
        <v>177.56</v>
      </c>
      <c r="C701">
        <v>171.78</v>
      </c>
      <c r="D701">
        <v>172.12</v>
      </c>
      <c r="E701">
        <v>179.17</v>
      </c>
      <c r="F701">
        <v>95.12</v>
      </c>
      <c r="G701">
        <v>88.51</v>
      </c>
      <c r="H701">
        <v>82.56</v>
      </c>
      <c r="I701">
        <v>87.56</v>
      </c>
      <c r="J701">
        <v>71.28</v>
      </c>
      <c r="K701">
        <v>28.95</v>
      </c>
      <c r="L701">
        <v>0</v>
      </c>
      <c r="M701">
        <v>7.0000000000000007E-2</v>
      </c>
      <c r="N701">
        <v>7.0000000000000007E-2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18.29</v>
      </c>
      <c r="W701">
        <v>17.78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330.42</v>
      </c>
      <c r="AE701">
        <v>30.9</v>
      </c>
      <c r="AF701">
        <v>40.5</v>
      </c>
      <c r="AG701">
        <v>40.409999999999997</v>
      </c>
      <c r="AM701">
        <v>115.73</v>
      </c>
      <c r="AN701">
        <v>30.9</v>
      </c>
      <c r="AO701">
        <v>40.090000000000003</v>
      </c>
      <c r="AP701">
        <v>40.01</v>
      </c>
      <c r="AV701">
        <v>125.88</v>
      </c>
      <c r="AW701">
        <v>53.88</v>
      </c>
      <c r="AX701">
        <v>27.41</v>
      </c>
    </row>
    <row r="702" spans="1:50">
      <c r="A702">
        <v>78</v>
      </c>
      <c r="B702">
        <v>177.28</v>
      </c>
      <c r="C702">
        <v>171.9</v>
      </c>
      <c r="D702">
        <v>172.45</v>
      </c>
      <c r="E702">
        <v>178.9</v>
      </c>
      <c r="F702">
        <v>95.34</v>
      </c>
      <c r="G702">
        <v>88.56</v>
      </c>
      <c r="H702">
        <v>82.62</v>
      </c>
      <c r="I702">
        <v>87.62</v>
      </c>
      <c r="J702">
        <v>71.45</v>
      </c>
      <c r="K702">
        <v>28.95</v>
      </c>
      <c r="L702">
        <v>0</v>
      </c>
      <c r="M702">
        <v>7.0000000000000007E-2</v>
      </c>
      <c r="N702">
        <v>7.0000000000000007E-2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3.61</v>
      </c>
      <c r="W702">
        <v>5.1100000000000003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331.13</v>
      </c>
      <c r="AE702">
        <v>30.47</v>
      </c>
      <c r="AF702">
        <v>41.13</v>
      </c>
      <c r="AG702">
        <v>41.02</v>
      </c>
      <c r="AM702">
        <v>115.51</v>
      </c>
      <c r="AN702">
        <v>30.47</v>
      </c>
      <c r="AO702">
        <v>40.82</v>
      </c>
      <c r="AP702">
        <v>40.72</v>
      </c>
      <c r="AV702">
        <v>125.6</v>
      </c>
      <c r="AW702">
        <v>53.22</v>
      </c>
      <c r="AX702">
        <v>27.41</v>
      </c>
    </row>
    <row r="703" spans="1:50">
      <c r="A703">
        <v>78.17</v>
      </c>
      <c r="B703">
        <v>177.17</v>
      </c>
      <c r="C703">
        <v>172.12</v>
      </c>
      <c r="D703">
        <v>172.78</v>
      </c>
      <c r="E703">
        <v>179.17</v>
      </c>
      <c r="F703">
        <v>95.56</v>
      </c>
      <c r="G703">
        <v>88.73</v>
      </c>
      <c r="H703">
        <v>82.84</v>
      </c>
      <c r="I703">
        <v>87.78</v>
      </c>
      <c r="J703">
        <v>71.510000000000005</v>
      </c>
      <c r="K703">
        <v>28.95</v>
      </c>
      <c r="L703">
        <v>0</v>
      </c>
      <c r="M703">
        <v>7.0000000000000007E-2</v>
      </c>
      <c r="N703">
        <v>7.0000000000000007E-2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10.199999999999999</v>
      </c>
      <c r="W703">
        <v>8.6199999999999992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1.1200000000000001</v>
      </c>
      <c r="AD703">
        <v>331.84</v>
      </c>
      <c r="AE703">
        <v>29.95</v>
      </c>
      <c r="AF703">
        <v>40.619999999999997</v>
      </c>
      <c r="AG703">
        <v>40.619999999999997</v>
      </c>
      <c r="AM703">
        <v>115.29</v>
      </c>
      <c r="AN703">
        <v>29.95</v>
      </c>
      <c r="AO703">
        <v>40.28</v>
      </c>
      <c r="AP703">
        <v>40.299999999999997</v>
      </c>
      <c r="AV703">
        <v>125.33</v>
      </c>
      <c r="AW703">
        <v>52.55</v>
      </c>
      <c r="AX703">
        <v>27.41</v>
      </c>
    </row>
    <row r="704" spans="1:50">
      <c r="A704">
        <v>78.33</v>
      </c>
      <c r="B704">
        <v>177.17</v>
      </c>
      <c r="C704">
        <v>172.34</v>
      </c>
      <c r="D704">
        <v>173.06</v>
      </c>
      <c r="E704">
        <v>180.62</v>
      </c>
      <c r="F704">
        <v>95.84</v>
      </c>
      <c r="G704">
        <v>88.95</v>
      </c>
      <c r="H704">
        <v>83.23</v>
      </c>
      <c r="I704">
        <v>87.95</v>
      </c>
      <c r="J704">
        <v>71.62</v>
      </c>
      <c r="K704">
        <v>28.95</v>
      </c>
      <c r="L704">
        <v>0</v>
      </c>
      <c r="M704">
        <v>0.09</v>
      </c>
      <c r="N704">
        <v>0.09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332.54</v>
      </c>
      <c r="AE704">
        <v>29.61</v>
      </c>
      <c r="AF704">
        <v>40.590000000000003</v>
      </c>
      <c r="AG704">
        <v>40.47</v>
      </c>
      <c r="AM704">
        <v>115.15</v>
      </c>
      <c r="AN704">
        <v>29.61</v>
      </c>
      <c r="AO704">
        <v>40.270000000000003</v>
      </c>
      <c r="AP704">
        <v>40.159999999999997</v>
      </c>
      <c r="AV704">
        <v>125.16</v>
      </c>
      <c r="AW704">
        <v>51.89</v>
      </c>
      <c r="AX704">
        <v>27.41</v>
      </c>
    </row>
    <row r="705" spans="1:50">
      <c r="A705">
        <v>78.5</v>
      </c>
      <c r="B705">
        <v>176.95</v>
      </c>
      <c r="C705">
        <v>172.23</v>
      </c>
      <c r="D705">
        <v>173.01</v>
      </c>
      <c r="E705">
        <v>181.23</v>
      </c>
      <c r="F705">
        <v>95.95</v>
      </c>
      <c r="G705">
        <v>89.01</v>
      </c>
      <c r="H705">
        <v>83.28</v>
      </c>
      <c r="I705">
        <v>88.01</v>
      </c>
      <c r="J705">
        <v>71.67</v>
      </c>
      <c r="K705">
        <v>28.95</v>
      </c>
      <c r="L705">
        <v>0</v>
      </c>
      <c r="M705">
        <v>7.0000000000000007E-2</v>
      </c>
      <c r="N705">
        <v>7.0000000000000007E-2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3.94</v>
      </c>
      <c r="W705">
        <v>5.05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333.25</v>
      </c>
      <c r="AE705">
        <v>29.16</v>
      </c>
      <c r="AF705">
        <v>39.61</v>
      </c>
      <c r="AG705">
        <v>39.47</v>
      </c>
      <c r="AM705">
        <v>115.01</v>
      </c>
      <c r="AN705">
        <v>29.16</v>
      </c>
      <c r="AO705">
        <v>39.21</v>
      </c>
      <c r="AP705">
        <v>39.08</v>
      </c>
      <c r="AV705">
        <v>124.98</v>
      </c>
      <c r="AW705">
        <v>51.23</v>
      </c>
      <c r="AX705">
        <v>27.41</v>
      </c>
    </row>
    <row r="706" spans="1:50">
      <c r="A706">
        <v>78.67</v>
      </c>
      <c r="B706">
        <v>176.45</v>
      </c>
      <c r="C706">
        <v>171.34</v>
      </c>
      <c r="D706">
        <v>172.28</v>
      </c>
      <c r="E706">
        <v>181.06</v>
      </c>
      <c r="F706">
        <v>96.06</v>
      </c>
      <c r="G706">
        <v>89.17</v>
      </c>
      <c r="H706">
        <v>83.4</v>
      </c>
      <c r="I706">
        <v>88.17</v>
      </c>
      <c r="J706">
        <v>71.900000000000006</v>
      </c>
      <c r="K706">
        <v>28.95</v>
      </c>
      <c r="L706">
        <v>0</v>
      </c>
      <c r="M706">
        <v>7.0000000000000007E-2</v>
      </c>
      <c r="N706">
        <v>7.0000000000000007E-2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9.4600000000000009</v>
      </c>
      <c r="W706">
        <v>10.4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333.96</v>
      </c>
      <c r="AE706">
        <v>29.2</v>
      </c>
      <c r="AF706">
        <v>39.14</v>
      </c>
      <c r="AG706">
        <v>39.090000000000003</v>
      </c>
      <c r="AM706">
        <v>114.76</v>
      </c>
      <c r="AN706">
        <v>29.2</v>
      </c>
      <c r="AO706">
        <v>38.72</v>
      </c>
      <c r="AP706">
        <v>38.68</v>
      </c>
      <c r="AV706">
        <v>124.67</v>
      </c>
      <c r="AW706">
        <v>50.56</v>
      </c>
      <c r="AX706">
        <v>27.41</v>
      </c>
    </row>
    <row r="707" spans="1:50">
      <c r="A707">
        <v>78.83</v>
      </c>
      <c r="B707">
        <v>176.28</v>
      </c>
      <c r="C707">
        <v>170.17</v>
      </c>
      <c r="D707">
        <v>171.28</v>
      </c>
      <c r="E707">
        <v>180.84</v>
      </c>
      <c r="F707">
        <v>96.17</v>
      </c>
      <c r="G707">
        <v>89.34</v>
      </c>
      <c r="H707">
        <v>83.4</v>
      </c>
      <c r="I707">
        <v>88.28</v>
      </c>
      <c r="J707">
        <v>71.95</v>
      </c>
      <c r="K707">
        <v>28.95</v>
      </c>
      <c r="L707">
        <v>0</v>
      </c>
      <c r="M707">
        <v>7.0000000000000007E-2</v>
      </c>
      <c r="N707">
        <v>7.0000000000000007E-2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5.3</v>
      </c>
      <c r="W707">
        <v>3.01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334.67</v>
      </c>
      <c r="AE707">
        <v>29.09</v>
      </c>
      <c r="AF707">
        <v>39.1</v>
      </c>
      <c r="AG707">
        <v>39.130000000000003</v>
      </c>
      <c r="AM707">
        <v>114.62</v>
      </c>
      <c r="AN707">
        <v>29.09</v>
      </c>
      <c r="AO707">
        <v>38.72</v>
      </c>
      <c r="AP707">
        <v>38.76</v>
      </c>
      <c r="AV707">
        <v>124.5</v>
      </c>
      <c r="AW707">
        <v>49.9</v>
      </c>
      <c r="AX707">
        <v>27.41</v>
      </c>
    </row>
    <row r="708" spans="1:50">
      <c r="A708">
        <v>79</v>
      </c>
      <c r="B708">
        <v>176.12</v>
      </c>
      <c r="C708">
        <v>169.78</v>
      </c>
      <c r="D708">
        <v>170.78</v>
      </c>
      <c r="E708">
        <v>180.56</v>
      </c>
      <c r="F708">
        <v>96.4</v>
      </c>
      <c r="G708">
        <v>89.51</v>
      </c>
      <c r="H708">
        <v>83.56</v>
      </c>
      <c r="I708">
        <v>88.45</v>
      </c>
      <c r="J708">
        <v>72.12</v>
      </c>
      <c r="K708">
        <v>28.95</v>
      </c>
      <c r="L708">
        <v>0</v>
      </c>
      <c r="M708">
        <v>7.0000000000000007E-2</v>
      </c>
      <c r="N708">
        <v>7.0000000000000007E-2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7.22</v>
      </c>
      <c r="W708">
        <v>7.71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335.37</v>
      </c>
      <c r="AE708">
        <v>28.72</v>
      </c>
      <c r="AF708">
        <v>38.770000000000003</v>
      </c>
      <c r="AG708">
        <v>38.61</v>
      </c>
      <c r="AM708">
        <v>114.42</v>
      </c>
      <c r="AN708">
        <v>28.72</v>
      </c>
      <c r="AO708">
        <v>38.369999999999997</v>
      </c>
      <c r="AP708">
        <v>38.21</v>
      </c>
      <c r="AV708">
        <v>124.25</v>
      </c>
      <c r="AW708">
        <v>49.24</v>
      </c>
      <c r="AX708">
        <v>27.41</v>
      </c>
    </row>
    <row r="709" spans="1:50">
      <c r="A709">
        <v>79.17</v>
      </c>
      <c r="B709">
        <v>175.4</v>
      </c>
      <c r="C709">
        <v>169.51</v>
      </c>
      <c r="D709">
        <v>170.34</v>
      </c>
      <c r="E709">
        <v>180.28</v>
      </c>
      <c r="F709">
        <v>96.45</v>
      </c>
      <c r="G709">
        <v>89.62</v>
      </c>
      <c r="H709">
        <v>83.56</v>
      </c>
      <c r="I709">
        <v>88.62</v>
      </c>
      <c r="J709">
        <v>72.23</v>
      </c>
      <c r="K709">
        <v>28.95</v>
      </c>
      <c r="L709">
        <v>0</v>
      </c>
      <c r="M709">
        <v>7.0000000000000007E-2</v>
      </c>
      <c r="N709">
        <v>7.0000000000000007E-2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15.35</v>
      </c>
      <c r="W709">
        <v>16.489999999999998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10.52</v>
      </c>
      <c r="AD709">
        <v>336.08</v>
      </c>
      <c r="AE709">
        <v>28.62</v>
      </c>
      <c r="AF709">
        <v>38.56</v>
      </c>
      <c r="AG709">
        <v>38.450000000000003</v>
      </c>
      <c r="AM709">
        <v>114.23</v>
      </c>
      <c r="AN709">
        <v>28.62</v>
      </c>
      <c r="AO709">
        <v>38.17</v>
      </c>
      <c r="AP709">
        <v>38.07</v>
      </c>
      <c r="AV709">
        <v>124.02</v>
      </c>
      <c r="AW709">
        <v>48.58</v>
      </c>
      <c r="AX709">
        <v>27.41</v>
      </c>
    </row>
    <row r="710" spans="1:50">
      <c r="A710">
        <v>79.33</v>
      </c>
      <c r="B710">
        <v>174.73</v>
      </c>
      <c r="C710">
        <v>169.45</v>
      </c>
      <c r="D710">
        <v>170.12</v>
      </c>
      <c r="E710">
        <v>180.17</v>
      </c>
      <c r="F710">
        <v>96.73</v>
      </c>
      <c r="G710">
        <v>89.9</v>
      </c>
      <c r="H710">
        <v>83.73</v>
      </c>
      <c r="I710">
        <v>88.84</v>
      </c>
      <c r="J710">
        <v>72.400000000000006</v>
      </c>
      <c r="K710">
        <v>28.95</v>
      </c>
      <c r="L710">
        <v>0</v>
      </c>
      <c r="M710">
        <v>7.0000000000000007E-2</v>
      </c>
      <c r="N710">
        <v>7.0000000000000007E-2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11.9</v>
      </c>
      <c r="W710">
        <v>10.71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336.79</v>
      </c>
      <c r="AE710">
        <v>28.95</v>
      </c>
      <c r="AF710">
        <v>38.950000000000003</v>
      </c>
      <c r="AG710">
        <v>38.94</v>
      </c>
      <c r="AM710">
        <v>114.11</v>
      </c>
      <c r="AN710">
        <v>28.95</v>
      </c>
      <c r="AO710">
        <v>38.64</v>
      </c>
      <c r="AP710">
        <v>38.64</v>
      </c>
      <c r="AV710">
        <v>123.87</v>
      </c>
      <c r="AW710">
        <v>47.91</v>
      </c>
      <c r="AX710">
        <v>27.41</v>
      </c>
    </row>
    <row r="711" spans="1:50">
      <c r="A711">
        <v>79.5</v>
      </c>
      <c r="B711">
        <v>173.95</v>
      </c>
      <c r="C711">
        <v>169.17</v>
      </c>
      <c r="D711">
        <v>169.73</v>
      </c>
      <c r="E711">
        <v>179.9</v>
      </c>
      <c r="F711">
        <v>96.73</v>
      </c>
      <c r="G711">
        <v>90.01</v>
      </c>
      <c r="H711">
        <v>83.67</v>
      </c>
      <c r="I711">
        <v>88.95</v>
      </c>
      <c r="J711">
        <v>72.400000000000006</v>
      </c>
      <c r="K711">
        <v>28.95</v>
      </c>
      <c r="L711">
        <v>0</v>
      </c>
      <c r="M711">
        <v>7.0000000000000007E-2</v>
      </c>
      <c r="N711">
        <v>7.0000000000000007E-2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6.53</v>
      </c>
      <c r="W711">
        <v>6.63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337.5</v>
      </c>
      <c r="AE711">
        <v>29.01</v>
      </c>
      <c r="AF711">
        <v>39.090000000000003</v>
      </c>
      <c r="AG711">
        <v>38.99</v>
      </c>
      <c r="AM711">
        <v>113.88</v>
      </c>
      <c r="AN711">
        <v>29.01</v>
      </c>
      <c r="AO711">
        <v>38.82</v>
      </c>
      <c r="AP711">
        <v>38.729999999999997</v>
      </c>
      <c r="AV711">
        <v>123.58</v>
      </c>
      <c r="AW711">
        <v>47.25</v>
      </c>
      <c r="AX711">
        <v>27.4</v>
      </c>
    </row>
    <row r="712" spans="1:50">
      <c r="A712">
        <v>79.67</v>
      </c>
      <c r="B712">
        <v>172.67</v>
      </c>
      <c r="C712">
        <v>169.23</v>
      </c>
      <c r="D712">
        <v>169.56</v>
      </c>
      <c r="E712">
        <v>179.78</v>
      </c>
      <c r="F712">
        <v>96.9</v>
      </c>
      <c r="G712">
        <v>90.17</v>
      </c>
      <c r="H712">
        <v>84.06</v>
      </c>
      <c r="I712">
        <v>89.06</v>
      </c>
      <c r="J712">
        <v>72.56</v>
      </c>
      <c r="K712">
        <v>28.95</v>
      </c>
      <c r="L712">
        <v>0</v>
      </c>
      <c r="M712">
        <v>7.0000000000000007E-2</v>
      </c>
      <c r="N712">
        <v>7.0000000000000007E-2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4.8600000000000003</v>
      </c>
      <c r="W712">
        <v>4.3899999999999997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14.24</v>
      </c>
      <c r="AD712">
        <v>338.2</v>
      </c>
      <c r="AE712">
        <v>29.17</v>
      </c>
      <c r="AF712">
        <v>38.83</v>
      </c>
      <c r="AG712">
        <v>38.75</v>
      </c>
      <c r="AM712">
        <v>113.7</v>
      </c>
      <c r="AN712">
        <v>29.17</v>
      </c>
      <c r="AO712">
        <v>38.549999999999997</v>
      </c>
      <c r="AP712">
        <v>38.47</v>
      </c>
      <c r="AV712">
        <v>123.35</v>
      </c>
      <c r="AW712">
        <v>46.59</v>
      </c>
      <c r="AX712">
        <v>27.4</v>
      </c>
    </row>
    <row r="713" spans="1:50">
      <c r="A713">
        <v>79.83</v>
      </c>
      <c r="B713">
        <v>172.17</v>
      </c>
      <c r="C713">
        <v>169.67</v>
      </c>
      <c r="D713">
        <v>169.73</v>
      </c>
      <c r="E713">
        <v>179.67</v>
      </c>
      <c r="F713">
        <v>97.12</v>
      </c>
      <c r="G713">
        <v>90.34</v>
      </c>
      <c r="H713">
        <v>84.06</v>
      </c>
      <c r="I713">
        <v>89.28</v>
      </c>
      <c r="J713">
        <v>72.73</v>
      </c>
      <c r="K713">
        <v>28.95</v>
      </c>
      <c r="L713">
        <v>0</v>
      </c>
      <c r="M713">
        <v>7.0000000000000007E-2</v>
      </c>
      <c r="N713">
        <v>7.0000000000000007E-2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7.02</v>
      </c>
      <c r="W713">
        <v>7.26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0.95</v>
      </c>
      <c r="AD713">
        <v>338.91</v>
      </c>
      <c r="AE713">
        <v>29.04</v>
      </c>
      <c r="AF713">
        <v>38.49</v>
      </c>
      <c r="AG713">
        <v>38.369999999999997</v>
      </c>
      <c r="AM713">
        <v>113.58</v>
      </c>
      <c r="AN713">
        <v>29.04</v>
      </c>
      <c r="AO713">
        <v>38.19</v>
      </c>
      <c r="AP713">
        <v>38.07</v>
      </c>
      <c r="AV713">
        <v>123.21</v>
      </c>
      <c r="AW713">
        <v>45.92</v>
      </c>
      <c r="AX713">
        <v>27.4</v>
      </c>
    </row>
    <row r="714" spans="1:50">
      <c r="A714">
        <v>80</v>
      </c>
      <c r="B714">
        <v>172.45</v>
      </c>
      <c r="C714">
        <v>169.78</v>
      </c>
      <c r="D714">
        <v>169.73</v>
      </c>
      <c r="E714">
        <v>179.73</v>
      </c>
      <c r="F714">
        <v>97.23</v>
      </c>
      <c r="G714">
        <v>90.45</v>
      </c>
      <c r="H714">
        <v>84.17</v>
      </c>
      <c r="I714">
        <v>89.56</v>
      </c>
      <c r="J714">
        <v>72.78</v>
      </c>
      <c r="K714">
        <v>28.95</v>
      </c>
      <c r="L714">
        <v>0</v>
      </c>
      <c r="M714">
        <v>7.0000000000000007E-2</v>
      </c>
      <c r="N714">
        <v>7.0000000000000007E-2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9.4700000000000006</v>
      </c>
      <c r="W714">
        <v>7.86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339.62</v>
      </c>
      <c r="AE714">
        <v>28.59</v>
      </c>
      <c r="AF714">
        <v>38.31</v>
      </c>
      <c r="AG714">
        <v>38.21</v>
      </c>
      <c r="AM714">
        <v>113.45</v>
      </c>
      <c r="AN714">
        <v>28.59</v>
      </c>
      <c r="AO714">
        <v>38.020000000000003</v>
      </c>
      <c r="AP714">
        <v>37.93</v>
      </c>
      <c r="AV714">
        <v>123.04</v>
      </c>
      <c r="AW714">
        <v>45.26</v>
      </c>
      <c r="AX714">
        <v>27.4</v>
      </c>
    </row>
    <row r="715" spans="1:50">
      <c r="A715">
        <v>80.17</v>
      </c>
      <c r="B715">
        <v>173.51</v>
      </c>
      <c r="C715">
        <v>169.95</v>
      </c>
      <c r="D715">
        <v>169.9</v>
      </c>
      <c r="E715">
        <v>179.84</v>
      </c>
      <c r="F715">
        <v>97.4</v>
      </c>
      <c r="G715">
        <v>90.62</v>
      </c>
      <c r="H715">
        <v>84.23</v>
      </c>
      <c r="I715">
        <v>89.78</v>
      </c>
      <c r="J715">
        <v>73.010000000000005</v>
      </c>
      <c r="K715">
        <v>28.95</v>
      </c>
      <c r="L715">
        <v>0</v>
      </c>
      <c r="M715">
        <v>7.0000000000000007E-2</v>
      </c>
      <c r="N715">
        <v>7.0000000000000007E-2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7.15</v>
      </c>
      <c r="W715">
        <v>8.19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340.33</v>
      </c>
      <c r="AE715">
        <v>28.95</v>
      </c>
      <c r="AF715">
        <v>38.29</v>
      </c>
      <c r="AG715">
        <v>38.090000000000003</v>
      </c>
      <c r="AM715">
        <v>113.23</v>
      </c>
      <c r="AN715">
        <v>28.95</v>
      </c>
      <c r="AO715">
        <v>38.020000000000003</v>
      </c>
      <c r="AP715">
        <v>37.81</v>
      </c>
      <c r="AV715">
        <v>122.77</v>
      </c>
      <c r="AW715">
        <v>44.6</v>
      </c>
      <c r="AX715">
        <v>27.4</v>
      </c>
    </row>
    <row r="716" spans="1:50">
      <c r="A716">
        <v>80.33</v>
      </c>
      <c r="B716">
        <v>174.78</v>
      </c>
      <c r="C716">
        <v>169.9</v>
      </c>
      <c r="D716">
        <v>169.95</v>
      </c>
      <c r="E716">
        <v>179.73</v>
      </c>
      <c r="F716">
        <v>97.62</v>
      </c>
      <c r="G716">
        <v>90.78</v>
      </c>
      <c r="H716">
        <v>84.28</v>
      </c>
      <c r="I716">
        <v>89.95</v>
      </c>
      <c r="J716">
        <v>73.12</v>
      </c>
      <c r="K716">
        <v>28.95</v>
      </c>
      <c r="L716">
        <v>0</v>
      </c>
      <c r="M716">
        <v>7.0000000000000007E-2</v>
      </c>
      <c r="N716">
        <v>7.0000000000000007E-2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8.73</v>
      </c>
      <c r="W716">
        <v>9.86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341.03</v>
      </c>
      <c r="AE716">
        <v>28.79</v>
      </c>
      <c r="AF716">
        <v>38.14</v>
      </c>
      <c r="AG716">
        <v>38.020000000000003</v>
      </c>
      <c r="AM716">
        <v>113.05</v>
      </c>
      <c r="AN716">
        <v>28.79</v>
      </c>
      <c r="AO716">
        <v>37.869999999999997</v>
      </c>
      <c r="AP716">
        <v>37.75</v>
      </c>
      <c r="AV716">
        <v>122.55</v>
      </c>
      <c r="AW716">
        <v>43.93</v>
      </c>
      <c r="AX716">
        <v>27.4</v>
      </c>
    </row>
    <row r="717" spans="1:50">
      <c r="A717">
        <v>80.5</v>
      </c>
      <c r="B717">
        <v>176.23</v>
      </c>
      <c r="C717">
        <v>170.01</v>
      </c>
      <c r="D717">
        <v>170.01</v>
      </c>
      <c r="E717">
        <v>179.67</v>
      </c>
      <c r="F717">
        <v>97.78</v>
      </c>
      <c r="G717">
        <v>91.01</v>
      </c>
      <c r="H717">
        <v>84.4</v>
      </c>
      <c r="I717">
        <v>90.17</v>
      </c>
      <c r="J717">
        <v>73.400000000000006</v>
      </c>
      <c r="K717">
        <v>28.95</v>
      </c>
      <c r="L717">
        <v>0</v>
      </c>
      <c r="M717">
        <v>7.0000000000000007E-2</v>
      </c>
      <c r="N717">
        <v>7.0000000000000007E-2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8.27</v>
      </c>
      <c r="W717">
        <v>7.14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341.74</v>
      </c>
      <c r="AE717">
        <v>28.65</v>
      </c>
      <c r="AF717">
        <v>38.090000000000003</v>
      </c>
      <c r="AG717">
        <v>38.06</v>
      </c>
      <c r="AM717">
        <v>112.84</v>
      </c>
      <c r="AN717">
        <v>28.65</v>
      </c>
      <c r="AO717">
        <v>37.840000000000003</v>
      </c>
      <c r="AP717">
        <v>37.83</v>
      </c>
      <c r="AV717">
        <v>122.29</v>
      </c>
      <c r="AW717">
        <v>43.27</v>
      </c>
      <c r="AX717">
        <v>27.4</v>
      </c>
    </row>
    <row r="718" spans="1:50">
      <c r="A718">
        <v>80.67</v>
      </c>
      <c r="B718">
        <v>176.73</v>
      </c>
      <c r="C718">
        <v>170.01</v>
      </c>
      <c r="D718">
        <v>170.01</v>
      </c>
      <c r="E718">
        <v>179.51</v>
      </c>
      <c r="F718">
        <v>97.78</v>
      </c>
      <c r="G718">
        <v>91.12</v>
      </c>
      <c r="H718">
        <v>84.34</v>
      </c>
      <c r="I718">
        <v>90.28</v>
      </c>
      <c r="J718">
        <v>73.34</v>
      </c>
      <c r="K718">
        <v>28.95</v>
      </c>
      <c r="L718">
        <v>0</v>
      </c>
      <c r="M718">
        <v>7.0000000000000007E-2</v>
      </c>
      <c r="N718">
        <v>7.0000000000000007E-2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3.82</v>
      </c>
      <c r="W718">
        <v>5.76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342.45</v>
      </c>
      <c r="AE718">
        <v>28.25</v>
      </c>
      <c r="AF718">
        <v>38.01</v>
      </c>
      <c r="AG718">
        <v>37.9</v>
      </c>
      <c r="AM718">
        <v>112.65</v>
      </c>
      <c r="AN718">
        <v>28.25</v>
      </c>
      <c r="AO718">
        <v>37.770000000000003</v>
      </c>
      <c r="AP718">
        <v>37.659999999999997</v>
      </c>
      <c r="AV718">
        <v>122.05</v>
      </c>
      <c r="AW718">
        <v>42.61</v>
      </c>
      <c r="AX718">
        <v>27.4</v>
      </c>
    </row>
    <row r="719" spans="1:50">
      <c r="A719">
        <v>80.83</v>
      </c>
      <c r="B719">
        <v>176.95</v>
      </c>
      <c r="C719">
        <v>170.01</v>
      </c>
      <c r="D719">
        <v>170.17</v>
      </c>
      <c r="E719">
        <v>179.17</v>
      </c>
      <c r="F719">
        <v>98.01</v>
      </c>
      <c r="G719">
        <v>91.28</v>
      </c>
      <c r="H719">
        <v>84.4</v>
      </c>
      <c r="I719">
        <v>90.45</v>
      </c>
      <c r="J719">
        <v>73.510000000000005</v>
      </c>
      <c r="K719">
        <v>28.95</v>
      </c>
      <c r="L719">
        <v>0</v>
      </c>
      <c r="M719">
        <v>7.0000000000000007E-2</v>
      </c>
      <c r="N719">
        <v>7.0000000000000007E-2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11.13</v>
      </c>
      <c r="W719">
        <v>8.2200000000000006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343.16</v>
      </c>
      <c r="AE719">
        <v>28.17</v>
      </c>
      <c r="AF719">
        <v>37.58</v>
      </c>
      <c r="AG719">
        <v>37.61</v>
      </c>
      <c r="AM719">
        <v>112.51</v>
      </c>
      <c r="AN719">
        <v>28.17</v>
      </c>
      <c r="AO719">
        <v>37.31</v>
      </c>
      <c r="AP719">
        <v>37.36</v>
      </c>
      <c r="AV719">
        <v>121.87</v>
      </c>
      <c r="AW719">
        <v>41.95</v>
      </c>
      <c r="AX719">
        <v>27.4</v>
      </c>
    </row>
    <row r="720" spans="1:50">
      <c r="A720">
        <v>81</v>
      </c>
      <c r="B720">
        <v>176.51</v>
      </c>
      <c r="C720">
        <v>170.78</v>
      </c>
      <c r="D720">
        <v>171.23</v>
      </c>
      <c r="E720">
        <v>179.01</v>
      </c>
      <c r="F720">
        <v>98.12</v>
      </c>
      <c r="G720">
        <v>91.45</v>
      </c>
      <c r="H720">
        <v>84.4</v>
      </c>
      <c r="I720">
        <v>90.56</v>
      </c>
      <c r="J720">
        <v>73.62</v>
      </c>
      <c r="K720">
        <v>28.95</v>
      </c>
      <c r="L720">
        <v>0</v>
      </c>
      <c r="M720">
        <v>7.0000000000000007E-2</v>
      </c>
      <c r="N720">
        <v>7.0000000000000007E-2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6.57</v>
      </c>
      <c r="W720">
        <v>8.09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343.86</v>
      </c>
      <c r="AE720">
        <v>28.31</v>
      </c>
      <c r="AF720">
        <v>37.700000000000003</v>
      </c>
      <c r="AG720">
        <v>37.520000000000003</v>
      </c>
      <c r="AM720">
        <v>112.32</v>
      </c>
      <c r="AN720">
        <v>28.31</v>
      </c>
      <c r="AO720">
        <v>37.47</v>
      </c>
      <c r="AP720">
        <v>37.28</v>
      </c>
      <c r="AV720">
        <v>121.64</v>
      </c>
      <c r="AW720">
        <v>41.28</v>
      </c>
      <c r="AX720">
        <v>27.4</v>
      </c>
    </row>
    <row r="721" spans="1:50">
      <c r="A721">
        <v>81.17</v>
      </c>
      <c r="B721">
        <v>176.23</v>
      </c>
      <c r="C721">
        <v>172.23</v>
      </c>
      <c r="D721">
        <v>172.84</v>
      </c>
      <c r="E721">
        <v>179.23</v>
      </c>
      <c r="F721">
        <v>98.17</v>
      </c>
      <c r="G721">
        <v>91.67</v>
      </c>
      <c r="H721">
        <v>84.45</v>
      </c>
      <c r="I721">
        <v>90.67</v>
      </c>
      <c r="J721">
        <v>73.78</v>
      </c>
      <c r="K721">
        <v>28.95</v>
      </c>
      <c r="L721">
        <v>0</v>
      </c>
      <c r="M721">
        <v>7.0000000000000007E-2</v>
      </c>
      <c r="N721">
        <v>7.0000000000000007E-2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14.95</v>
      </c>
      <c r="W721">
        <v>14.23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69.489999999999995</v>
      </c>
      <c r="AD721">
        <v>344.57</v>
      </c>
      <c r="AE721">
        <v>27.8</v>
      </c>
      <c r="AF721">
        <v>37.5</v>
      </c>
      <c r="AG721">
        <v>37.44</v>
      </c>
      <c r="AM721">
        <v>112.02</v>
      </c>
      <c r="AN721">
        <v>27.8</v>
      </c>
      <c r="AO721">
        <v>37.26</v>
      </c>
      <c r="AP721">
        <v>37.21</v>
      </c>
      <c r="AV721">
        <v>121.28</v>
      </c>
      <c r="AW721">
        <v>40.619999999999997</v>
      </c>
      <c r="AX721">
        <v>27.4</v>
      </c>
    </row>
    <row r="722" spans="1:50">
      <c r="A722">
        <v>81.33</v>
      </c>
      <c r="B722">
        <v>176.23</v>
      </c>
      <c r="C722">
        <v>172.95</v>
      </c>
      <c r="D722">
        <v>173.62</v>
      </c>
      <c r="E722">
        <v>180.01</v>
      </c>
      <c r="F722">
        <v>98.4</v>
      </c>
      <c r="G722">
        <v>91.78</v>
      </c>
      <c r="H722">
        <v>84.56</v>
      </c>
      <c r="I722">
        <v>90.78</v>
      </c>
      <c r="J722">
        <v>73.84</v>
      </c>
      <c r="K722">
        <v>28.95</v>
      </c>
      <c r="L722">
        <v>0</v>
      </c>
      <c r="M722">
        <v>7.0000000000000007E-2</v>
      </c>
      <c r="N722">
        <v>7.0000000000000007E-2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5.87</v>
      </c>
      <c r="W722">
        <v>7.84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345.28</v>
      </c>
      <c r="AE722">
        <v>27.62</v>
      </c>
      <c r="AF722">
        <v>37.880000000000003</v>
      </c>
      <c r="AG722">
        <v>37.78</v>
      </c>
      <c r="AM722">
        <v>112</v>
      </c>
      <c r="AN722">
        <v>27.62</v>
      </c>
      <c r="AO722">
        <v>37.700000000000003</v>
      </c>
      <c r="AP722">
        <v>37.6</v>
      </c>
      <c r="AV722">
        <v>121.24</v>
      </c>
      <c r="AW722">
        <v>39.96</v>
      </c>
      <c r="AX722">
        <v>27.4</v>
      </c>
    </row>
    <row r="723" spans="1:50">
      <c r="A723">
        <v>81.5</v>
      </c>
      <c r="B723">
        <v>176.01</v>
      </c>
      <c r="C723">
        <v>173.17</v>
      </c>
      <c r="D723">
        <v>174.01</v>
      </c>
      <c r="E723">
        <v>180.4</v>
      </c>
      <c r="F723">
        <v>98.45</v>
      </c>
      <c r="G723">
        <v>91.95</v>
      </c>
      <c r="H723">
        <v>84.62</v>
      </c>
      <c r="I723">
        <v>90.9</v>
      </c>
      <c r="J723">
        <v>73.95</v>
      </c>
      <c r="K723">
        <v>28.95</v>
      </c>
      <c r="L723">
        <v>0</v>
      </c>
      <c r="M723">
        <v>7.0000000000000007E-2</v>
      </c>
      <c r="N723">
        <v>7.0000000000000007E-2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11.11</v>
      </c>
      <c r="W723">
        <v>9.59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345.99</v>
      </c>
      <c r="AE723">
        <v>27.52</v>
      </c>
      <c r="AF723">
        <v>37.56</v>
      </c>
      <c r="AG723">
        <v>37.61</v>
      </c>
      <c r="AM723">
        <v>111.75</v>
      </c>
      <c r="AN723">
        <v>27.52</v>
      </c>
      <c r="AO723">
        <v>37.36</v>
      </c>
      <c r="AP723">
        <v>37.43</v>
      </c>
      <c r="AV723">
        <v>120.93</v>
      </c>
      <c r="AW723">
        <v>39.29</v>
      </c>
      <c r="AX723">
        <v>27.4</v>
      </c>
    </row>
    <row r="724" spans="1:50">
      <c r="A724">
        <v>81.67</v>
      </c>
      <c r="B724">
        <v>175.78</v>
      </c>
      <c r="C724">
        <v>173.4</v>
      </c>
      <c r="D724">
        <v>174.12</v>
      </c>
      <c r="E724">
        <v>180.28</v>
      </c>
      <c r="F724">
        <v>98.67</v>
      </c>
      <c r="G724">
        <v>92.06</v>
      </c>
      <c r="H724">
        <v>84.62</v>
      </c>
      <c r="I724">
        <v>90.95</v>
      </c>
      <c r="J724">
        <v>73.95</v>
      </c>
      <c r="K724">
        <v>28.95</v>
      </c>
      <c r="L724">
        <v>0</v>
      </c>
      <c r="M724">
        <v>7.0000000000000007E-2</v>
      </c>
      <c r="N724">
        <v>7.0000000000000007E-2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10.95</v>
      </c>
      <c r="W724">
        <v>11.17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3.51</v>
      </c>
      <c r="AD724">
        <v>346.69</v>
      </c>
      <c r="AE724">
        <v>27.46</v>
      </c>
      <c r="AF724">
        <v>37.64</v>
      </c>
      <c r="AG724">
        <v>37.57</v>
      </c>
      <c r="AM724">
        <v>111.58</v>
      </c>
      <c r="AN724">
        <v>27.46</v>
      </c>
      <c r="AO724">
        <v>37.47</v>
      </c>
      <c r="AP724">
        <v>37.4</v>
      </c>
      <c r="AV724">
        <v>120.71</v>
      </c>
      <c r="AW724">
        <v>38.630000000000003</v>
      </c>
      <c r="AX724">
        <v>27.4</v>
      </c>
    </row>
    <row r="725" spans="1:50">
      <c r="A725">
        <v>81.83</v>
      </c>
      <c r="B725">
        <v>175.51</v>
      </c>
      <c r="C725">
        <v>172.95</v>
      </c>
      <c r="D725">
        <v>173.67</v>
      </c>
      <c r="E725">
        <v>180.23</v>
      </c>
      <c r="F725">
        <v>98.78</v>
      </c>
      <c r="G725">
        <v>92.28</v>
      </c>
      <c r="H725">
        <v>84.78</v>
      </c>
      <c r="I725">
        <v>91.17</v>
      </c>
      <c r="J725">
        <v>74.23</v>
      </c>
      <c r="K725">
        <v>28.95</v>
      </c>
      <c r="L725">
        <v>0</v>
      </c>
      <c r="M725">
        <v>7.0000000000000007E-2</v>
      </c>
      <c r="N725">
        <v>7.0000000000000007E-2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12.82</v>
      </c>
      <c r="W725">
        <v>11.33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347.4</v>
      </c>
      <c r="AE725">
        <v>27.43</v>
      </c>
      <c r="AF725">
        <v>37.69</v>
      </c>
      <c r="AG725">
        <v>37.65</v>
      </c>
      <c r="AM725">
        <v>111.45</v>
      </c>
      <c r="AN725">
        <v>27.43</v>
      </c>
      <c r="AO725">
        <v>37.54</v>
      </c>
      <c r="AP725">
        <v>37.5</v>
      </c>
      <c r="AV725">
        <v>120.55</v>
      </c>
      <c r="AW725">
        <v>37.97</v>
      </c>
      <c r="AX725">
        <v>27.4</v>
      </c>
    </row>
    <row r="726" spans="1:50">
      <c r="A726">
        <v>82</v>
      </c>
      <c r="B726">
        <v>175.23</v>
      </c>
      <c r="C726">
        <v>172.56</v>
      </c>
      <c r="D726">
        <v>173.28</v>
      </c>
      <c r="E726">
        <v>179.95</v>
      </c>
      <c r="F726">
        <v>98.84</v>
      </c>
      <c r="G726">
        <v>92.4</v>
      </c>
      <c r="H726">
        <v>84.9</v>
      </c>
      <c r="I726">
        <v>91.23</v>
      </c>
      <c r="J726">
        <v>74.28</v>
      </c>
      <c r="K726">
        <v>28.95</v>
      </c>
      <c r="L726">
        <v>0</v>
      </c>
      <c r="M726">
        <v>7.0000000000000007E-2</v>
      </c>
      <c r="N726">
        <v>7.0000000000000007E-2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3.67</v>
      </c>
      <c r="W726">
        <v>5.47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348.11</v>
      </c>
      <c r="AE726">
        <v>27.71</v>
      </c>
      <c r="AF726">
        <v>37.880000000000003</v>
      </c>
      <c r="AG726">
        <v>37.729999999999997</v>
      </c>
      <c r="AM726">
        <v>111.26</v>
      </c>
      <c r="AN726">
        <v>27.71</v>
      </c>
      <c r="AO726">
        <v>37.76</v>
      </c>
      <c r="AP726">
        <v>37.61</v>
      </c>
      <c r="AV726">
        <v>120.32</v>
      </c>
      <c r="AW726">
        <v>37.299999999999997</v>
      </c>
      <c r="AX726">
        <v>27.4</v>
      </c>
    </row>
    <row r="727" spans="1:50">
      <c r="A727">
        <v>82.17</v>
      </c>
      <c r="B727">
        <v>175.01</v>
      </c>
      <c r="C727">
        <v>172.12</v>
      </c>
      <c r="D727">
        <v>172.78</v>
      </c>
      <c r="E727">
        <v>179.78</v>
      </c>
      <c r="F727">
        <v>98.95</v>
      </c>
      <c r="G727">
        <v>92.56</v>
      </c>
      <c r="H727">
        <v>84.95</v>
      </c>
      <c r="I727">
        <v>91.45</v>
      </c>
      <c r="J727">
        <v>74.45</v>
      </c>
      <c r="K727">
        <v>28.95</v>
      </c>
      <c r="L727">
        <v>0</v>
      </c>
      <c r="M727">
        <v>7.0000000000000007E-2</v>
      </c>
      <c r="N727">
        <v>7.0000000000000007E-2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7.28</v>
      </c>
      <c r="W727">
        <v>6.03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348.82</v>
      </c>
      <c r="AE727">
        <v>27.57</v>
      </c>
      <c r="AF727">
        <v>37.409999999999997</v>
      </c>
      <c r="AG727">
        <v>37.4</v>
      </c>
      <c r="AM727">
        <v>111.13</v>
      </c>
      <c r="AN727">
        <v>27.57</v>
      </c>
      <c r="AO727">
        <v>37.25</v>
      </c>
      <c r="AP727">
        <v>37.25</v>
      </c>
      <c r="AV727">
        <v>120.15</v>
      </c>
      <c r="AW727">
        <v>36.64</v>
      </c>
      <c r="AX727">
        <v>27.4</v>
      </c>
    </row>
    <row r="728" spans="1:50">
      <c r="A728">
        <v>82.33</v>
      </c>
      <c r="B728">
        <v>174.45</v>
      </c>
      <c r="C728">
        <v>171.73</v>
      </c>
      <c r="D728">
        <v>172.4</v>
      </c>
      <c r="E728">
        <v>179.67</v>
      </c>
      <c r="F728">
        <v>99.23</v>
      </c>
      <c r="G728">
        <v>92.78</v>
      </c>
      <c r="H728">
        <v>85.01</v>
      </c>
      <c r="I728">
        <v>91.62</v>
      </c>
      <c r="J728">
        <v>74.510000000000005</v>
      </c>
      <c r="K728">
        <v>28.95</v>
      </c>
      <c r="L728">
        <v>0</v>
      </c>
      <c r="M728">
        <v>7.0000000000000007E-2</v>
      </c>
      <c r="N728">
        <v>7.0000000000000007E-2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5.23</v>
      </c>
      <c r="W728">
        <v>7.16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22.59</v>
      </c>
      <c r="AD728">
        <v>349.52</v>
      </c>
      <c r="AE728">
        <v>27.34</v>
      </c>
      <c r="AF728">
        <v>37.229999999999997</v>
      </c>
      <c r="AG728">
        <v>37.119999999999997</v>
      </c>
      <c r="AM728">
        <v>110.9</v>
      </c>
      <c r="AN728">
        <v>27.34</v>
      </c>
      <c r="AO728">
        <v>37.06</v>
      </c>
      <c r="AP728">
        <v>36.950000000000003</v>
      </c>
      <c r="AV728">
        <v>119.87</v>
      </c>
      <c r="AW728">
        <v>35.979999999999997</v>
      </c>
      <c r="AX728">
        <v>27.4</v>
      </c>
    </row>
    <row r="729" spans="1:50">
      <c r="A729">
        <v>82.5</v>
      </c>
      <c r="B729">
        <v>174.23</v>
      </c>
      <c r="C729">
        <v>171.62</v>
      </c>
      <c r="D729">
        <v>172.12</v>
      </c>
      <c r="E729">
        <v>179.51</v>
      </c>
      <c r="F729">
        <v>99.34</v>
      </c>
      <c r="G729">
        <v>92.95</v>
      </c>
      <c r="H729">
        <v>85.12</v>
      </c>
      <c r="I729">
        <v>91.73</v>
      </c>
      <c r="J729">
        <v>74.67</v>
      </c>
      <c r="K729">
        <v>28.95</v>
      </c>
      <c r="L729">
        <v>0</v>
      </c>
      <c r="M729">
        <v>7.0000000000000007E-2</v>
      </c>
      <c r="N729">
        <v>7.0000000000000007E-2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8.11</v>
      </c>
      <c r="W729">
        <v>6.73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350.23</v>
      </c>
      <c r="AE729">
        <v>27.77</v>
      </c>
      <c r="AF729">
        <v>36.89</v>
      </c>
      <c r="AG729">
        <v>36.93</v>
      </c>
      <c r="AM729">
        <v>110.8</v>
      </c>
      <c r="AN729">
        <v>27.77</v>
      </c>
      <c r="AO729">
        <v>36.700000000000003</v>
      </c>
      <c r="AP729">
        <v>36.75</v>
      </c>
      <c r="AV729">
        <v>119.75</v>
      </c>
      <c r="AW729">
        <v>35.32</v>
      </c>
      <c r="AX729">
        <v>27.4</v>
      </c>
    </row>
    <row r="730" spans="1:50">
      <c r="A730">
        <v>82.67</v>
      </c>
      <c r="B730">
        <v>174.01</v>
      </c>
      <c r="C730">
        <v>171.45</v>
      </c>
      <c r="D730">
        <v>171.9</v>
      </c>
      <c r="E730">
        <v>179.4</v>
      </c>
      <c r="F730">
        <v>99.62</v>
      </c>
      <c r="G730">
        <v>93.12</v>
      </c>
      <c r="H730">
        <v>85.17</v>
      </c>
      <c r="I730">
        <v>91.9</v>
      </c>
      <c r="J730">
        <v>74.73</v>
      </c>
      <c r="K730">
        <v>28.95</v>
      </c>
      <c r="L730">
        <v>0</v>
      </c>
      <c r="M730">
        <v>7.0000000000000007E-2</v>
      </c>
      <c r="N730">
        <v>7.0000000000000007E-2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2.4500000000000002</v>
      </c>
      <c r="W730">
        <v>5.38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31.92</v>
      </c>
      <c r="AD730">
        <v>350.94</v>
      </c>
      <c r="AE730">
        <v>27.72</v>
      </c>
      <c r="AF730">
        <v>36.82</v>
      </c>
      <c r="AG730">
        <v>36.75</v>
      </c>
      <c r="AM730">
        <v>110.56</v>
      </c>
      <c r="AN730">
        <v>27.72</v>
      </c>
      <c r="AO730">
        <v>36.630000000000003</v>
      </c>
      <c r="AP730">
        <v>36.57</v>
      </c>
      <c r="AV730">
        <v>119.45</v>
      </c>
      <c r="AW730">
        <v>34.65</v>
      </c>
      <c r="AX730">
        <v>27.4</v>
      </c>
    </row>
    <row r="731" spans="1:50">
      <c r="A731">
        <v>82.83</v>
      </c>
      <c r="B731">
        <v>174.01</v>
      </c>
      <c r="C731">
        <v>171.28</v>
      </c>
      <c r="D731">
        <v>171.67</v>
      </c>
      <c r="E731">
        <v>179.56</v>
      </c>
      <c r="F731">
        <v>99.84</v>
      </c>
      <c r="G731">
        <v>93.23</v>
      </c>
      <c r="H731">
        <v>85.17</v>
      </c>
      <c r="I731">
        <v>91.9</v>
      </c>
      <c r="J731">
        <v>74.78</v>
      </c>
      <c r="K731">
        <v>28.95</v>
      </c>
      <c r="L731">
        <v>0</v>
      </c>
      <c r="M731">
        <v>7.0000000000000007E-2</v>
      </c>
      <c r="N731">
        <v>7.0000000000000007E-2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11.69</v>
      </c>
      <c r="W731">
        <v>7.83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351.65</v>
      </c>
      <c r="AE731">
        <v>27.23</v>
      </c>
      <c r="AF731">
        <v>36.340000000000003</v>
      </c>
      <c r="AG731">
        <v>36.479999999999997</v>
      </c>
      <c r="AM731">
        <v>110.48</v>
      </c>
      <c r="AN731">
        <v>27.23</v>
      </c>
      <c r="AO731">
        <v>36.11</v>
      </c>
      <c r="AP731">
        <v>36.28</v>
      </c>
      <c r="AV731">
        <v>119.35</v>
      </c>
      <c r="AW731">
        <v>33.99</v>
      </c>
      <c r="AX731">
        <v>27.4</v>
      </c>
    </row>
    <row r="732" spans="1:50">
      <c r="A732">
        <v>83</v>
      </c>
      <c r="B732">
        <v>174.45</v>
      </c>
      <c r="C732">
        <v>171.12</v>
      </c>
      <c r="D732">
        <v>171.51</v>
      </c>
      <c r="E732">
        <v>179.84</v>
      </c>
      <c r="F732">
        <v>99.95</v>
      </c>
      <c r="G732">
        <v>93.45</v>
      </c>
      <c r="H732">
        <v>85.28</v>
      </c>
      <c r="I732">
        <v>92.06</v>
      </c>
      <c r="J732">
        <v>74.900000000000006</v>
      </c>
      <c r="K732">
        <v>28.95</v>
      </c>
      <c r="L732">
        <v>0</v>
      </c>
      <c r="M732">
        <v>7.0000000000000007E-2</v>
      </c>
      <c r="N732">
        <v>7.0000000000000007E-2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7.34</v>
      </c>
      <c r="W732">
        <v>12.42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36.549999999999997</v>
      </c>
      <c r="AD732">
        <v>352.35</v>
      </c>
      <c r="AE732">
        <v>27.25</v>
      </c>
      <c r="AF732">
        <v>36.53</v>
      </c>
      <c r="AG732">
        <v>36.380000000000003</v>
      </c>
      <c r="AM732">
        <v>110.27</v>
      </c>
      <c r="AN732">
        <v>27.25</v>
      </c>
      <c r="AO732">
        <v>36.340000000000003</v>
      </c>
      <c r="AP732">
        <v>36.18</v>
      </c>
      <c r="AV732">
        <v>119.09</v>
      </c>
      <c r="AW732">
        <v>33.33</v>
      </c>
      <c r="AX732">
        <v>27.4</v>
      </c>
    </row>
    <row r="733" spans="1:50">
      <c r="A733">
        <v>83.17</v>
      </c>
      <c r="B733">
        <v>175.73</v>
      </c>
      <c r="C733">
        <v>170.78</v>
      </c>
      <c r="D733">
        <v>171.12</v>
      </c>
      <c r="E733">
        <v>180.01</v>
      </c>
      <c r="F733">
        <v>100.06</v>
      </c>
      <c r="G733">
        <v>93.56</v>
      </c>
      <c r="H733">
        <v>85.4</v>
      </c>
      <c r="I733">
        <v>92.17</v>
      </c>
      <c r="J733">
        <v>75.010000000000005</v>
      </c>
      <c r="K733">
        <v>28.95</v>
      </c>
      <c r="L733">
        <v>0</v>
      </c>
      <c r="M733">
        <v>7.0000000000000007E-2</v>
      </c>
      <c r="N733">
        <v>7.0000000000000007E-2</v>
      </c>
      <c r="O733">
        <v>-1</v>
      </c>
      <c r="P733">
        <v>-1</v>
      </c>
      <c r="Q733">
        <v>-1</v>
      </c>
      <c r="R733">
        <v>-1</v>
      </c>
      <c r="S733">
        <v>-1</v>
      </c>
      <c r="T733">
        <v>0</v>
      </c>
      <c r="U733">
        <v>0</v>
      </c>
      <c r="V733">
        <v>7.34</v>
      </c>
      <c r="W733">
        <v>12.42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36.549999999999997</v>
      </c>
      <c r="AD733">
        <v>353.06</v>
      </c>
      <c r="AE733">
        <v>27.4</v>
      </c>
      <c r="AF733">
        <v>36.39</v>
      </c>
      <c r="AG733">
        <v>36.619999999999997</v>
      </c>
      <c r="AM733">
        <v>110.19</v>
      </c>
      <c r="AN733">
        <v>27.4</v>
      </c>
      <c r="AO733">
        <v>36.340000000000003</v>
      </c>
      <c r="AP733">
        <v>36.18</v>
      </c>
      <c r="AV733">
        <v>119.09</v>
      </c>
      <c r="AW733">
        <v>32.659999999999997</v>
      </c>
      <c r="AX733">
        <v>27.4</v>
      </c>
    </row>
    <row r="734" spans="1:50">
      <c r="A734">
        <v>83.33</v>
      </c>
      <c r="B734">
        <v>177.01</v>
      </c>
      <c r="C734">
        <v>170.78</v>
      </c>
      <c r="D734">
        <v>171.06</v>
      </c>
      <c r="E734">
        <v>180.17</v>
      </c>
      <c r="F734">
        <v>100.17</v>
      </c>
      <c r="G734">
        <v>93.84</v>
      </c>
      <c r="H734">
        <v>85.45</v>
      </c>
      <c r="I734">
        <v>92.23</v>
      </c>
      <c r="J734">
        <v>75.17</v>
      </c>
      <c r="K734">
        <v>28.95</v>
      </c>
    </row>
    <row r="735" spans="1:50">
      <c r="A735">
        <v>83.5</v>
      </c>
      <c r="B735">
        <v>177.67</v>
      </c>
      <c r="C735">
        <v>170.67</v>
      </c>
      <c r="D735">
        <v>170.78</v>
      </c>
      <c r="E735">
        <v>180.01</v>
      </c>
      <c r="F735">
        <v>100.23</v>
      </c>
      <c r="G735">
        <v>93.84</v>
      </c>
      <c r="H735">
        <v>85.51</v>
      </c>
      <c r="I735">
        <v>92.28</v>
      </c>
      <c r="J735">
        <v>75.23</v>
      </c>
      <c r="K735">
        <v>28.95</v>
      </c>
    </row>
    <row r="736" spans="1:50">
      <c r="A736">
        <v>83.67</v>
      </c>
      <c r="B736">
        <v>178.06</v>
      </c>
      <c r="C736">
        <v>170.9</v>
      </c>
      <c r="D736">
        <v>171.12</v>
      </c>
      <c r="E736">
        <v>180.01</v>
      </c>
      <c r="F736">
        <v>100.51</v>
      </c>
      <c r="G736">
        <v>94.12</v>
      </c>
      <c r="H736">
        <v>85.73</v>
      </c>
      <c r="I736">
        <v>92.45</v>
      </c>
      <c r="J736">
        <v>75.34</v>
      </c>
      <c r="K736">
        <v>28.95</v>
      </c>
    </row>
    <row r="737" spans="1:11">
      <c r="A737">
        <v>83.83</v>
      </c>
      <c r="B737">
        <v>178.28</v>
      </c>
      <c r="C737">
        <v>171.56</v>
      </c>
      <c r="D737">
        <v>171.84</v>
      </c>
      <c r="E737">
        <v>180.01</v>
      </c>
      <c r="F737">
        <v>100.62</v>
      </c>
      <c r="G737">
        <v>94.23</v>
      </c>
      <c r="H737">
        <v>85.78</v>
      </c>
      <c r="I737">
        <v>92.62</v>
      </c>
      <c r="J737">
        <v>75.45</v>
      </c>
      <c r="K737">
        <v>28.95</v>
      </c>
    </row>
    <row r="738" spans="1:11">
      <c r="A738">
        <v>84</v>
      </c>
      <c r="B738">
        <v>178.28</v>
      </c>
      <c r="C738">
        <v>172.9</v>
      </c>
      <c r="D738">
        <v>173.28</v>
      </c>
      <c r="E738">
        <v>180.23</v>
      </c>
      <c r="F738">
        <v>100.78</v>
      </c>
      <c r="G738">
        <v>94.28</v>
      </c>
      <c r="H738">
        <v>85.78</v>
      </c>
      <c r="I738">
        <v>92.62</v>
      </c>
      <c r="J738">
        <v>75.56</v>
      </c>
      <c r="K738">
        <v>28.95</v>
      </c>
    </row>
    <row r="739" spans="1:11">
      <c r="A739">
        <v>84.17</v>
      </c>
      <c r="B739">
        <v>178.28</v>
      </c>
      <c r="C739">
        <v>174.01</v>
      </c>
      <c r="D739">
        <v>174.67</v>
      </c>
      <c r="E739">
        <v>181.01</v>
      </c>
      <c r="F739">
        <v>101.01</v>
      </c>
      <c r="G739">
        <v>94.56</v>
      </c>
      <c r="H739">
        <v>85.95</v>
      </c>
      <c r="I739">
        <v>92.84</v>
      </c>
      <c r="J739">
        <v>75.62</v>
      </c>
      <c r="K739">
        <v>28.95</v>
      </c>
    </row>
    <row r="740" spans="1:11">
      <c r="A740">
        <v>84.33</v>
      </c>
      <c r="B740">
        <v>178.17</v>
      </c>
      <c r="C740">
        <v>174.45</v>
      </c>
      <c r="D740">
        <v>175.12</v>
      </c>
      <c r="E740">
        <v>182.06</v>
      </c>
      <c r="F740">
        <v>101.23</v>
      </c>
      <c r="G740">
        <v>94.67</v>
      </c>
      <c r="H740">
        <v>86.06</v>
      </c>
      <c r="I740">
        <v>92.95</v>
      </c>
      <c r="J740">
        <v>75.84</v>
      </c>
      <c r="K740">
        <v>28.95</v>
      </c>
    </row>
    <row r="741" spans="1:11">
      <c r="A741">
        <v>84.5</v>
      </c>
      <c r="B741">
        <v>178.17</v>
      </c>
      <c r="C741">
        <v>174.73</v>
      </c>
      <c r="D741">
        <v>175.45</v>
      </c>
      <c r="E741">
        <v>182.51</v>
      </c>
      <c r="F741">
        <v>101.4</v>
      </c>
      <c r="G741">
        <v>94.9</v>
      </c>
      <c r="H741">
        <v>86.23</v>
      </c>
      <c r="I741">
        <v>93.06</v>
      </c>
      <c r="J741">
        <v>75.95</v>
      </c>
      <c r="K741">
        <v>28.95</v>
      </c>
    </row>
    <row r="742" spans="1:11">
      <c r="A742">
        <v>84.67</v>
      </c>
      <c r="B742">
        <v>178.06</v>
      </c>
      <c r="C742">
        <v>174.62</v>
      </c>
      <c r="D742">
        <v>175.23</v>
      </c>
      <c r="E742">
        <v>182.34</v>
      </c>
      <c r="F742">
        <v>101.51</v>
      </c>
      <c r="G742">
        <v>95.06</v>
      </c>
      <c r="H742">
        <v>86.28</v>
      </c>
      <c r="I742">
        <v>93.17</v>
      </c>
      <c r="J742">
        <v>76.06</v>
      </c>
      <c r="K742">
        <v>28.95</v>
      </c>
    </row>
    <row r="743" spans="1:11">
      <c r="A743">
        <v>84.83</v>
      </c>
      <c r="B743">
        <v>177.9</v>
      </c>
      <c r="C743">
        <v>174.23</v>
      </c>
      <c r="D743">
        <v>174.95</v>
      </c>
      <c r="E743">
        <v>182.01</v>
      </c>
      <c r="F743">
        <v>101.67</v>
      </c>
      <c r="G743">
        <v>95.23</v>
      </c>
      <c r="H743">
        <v>86.45</v>
      </c>
      <c r="I743">
        <v>93.34</v>
      </c>
      <c r="J743">
        <v>76.17</v>
      </c>
      <c r="K743">
        <v>28.95</v>
      </c>
    </row>
    <row r="744" spans="1:11">
      <c r="A744">
        <v>85</v>
      </c>
      <c r="B744">
        <v>177.34</v>
      </c>
      <c r="C744">
        <v>174.01</v>
      </c>
      <c r="D744">
        <v>174.56</v>
      </c>
      <c r="E744">
        <v>181.95</v>
      </c>
      <c r="F744">
        <v>101.78</v>
      </c>
      <c r="G744">
        <v>95.4</v>
      </c>
      <c r="H744">
        <v>86.56</v>
      </c>
      <c r="I744">
        <v>93.45</v>
      </c>
      <c r="J744">
        <v>76.23</v>
      </c>
      <c r="K744">
        <v>28.95</v>
      </c>
    </row>
    <row r="745" spans="1:11">
      <c r="A745">
        <v>85.17</v>
      </c>
      <c r="B745">
        <v>176.56</v>
      </c>
      <c r="C745">
        <v>173.62</v>
      </c>
      <c r="D745">
        <v>174.23</v>
      </c>
      <c r="E745">
        <v>181.73</v>
      </c>
      <c r="F745">
        <v>101.9</v>
      </c>
      <c r="G745">
        <v>95.62</v>
      </c>
      <c r="H745">
        <v>86.62</v>
      </c>
      <c r="I745">
        <v>93.51</v>
      </c>
      <c r="J745">
        <v>76.400000000000006</v>
      </c>
      <c r="K745">
        <v>28.95</v>
      </c>
    </row>
    <row r="746" spans="1:11">
      <c r="A746">
        <v>85.33</v>
      </c>
      <c r="B746">
        <v>176.45</v>
      </c>
      <c r="C746">
        <v>173.51</v>
      </c>
      <c r="D746">
        <v>174.01</v>
      </c>
      <c r="E746">
        <v>181.51</v>
      </c>
      <c r="F746">
        <v>102.06</v>
      </c>
      <c r="G746">
        <v>95.73</v>
      </c>
      <c r="H746">
        <v>86.78</v>
      </c>
      <c r="I746">
        <v>93.56</v>
      </c>
      <c r="J746">
        <v>76.510000000000005</v>
      </c>
      <c r="K746">
        <v>28.95</v>
      </c>
    </row>
    <row r="747" spans="1:11">
      <c r="A747">
        <v>85.5</v>
      </c>
      <c r="B747">
        <v>176.51</v>
      </c>
      <c r="C747">
        <v>173.28</v>
      </c>
      <c r="D747">
        <v>173.73</v>
      </c>
      <c r="E747">
        <v>181.4</v>
      </c>
      <c r="F747">
        <v>102.28</v>
      </c>
      <c r="G747">
        <v>95.95</v>
      </c>
      <c r="H747">
        <v>86.9</v>
      </c>
      <c r="I747">
        <v>93.78</v>
      </c>
      <c r="J747">
        <v>76.67</v>
      </c>
      <c r="K747">
        <v>28.95</v>
      </c>
    </row>
    <row r="748" spans="1:11">
      <c r="A748">
        <v>85.67</v>
      </c>
      <c r="B748">
        <v>176.45</v>
      </c>
      <c r="C748">
        <v>172.95</v>
      </c>
      <c r="D748">
        <v>173.4</v>
      </c>
      <c r="E748">
        <v>181.23</v>
      </c>
      <c r="F748">
        <v>102.4</v>
      </c>
      <c r="G748">
        <v>95.95</v>
      </c>
      <c r="H748">
        <v>87.01</v>
      </c>
      <c r="I748">
        <v>93.78</v>
      </c>
      <c r="J748">
        <v>76.67</v>
      </c>
      <c r="K748">
        <v>28.95</v>
      </c>
    </row>
    <row r="749" spans="1:11">
      <c r="A749">
        <v>85.83</v>
      </c>
      <c r="B749">
        <v>177.23</v>
      </c>
      <c r="C749">
        <v>172.84</v>
      </c>
      <c r="D749">
        <v>173.12</v>
      </c>
      <c r="E749">
        <v>181.51</v>
      </c>
      <c r="F749">
        <v>102.51</v>
      </c>
      <c r="G749">
        <v>96.17</v>
      </c>
      <c r="H749">
        <v>87.12</v>
      </c>
      <c r="I749">
        <v>93.9</v>
      </c>
      <c r="J749">
        <v>76.78</v>
      </c>
      <c r="K749">
        <v>28.95</v>
      </c>
    </row>
    <row r="750" spans="1:11">
      <c r="A750">
        <v>86</v>
      </c>
      <c r="B750">
        <v>178.51</v>
      </c>
      <c r="C750">
        <v>172.67</v>
      </c>
      <c r="D750">
        <v>172.9</v>
      </c>
      <c r="E750">
        <v>181.84</v>
      </c>
      <c r="F750">
        <v>102.62</v>
      </c>
      <c r="G750">
        <v>96.34</v>
      </c>
      <c r="H750">
        <v>87.23</v>
      </c>
      <c r="I750">
        <v>94.01</v>
      </c>
      <c r="J750">
        <v>76.900000000000006</v>
      </c>
      <c r="K750">
        <v>28.95</v>
      </c>
    </row>
    <row r="751" spans="1:11">
      <c r="A751">
        <v>86.17</v>
      </c>
      <c r="B751">
        <v>179.95</v>
      </c>
      <c r="C751">
        <v>172.67</v>
      </c>
      <c r="D751">
        <v>172.78</v>
      </c>
      <c r="E751">
        <v>182.45</v>
      </c>
      <c r="F751">
        <v>102.84</v>
      </c>
      <c r="G751">
        <v>96.62</v>
      </c>
      <c r="H751">
        <v>87.4</v>
      </c>
      <c r="I751">
        <v>94.12</v>
      </c>
      <c r="J751">
        <v>77.010000000000005</v>
      </c>
      <c r="K751">
        <v>28.95</v>
      </c>
    </row>
    <row r="752" spans="1:11">
      <c r="A752">
        <v>86.33</v>
      </c>
      <c r="B752">
        <v>180.78</v>
      </c>
      <c r="C752">
        <v>172.56</v>
      </c>
      <c r="D752">
        <v>172.67</v>
      </c>
      <c r="E752">
        <v>182.73</v>
      </c>
      <c r="F752">
        <v>102.95</v>
      </c>
      <c r="G752">
        <v>96.73</v>
      </c>
      <c r="H752">
        <v>87.56</v>
      </c>
      <c r="I752">
        <v>94.17</v>
      </c>
      <c r="J752">
        <v>77.12</v>
      </c>
      <c r="K752">
        <v>28.95</v>
      </c>
    </row>
    <row r="753" spans="1:11">
      <c r="A753">
        <v>86.5</v>
      </c>
      <c r="B753">
        <v>180.84</v>
      </c>
      <c r="C753">
        <v>172.45</v>
      </c>
      <c r="D753">
        <v>172.56</v>
      </c>
      <c r="E753">
        <v>182.56</v>
      </c>
      <c r="F753">
        <v>103.23</v>
      </c>
      <c r="G753">
        <v>97.01</v>
      </c>
      <c r="H753">
        <v>87.67</v>
      </c>
      <c r="I753">
        <v>94.4</v>
      </c>
      <c r="J753">
        <v>77.28</v>
      </c>
      <c r="K753">
        <v>28.95</v>
      </c>
    </row>
    <row r="754" spans="1:11">
      <c r="A754">
        <v>86.67</v>
      </c>
      <c r="B754">
        <v>180.56</v>
      </c>
      <c r="C754">
        <v>172.28</v>
      </c>
      <c r="D754">
        <v>172.45</v>
      </c>
      <c r="E754">
        <v>182.51</v>
      </c>
      <c r="F754">
        <v>103.4</v>
      </c>
      <c r="G754">
        <v>97.17</v>
      </c>
      <c r="H754">
        <v>87.78</v>
      </c>
      <c r="I754">
        <v>94.45</v>
      </c>
      <c r="J754">
        <v>77.34</v>
      </c>
      <c r="K754">
        <v>28.95</v>
      </c>
    </row>
    <row r="755" spans="1:11">
      <c r="A755">
        <v>86.83</v>
      </c>
      <c r="B755">
        <v>180.51</v>
      </c>
      <c r="C755">
        <v>173.12</v>
      </c>
      <c r="D755">
        <v>173.45</v>
      </c>
      <c r="E755">
        <v>182.51</v>
      </c>
      <c r="F755">
        <v>103.51</v>
      </c>
      <c r="G755">
        <v>97.34</v>
      </c>
      <c r="H755">
        <v>87.95</v>
      </c>
      <c r="I755">
        <v>94.62</v>
      </c>
      <c r="J755">
        <v>77.45</v>
      </c>
      <c r="K755">
        <v>28.95</v>
      </c>
    </row>
    <row r="756" spans="1:11">
      <c r="A756">
        <v>87</v>
      </c>
      <c r="B756">
        <v>180.17</v>
      </c>
      <c r="C756">
        <v>174.62</v>
      </c>
      <c r="D756">
        <v>175.28</v>
      </c>
      <c r="E756">
        <v>182.62</v>
      </c>
      <c r="F756">
        <v>103.62</v>
      </c>
      <c r="G756">
        <v>97.45</v>
      </c>
      <c r="H756">
        <v>88.01</v>
      </c>
      <c r="I756">
        <v>94.78</v>
      </c>
      <c r="J756">
        <v>77.510000000000005</v>
      </c>
      <c r="K756">
        <v>28.95</v>
      </c>
    </row>
    <row r="757" spans="1:11">
      <c r="A757">
        <v>87.17</v>
      </c>
      <c r="B757">
        <v>180.17</v>
      </c>
      <c r="C757">
        <v>175.06</v>
      </c>
      <c r="D757">
        <v>175.84</v>
      </c>
      <c r="E757">
        <v>183.01</v>
      </c>
      <c r="F757">
        <v>103.78</v>
      </c>
      <c r="G757">
        <v>97.62</v>
      </c>
      <c r="H757">
        <v>88.17</v>
      </c>
      <c r="I757">
        <v>94.9</v>
      </c>
      <c r="J757">
        <v>77.67</v>
      </c>
      <c r="K757">
        <v>28.95</v>
      </c>
    </row>
    <row r="758" spans="1:11">
      <c r="A758">
        <v>87.33</v>
      </c>
      <c r="B758">
        <v>179.84</v>
      </c>
      <c r="C758">
        <v>175.17</v>
      </c>
      <c r="D758">
        <v>175.95</v>
      </c>
      <c r="E758">
        <v>183.73</v>
      </c>
      <c r="F758">
        <v>103.95</v>
      </c>
      <c r="G758">
        <v>97.84</v>
      </c>
      <c r="H758">
        <v>88.17</v>
      </c>
      <c r="I758">
        <v>95.01</v>
      </c>
      <c r="J758">
        <v>77.73</v>
      </c>
      <c r="K758">
        <v>28.95</v>
      </c>
    </row>
    <row r="759" spans="1:11">
      <c r="A759">
        <v>87.5</v>
      </c>
      <c r="B759">
        <v>179.51</v>
      </c>
      <c r="C759">
        <v>174.73</v>
      </c>
      <c r="D759">
        <v>175.51</v>
      </c>
      <c r="E759">
        <v>184.01</v>
      </c>
      <c r="F759">
        <v>104.17</v>
      </c>
      <c r="G759">
        <v>97.9</v>
      </c>
      <c r="H759">
        <v>88.34</v>
      </c>
      <c r="I759">
        <v>95.12</v>
      </c>
      <c r="J759">
        <v>77.84</v>
      </c>
      <c r="K759">
        <v>28.95</v>
      </c>
    </row>
    <row r="760" spans="1:11">
      <c r="A760">
        <v>87.67</v>
      </c>
      <c r="B760">
        <v>179.06</v>
      </c>
      <c r="C760">
        <v>174.4</v>
      </c>
      <c r="D760">
        <v>175.06</v>
      </c>
      <c r="E760">
        <v>184.17</v>
      </c>
      <c r="F760">
        <v>104.34</v>
      </c>
      <c r="G760">
        <v>98.12</v>
      </c>
      <c r="H760">
        <v>88.45</v>
      </c>
      <c r="I760">
        <v>95.23</v>
      </c>
      <c r="J760">
        <v>78.010000000000005</v>
      </c>
      <c r="K760">
        <v>28.95</v>
      </c>
    </row>
    <row r="761" spans="1:11">
      <c r="A761">
        <v>87.83</v>
      </c>
      <c r="B761">
        <v>178.73</v>
      </c>
      <c r="C761">
        <v>174.01</v>
      </c>
      <c r="D761">
        <v>174.62</v>
      </c>
      <c r="E761">
        <v>183.95</v>
      </c>
      <c r="F761">
        <v>104.45</v>
      </c>
      <c r="G761">
        <v>98.28</v>
      </c>
      <c r="H761">
        <v>88.56</v>
      </c>
      <c r="I761">
        <v>95.23</v>
      </c>
      <c r="J761">
        <v>78.06</v>
      </c>
      <c r="K761">
        <v>28.95</v>
      </c>
    </row>
    <row r="762" spans="1:11">
      <c r="A762">
        <v>88</v>
      </c>
      <c r="B762">
        <v>178.45</v>
      </c>
      <c r="C762">
        <v>173.73</v>
      </c>
      <c r="D762">
        <v>174.28</v>
      </c>
      <c r="E762">
        <v>183.78</v>
      </c>
      <c r="F762">
        <v>104.67</v>
      </c>
      <c r="G762">
        <v>98.45</v>
      </c>
      <c r="H762">
        <v>88.73</v>
      </c>
      <c r="I762">
        <v>95.4</v>
      </c>
      <c r="J762">
        <v>78.23</v>
      </c>
      <c r="K762">
        <v>28.95</v>
      </c>
    </row>
    <row r="763" spans="1:11">
      <c r="A763">
        <v>88.17</v>
      </c>
      <c r="B763">
        <v>178.51</v>
      </c>
      <c r="C763">
        <v>173.4</v>
      </c>
      <c r="D763">
        <v>174.01</v>
      </c>
      <c r="E763">
        <v>183.45</v>
      </c>
      <c r="F763">
        <v>104.84</v>
      </c>
      <c r="G763">
        <v>98.62</v>
      </c>
      <c r="H763">
        <v>88.95</v>
      </c>
      <c r="I763">
        <v>95.56</v>
      </c>
      <c r="J763">
        <v>78.400000000000006</v>
      </c>
      <c r="K763">
        <v>28.95</v>
      </c>
    </row>
    <row r="764" spans="1:11">
      <c r="A764">
        <v>88.33</v>
      </c>
      <c r="B764">
        <v>178.23</v>
      </c>
      <c r="C764">
        <v>173.17</v>
      </c>
      <c r="D764">
        <v>173.73</v>
      </c>
      <c r="E764">
        <v>183.28</v>
      </c>
      <c r="F764">
        <v>104.9</v>
      </c>
      <c r="G764">
        <v>98.73</v>
      </c>
      <c r="H764">
        <v>89.06</v>
      </c>
      <c r="I764">
        <v>95.56</v>
      </c>
      <c r="J764">
        <v>78.45</v>
      </c>
      <c r="K764">
        <v>28.95</v>
      </c>
    </row>
    <row r="765" spans="1:11">
      <c r="A765">
        <v>88.5</v>
      </c>
      <c r="B765">
        <v>178.06</v>
      </c>
      <c r="C765">
        <v>173.01</v>
      </c>
      <c r="D765">
        <v>173.51</v>
      </c>
      <c r="E765">
        <v>183.17</v>
      </c>
      <c r="F765">
        <v>105.12</v>
      </c>
      <c r="G765">
        <v>98.9</v>
      </c>
      <c r="H765">
        <v>89.28</v>
      </c>
      <c r="I765">
        <v>95.73</v>
      </c>
      <c r="J765">
        <v>78.62</v>
      </c>
      <c r="K765">
        <v>28.95</v>
      </c>
    </row>
    <row r="766" spans="1:11">
      <c r="A766">
        <v>88.67</v>
      </c>
      <c r="B766">
        <v>178.23</v>
      </c>
      <c r="C766">
        <v>172.78</v>
      </c>
      <c r="D766">
        <v>173.28</v>
      </c>
      <c r="E766">
        <v>183.17</v>
      </c>
      <c r="F766">
        <v>105.28</v>
      </c>
      <c r="G766">
        <v>99.06</v>
      </c>
      <c r="H766">
        <v>89.4</v>
      </c>
      <c r="I766">
        <v>95.78</v>
      </c>
      <c r="J766">
        <v>78.73</v>
      </c>
      <c r="K766">
        <v>28.95</v>
      </c>
    </row>
    <row r="767" spans="1:11">
      <c r="A767">
        <v>88.83</v>
      </c>
      <c r="B767">
        <v>178.56</v>
      </c>
      <c r="C767">
        <v>172.84</v>
      </c>
      <c r="D767">
        <v>173.17</v>
      </c>
      <c r="E767">
        <v>183.12</v>
      </c>
      <c r="F767">
        <v>105.4</v>
      </c>
      <c r="G767">
        <v>99.17</v>
      </c>
      <c r="H767">
        <v>89.45</v>
      </c>
      <c r="I767">
        <v>95.78</v>
      </c>
      <c r="J767">
        <v>78.84</v>
      </c>
      <c r="K767">
        <v>28.95</v>
      </c>
    </row>
    <row r="768" spans="1:11">
      <c r="A768">
        <v>89</v>
      </c>
      <c r="B768">
        <v>180.01</v>
      </c>
      <c r="C768">
        <v>172.62</v>
      </c>
      <c r="D768">
        <v>172.95</v>
      </c>
      <c r="E768">
        <v>183.01</v>
      </c>
      <c r="F768">
        <v>105.45</v>
      </c>
      <c r="G768">
        <v>99.28</v>
      </c>
      <c r="H768">
        <v>89.62</v>
      </c>
      <c r="I768">
        <v>95.9</v>
      </c>
      <c r="J768">
        <v>78.95</v>
      </c>
      <c r="K768">
        <v>28.95</v>
      </c>
    </row>
    <row r="769" spans="1:11">
      <c r="A769">
        <v>89.17</v>
      </c>
      <c r="B769">
        <v>181.78</v>
      </c>
      <c r="C769">
        <v>172.62</v>
      </c>
      <c r="D769">
        <v>172.9</v>
      </c>
      <c r="E769">
        <v>182.78</v>
      </c>
      <c r="F769">
        <v>105.62</v>
      </c>
      <c r="G769">
        <v>99.51</v>
      </c>
      <c r="H769">
        <v>89.9</v>
      </c>
      <c r="I769">
        <v>96.12</v>
      </c>
      <c r="J769">
        <v>79.12</v>
      </c>
      <c r="K769">
        <v>28.95</v>
      </c>
    </row>
    <row r="770" spans="1:11">
      <c r="A770">
        <v>89.33</v>
      </c>
      <c r="B770">
        <v>182.62</v>
      </c>
      <c r="C770">
        <v>172.45</v>
      </c>
      <c r="D770">
        <v>172.67</v>
      </c>
      <c r="E770">
        <v>182.62</v>
      </c>
      <c r="F770">
        <v>105.73</v>
      </c>
      <c r="G770">
        <v>99.62</v>
      </c>
      <c r="H770">
        <v>90.06</v>
      </c>
      <c r="I770">
        <v>96.12</v>
      </c>
      <c r="J770">
        <v>79.17</v>
      </c>
      <c r="K770">
        <v>28.95</v>
      </c>
    </row>
    <row r="771" spans="1:11">
      <c r="A771">
        <v>89.5</v>
      </c>
      <c r="B771">
        <v>182.62</v>
      </c>
      <c r="C771">
        <v>172.28</v>
      </c>
      <c r="D771">
        <v>172.51</v>
      </c>
      <c r="E771">
        <v>182.34</v>
      </c>
      <c r="F771">
        <v>105.9</v>
      </c>
      <c r="G771">
        <v>99.84</v>
      </c>
      <c r="H771">
        <v>90.4</v>
      </c>
      <c r="I771">
        <v>96.12</v>
      </c>
      <c r="J771">
        <v>79.28</v>
      </c>
      <c r="K771">
        <v>28.95</v>
      </c>
    </row>
    <row r="772" spans="1:11">
      <c r="A772">
        <v>89.67</v>
      </c>
      <c r="B772">
        <v>182.51</v>
      </c>
      <c r="C772">
        <v>172.34</v>
      </c>
      <c r="D772">
        <v>172.62</v>
      </c>
      <c r="E772">
        <v>182.17</v>
      </c>
      <c r="F772">
        <v>106.12</v>
      </c>
      <c r="G772">
        <v>99.95</v>
      </c>
      <c r="H772">
        <v>90.78</v>
      </c>
      <c r="I772">
        <v>96.23</v>
      </c>
      <c r="J772">
        <v>79.400000000000006</v>
      </c>
      <c r="K772">
        <v>28.95</v>
      </c>
    </row>
    <row r="773" spans="1:11">
      <c r="A773">
        <v>89.83</v>
      </c>
      <c r="B773">
        <v>182.51</v>
      </c>
      <c r="C773">
        <v>172.95</v>
      </c>
      <c r="D773">
        <v>173.45</v>
      </c>
      <c r="E773">
        <v>182.06</v>
      </c>
      <c r="F773">
        <v>106.28</v>
      </c>
      <c r="G773">
        <v>100.06</v>
      </c>
      <c r="H773">
        <v>91.12</v>
      </c>
      <c r="I773">
        <v>96.23</v>
      </c>
      <c r="J773">
        <v>79.45</v>
      </c>
      <c r="K773">
        <v>28.95</v>
      </c>
    </row>
    <row r="774" spans="1:11">
      <c r="A774">
        <v>90</v>
      </c>
      <c r="B774">
        <v>182.51</v>
      </c>
      <c r="C774">
        <v>175.34</v>
      </c>
      <c r="D774">
        <v>176.01</v>
      </c>
      <c r="E774">
        <v>182.34</v>
      </c>
      <c r="F774">
        <v>106.73</v>
      </c>
      <c r="G774">
        <v>100.34</v>
      </c>
      <c r="H774">
        <v>91.51</v>
      </c>
      <c r="I774">
        <v>96.4</v>
      </c>
      <c r="J774">
        <v>79.67</v>
      </c>
      <c r="K774">
        <v>28.95</v>
      </c>
    </row>
    <row r="775" spans="1:11">
      <c r="A775">
        <v>90.17</v>
      </c>
      <c r="B775">
        <v>182.28</v>
      </c>
      <c r="C775">
        <v>176.06</v>
      </c>
      <c r="D775">
        <v>177.06</v>
      </c>
      <c r="E775">
        <v>182.67</v>
      </c>
      <c r="F775">
        <v>107.01</v>
      </c>
      <c r="G775">
        <v>100.51</v>
      </c>
      <c r="H775">
        <v>91.73</v>
      </c>
      <c r="I775">
        <v>96.4</v>
      </c>
      <c r="J775">
        <v>79.73</v>
      </c>
      <c r="K775">
        <v>28.95</v>
      </c>
    </row>
    <row r="776" spans="1:11">
      <c r="A776">
        <v>90.33</v>
      </c>
      <c r="B776">
        <v>182.17</v>
      </c>
      <c r="C776">
        <v>176.62</v>
      </c>
      <c r="D776">
        <v>177.56</v>
      </c>
      <c r="E776">
        <v>183.51</v>
      </c>
      <c r="F776">
        <v>107.4</v>
      </c>
      <c r="G776">
        <v>100.67</v>
      </c>
      <c r="H776">
        <v>92.06</v>
      </c>
      <c r="I776">
        <v>96.51</v>
      </c>
      <c r="J776">
        <v>79.900000000000006</v>
      </c>
      <c r="K776">
        <v>28.95</v>
      </c>
    </row>
    <row r="777" spans="1:11">
      <c r="A777">
        <v>90.5</v>
      </c>
      <c r="B777">
        <v>181.78</v>
      </c>
      <c r="C777">
        <v>176.73</v>
      </c>
      <c r="D777">
        <v>177.51</v>
      </c>
      <c r="E777">
        <v>183.56</v>
      </c>
      <c r="F777">
        <v>107.51</v>
      </c>
      <c r="G777">
        <v>100.84</v>
      </c>
      <c r="H777">
        <v>92.28</v>
      </c>
      <c r="I777">
        <v>96.67</v>
      </c>
      <c r="J777">
        <v>79.95</v>
      </c>
      <c r="K777">
        <v>28.95</v>
      </c>
    </row>
    <row r="778" spans="1:11">
      <c r="A778">
        <v>90.67</v>
      </c>
      <c r="B778">
        <v>181.56</v>
      </c>
      <c r="C778">
        <v>176.4</v>
      </c>
      <c r="D778">
        <v>177.06</v>
      </c>
      <c r="E778">
        <v>183.51</v>
      </c>
      <c r="F778">
        <v>107.67</v>
      </c>
      <c r="G778">
        <v>100.95</v>
      </c>
      <c r="H778">
        <v>92.4</v>
      </c>
      <c r="I778">
        <v>96.67</v>
      </c>
      <c r="J778">
        <v>80.06</v>
      </c>
      <c r="K778">
        <v>28.95</v>
      </c>
    </row>
    <row r="779" spans="1:11">
      <c r="A779">
        <v>90.83</v>
      </c>
      <c r="B779">
        <v>181.23</v>
      </c>
      <c r="C779">
        <v>175.9</v>
      </c>
      <c r="D779">
        <v>176.51</v>
      </c>
      <c r="E779">
        <v>183.4</v>
      </c>
      <c r="F779">
        <v>107.73</v>
      </c>
      <c r="G779">
        <v>101.23</v>
      </c>
      <c r="H779">
        <v>92.4</v>
      </c>
      <c r="I779">
        <v>96.78</v>
      </c>
      <c r="J779">
        <v>80.12</v>
      </c>
      <c r="K779">
        <v>28.95</v>
      </c>
    </row>
    <row r="780" spans="1:11">
      <c r="A780">
        <v>91</v>
      </c>
      <c r="B780">
        <v>180.73</v>
      </c>
      <c r="C780">
        <v>175.45</v>
      </c>
      <c r="D780">
        <v>176.06</v>
      </c>
      <c r="E780">
        <v>183.23</v>
      </c>
      <c r="F780">
        <v>107.84</v>
      </c>
      <c r="G780">
        <v>101.34</v>
      </c>
      <c r="H780">
        <v>92.56</v>
      </c>
      <c r="I780">
        <v>96.9</v>
      </c>
      <c r="J780">
        <v>80.28</v>
      </c>
      <c r="K780">
        <v>28.95</v>
      </c>
    </row>
    <row r="781" spans="1:11">
      <c r="A781">
        <v>91.17</v>
      </c>
      <c r="B781">
        <v>180.62</v>
      </c>
      <c r="C781">
        <v>175.23</v>
      </c>
      <c r="D781">
        <v>175.78</v>
      </c>
      <c r="E781">
        <v>183.12</v>
      </c>
      <c r="F781">
        <v>107.95</v>
      </c>
      <c r="G781">
        <v>101.51</v>
      </c>
      <c r="H781">
        <v>92.56</v>
      </c>
      <c r="I781">
        <v>97.01</v>
      </c>
      <c r="J781">
        <v>80.400000000000006</v>
      </c>
      <c r="K781">
        <v>28.95</v>
      </c>
    </row>
    <row r="782" spans="1:11">
      <c r="A782">
        <v>91.33</v>
      </c>
      <c r="B782">
        <v>180.51</v>
      </c>
      <c r="C782">
        <v>175.12</v>
      </c>
      <c r="D782">
        <v>175.56</v>
      </c>
      <c r="E782">
        <v>182.95</v>
      </c>
      <c r="F782">
        <v>108.12</v>
      </c>
      <c r="G782">
        <v>101.78</v>
      </c>
      <c r="H782">
        <v>92.73</v>
      </c>
      <c r="I782">
        <v>97.12</v>
      </c>
      <c r="J782">
        <v>80.56</v>
      </c>
      <c r="K782">
        <v>29.01</v>
      </c>
    </row>
    <row r="783" spans="1:11">
      <c r="A783">
        <v>91.5</v>
      </c>
      <c r="B783">
        <v>180.51</v>
      </c>
      <c r="C783">
        <v>174.95</v>
      </c>
      <c r="D783">
        <v>175.23</v>
      </c>
      <c r="E783">
        <v>182.67</v>
      </c>
      <c r="F783">
        <v>108.23</v>
      </c>
      <c r="G783">
        <v>101.9</v>
      </c>
      <c r="H783">
        <v>92.84</v>
      </c>
      <c r="I783">
        <v>97.17</v>
      </c>
      <c r="J783">
        <v>80.62</v>
      </c>
      <c r="K783">
        <v>29.01</v>
      </c>
    </row>
    <row r="784" spans="1:11">
      <c r="A784">
        <v>91.67</v>
      </c>
      <c r="B784">
        <v>180.51</v>
      </c>
      <c r="C784">
        <v>174.73</v>
      </c>
      <c r="D784">
        <v>175.06</v>
      </c>
      <c r="E784">
        <v>182.56</v>
      </c>
      <c r="F784">
        <v>108.4</v>
      </c>
      <c r="G784">
        <v>102.01</v>
      </c>
      <c r="H784">
        <v>92.84</v>
      </c>
      <c r="I784">
        <v>97.23</v>
      </c>
      <c r="J784">
        <v>80.67</v>
      </c>
      <c r="K784">
        <v>28.95</v>
      </c>
    </row>
    <row r="785" spans="1:11">
      <c r="A785">
        <v>91.83</v>
      </c>
      <c r="B785">
        <v>181.9</v>
      </c>
      <c r="C785">
        <v>174.62</v>
      </c>
      <c r="D785">
        <v>174.9</v>
      </c>
      <c r="E785">
        <v>182.78</v>
      </c>
      <c r="F785">
        <v>108.51</v>
      </c>
      <c r="G785">
        <v>102.12</v>
      </c>
      <c r="H785">
        <v>92.95</v>
      </c>
      <c r="I785">
        <v>97.23</v>
      </c>
      <c r="J785">
        <v>80.84</v>
      </c>
      <c r="K785">
        <v>29.01</v>
      </c>
    </row>
    <row r="786" spans="1:11">
      <c r="A786">
        <v>92</v>
      </c>
      <c r="B786">
        <v>183.45</v>
      </c>
      <c r="C786">
        <v>174.51</v>
      </c>
      <c r="D786">
        <v>174.73</v>
      </c>
      <c r="E786">
        <v>182.34</v>
      </c>
      <c r="F786">
        <v>108.62</v>
      </c>
      <c r="G786">
        <v>102.23</v>
      </c>
      <c r="H786">
        <v>93.12</v>
      </c>
      <c r="I786">
        <v>97.28</v>
      </c>
      <c r="J786">
        <v>80.95</v>
      </c>
      <c r="K786">
        <v>28.95</v>
      </c>
    </row>
    <row r="787" spans="1:11">
      <c r="A787">
        <v>92.17</v>
      </c>
      <c r="B787">
        <v>184.28</v>
      </c>
      <c r="C787">
        <v>174.28</v>
      </c>
      <c r="D787">
        <v>174.51</v>
      </c>
      <c r="E787">
        <v>182.01</v>
      </c>
      <c r="F787">
        <v>108.78</v>
      </c>
      <c r="G787">
        <v>102.4</v>
      </c>
      <c r="H787">
        <v>93.12</v>
      </c>
      <c r="I787">
        <v>97.28</v>
      </c>
      <c r="J787">
        <v>81.06</v>
      </c>
      <c r="K787">
        <v>28.95</v>
      </c>
    </row>
    <row r="788" spans="1:11">
      <c r="A788">
        <v>92.33</v>
      </c>
      <c r="B788">
        <v>184.06</v>
      </c>
      <c r="C788">
        <v>174.01</v>
      </c>
      <c r="D788">
        <v>174.23</v>
      </c>
      <c r="E788">
        <v>181.67</v>
      </c>
      <c r="F788">
        <v>108.78</v>
      </c>
      <c r="G788">
        <v>102.51</v>
      </c>
      <c r="H788">
        <v>93.17</v>
      </c>
      <c r="I788">
        <v>97.28</v>
      </c>
      <c r="J788">
        <v>81.12</v>
      </c>
      <c r="K788">
        <v>28.95</v>
      </c>
    </row>
    <row r="789" spans="1:11">
      <c r="A789">
        <v>92.5</v>
      </c>
      <c r="B789">
        <v>183.62</v>
      </c>
      <c r="C789">
        <v>173.84</v>
      </c>
      <c r="D789">
        <v>174.06</v>
      </c>
      <c r="E789">
        <v>181.56</v>
      </c>
      <c r="F789">
        <v>109.01</v>
      </c>
      <c r="G789">
        <v>102.62</v>
      </c>
      <c r="H789">
        <v>93.28</v>
      </c>
      <c r="I789">
        <v>97.4</v>
      </c>
      <c r="J789">
        <v>81.23</v>
      </c>
      <c r="K789">
        <v>28.95</v>
      </c>
    </row>
    <row r="790" spans="1:11">
      <c r="A790">
        <v>92.67</v>
      </c>
      <c r="B790">
        <v>183.28</v>
      </c>
      <c r="C790">
        <v>173.62</v>
      </c>
      <c r="D790">
        <v>173.84</v>
      </c>
      <c r="E790">
        <v>181.34</v>
      </c>
      <c r="F790">
        <v>109.06</v>
      </c>
      <c r="G790">
        <v>102.67</v>
      </c>
      <c r="H790">
        <v>93.34</v>
      </c>
      <c r="I790">
        <v>97.45</v>
      </c>
      <c r="J790">
        <v>81.34</v>
      </c>
      <c r="K790">
        <v>28.95</v>
      </c>
    </row>
    <row r="791" spans="1:11">
      <c r="A791">
        <v>92.83</v>
      </c>
      <c r="B791">
        <v>182.84</v>
      </c>
      <c r="C791">
        <v>173.45</v>
      </c>
      <c r="D791">
        <v>173.67</v>
      </c>
      <c r="E791">
        <v>181.17</v>
      </c>
      <c r="F791">
        <v>109.23</v>
      </c>
      <c r="G791">
        <v>102.84</v>
      </c>
      <c r="H791">
        <v>93.45</v>
      </c>
      <c r="I791">
        <v>97.45</v>
      </c>
      <c r="J791">
        <v>81.45</v>
      </c>
      <c r="K791">
        <v>29.01</v>
      </c>
    </row>
    <row r="792" spans="1:11">
      <c r="A792">
        <v>93</v>
      </c>
      <c r="B792">
        <v>182.62</v>
      </c>
      <c r="C792">
        <v>173.06</v>
      </c>
      <c r="D792">
        <v>173.28</v>
      </c>
      <c r="E792">
        <v>181.01</v>
      </c>
      <c r="F792">
        <v>109.28</v>
      </c>
      <c r="G792">
        <v>102.9</v>
      </c>
      <c r="H792">
        <v>93.67</v>
      </c>
      <c r="I792">
        <v>97.45</v>
      </c>
      <c r="J792">
        <v>81.62</v>
      </c>
      <c r="K792">
        <v>29.01</v>
      </c>
    </row>
    <row r="793" spans="1:11">
      <c r="A793">
        <v>93.17</v>
      </c>
      <c r="B793">
        <v>182.51</v>
      </c>
      <c r="C793">
        <v>172.56</v>
      </c>
      <c r="D793">
        <v>173.01</v>
      </c>
      <c r="E793">
        <v>181.17</v>
      </c>
      <c r="F793">
        <v>109.34</v>
      </c>
      <c r="G793">
        <v>103.01</v>
      </c>
      <c r="H793">
        <v>93.84</v>
      </c>
      <c r="I793">
        <v>97.56</v>
      </c>
      <c r="J793">
        <v>81.62</v>
      </c>
      <c r="K793">
        <v>29.01</v>
      </c>
    </row>
    <row r="794" spans="1:11">
      <c r="A794">
        <v>93.33</v>
      </c>
      <c r="B794">
        <v>182.17</v>
      </c>
      <c r="C794">
        <v>172.23</v>
      </c>
      <c r="D794">
        <v>172.56</v>
      </c>
      <c r="E794">
        <v>181.67</v>
      </c>
      <c r="F794">
        <v>109.45</v>
      </c>
      <c r="G794">
        <v>103.06</v>
      </c>
      <c r="H794">
        <v>94.12</v>
      </c>
      <c r="I794">
        <v>97.67</v>
      </c>
      <c r="J794">
        <v>81.78</v>
      </c>
      <c r="K794">
        <v>29.01</v>
      </c>
    </row>
    <row r="795" spans="1:11">
      <c r="A795">
        <v>93.5</v>
      </c>
      <c r="B795">
        <v>181.9</v>
      </c>
      <c r="C795">
        <v>171.67</v>
      </c>
      <c r="D795">
        <v>172.01</v>
      </c>
      <c r="E795">
        <v>181.78</v>
      </c>
      <c r="F795">
        <v>109.56</v>
      </c>
      <c r="G795">
        <v>103.17</v>
      </c>
      <c r="H795">
        <v>94.4</v>
      </c>
      <c r="I795">
        <v>97.67</v>
      </c>
      <c r="J795">
        <v>81.95</v>
      </c>
      <c r="K795">
        <v>29.01</v>
      </c>
    </row>
    <row r="796" spans="1:11">
      <c r="A796">
        <v>93.67</v>
      </c>
      <c r="B796">
        <v>181.56</v>
      </c>
      <c r="C796">
        <v>171.51</v>
      </c>
      <c r="D796">
        <v>171.78</v>
      </c>
      <c r="E796">
        <v>181.78</v>
      </c>
      <c r="F796">
        <v>109.78</v>
      </c>
      <c r="G796">
        <v>103.23</v>
      </c>
      <c r="H796">
        <v>94.51</v>
      </c>
      <c r="I796">
        <v>97.67</v>
      </c>
      <c r="J796">
        <v>81.95</v>
      </c>
      <c r="K796">
        <v>28.95</v>
      </c>
    </row>
    <row r="797" spans="1:11">
      <c r="A797">
        <v>93.83</v>
      </c>
      <c r="B797">
        <v>181.34</v>
      </c>
      <c r="C797">
        <v>171.51</v>
      </c>
      <c r="D797">
        <v>171.73</v>
      </c>
      <c r="E797">
        <v>181.62</v>
      </c>
      <c r="F797">
        <v>110.01</v>
      </c>
      <c r="G797">
        <v>103.34</v>
      </c>
      <c r="H797">
        <v>94.67</v>
      </c>
      <c r="I797">
        <v>97.78</v>
      </c>
      <c r="J797">
        <v>82.12</v>
      </c>
      <c r="K797">
        <v>29.01</v>
      </c>
    </row>
    <row r="798" spans="1:11">
      <c r="A798">
        <v>94</v>
      </c>
      <c r="B798">
        <v>181.12</v>
      </c>
      <c r="C798">
        <v>171.28</v>
      </c>
      <c r="D798">
        <v>171.51</v>
      </c>
      <c r="E798">
        <v>181.45</v>
      </c>
      <c r="F798">
        <v>110.17</v>
      </c>
      <c r="G798">
        <v>103.4</v>
      </c>
      <c r="H798">
        <v>94.62</v>
      </c>
      <c r="I798">
        <v>97.78</v>
      </c>
      <c r="J798">
        <v>82.17</v>
      </c>
      <c r="K798">
        <v>29.01</v>
      </c>
    </row>
    <row r="799" spans="1:11">
      <c r="A799">
        <v>94.17</v>
      </c>
      <c r="B799">
        <v>180.56</v>
      </c>
      <c r="C799">
        <v>171.23</v>
      </c>
      <c r="D799">
        <v>171.51</v>
      </c>
      <c r="E799">
        <v>181.28</v>
      </c>
      <c r="F799">
        <v>110.4</v>
      </c>
      <c r="G799">
        <v>103.51</v>
      </c>
      <c r="H799">
        <v>94.78</v>
      </c>
      <c r="I799">
        <v>97.78</v>
      </c>
      <c r="J799">
        <v>82.34</v>
      </c>
      <c r="K799">
        <v>29.01</v>
      </c>
    </row>
    <row r="800" spans="1:11">
      <c r="A800">
        <v>94.33</v>
      </c>
      <c r="B800">
        <v>180.01</v>
      </c>
      <c r="C800">
        <v>171.12</v>
      </c>
      <c r="D800">
        <v>171.45</v>
      </c>
      <c r="E800">
        <v>181.12</v>
      </c>
      <c r="F800">
        <v>110.51</v>
      </c>
      <c r="G800">
        <v>103.56</v>
      </c>
      <c r="H800">
        <v>94.78</v>
      </c>
      <c r="I800">
        <v>97.9</v>
      </c>
      <c r="J800">
        <v>82.4</v>
      </c>
      <c r="K800">
        <v>29.01</v>
      </c>
    </row>
    <row r="801" spans="1:11">
      <c r="A801">
        <v>94.5</v>
      </c>
      <c r="B801">
        <v>179.51</v>
      </c>
      <c r="C801">
        <v>171.01</v>
      </c>
      <c r="D801">
        <v>171.28</v>
      </c>
      <c r="E801">
        <v>181.01</v>
      </c>
      <c r="F801">
        <v>110.62</v>
      </c>
      <c r="G801">
        <v>103.67</v>
      </c>
      <c r="H801">
        <v>94.78</v>
      </c>
      <c r="I801">
        <v>97.95</v>
      </c>
      <c r="J801">
        <v>82.51</v>
      </c>
      <c r="K801">
        <v>28.95</v>
      </c>
    </row>
    <row r="802" spans="1:11">
      <c r="A802">
        <v>94.67</v>
      </c>
      <c r="B802">
        <v>179.23</v>
      </c>
      <c r="C802">
        <v>170.73</v>
      </c>
      <c r="D802">
        <v>171.01</v>
      </c>
      <c r="E802">
        <v>181.01</v>
      </c>
      <c r="F802">
        <v>110.73</v>
      </c>
      <c r="G802">
        <v>103.73</v>
      </c>
      <c r="H802">
        <v>94.84</v>
      </c>
      <c r="I802">
        <v>98.01</v>
      </c>
      <c r="J802">
        <v>82.67</v>
      </c>
      <c r="K802">
        <v>29.01</v>
      </c>
    </row>
    <row r="803" spans="1:11">
      <c r="A803">
        <v>94.83</v>
      </c>
      <c r="B803">
        <v>178.34</v>
      </c>
      <c r="C803">
        <v>170.73</v>
      </c>
      <c r="D803">
        <v>171.06</v>
      </c>
      <c r="E803">
        <v>180.73</v>
      </c>
      <c r="F803">
        <v>110.84</v>
      </c>
      <c r="G803">
        <v>103.84</v>
      </c>
      <c r="H803">
        <v>94.84</v>
      </c>
      <c r="I803">
        <v>98.06</v>
      </c>
      <c r="J803">
        <v>82.78</v>
      </c>
      <c r="K803">
        <v>29.01</v>
      </c>
    </row>
    <row r="804" spans="1:11">
      <c r="A804">
        <v>95</v>
      </c>
      <c r="B804">
        <v>177.9</v>
      </c>
      <c r="C804">
        <v>170.67</v>
      </c>
      <c r="D804">
        <v>171.01</v>
      </c>
      <c r="E804">
        <v>180.45</v>
      </c>
      <c r="F804">
        <v>111.01</v>
      </c>
      <c r="G804">
        <v>103.95</v>
      </c>
      <c r="H804">
        <v>94.95</v>
      </c>
      <c r="I804">
        <v>98.12</v>
      </c>
      <c r="J804">
        <v>82.84</v>
      </c>
      <c r="K804">
        <v>29.01</v>
      </c>
    </row>
    <row r="805" spans="1:11">
      <c r="A805">
        <v>95.17</v>
      </c>
      <c r="B805">
        <v>177.06</v>
      </c>
      <c r="C805">
        <v>170.62</v>
      </c>
      <c r="D805">
        <v>171.01</v>
      </c>
      <c r="E805">
        <v>180.17</v>
      </c>
      <c r="F805">
        <v>111.01</v>
      </c>
      <c r="G805">
        <v>104.01</v>
      </c>
      <c r="H805">
        <v>94.95</v>
      </c>
      <c r="I805">
        <v>98.17</v>
      </c>
      <c r="J805">
        <v>83.01</v>
      </c>
      <c r="K805">
        <v>29.01</v>
      </c>
    </row>
    <row r="806" spans="1:11">
      <c r="A806">
        <v>95.33</v>
      </c>
      <c r="B806">
        <v>176.51</v>
      </c>
      <c r="C806">
        <v>170.51</v>
      </c>
      <c r="D806">
        <v>170.78</v>
      </c>
      <c r="E806">
        <v>179.67</v>
      </c>
      <c r="F806">
        <v>111.12</v>
      </c>
      <c r="G806">
        <v>104.12</v>
      </c>
      <c r="H806">
        <v>95.01</v>
      </c>
      <c r="I806">
        <v>98.23</v>
      </c>
      <c r="J806">
        <v>83.06</v>
      </c>
      <c r="K806">
        <v>29.01</v>
      </c>
    </row>
    <row r="807" spans="1:11">
      <c r="A807">
        <v>95.5</v>
      </c>
      <c r="B807">
        <v>176.01</v>
      </c>
      <c r="C807">
        <v>170.12</v>
      </c>
      <c r="D807">
        <v>170.45</v>
      </c>
      <c r="E807">
        <v>179.51</v>
      </c>
      <c r="F807">
        <v>111.23</v>
      </c>
      <c r="G807">
        <v>104.12</v>
      </c>
      <c r="H807">
        <v>95.01</v>
      </c>
      <c r="I807">
        <v>98.23</v>
      </c>
      <c r="J807">
        <v>83.12</v>
      </c>
      <c r="K807">
        <v>29.01</v>
      </c>
    </row>
    <row r="808" spans="1:11">
      <c r="A808">
        <v>95.67</v>
      </c>
      <c r="B808">
        <v>176.06</v>
      </c>
      <c r="C808">
        <v>169.78</v>
      </c>
      <c r="D808">
        <v>170.17</v>
      </c>
      <c r="E808">
        <v>179.17</v>
      </c>
      <c r="F808">
        <v>111.34</v>
      </c>
      <c r="G808">
        <v>104.28</v>
      </c>
      <c r="H808">
        <v>95.06</v>
      </c>
      <c r="I808">
        <v>98.34</v>
      </c>
      <c r="J808">
        <v>83.23</v>
      </c>
      <c r="K808">
        <v>29.01</v>
      </c>
    </row>
    <row r="809" spans="1:11">
      <c r="A809">
        <v>95.83</v>
      </c>
      <c r="B809">
        <v>176.06</v>
      </c>
      <c r="C809">
        <v>169.51</v>
      </c>
      <c r="D809">
        <v>169.84</v>
      </c>
      <c r="E809">
        <v>178.95</v>
      </c>
      <c r="F809">
        <v>111.51</v>
      </c>
      <c r="G809">
        <v>104.34</v>
      </c>
      <c r="H809">
        <v>95.06</v>
      </c>
      <c r="I809">
        <v>98.34</v>
      </c>
      <c r="J809">
        <v>83.4</v>
      </c>
      <c r="K809">
        <v>29.01</v>
      </c>
    </row>
    <row r="810" spans="1:11">
      <c r="A810">
        <v>96</v>
      </c>
      <c r="B810">
        <v>176.4</v>
      </c>
      <c r="C810">
        <v>169.28</v>
      </c>
      <c r="D810">
        <v>169.67</v>
      </c>
      <c r="E810">
        <v>178.73</v>
      </c>
      <c r="F810">
        <v>111.62</v>
      </c>
      <c r="G810">
        <v>104.4</v>
      </c>
      <c r="H810">
        <v>95.17</v>
      </c>
      <c r="I810">
        <v>98.4</v>
      </c>
      <c r="J810">
        <v>83.45</v>
      </c>
      <c r="K810">
        <v>29.01</v>
      </c>
    </row>
    <row r="811" spans="1:11">
      <c r="A811">
        <v>96.17</v>
      </c>
      <c r="B811">
        <v>175.95</v>
      </c>
      <c r="C811">
        <v>168.84</v>
      </c>
      <c r="D811">
        <v>169.23</v>
      </c>
      <c r="E811">
        <v>178.34</v>
      </c>
      <c r="F811">
        <v>111.62</v>
      </c>
      <c r="G811">
        <v>104.45</v>
      </c>
      <c r="H811">
        <v>95.28</v>
      </c>
      <c r="I811">
        <v>98.45</v>
      </c>
      <c r="J811">
        <v>83.56</v>
      </c>
      <c r="K811">
        <v>29.01</v>
      </c>
    </row>
    <row r="812" spans="1:11">
      <c r="A812">
        <v>96.33</v>
      </c>
      <c r="B812">
        <v>175.62</v>
      </c>
      <c r="C812">
        <v>168.34</v>
      </c>
      <c r="D812">
        <v>168.84</v>
      </c>
      <c r="E812">
        <v>178.17</v>
      </c>
      <c r="F812">
        <v>111.78</v>
      </c>
      <c r="G812">
        <v>104.56</v>
      </c>
      <c r="H812">
        <v>95.34</v>
      </c>
      <c r="I812">
        <v>98.56</v>
      </c>
      <c r="J812">
        <v>83.73</v>
      </c>
      <c r="K812">
        <v>29.01</v>
      </c>
    </row>
    <row r="813" spans="1:11">
      <c r="A813">
        <v>96.5</v>
      </c>
      <c r="B813">
        <v>176.4</v>
      </c>
      <c r="C813">
        <v>167.78</v>
      </c>
      <c r="D813">
        <v>168.4</v>
      </c>
      <c r="E813">
        <v>178.34</v>
      </c>
      <c r="F813">
        <v>112.01</v>
      </c>
      <c r="G813">
        <v>104.62</v>
      </c>
      <c r="H813">
        <v>95.4</v>
      </c>
      <c r="I813">
        <v>98.56</v>
      </c>
      <c r="J813">
        <v>83.78</v>
      </c>
      <c r="K813">
        <v>29.01</v>
      </c>
    </row>
    <row r="814" spans="1:11">
      <c r="A814">
        <v>96.67</v>
      </c>
      <c r="B814">
        <v>177.73</v>
      </c>
      <c r="C814">
        <v>168.51</v>
      </c>
      <c r="D814">
        <v>168.84</v>
      </c>
      <c r="E814">
        <v>178.73</v>
      </c>
      <c r="F814">
        <v>112.17</v>
      </c>
      <c r="G814">
        <v>104.67</v>
      </c>
      <c r="H814">
        <v>95.62</v>
      </c>
      <c r="I814">
        <v>98.56</v>
      </c>
      <c r="J814">
        <v>83.84</v>
      </c>
      <c r="K814">
        <v>29.01</v>
      </c>
    </row>
    <row r="815" spans="1:11">
      <c r="A815">
        <v>96.83</v>
      </c>
      <c r="B815">
        <v>177.9</v>
      </c>
      <c r="C815">
        <v>168.84</v>
      </c>
      <c r="D815">
        <v>169.01</v>
      </c>
      <c r="E815">
        <v>179.45</v>
      </c>
      <c r="F815">
        <v>112.34</v>
      </c>
      <c r="G815">
        <v>104.78</v>
      </c>
      <c r="H815">
        <v>95.95</v>
      </c>
      <c r="I815">
        <v>98.56</v>
      </c>
      <c r="J815">
        <v>83.95</v>
      </c>
      <c r="K815">
        <v>29.01</v>
      </c>
    </row>
    <row r="816" spans="1:11">
      <c r="A816">
        <v>97</v>
      </c>
      <c r="B816">
        <v>178.73</v>
      </c>
      <c r="C816">
        <v>169.62</v>
      </c>
      <c r="D816">
        <v>169.78</v>
      </c>
      <c r="E816">
        <v>180.84</v>
      </c>
      <c r="F816">
        <v>112.45</v>
      </c>
      <c r="G816">
        <v>104.78</v>
      </c>
      <c r="H816">
        <v>96.01</v>
      </c>
      <c r="I816">
        <v>98.56</v>
      </c>
      <c r="J816">
        <v>84.12</v>
      </c>
      <c r="K816">
        <v>29.01</v>
      </c>
    </row>
    <row r="817" spans="1:11">
      <c r="A817">
        <v>97.17</v>
      </c>
      <c r="B817">
        <v>180.4</v>
      </c>
      <c r="C817">
        <v>170.45</v>
      </c>
      <c r="D817">
        <v>170.73</v>
      </c>
      <c r="E817">
        <v>182.78</v>
      </c>
      <c r="F817">
        <v>112.51</v>
      </c>
      <c r="G817">
        <v>104.95</v>
      </c>
      <c r="H817">
        <v>96.12</v>
      </c>
      <c r="I817">
        <v>98.73</v>
      </c>
      <c r="J817">
        <v>84.28</v>
      </c>
      <c r="K817">
        <v>29.01</v>
      </c>
    </row>
    <row r="818" spans="1:11">
      <c r="A818">
        <v>97.33</v>
      </c>
      <c r="B818">
        <v>181.56</v>
      </c>
      <c r="C818">
        <v>172.01</v>
      </c>
      <c r="D818">
        <v>172.23</v>
      </c>
      <c r="E818">
        <v>184.51</v>
      </c>
      <c r="F818">
        <v>112.56</v>
      </c>
      <c r="G818">
        <v>104.95</v>
      </c>
      <c r="H818">
        <v>96.12</v>
      </c>
      <c r="I818">
        <v>98.73</v>
      </c>
      <c r="J818">
        <v>84.34</v>
      </c>
      <c r="K818">
        <v>29.01</v>
      </c>
    </row>
    <row r="819" spans="1:11">
      <c r="A819">
        <v>97.5</v>
      </c>
      <c r="B819">
        <v>182.06</v>
      </c>
      <c r="C819">
        <v>173.56</v>
      </c>
      <c r="D819">
        <v>173.78</v>
      </c>
      <c r="E819">
        <v>185.9</v>
      </c>
      <c r="F819">
        <v>112.67</v>
      </c>
      <c r="G819">
        <v>105.01</v>
      </c>
      <c r="H819">
        <v>96.28</v>
      </c>
      <c r="I819">
        <v>98.78</v>
      </c>
      <c r="J819">
        <v>84.51</v>
      </c>
      <c r="K819">
        <v>29.01</v>
      </c>
    </row>
    <row r="820" spans="1:11">
      <c r="A820">
        <v>97.67</v>
      </c>
      <c r="B820">
        <v>182.45</v>
      </c>
      <c r="C820">
        <v>174.95</v>
      </c>
      <c r="D820">
        <v>175.28</v>
      </c>
      <c r="E820">
        <v>187.56</v>
      </c>
      <c r="F820">
        <v>112.78</v>
      </c>
      <c r="G820">
        <v>105.12</v>
      </c>
      <c r="H820">
        <v>96.28</v>
      </c>
      <c r="I820">
        <v>98.78</v>
      </c>
      <c r="J820">
        <v>84.62</v>
      </c>
      <c r="K820">
        <v>29.01</v>
      </c>
    </row>
    <row r="821" spans="1:11">
      <c r="A821">
        <v>97.83</v>
      </c>
      <c r="B821">
        <v>182.51</v>
      </c>
      <c r="C821">
        <v>176.23</v>
      </c>
      <c r="D821">
        <v>176.62</v>
      </c>
      <c r="E821">
        <v>188.9</v>
      </c>
      <c r="F821">
        <v>112.9</v>
      </c>
      <c r="G821">
        <v>105.12</v>
      </c>
      <c r="H821">
        <v>96.28</v>
      </c>
      <c r="I821">
        <v>98.9</v>
      </c>
      <c r="J821">
        <v>84.73</v>
      </c>
      <c r="K821">
        <v>29.01</v>
      </c>
    </row>
    <row r="822" spans="1:11">
      <c r="A822">
        <v>98</v>
      </c>
      <c r="B822">
        <v>181.84</v>
      </c>
      <c r="C822">
        <v>177.23</v>
      </c>
      <c r="D822">
        <v>177.62</v>
      </c>
      <c r="E822">
        <v>190.12</v>
      </c>
      <c r="F822">
        <v>113.06</v>
      </c>
      <c r="G822">
        <v>105.28</v>
      </c>
      <c r="H822">
        <v>96.28</v>
      </c>
      <c r="I822">
        <v>98.9</v>
      </c>
      <c r="J822">
        <v>84.78</v>
      </c>
      <c r="K822">
        <v>29.01</v>
      </c>
    </row>
    <row r="823" spans="1:11">
      <c r="A823">
        <v>98.17</v>
      </c>
      <c r="B823">
        <v>180.9</v>
      </c>
      <c r="C823">
        <v>177.9</v>
      </c>
      <c r="D823">
        <v>178.34</v>
      </c>
      <c r="E823">
        <v>191.06</v>
      </c>
      <c r="F823">
        <v>113.34</v>
      </c>
      <c r="G823">
        <v>105.28</v>
      </c>
      <c r="H823">
        <v>96.4</v>
      </c>
      <c r="I823">
        <v>98.9</v>
      </c>
      <c r="J823">
        <v>84.95</v>
      </c>
      <c r="K823">
        <v>29.01</v>
      </c>
    </row>
    <row r="824" spans="1:11">
      <c r="A824">
        <v>98.33</v>
      </c>
      <c r="B824">
        <v>180.51</v>
      </c>
      <c r="C824">
        <v>178.51</v>
      </c>
      <c r="D824">
        <v>178.9</v>
      </c>
      <c r="E824">
        <v>191.9</v>
      </c>
      <c r="F824">
        <v>113.51</v>
      </c>
      <c r="G824">
        <v>105.28</v>
      </c>
      <c r="H824">
        <v>96.51</v>
      </c>
      <c r="I824">
        <v>98.9</v>
      </c>
      <c r="J824">
        <v>84.95</v>
      </c>
      <c r="K824">
        <v>29.01</v>
      </c>
    </row>
    <row r="825" spans="1:11">
      <c r="A825">
        <v>98.5</v>
      </c>
      <c r="B825">
        <v>179.67</v>
      </c>
      <c r="C825">
        <v>179.23</v>
      </c>
      <c r="D825">
        <v>179.51</v>
      </c>
      <c r="E825">
        <v>192.45</v>
      </c>
      <c r="F825">
        <v>113.73</v>
      </c>
      <c r="G825">
        <v>105.4</v>
      </c>
      <c r="H825">
        <v>96.51</v>
      </c>
      <c r="I825">
        <v>98.95</v>
      </c>
      <c r="J825">
        <v>85.06</v>
      </c>
      <c r="K825">
        <v>29.01</v>
      </c>
    </row>
    <row r="826" spans="1:11">
      <c r="A826">
        <v>98.67</v>
      </c>
      <c r="B826">
        <v>179.01</v>
      </c>
      <c r="C826">
        <v>179.67</v>
      </c>
      <c r="D826">
        <v>179.9</v>
      </c>
      <c r="E826">
        <v>193.06</v>
      </c>
      <c r="F826">
        <v>114.06</v>
      </c>
      <c r="G826">
        <v>105.45</v>
      </c>
      <c r="H826">
        <v>96.67</v>
      </c>
      <c r="I826">
        <v>99.06</v>
      </c>
      <c r="J826">
        <v>85.23</v>
      </c>
      <c r="K826">
        <v>29.01</v>
      </c>
    </row>
    <row r="827" spans="1:11">
      <c r="A827">
        <v>98.83</v>
      </c>
      <c r="B827">
        <v>178.51</v>
      </c>
      <c r="C827">
        <v>179.9</v>
      </c>
      <c r="D827">
        <v>180.28</v>
      </c>
      <c r="E827">
        <v>193.28</v>
      </c>
      <c r="F827">
        <v>114.12</v>
      </c>
      <c r="G827">
        <v>105.45</v>
      </c>
      <c r="H827">
        <v>96.73</v>
      </c>
      <c r="I827">
        <v>99.06</v>
      </c>
      <c r="J827">
        <v>85.28</v>
      </c>
      <c r="K827">
        <v>29.01</v>
      </c>
    </row>
    <row r="828" spans="1:11">
      <c r="A828">
        <v>99</v>
      </c>
      <c r="B828">
        <v>177.9</v>
      </c>
      <c r="C828">
        <v>180.51</v>
      </c>
      <c r="D828">
        <v>180.62</v>
      </c>
      <c r="E828">
        <v>193.78</v>
      </c>
      <c r="F828">
        <v>114.34</v>
      </c>
      <c r="G828">
        <v>105.56</v>
      </c>
      <c r="H828">
        <v>96.67</v>
      </c>
      <c r="I828">
        <v>99.12</v>
      </c>
      <c r="J828">
        <v>85.4</v>
      </c>
      <c r="K828">
        <v>29.01</v>
      </c>
    </row>
    <row r="829" spans="1:11">
      <c r="A829">
        <v>99.17</v>
      </c>
      <c r="B829">
        <v>177.9</v>
      </c>
      <c r="C829">
        <v>181.06</v>
      </c>
      <c r="D829">
        <v>181.17</v>
      </c>
      <c r="E829">
        <v>194.17</v>
      </c>
      <c r="F829">
        <v>114.4</v>
      </c>
      <c r="G829">
        <v>105.62</v>
      </c>
      <c r="H829">
        <v>96.67</v>
      </c>
      <c r="I829">
        <v>99.06</v>
      </c>
      <c r="J829">
        <v>85.45</v>
      </c>
      <c r="K829">
        <v>29.01</v>
      </c>
    </row>
    <row r="830" spans="1:11">
      <c r="A830">
        <v>99.33</v>
      </c>
      <c r="B830">
        <v>178.23</v>
      </c>
      <c r="C830">
        <v>181.28</v>
      </c>
      <c r="D830">
        <v>181.4</v>
      </c>
      <c r="E830">
        <v>194.4</v>
      </c>
      <c r="F830">
        <v>114.56</v>
      </c>
      <c r="G830">
        <v>105.67</v>
      </c>
      <c r="H830">
        <v>96.73</v>
      </c>
      <c r="I830">
        <v>99.17</v>
      </c>
      <c r="J830">
        <v>85.62</v>
      </c>
      <c r="K830">
        <v>29.01</v>
      </c>
    </row>
    <row r="831" spans="1:11">
      <c r="A831">
        <v>99.5</v>
      </c>
      <c r="B831">
        <v>178.23</v>
      </c>
      <c r="C831">
        <v>182.28</v>
      </c>
      <c r="D831">
        <v>182.12</v>
      </c>
      <c r="E831">
        <v>194.4</v>
      </c>
      <c r="F831">
        <v>114.56</v>
      </c>
      <c r="G831">
        <v>105.73</v>
      </c>
      <c r="H831">
        <v>96.73</v>
      </c>
      <c r="I831">
        <v>99.17</v>
      </c>
      <c r="J831">
        <v>85.73</v>
      </c>
      <c r="K831">
        <v>29.01</v>
      </c>
    </row>
    <row r="832" spans="1:11">
      <c r="A832">
        <v>99.67</v>
      </c>
      <c r="B832">
        <v>178.56</v>
      </c>
      <c r="C832">
        <v>183.28</v>
      </c>
      <c r="D832">
        <v>182.78</v>
      </c>
      <c r="E832">
        <v>194.73</v>
      </c>
      <c r="F832">
        <v>114.56</v>
      </c>
      <c r="G832">
        <v>105.73</v>
      </c>
      <c r="H832">
        <v>96.78</v>
      </c>
      <c r="I832">
        <v>99.23</v>
      </c>
      <c r="J832">
        <v>85.78</v>
      </c>
      <c r="K832">
        <v>29.01</v>
      </c>
    </row>
    <row r="833" spans="1:11">
      <c r="A833">
        <v>99.83</v>
      </c>
      <c r="B833">
        <v>179.67</v>
      </c>
      <c r="C833">
        <v>184.23</v>
      </c>
      <c r="D833">
        <v>183.78</v>
      </c>
      <c r="E833">
        <v>194.28</v>
      </c>
      <c r="F833">
        <v>114.67</v>
      </c>
      <c r="G833">
        <v>105.84</v>
      </c>
      <c r="H833">
        <v>96.84</v>
      </c>
      <c r="I833">
        <v>99.23</v>
      </c>
      <c r="J833">
        <v>85.9</v>
      </c>
      <c r="K833">
        <v>29.01</v>
      </c>
    </row>
    <row r="834" spans="1:11">
      <c r="A834">
        <v>100</v>
      </c>
      <c r="B834">
        <v>183.23</v>
      </c>
      <c r="C834">
        <v>184.62</v>
      </c>
      <c r="D834">
        <v>184.4</v>
      </c>
      <c r="E834">
        <v>194.01</v>
      </c>
      <c r="F834">
        <v>114.67</v>
      </c>
      <c r="G834">
        <v>105.9</v>
      </c>
      <c r="H834">
        <v>96.9</v>
      </c>
      <c r="I834">
        <v>99.34</v>
      </c>
      <c r="J834">
        <v>86.01</v>
      </c>
      <c r="K834">
        <v>29.01</v>
      </c>
    </row>
    <row r="835" spans="1:11">
      <c r="A835">
        <v>100.17</v>
      </c>
      <c r="B835">
        <v>186.01</v>
      </c>
      <c r="C835">
        <v>184.95</v>
      </c>
      <c r="D835">
        <v>184.95</v>
      </c>
      <c r="E835">
        <v>193.56</v>
      </c>
      <c r="F835">
        <v>114.67</v>
      </c>
      <c r="G835">
        <v>105.95</v>
      </c>
      <c r="H835">
        <v>96.9</v>
      </c>
      <c r="I835">
        <v>99.4</v>
      </c>
      <c r="J835">
        <v>86.12</v>
      </c>
      <c r="K835">
        <v>29.01</v>
      </c>
    </row>
    <row r="836" spans="1:11">
      <c r="A836">
        <v>100.33</v>
      </c>
      <c r="B836">
        <v>186.4</v>
      </c>
      <c r="C836">
        <v>184.95</v>
      </c>
      <c r="D836">
        <v>185.06</v>
      </c>
      <c r="E836">
        <v>193.23</v>
      </c>
      <c r="F836">
        <v>114.67</v>
      </c>
      <c r="G836">
        <v>106.01</v>
      </c>
      <c r="H836">
        <v>96.9</v>
      </c>
      <c r="I836">
        <v>99.4</v>
      </c>
      <c r="J836">
        <v>86.17</v>
      </c>
      <c r="K836">
        <v>29.01</v>
      </c>
    </row>
    <row r="837" spans="1:11">
      <c r="A837">
        <v>100.5</v>
      </c>
      <c r="B837">
        <v>186.17</v>
      </c>
      <c r="C837">
        <v>184.73</v>
      </c>
      <c r="D837">
        <v>185.06</v>
      </c>
      <c r="E837">
        <v>192.84</v>
      </c>
      <c r="F837">
        <v>114.78</v>
      </c>
      <c r="G837">
        <v>106.01</v>
      </c>
      <c r="H837">
        <v>97.01</v>
      </c>
      <c r="I837">
        <v>99.51</v>
      </c>
      <c r="J837">
        <v>86.28</v>
      </c>
      <c r="K837">
        <v>29.01</v>
      </c>
    </row>
    <row r="838" spans="1:11">
      <c r="A838">
        <v>100.67</v>
      </c>
      <c r="B838">
        <v>186.01</v>
      </c>
      <c r="C838">
        <v>184.62</v>
      </c>
      <c r="D838">
        <v>184.95</v>
      </c>
      <c r="E838">
        <v>192.78</v>
      </c>
      <c r="F838">
        <v>114.84</v>
      </c>
      <c r="G838">
        <v>106.06</v>
      </c>
      <c r="H838">
        <v>97.06</v>
      </c>
      <c r="I838">
        <v>99.56</v>
      </c>
      <c r="J838">
        <v>86.34</v>
      </c>
      <c r="K838">
        <v>29.01</v>
      </c>
    </row>
    <row r="839" spans="1:11">
      <c r="A839">
        <v>100.83</v>
      </c>
      <c r="B839">
        <v>185.9</v>
      </c>
      <c r="C839">
        <v>184.51</v>
      </c>
      <c r="D839">
        <v>185.01</v>
      </c>
      <c r="E839">
        <v>192.73</v>
      </c>
      <c r="F839">
        <v>114.78</v>
      </c>
      <c r="G839">
        <v>106.06</v>
      </c>
      <c r="H839">
        <v>97.06</v>
      </c>
      <c r="I839">
        <v>99.56</v>
      </c>
      <c r="J839">
        <v>86.51</v>
      </c>
      <c r="K839">
        <v>29.01</v>
      </c>
    </row>
    <row r="840" spans="1:11">
      <c r="A840">
        <v>101</v>
      </c>
      <c r="B840">
        <v>186.01</v>
      </c>
      <c r="C840">
        <v>184.62</v>
      </c>
      <c r="D840">
        <v>185.23</v>
      </c>
      <c r="E840">
        <v>192.73</v>
      </c>
      <c r="F840">
        <v>114.84</v>
      </c>
      <c r="G840">
        <v>106.17</v>
      </c>
      <c r="H840">
        <v>97.17</v>
      </c>
      <c r="I840">
        <v>99.62</v>
      </c>
      <c r="J840">
        <v>86.62</v>
      </c>
      <c r="K840">
        <v>29.01</v>
      </c>
    </row>
    <row r="841" spans="1:11">
      <c r="A841">
        <v>101.17</v>
      </c>
      <c r="B841">
        <v>185.95</v>
      </c>
      <c r="C841">
        <v>184.78</v>
      </c>
      <c r="D841">
        <v>185.62</v>
      </c>
      <c r="E841">
        <v>192.28</v>
      </c>
      <c r="F841">
        <v>114.84</v>
      </c>
      <c r="G841">
        <v>106.12</v>
      </c>
      <c r="H841">
        <v>97.12</v>
      </c>
      <c r="I841">
        <v>99.56</v>
      </c>
      <c r="J841">
        <v>86.62</v>
      </c>
      <c r="K841">
        <v>29.01</v>
      </c>
    </row>
    <row r="842" spans="1:11">
      <c r="A842">
        <v>101.33</v>
      </c>
      <c r="B842">
        <v>186.12</v>
      </c>
      <c r="C842">
        <v>184.73</v>
      </c>
      <c r="D842">
        <v>185.51</v>
      </c>
      <c r="E842">
        <v>192.4</v>
      </c>
      <c r="F842">
        <v>114.84</v>
      </c>
      <c r="G842">
        <v>106.17</v>
      </c>
      <c r="H842">
        <v>97.17</v>
      </c>
      <c r="I842">
        <v>99.67</v>
      </c>
      <c r="J842">
        <v>86.78</v>
      </c>
      <c r="K842">
        <v>29.01</v>
      </c>
    </row>
    <row r="843" spans="1:11">
      <c r="A843">
        <v>101.5</v>
      </c>
      <c r="B843">
        <v>186.12</v>
      </c>
      <c r="C843">
        <v>184.34</v>
      </c>
      <c r="D843">
        <v>185.06</v>
      </c>
      <c r="E843">
        <v>192.28</v>
      </c>
      <c r="F843">
        <v>114.84</v>
      </c>
      <c r="G843">
        <v>106.17</v>
      </c>
      <c r="H843">
        <v>97.17</v>
      </c>
      <c r="I843">
        <v>99.67</v>
      </c>
      <c r="J843">
        <v>86.9</v>
      </c>
      <c r="K843">
        <v>29.01</v>
      </c>
    </row>
    <row r="844" spans="1:11">
      <c r="A844">
        <v>101.67</v>
      </c>
      <c r="B844">
        <v>185.4</v>
      </c>
      <c r="C844">
        <v>184.23</v>
      </c>
      <c r="D844">
        <v>184.62</v>
      </c>
      <c r="E844">
        <v>191.95</v>
      </c>
      <c r="F844">
        <v>114.84</v>
      </c>
      <c r="G844">
        <v>106.23</v>
      </c>
      <c r="H844">
        <v>97.28</v>
      </c>
      <c r="I844">
        <v>99.84</v>
      </c>
      <c r="J844">
        <v>86.9</v>
      </c>
      <c r="K844">
        <v>29.01</v>
      </c>
    </row>
    <row r="845" spans="1:11">
      <c r="A845">
        <v>101.83</v>
      </c>
      <c r="B845">
        <v>184.95</v>
      </c>
      <c r="C845">
        <v>184.17</v>
      </c>
      <c r="D845">
        <v>184.4</v>
      </c>
      <c r="E845">
        <v>191.9</v>
      </c>
      <c r="F845">
        <v>114.84</v>
      </c>
      <c r="G845">
        <v>106.23</v>
      </c>
      <c r="H845">
        <v>97.4</v>
      </c>
      <c r="I845">
        <v>99.9</v>
      </c>
      <c r="J845">
        <v>87.12</v>
      </c>
      <c r="K845">
        <v>29.01</v>
      </c>
    </row>
    <row r="846" spans="1:11">
      <c r="A846">
        <v>102</v>
      </c>
      <c r="B846">
        <v>184.45</v>
      </c>
      <c r="C846">
        <v>183.78</v>
      </c>
      <c r="D846">
        <v>183.95</v>
      </c>
      <c r="E846">
        <v>191.78</v>
      </c>
      <c r="F846">
        <v>114.9</v>
      </c>
      <c r="G846">
        <v>106.34</v>
      </c>
      <c r="H846">
        <v>97.4</v>
      </c>
      <c r="I846">
        <v>99.9</v>
      </c>
      <c r="J846">
        <v>87.12</v>
      </c>
      <c r="K846">
        <v>29.01</v>
      </c>
    </row>
    <row r="847" spans="1:11">
      <c r="A847">
        <v>102.17</v>
      </c>
      <c r="B847">
        <v>184.12</v>
      </c>
      <c r="C847">
        <v>183.73</v>
      </c>
      <c r="D847">
        <v>183.78</v>
      </c>
      <c r="E847">
        <v>191.56</v>
      </c>
      <c r="F847">
        <v>114.95</v>
      </c>
      <c r="G847">
        <v>106.4</v>
      </c>
      <c r="H847">
        <v>97.4</v>
      </c>
      <c r="I847">
        <v>100.01</v>
      </c>
      <c r="J847">
        <v>87.28</v>
      </c>
      <c r="K847">
        <v>29.01</v>
      </c>
    </row>
    <row r="848" spans="1:11">
      <c r="A848">
        <v>102.33</v>
      </c>
      <c r="B848">
        <v>184.51</v>
      </c>
      <c r="C848">
        <v>183.84</v>
      </c>
      <c r="D848">
        <v>183.78</v>
      </c>
      <c r="E848">
        <v>191.45</v>
      </c>
      <c r="F848">
        <v>115.01</v>
      </c>
      <c r="G848">
        <v>106.28</v>
      </c>
      <c r="H848">
        <v>97.45</v>
      </c>
      <c r="I848">
        <v>100.06</v>
      </c>
      <c r="J848">
        <v>87.4</v>
      </c>
      <c r="K848">
        <v>29.01</v>
      </c>
    </row>
    <row r="849" spans="1:11">
      <c r="A849">
        <v>102.5</v>
      </c>
      <c r="B849">
        <v>185.01</v>
      </c>
      <c r="C849">
        <v>184.12</v>
      </c>
      <c r="D849">
        <v>184.01</v>
      </c>
      <c r="E849">
        <v>191.4</v>
      </c>
      <c r="F849">
        <v>115.01</v>
      </c>
      <c r="G849">
        <v>106.4</v>
      </c>
      <c r="H849">
        <v>97.56</v>
      </c>
      <c r="I849">
        <v>100.17</v>
      </c>
      <c r="J849">
        <v>87.45</v>
      </c>
      <c r="K849">
        <v>29.01</v>
      </c>
    </row>
    <row r="850" spans="1:11">
      <c r="A850">
        <v>102.67</v>
      </c>
      <c r="B850">
        <v>186.01</v>
      </c>
      <c r="C850">
        <v>184.45</v>
      </c>
      <c r="D850">
        <v>184.23</v>
      </c>
      <c r="E850">
        <v>191.23</v>
      </c>
      <c r="F850">
        <v>115.12</v>
      </c>
      <c r="G850">
        <v>106.51</v>
      </c>
      <c r="H850">
        <v>97.73</v>
      </c>
      <c r="I850">
        <v>100.23</v>
      </c>
      <c r="J850">
        <v>87.56</v>
      </c>
      <c r="K850">
        <v>29.01</v>
      </c>
    </row>
    <row r="851" spans="1:11">
      <c r="A851">
        <v>102.83</v>
      </c>
      <c r="B851">
        <v>187.23</v>
      </c>
      <c r="C851">
        <v>184.78</v>
      </c>
      <c r="D851">
        <v>184.62</v>
      </c>
      <c r="E851">
        <v>190.62</v>
      </c>
      <c r="F851">
        <v>115.17</v>
      </c>
      <c r="G851">
        <v>106.51</v>
      </c>
      <c r="H851">
        <v>97.67</v>
      </c>
      <c r="I851">
        <v>100.28</v>
      </c>
      <c r="J851">
        <v>87.62</v>
      </c>
      <c r="K851">
        <v>29.01</v>
      </c>
    </row>
    <row r="852" spans="1:11">
      <c r="A852">
        <v>103</v>
      </c>
      <c r="B852">
        <v>188.78</v>
      </c>
      <c r="C852">
        <v>185.06</v>
      </c>
      <c r="D852">
        <v>184.95</v>
      </c>
      <c r="E852">
        <v>190.4</v>
      </c>
      <c r="F852">
        <v>115.17</v>
      </c>
      <c r="G852">
        <v>106.51</v>
      </c>
      <c r="H852">
        <v>97.78</v>
      </c>
      <c r="I852">
        <v>100.28</v>
      </c>
      <c r="J852">
        <v>87.78</v>
      </c>
      <c r="K852">
        <v>29.01</v>
      </c>
    </row>
    <row r="853" spans="1:11">
      <c r="A853">
        <v>103.17</v>
      </c>
      <c r="B853">
        <v>190.28</v>
      </c>
      <c r="C853">
        <v>185.01</v>
      </c>
      <c r="D853">
        <v>185.06</v>
      </c>
      <c r="E853">
        <v>190.12</v>
      </c>
      <c r="F853">
        <v>115.34</v>
      </c>
      <c r="G853">
        <v>106.56</v>
      </c>
      <c r="H853">
        <v>97.84</v>
      </c>
      <c r="I853">
        <v>100.34</v>
      </c>
      <c r="J853">
        <v>87.84</v>
      </c>
      <c r="K853">
        <v>29.01</v>
      </c>
    </row>
    <row r="854" spans="1:11">
      <c r="A854">
        <v>103.33</v>
      </c>
      <c r="B854">
        <v>190.67</v>
      </c>
      <c r="C854">
        <v>185.01</v>
      </c>
      <c r="D854">
        <v>185.06</v>
      </c>
      <c r="E854">
        <v>189.78</v>
      </c>
      <c r="F854">
        <v>115.34</v>
      </c>
      <c r="G854">
        <v>106.67</v>
      </c>
      <c r="H854">
        <v>97.95</v>
      </c>
      <c r="I854">
        <v>100.45</v>
      </c>
      <c r="J854">
        <v>88.01</v>
      </c>
      <c r="K854">
        <v>29.01</v>
      </c>
    </row>
    <row r="855" spans="1:11">
      <c r="A855">
        <v>103.5</v>
      </c>
      <c r="B855">
        <v>191.12</v>
      </c>
      <c r="C855">
        <v>184.73</v>
      </c>
      <c r="D855">
        <v>184.9</v>
      </c>
      <c r="E855">
        <v>189.56</v>
      </c>
      <c r="F855">
        <v>115.28</v>
      </c>
      <c r="G855">
        <v>106.62</v>
      </c>
      <c r="H855">
        <v>97.95</v>
      </c>
      <c r="I855">
        <v>100.45</v>
      </c>
      <c r="J855">
        <v>88.01</v>
      </c>
      <c r="K855">
        <v>29.01</v>
      </c>
    </row>
    <row r="856" spans="1:11">
      <c r="A856">
        <v>103.67</v>
      </c>
      <c r="B856">
        <v>191.56</v>
      </c>
      <c r="C856">
        <v>184.51</v>
      </c>
      <c r="D856">
        <v>184.73</v>
      </c>
      <c r="E856">
        <v>189.06</v>
      </c>
      <c r="F856">
        <v>115.23</v>
      </c>
      <c r="G856">
        <v>106.67</v>
      </c>
      <c r="H856">
        <v>97.95</v>
      </c>
      <c r="I856">
        <v>100.51</v>
      </c>
      <c r="J856">
        <v>88.12</v>
      </c>
      <c r="K856">
        <v>29.01</v>
      </c>
    </row>
    <row r="857" spans="1:11">
      <c r="A857">
        <v>103.83</v>
      </c>
      <c r="B857">
        <v>191.78</v>
      </c>
      <c r="C857">
        <v>184.34</v>
      </c>
      <c r="D857">
        <v>184.67</v>
      </c>
      <c r="E857">
        <v>188.62</v>
      </c>
      <c r="F857">
        <v>115.34</v>
      </c>
      <c r="G857">
        <v>106.73</v>
      </c>
      <c r="H857">
        <v>97.95</v>
      </c>
      <c r="I857">
        <v>100.62</v>
      </c>
      <c r="J857">
        <v>88.17</v>
      </c>
      <c r="K857">
        <v>29.01</v>
      </c>
    </row>
    <row r="858" spans="1:11">
      <c r="A858">
        <v>104</v>
      </c>
      <c r="B858">
        <v>191.95</v>
      </c>
      <c r="C858">
        <v>185.34</v>
      </c>
      <c r="D858">
        <v>186.12</v>
      </c>
      <c r="E858">
        <v>188.45</v>
      </c>
      <c r="F858">
        <v>115.34</v>
      </c>
      <c r="G858">
        <v>106.84</v>
      </c>
      <c r="H858">
        <v>98.12</v>
      </c>
      <c r="I858">
        <v>100.78</v>
      </c>
      <c r="J858">
        <v>88.34</v>
      </c>
      <c r="K858">
        <v>29.06</v>
      </c>
    </row>
    <row r="859" spans="1:11">
      <c r="A859">
        <v>104.17</v>
      </c>
      <c r="B859">
        <v>192.23</v>
      </c>
      <c r="C859">
        <v>185.78</v>
      </c>
      <c r="D859">
        <v>186.62</v>
      </c>
      <c r="E859">
        <v>188.4</v>
      </c>
      <c r="F859">
        <v>115.28</v>
      </c>
      <c r="G859">
        <v>106.78</v>
      </c>
      <c r="H859">
        <v>98.12</v>
      </c>
      <c r="I859">
        <v>100.84</v>
      </c>
      <c r="J859">
        <v>88.34</v>
      </c>
      <c r="K859">
        <v>29.01</v>
      </c>
    </row>
    <row r="860" spans="1:11">
      <c r="A860">
        <v>104.33</v>
      </c>
      <c r="B860">
        <v>192.34</v>
      </c>
      <c r="C860">
        <v>185.95</v>
      </c>
      <c r="D860">
        <v>186.84</v>
      </c>
      <c r="E860">
        <v>188.62</v>
      </c>
      <c r="F860">
        <v>115.34</v>
      </c>
      <c r="G860">
        <v>106.84</v>
      </c>
      <c r="H860">
        <v>98.12</v>
      </c>
      <c r="I860">
        <v>101.01</v>
      </c>
      <c r="J860">
        <v>88.51</v>
      </c>
      <c r="K860">
        <v>29.01</v>
      </c>
    </row>
    <row r="861" spans="1:11">
      <c r="A861">
        <v>104.5</v>
      </c>
      <c r="B861">
        <v>192.06</v>
      </c>
      <c r="C861">
        <v>185.56</v>
      </c>
      <c r="D861">
        <v>186.51</v>
      </c>
      <c r="E861">
        <v>188.73</v>
      </c>
      <c r="F861">
        <v>115.45</v>
      </c>
      <c r="G861">
        <v>106.9</v>
      </c>
      <c r="H861">
        <v>98.17</v>
      </c>
      <c r="I861">
        <v>101.12</v>
      </c>
      <c r="J861">
        <v>88.56</v>
      </c>
      <c r="K861">
        <v>29.01</v>
      </c>
    </row>
    <row r="862" spans="1:11">
      <c r="A862">
        <v>104.67</v>
      </c>
      <c r="B862">
        <v>191.95</v>
      </c>
      <c r="C862">
        <v>185.4</v>
      </c>
      <c r="D862">
        <v>186.12</v>
      </c>
      <c r="E862">
        <v>188.45</v>
      </c>
      <c r="F862">
        <v>115.4</v>
      </c>
      <c r="G862">
        <v>106.95</v>
      </c>
      <c r="H862">
        <v>98.23</v>
      </c>
      <c r="I862">
        <v>101.28</v>
      </c>
      <c r="J862">
        <v>88.73</v>
      </c>
      <c r="K862">
        <v>29.01</v>
      </c>
    </row>
    <row r="863" spans="1:11">
      <c r="A863">
        <v>104.83</v>
      </c>
      <c r="B863">
        <v>192.01</v>
      </c>
      <c r="C863">
        <v>185.28</v>
      </c>
      <c r="D863">
        <v>185.78</v>
      </c>
      <c r="E863">
        <v>188.12</v>
      </c>
      <c r="F863">
        <v>115.45</v>
      </c>
      <c r="G863">
        <v>106.95</v>
      </c>
      <c r="H863">
        <v>98.28</v>
      </c>
      <c r="I863">
        <v>101.34</v>
      </c>
      <c r="J863">
        <v>88.84</v>
      </c>
      <c r="K863">
        <v>29.01</v>
      </c>
    </row>
    <row r="864" spans="1:11">
      <c r="A864">
        <v>105</v>
      </c>
      <c r="B864">
        <v>192.12</v>
      </c>
      <c r="C864">
        <v>185.12</v>
      </c>
      <c r="D864">
        <v>185.51</v>
      </c>
      <c r="E864">
        <v>187.95</v>
      </c>
      <c r="F864">
        <v>115.45</v>
      </c>
      <c r="G864">
        <v>107.12</v>
      </c>
      <c r="H864">
        <v>98.34</v>
      </c>
      <c r="I864">
        <v>101.45</v>
      </c>
      <c r="J864">
        <v>88.95</v>
      </c>
      <c r="K864">
        <v>29.01</v>
      </c>
    </row>
    <row r="865" spans="1:11">
      <c r="A865">
        <v>105.17</v>
      </c>
      <c r="B865">
        <v>192.06</v>
      </c>
      <c r="C865">
        <v>184.95</v>
      </c>
      <c r="D865">
        <v>185.12</v>
      </c>
      <c r="E865">
        <v>187.4</v>
      </c>
      <c r="F865">
        <v>115.45</v>
      </c>
      <c r="G865">
        <v>107.12</v>
      </c>
      <c r="H865">
        <v>98.34</v>
      </c>
      <c r="I865">
        <v>101.62</v>
      </c>
      <c r="J865">
        <v>89.01</v>
      </c>
      <c r="K865">
        <v>29.01</v>
      </c>
    </row>
    <row r="866" spans="1:11">
      <c r="A866">
        <v>105.33</v>
      </c>
      <c r="B866">
        <v>192.06</v>
      </c>
      <c r="C866">
        <v>184.73</v>
      </c>
      <c r="D866">
        <v>184.95</v>
      </c>
      <c r="E866">
        <v>187.06</v>
      </c>
      <c r="F866">
        <v>115.45</v>
      </c>
      <c r="G866">
        <v>107.12</v>
      </c>
      <c r="H866">
        <v>98.4</v>
      </c>
      <c r="I866">
        <v>101.73</v>
      </c>
      <c r="J866">
        <v>89.12</v>
      </c>
      <c r="K866">
        <v>29.01</v>
      </c>
    </row>
    <row r="867" spans="1:11">
      <c r="A867">
        <v>105.5</v>
      </c>
      <c r="B867">
        <v>191.95</v>
      </c>
      <c r="C867">
        <v>184.67</v>
      </c>
      <c r="D867">
        <v>184.78</v>
      </c>
      <c r="E867">
        <v>186.73</v>
      </c>
      <c r="F867">
        <v>115.51</v>
      </c>
      <c r="G867">
        <v>107.17</v>
      </c>
      <c r="H867">
        <v>98.45</v>
      </c>
      <c r="I867">
        <v>101.84</v>
      </c>
      <c r="J867">
        <v>89.23</v>
      </c>
      <c r="K867">
        <v>29.06</v>
      </c>
    </row>
    <row r="868" spans="1:11">
      <c r="A868">
        <v>105.67</v>
      </c>
      <c r="B868">
        <v>191.84</v>
      </c>
      <c r="C868">
        <v>184.51</v>
      </c>
      <c r="D868">
        <v>184.56</v>
      </c>
      <c r="E868">
        <v>186.67</v>
      </c>
      <c r="F868">
        <v>115.45</v>
      </c>
      <c r="G868">
        <v>107.17</v>
      </c>
      <c r="H868">
        <v>98.45</v>
      </c>
      <c r="I868">
        <v>101.9</v>
      </c>
      <c r="J868">
        <v>89.23</v>
      </c>
      <c r="K868">
        <v>29.06</v>
      </c>
    </row>
    <row r="869" spans="1:11">
      <c r="A869">
        <v>105.83</v>
      </c>
      <c r="B869">
        <v>191.78</v>
      </c>
      <c r="C869">
        <v>184.28</v>
      </c>
      <c r="D869">
        <v>184.45</v>
      </c>
      <c r="E869">
        <v>186.78</v>
      </c>
      <c r="F869">
        <v>115.51</v>
      </c>
      <c r="G869">
        <v>107.17</v>
      </c>
      <c r="H869">
        <v>98.56</v>
      </c>
      <c r="I869">
        <v>101.9</v>
      </c>
      <c r="J869">
        <v>89.34</v>
      </c>
      <c r="K869">
        <v>29.01</v>
      </c>
    </row>
    <row r="870" spans="1:11">
      <c r="A870">
        <v>106</v>
      </c>
      <c r="B870">
        <v>191.23</v>
      </c>
      <c r="C870">
        <v>184.12</v>
      </c>
      <c r="D870">
        <v>184.28</v>
      </c>
      <c r="E870">
        <v>186.51</v>
      </c>
      <c r="F870">
        <v>115.51</v>
      </c>
      <c r="G870">
        <v>107.34</v>
      </c>
      <c r="H870">
        <v>98.56</v>
      </c>
      <c r="I870">
        <v>101.9</v>
      </c>
      <c r="J870">
        <v>89.45</v>
      </c>
      <c r="K870">
        <v>29.06</v>
      </c>
    </row>
    <row r="871" spans="1:11">
      <c r="A871">
        <v>106.17</v>
      </c>
      <c r="B871">
        <v>190.62</v>
      </c>
      <c r="C871">
        <v>184.23</v>
      </c>
      <c r="D871">
        <v>184.34</v>
      </c>
      <c r="E871">
        <v>186.28</v>
      </c>
      <c r="F871">
        <v>115.51</v>
      </c>
      <c r="G871">
        <v>107.34</v>
      </c>
      <c r="H871">
        <v>98.62</v>
      </c>
      <c r="I871">
        <v>101.95</v>
      </c>
      <c r="J871">
        <v>89.51</v>
      </c>
      <c r="K871">
        <v>29.06</v>
      </c>
    </row>
    <row r="872" spans="1:11">
      <c r="A872">
        <v>106.33</v>
      </c>
      <c r="B872">
        <v>190.4</v>
      </c>
      <c r="C872">
        <v>184.12</v>
      </c>
      <c r="D872">
        <v>184.28</v>
      </c>
      <c r="E872">
        <v>186.17</v>
      </c>
      <c r="F872">
        <v>115.56</v>
      </c>
      <c r="G872">
        <v>107.45</v>
      </c>
      <c r="H872">
        <v>98.78</v>
      </c>
      <c r="I872">
        <v>102.12</v>
      </c>
      <c r="J872">
        <v>89.67</v>
      </c>
      <c r="K872">
        <v>29.01</v>
      </c>
    </row>
    <row r="873" spans="1:11">
      <c r="A873">
        <v>106.5</v>
      </c>
      <c r="B873">
        <v>190.06</v>
      </c>
      <c r="C873">
        <v>184.01</v>
      </c>
      <c r="D873">
        <v>184.28</v>
      </c>
      <c r="E873">
        <v>185.9</v>
      </c>
      <c r="F873">
        <v>115.67</v>
      </c>
      <c r="G873">
        <v>107.45</v>
      </c>
      <c r="H873">
        <v>98.84</v>
      </c>
      <c r="I873">
        <v>102.34</v>
      </c>
      <c r="J873">
        <v>89.84</v>
      </c>
      <c r="K873">
        <v>29.01</v>
      </c>
    </row>
    <row r="874" spans="1:11">
      <c r="A874">
        <v>106.67</v>
      </c>
      <c r="B874">
        <v>189.62</v>
      </c>
      <c r="C874">
        <v>183.84</v>
      </c>
      <c r="D874">
        <v>184.06</v>
      </c>
      <c r="E874">
        <v>185.56</v>
      </c>
      <c r="F874">
        <v>115.62</v>
      </c>
      <c r="G874">
        <v>107.45</v>
      </c>
      <c r="H874">
        <v>98.9</v>
      </c>
      <c r="I874">
        <v>102.4</v>
      </c>
      <c r="J874">
        <v>89.9</v>
      </c>
      <c r="K874">
        <v>29.06</v>
      </c>
    </row>
    <row r="875" spans="1:11">
      <c r="A875">
        <v>106.83</v>
      </c>
      <c r="B875">
        <v>189.28</v>
      </c>
      <c r="C875">
        <v>183.67</v>
      </c>
      <c r="D875">
        <v>184.01</v>
      </c>
      <c r="E875">
        <v>185.45</v>
      </c>
      <c r="F875">
        <v>115.67</v>
      </c>
      <c r="G875">
        <v>107.45</v>
      </c>
      <c r="H875">
        <v>98.9</v>
      </c>
      <c r="I875">
        <v>102.51</v>
      </c>
      <c r="J875">
        <v>90.01</v>
      </c>
      <c r="K875">
        <v>29.06</v>
      </c>
    </row>
    <row r="876" spans="1:11">
      <c r="A876">
        <v>107</v>
      </c>
      <c r="B876">
        <v>188.56</v>
      </c>
      <c r="C876">
        <v>184.06</v>
      </c>
      <c r="D876">
        <v>184.45</v>
      </c>
      <c r="E876">
        <v>185.23</v>
      </c>
      <c r="F876">
        <v>115.67</v>
      </c>
      <c r="G876">
        <v>107.51</v>
      </c>
      <c r="H876">
        <v>98.95</v>
      </c>
      <c r="I876">
        <v>102.62</v>
      </c>
      <c r="J876">
        <v>90.12</v>
      </c>
      <c r="K876">
        <v>29.06</v>
      </c>
    </row>
    <row r="877" spans="1:11">
      <c r="A877">
        <v>107.17</v>
      </c>
      <c r="B877">
        <v>188.01</v>
      </c>
      <c r="C877">
        <v>186.62</v>
      </c>
      <c r="D877">
        <v>187.45</v>
      </c>
      <c r="E877">
        <v>185.45</v>
      </c>
      <c r="F877">
        <v>115.78</v>
      </c>
      <c r="G877">
        <v>107.56</v>
      </c>
      <c r="H877">
        <v>99.06</v>
      </c>
      <c r="I877">
        <v>102.73</v>
      </c>
      <c r="J877">
        <v>90.23</v>
      </c>
      <c r="K877">
        <v>29.06</v>
      </c>
    </row>
    <row r="878" spans="1:11">
      <c r="A878">
        <v>107.33</v>
      </c>
      <c r="B878">
        <v>187.78</v>
      </c>
      <c r="C878">
        <v>187.06</v>
      </c>
      <c r="D878">
        <v>187.9</v>
      </c>
      <c r="E878">
        <v>185.06</v>
      </c>
      <c r="F878">
        <v>115.67</v>
      </c>
      <c r="G878">
        <v>107.51</v>
      </c>
      <c r="H878">
        <v>99.06</v>
      </c>
      <c r="I878">
        <v>102.84</v>
      </c>
      <c r="J878">
        <v>90.34</v>
      </c>
      <c r="K878">
        <v>29.06</v>
      </c>
    </row>
    <row r="879" spans="1:11">
      <c r="A879">
        <v>107.5</v>
      </c>
      <c r="B879">
        <v>187.62</v>
      </c>
      <c r="C879">
        <v>186.78</v>
      </c>
      <c r="D879">
        <v>187.73</v>
      </c>
      <c r="E879">
        <v>185.12</v>
      </c>
      <c r="F879">
        <v>115.78</v>
      </c>
      <c r="G879">
        <v>107.67</v>
      </c>
      <c r="H879">
        <v>99.06</v>
      </c>
      <c r="I879">
        <v>102.95</v>
      </c>
      <c r="J879">
        <v>90.51</v>
      </c>
      <c r="K879">
        <v>29.06</v>
      </c>
    </row>
    <row r="880" spans="1:11">
      <c r="A880">
        <v>107.67</v>
      </c>
      <c r="B880">
        <v>187.62</v>
      </c>
      <c r="C880">
        <v>186.78</v>
      </c>
      <c r="D880">
        <v>187.62</v>
      </c>
      <c r="E880">
        <v>185.01</v>
      </c>
      <c r="F880">
        <v>115.73</v>
      </c>
      <c r="G880">
        <v>107.62</v>
      </c>
      <c r="H880">
        <v>99.06</v>
      </c>
      <c r="I880">
        <v>103.06</v>
      </c>
      <c r="J880">
        <v>90.56</v>
      </c>
      <c r="K880">
        <v>29.06</v>
      </c>
    </row>
    <row r="881" spans="1:11">
      <c r="A881">
        <v>107.83</v>
      </c>
      <c r="B881">
        <v>187.56</v>
      </c>
      <c r="C881">
        <v>186.51</v>
      </c>
      <c r="D881">
        <v>187.23</v>
      </c>
      <c r="E881">
        <v>184.84</v>
      </c>
      <c r="F881">
        <v>115.84</v>
      </c>
      <c r="G881">
        <v>107.67</v>
      </c>
      <c r="H881">
        <v>99.17</v>
      </c>
      <c r="I881">
        <v>103.06</v>
      </c>
      <c r="J881">
        <v>90.62</v>
      </c>
      <c r="K881">
        <v>29.06</v>
      </c>
    </row>
    <row r="882" spans="1:11">
      <c r="A882">
        <v>108</v>
      </c>
      <c r="B882">
        <v>187.56</v>
      </c>
      <c r="C882">
        <v>186.12</v>
      </c>
      <c r="D882">
        <v>186.9</v>
      </c>
      <c r="E882">
        <v>184.78</v>
      </c>
      <c r="F882">
        <v>115.9</v>
      </c>
      <c r="G882">
        <v>107.78</v>
      </c>
      <c r="H882">
        <v>99.23</v>
      </c>
      <c r="I882">
        <v>103.12</v>
      </c>
      <c r="J882">
        <v>90.73</v>
      </c>
      <c r="K882">
        <v>29.06</v>
      </c>
    </row>
    <row r="883" spans="1:11">
      <c r="A883">
        <v>108.17</v>
      </c>
      <c r="B883">
        <v>187.45</v>
      </c>
      <c r="C883">
        <v>185.95</v>
      </c>
      <c r="D883">
        <v>186.56</v>
      </c>
      <c r="E883">
        <v>184.73</v>
      </c>
      <c r="F883">
        <v>116.01</v>
      </c>
      <c r="G883">
        <v>107.78</v>
      </c>
      <c r="H883">
        <v>99.28</v>
      </c>
      <c r="I883">
        <v>103.17</v>
      </c>
      <c r="J883">
        <v>90.9</v>
      </c>
      <c r="K883">
        <v>29.06</v>
      </c>
    </row>
    <row r="884" spans="1:11">
      <c r="A884">
        <v>108.33</v>
      </c>
      <c r="B884">
        <v>187.67</v>
      </c>
      <c r="C884">
        <v>185.62</v>
      </c>
      <c r="D884">
        <v>186.23</v>
      </c>
      <c r="E884">
        <v>184.62</v>
      </c>
      <c r="F884">
        <v>116.12</v>
      </c>
      <c r="G884">
        <v>107.84</v>
      </c>
      <c r="H884">
        <v>99.28</v>
      </c>
      <c r="I884">
        <v>103.17</v>
      </c>
      <c r="J884">
        <v>90.95</v>
      </c>
      <c r="K884">
        <v>29.06</v>
      </c>
    </row>
    <row r="885" spans="1:11">
      <c r="A885">
        <v>108.5</v>
      </c>
      <c r="B885">
        <v>187.84</v>
      </c>
      <c r="C885">
        <v>185.45</v>
      </c>
      <c r="D885">
        <v>186.01</v>
      </c>
      <c r="E885">
        <v>184.67</v>
      </c>
      <c r="F885">
        <v>116.12</v>
      </c>
      <c r="G885">
        <v>107.95</v>
      </c>
      <c r="H885">
        <v>99.4</v>
      </c>
      <c r="I885">
        <v>103.23</v>
      </c>
      <c r="J885">
        <v>91.06</v>
      </c>
      <c r="K885">
        <v>29.06</v>
      </c>
    </row>
    <row r="886" spans="1:11">
      <c r="A886">
        <v>108.67</v>
      </c>
      <c r="B886">
        <v>187.9</v>
      </c>
      <c r="C886">
        <v>185.12</v>
      </c>
      <c r="D886">
        <v>185.51</v>
      </c>
      <c r="E886">
        <v>184.34</v>
      </c>
      <c r="F886">
        <v>116.12</v>
      </c>
      <c r="G886">
        <v>107.95</v>
      </c>
      <c r="H886">
        <v>99.51</v>
      </c>
      <c r="I886">
        <v>103.34</v>
      </c>
      <c r="J886">
        <v>91.12</v>
      </c>
      <c r="K886">
        <v>29.06</v>
      </c>
    </row>
    <row r="887" spans="1:11">
      <c r="A887">
        <v>108.83</v>
      </c>
      <c r="B887">
        <v>188.4</v>
      </c>
      <c r="C887">
        <v>185.01</v>
      </c>
      <c r="D887">
        <v>185.4</v>
      </c>
      <c r="E887">
        <v>184.34</v>
      </c>
      <c r="F887">
        <v>116.45</v>
      </c>
      <c r="G887">
        <v>108.01</v>
      </c>
      <c r="H887">
        <v>99.73</v>
      </c>
      <c r="I887">
        <v>103.56</v>
      </c>
      <c r="J887">
        <v>91.28</v>
      </c>
      <c r="K887">
        <v>29.06</v>
      </c>
    </row>
    <row r="888" spans="1:11">
      <c r="A888">
        <v>109</v>
      </c>
      <c r="B888">
        <v>189.12</v>
      </c>
      <c r="C888">
        <v>184.78</v>
      </c>
      <c r="D888">
        <v>185.12</v>
      </c>
      <c r="E888">
        <v>184.45</v>
      </c>
      <c r="F888">
        <v>116.78</v>
      </c>
      <c r="G888">
        <v>108.12</v>
      </c>
      <c r="H888">
        <v>99.95</v>
      </c>
      <c r="I888">
        <v>103.84</v>
      </c>
      <c r="J888">
        <v>91.34</v>
      </c>
      <c r="K888">
        <v>29.06</v>
      </c>
    </row>
    <row r="889" spans="1:11">
      <c r="A889">
        <v>109.17</v>
      </c>
      <c r="B889">
        <v>189.73</v>
      </c>
      <c r="C889">
        <v>184.51</v>
      </c>
      <c r="D889">
        <v>184.84</v>
      </c>
      <c r="E889">
        <v>184.51</v>
      </c>
      <c r="F889">
        <v>116.9</v>
      </c>
      <c r="G889">
        <v>108.12</v>
      </c>
      <c r="H889">
        <v>100.17</v>
      </c>
      <c r="I889">
        <v>104.01</v>
      </c>
      <c r="J889">
        <v>91.45</v>
      </c>
      <c r="K889">
        <v>29.06</v>
      </c>
    </row>
    <row r="890" spans="1:11">
      <c r="A890">
        <v>109.33</v>
      </c>
      <c r="B890">
        <v>190.06</v>
      </c>
      <c r="C890">
        <v>184.06</v>
      </c>
      <c r="D890">
        <v>184.23</v>
      </c>
      <c r="E890">
        <v>184.45</v>
      </c>
      <c r="F890">
        <v>116.84</v>
      </c>
      <c r="G890">
        <v>108.12</v>
      </c>
      <c r="H890">
        <v>100.4</v>
      </c>
      <c r="I890">
        <v>104.17</v>
      </c>
      <c r="J890">
        <v>91.51</v>
      </c>
      <c r="K890">
        <v>29.06</v>
      </c>
    </row>
    <row r="891" spans="1:11">
      <c r="A891">
        <v>109.5</v>
      </c>
      <c r="B891">
        <v>190.17</v>
      </c>
      <c r="C891">
        <v>184.01</v>
      </c>
      <c r="D891">
        <v>184.17</v>
      </c>
      <c r="E891">
        <v>184.51</v>
      </c>
      <c r="F891">
        <v>116.84</v>
      </c>
      <c r="G891">
        <v>108.28</v>
      </c>
      <c r="H891">
        <v>100.51</v>
      </c>
      <c r="I891">
        <v>104.51</v>
      </c>
      <c r="J891">
        <v>91.67</v>
      </c>
      <c r="K891">
        <v>29.06</v>
      </c>
    </row>
    <row r="892" spans="1:11">
      <c r="A892">
        <v>109.67</v>
      </c>
      <c r="B892">
        <v>190.4</v>
      </c>
      <c r="C892">
        <v>183.95</v>
      </c>
      <c r="D892">
        <v>184.17</v>
      </c>
      <c r="E892">
        <v>184.56</v>
      </c>
      <c r="F892">
        <v>116.84</v>
      </c>
      <c r="G892">
        <v>108.34</v>
      </c>
      <c r="H892">
        <v>100.51</v>
      </c>
      <c r="I892">
        <v>105.12</v>
      </c>
      <c r="J892">
        <v>91.78</v>
      </c>
      <c r="K892">
        <v>29.06</v>
      </c>
    </row>
    <row r="893" spans="1:11">
      <c r="A893">
        <v>109.83</v>
      </c>
      <c r="B893">
        <v>190.4</v>
      </c>
      <c r="C893">
        <v>183.84</v>
      </c>
      <c r="D893">
        <v>184.17</v>
      </c>
      <c r="E893">
        <v>184.62</v>
      </c>
      <c r="F893">
        <v>116.95</v>
      </c>
      <c r="G893">
        <v>108.34</v>
      </c>
      <c r="H893">
        <v>100.62</v>
      </c>
      <c r="I893">
        <v>105.06</v>
      </c>
      <c r="J893">
        <v>91.84</v>
      </c>
      <c r="K893">
        <v>29.06</v>
      </c>
    </row>
    <row r="894" spans="1:11">
      <c r="A894">
        <v>110</v>
      </c>
      <c r="B894">
        <v>190.56</v>
      </c>
      <c r="C894">
        <v>184.51</v>
      </c>
      <c r="D894">
        <v>184.95</v>
      </c>
      <c r="E894">
        <v>184.45</v>
      </c>
      <c r="F894">
        <v>117.23</v>
      </c>
      <c r="G894">
        <v>108.45</v>
      </c>
      <c r="H894">
        <v>100.62</v>
      </c>
      <c r="I894">
        <v>105.06</v>
      </c>
      <c r="J894">
        <v>91.95</v>
      </c>
      <c r="K894">
        <v>29.06</v>
      </c>
    </row>
    <row r="895" spans="1:11">
      <c r="A895">
        <v>110.17</v>
      </c>
      <c r="B895">
        <v>190.62</v>
      </c>
      <c r="C895">
        <v>185.4</v>
      </c>
      <c r="D895">
        <v>185.9</v>
      </c>
      <c r="E895">
        <v>184.62</v>
      </c>
      <c r="F895">
        <v>117.4</v>
      </c>
      <c r="G895">
        <v>108.45</v>
      </c>
      <c r="H895">
        <v>100.67</v>
      </c>
      <c r="I895">
        <v>105.06</v>
      </c>
      <c r="J895">
        <v>92.06</v>
      </c>
      <c r="K895">
        <v>29.06</v>
      </c>
    </row>
    <row r="896" spans="1:11">
      <c r="A896">
        <v>110.33</v>
      </c>
      <c r="B896">
        <v>190.62</v>
      </c>
      <c r="C896">
        <v>185.62</v>
      </c>
      <c r="D896">
        <v>186.23</v>
      </c>
      <c r="E896">
        <v>185.01</v>
      </c>
      <c r="F896">
        <v>117.45</v>
      </c>
      <c r="G896">
        <v>108.62</v>
      </c>
      <c r="H896">
        <v>100.67</v>
      </c>
      <c r="I896">
        <v>105.23</v>
      </c>
      <c r="J896">
        <v>92.12</v>
      </c>
      <c r="K896">
        <v>29.06</v>
      </c>
    </row>
    <row r="897" spans="1:11">
      <c r="A897">
        <v>110.5</v>
      </c>
      <c r="B897">
        <v>190.4</v>
      </c>
      <c r="C897">
        <v>185.78</v>
      </c>
      <c r="D897">
        <v>186.28</v>
      </c>
      <c r="E897">
        <v>185.01</v>
      </c>
      <c r="F897">
        <v>117.56</v>
      </c>
      <c r="G897">
        <v>108.62</v>
      </c>
      <c r="H897">
        <v>100.73</v>
      </c>
      <c r="I897">
        <v>105.28</v>
      </c>
      <c r="J897">
        <v>92.23</v>
      </c>
      <c r="K897">
        <v>29.06</v>
      </c>
    </row>
    <row r="898" spans="1:11">
      <c r="A898">
        <v>110.67</v>
      </c>
      <c r="B898">
        <v>190.28</v>
      </c>
      <c r="C898">
        <v>185.78</v>
      </c>
      <c r="D898">
        <v>186.28</v>
      </c>
      <c r="E898">
        <v>185.12</v>
      </c>
      <c r="F898">
        <v>117.67</v>
      </c>
      <c r="G898">
        <v>108.78</v>
      </c>
      <c r="H898">
        <v>100.78</v>
      </c>
      <c r="I898">
        <v>105.95</v>
      </c>
      <c r="J898">
        <v>92.4</v>
      </c>
      <c r="K898">
        <v>29.06</v>
      </c>
    </row>
    <row r="899" spans="1:11">
      <c r="A899">
        <v>110.83</v>
      </c>
      <c r="B899">
        <v>190.01</v>
      </c>
      <c r="C899">
        <v>185.62</v>
      </c>
      <c r="D899">
        <v>186.01</v>
      </c>
      <c r="E899">
        <v>185.01</v>
      </c>
      <c r="F899">
        <v>117.67</v>
      </c>
      <c r="G899">
        <v>108.78</v>
      </c>
      <c r="H899">
        <v>100.78</v>
      </c>
      <c r="I899">
        <v>106.17</v>
      </c>
      <c r="J899">
        <v>92.45</v>
      </c>
      <c r="K899">
        <v>29.06</v>
      </c>
    </row>
    <row r="900" spans="1:11">
      <c r="A900">
        <v>111</v>
      </c>
      <c r="B900">
        <v>189.78</v>
      </c>
      <c r="C900">
        <v>185.23</v>
      </c>
      <c r="D900">
        <v>185.56</v>
      </c>
      <c r="E900">
        <v>185.06</v>
      </c>
      <c r="F900">
        <v>117.73</v>
      </c>
      <c r="G900">
        <v>108.95</v>
      </c>
      <c r="H900">
        <v>101.01</v>
      </c>
      <c r="I900">
        <v>106.23</v>
      </c>
      <c r="J900">
        <v>92.56</v>
      </c>
      <c r="K900">
        <v>29.06</v>
      </c>
    </row>
    <row r="901" spans="1:11">
      <c r="A901">
        <v>111.17</v>
      </c>
      <c r="B901">
        <v>189.34</v>
      </c>
      <c r="C901">
        <v>185.06</v>
      </c>
      <c r="D901">
        <v>185.28</v>
      </c>
      <c r="E901">
        <v>184.95</v>
      </c>
      <c r="F901">
        <v>117.73</v>
      </c>
      <c r="G901">
        <v>108.95</v>
      </c>
      <c r="H901">
        <v>101.06</v>
      </c>
      <c r="I901">
        <v>106.06</v>
      </c>
      <c r="J901">
        <v>92.67</v>
      </c>
      <c r="K901">
        <v>29.06</v>
      </c>
    </row>
    <row r="902" spans="1:11">
      <c r="A902">
        <v>111.33</v>
      </c>
      <c r="B902">
        <v>189.34</v>
      </c>
      <c r="C902">
        <v>185.23</v>
      </c>
      <c r="D902">
        <v>185.23</v>
      </c>
      <c r="E902">
        <v>184.9</v>
      </c>
      <c r="F902">
        <v>117.73</v>
      </c>
      <c r="G902">
        <v>108.95</v>
      </c>
      <c r="H902">
        <v>101.01</v>
      </c>
      <c r="I902">
        <v>105.9</v>
      </c>
      <c r="J902">
        <v>92.73</v>
      </c>
      <c r="K902">
        <v>29.06</v>
      </c>
    </row>
    <row r="903" spans="1:11">
      <c r="A903">
        <v>111.5</v>
      </c>
      <c r="B903">
        <v>189.67</v>
      </c>
      <c r="C903">
        <v>185.45</v>
      </c>
      <c r="D903">
        <v>185.4</v>
      </c>
      <c r="E903">
        <v>184.84</v>
      </c>
      <c r="F903">
        <v>117.84</v>
      </c>
      <c r="G903">
        <v>109.12</v>
      </c>
      <c r="H903">
        <v>101.17</v>
      </c>
      <c r="I903">
        <v>106.17</v>
      </c>
      <c r="J903">
        <v>92.78</v>
      </c>
      <c r="K903">
        <v>29.06</v>
      </c>
    </row>
    <row r="904" spans="1:11">
      <c r="A904">
        <v>111.67</v>
      </c>
      <c r="B904">
        <v>190.28</v>
      </c>
      <c r="C904">
        <v>185.62</v>
      </c>
      <c r="D904">
        <v>185.51</v>
      </c>
      <c r="E904">
        <v>184.73</v>
      </c>
      <c r="F904">
        <v>117.84</v>
      </c>
      <c r="G904">
        <v>109.12</v>
      </c>
      <c r="H904">
        <v>101.17</v>
      </c>
      <c r="I904">
        <v>106.84</v>
      </c>
      <c r="J904">
        <v>92.95</v>
      </c>
      <c r="K904">
        <v>29.06</v>
      </c>
    </row>
    <row r="905" spans="1:11">
      <c r="A905">
        <v>111.83</v>
      </c>
      <c r="B905">
        <v>190.78</v>
      </c>
      <c r="C905">
        <v>185.73</v>
      </c>
      <c r="D905">
        <v>185.62</v>
      </c>
      <c r="E905">
        <v>184.34</v>
      </c>
      <c r="F905">
        <v>117.9</v>
      </c>
      <c r="G905">
        <v>109.23</v>
      </c>
      <c r="H905">
        <v>101.23</v>
      </c>
      <c r="I905">
        <v>107.01</v>
      </c>
      <c r="J905">
        <v>93.06</v>
      </c>
      <c r="K905">
        <v>29.06</v>
      </c>
    </row>
    <row r="906" spans="1:11">
      <c r="A906">
        <v>112</v>
      </c>
      <c r="B906">
        <v>191.9</v>
      </c>
      <c r="C906">
        <v>185.62</v>
      </c>
      <c r="D906">
        <v>185.62</v>
      </c>
      <c r="E906">
        <v>184.01</v>
      </c>
      <c r="F906">
        <v>117.9</v>
      </c>
      <c r="G906">
        <v>109.34</v>
      </c>
      <c r="H906">
        <v>101.28</v>
      </c>
      <c r="I906">
        <v>106.95</v>
      </c>
      <c r="J906">
        <v>93.17</v>
      </c>
      <c r="K906">
        <v>29.06</v>
      </c>
    </row>
    <row r="907" spans="1:11">
      <c r="A907">
        <v>112.17</v>
      </c>
      <c r="B907">
        <v>193.06</v>
      </c>
      <c r="C907">
        <v>185.45</v>
      </c>
      <c r="D907">
        <v>185.56</v>
      </c>
      <c r="E907">
        <v>184.01</v>
      </c>
      <c r="F907">
        <v>118.06</v>
      </c>
      <c r="G907">
        <v>109.4</v>
      </c>
      <c r="H907">
        <v>101.23</v>
      </c>
      <c r="I907">
        <v>107.17</v>
      </c>
      <c r="J907">
        <v>93.28</v>
      </c>
      <c r="K907">
        <v>29.06</v>
      </c>
    </row>
    <row r="908" spans="1:11">
      <c r="A908">
        <v>112.33</v>
      </c>
      <c r="B908">
        <v>193.73</v>
      </c>
      <c r="C908">
        <v>185.17</v>
      </c>
      <c r="D908">
        <v>185.28</v>
      </c>
      <c r="E908">
        <v>184.01</v>
      </c>
      <c r="F908">
        <v>118.17</v>
      </c>
      <c r="G908">
        <v>109.45</v>
      </c>
      <c r="H908">
        <v>101.34</v>
      </c>
      <c r="I908">
        <v>107.67</v>
      </c>
      <c r="J908">
        <v>93.34</v>
      </c>
      <c r="K908">
        <v>29.06</v>
      </c>
    </row>
    <row r="909" spans="1:11">
      <c r="A909">
        <v>112.5</v>
      </c>
      <c r="B909">
        <v>193.9</v>
      </c>
      <c r="C909">
        <v>184.84</v>
      </c>
      <c r="D909">
        <v>185.12</v>
      </c>
      <c r="E909">
        <v>183.95</v>
      </c>
      <c r="F909">
        <v>118.12</v>
      </c>
      <c r="G909">
        <v>109.45</v>
      </c>
      <c r="H909">
        <v>101.45</v>
      </c>
      <c r="I909">
        <v>107.78</v>
      </c>
      <c r="J909">
        <v>93.45</v>
      </c>
      <c r="K909">
        <v>29.06</v>
      </c>
    </row>
    <row r="910" spans="1:11">
      <c r="A910">
        <v>112.67</v>
      </c>
      <c r="B910">
        <v>193.84</v>
      </c>
      <c r="C910">
        <v>184.62</v>
      </c>
      <c r="D910">
        <v>184.95</v>
      </c>
      <c r="E910">
        <v>183.9</v>
      </c>
      <c r="F910">
        <v>118.23</v>
      </c>
      <c r="G910">
        <v>109.62</v>
      </c>
      <c r="H910">
        <v>101.45</v>
      </c>
      <c r="I910">
        <v>107.84</v>
      </c>
      <c r="J910">
        <v>93.56</v>
      </c>
      <c r="K910">
        <v>29.06</v>
      </c>
    </row>
    <row r="911" spans="1:11">
      <c r="A911">
        <v>112.83</v>
      </c>
      <c r="B911">
        <v>193.67</v>
      </c>
      <c r="C911">
        <v>184.51</v>
      </c>
      <c r="D911">
        <v>184.95</v>
      </c>
      <c r="E911">
        <v>183.78</v>
      </c>
      <c r="F911">
        <v>118.23</v>
      </c>
      <c r="G911">
        <v>109.62</v>
      </c>
      <c r="H911">
        <v>101.62</v>
      </c>
      <c r="I911">
        <v>108.01</v>
      </c>
      <c r="J911">
        <v>93.67</v>
      </c>
      <c r="K911">
        <v>29.06</v>
      </c>
    </row>
    <row r="912" spans="1:11">
      <c r="A912">
        <v>113</v>
      </c>
      <c r="B912">
        <v>193.51</v>
      </c>
      <c r="C912">
        <v>185.01</v>
      </c>
      <c r="D912">
        <v>185.62</v>
      </c>
      <c r="E912">
        <v>183.95</v>
      </c>
      <c r="F912">
        <v>118.45</v>
      </c>
      <c r="G912">
        <v>109.73</v>
      </c>
      <c r="H912">
        <v>101.9</v>
      </c>
      <c r="I912">
        <v>108.62</v>
      </c>
      <c r="J912">
        <v>93.78</v>
      </c>
      <c r="K912">
        <v>29.06</v>
      </c>
    </row>
    <row r="913" spans="1:11">
      <c r="A913">
        <v>113.17</v>
      </c>
      <c r="B913">
        <v>193.23</v>
      </c>
      <c r="C913">
        <v>185.12</v>
      </c>
      <c r="D913">
        <v>185.78</v>
      </c>
      <c r="E913">
        <v>184.23</v>
      </c>
      <c r="F913">
        <v>118.51</v>
      </c>
      <c r="G913">
        <v>109.78</v>
      </c>
      <c r="H913">
        <v>102.06</v>
      </c>
      <c r="I913">
        <v>108.67</v>
      </c>
      <c r="J913">
        <v>93.9</v>
      </c>
      <c r="K913">
        <v>29.06</v>
      </c>
    </row>
    <row r="914" spans="1:11">
      <c r="A914">
        <v>113.33</v>
      </c>
      <c r="B914">
        <v>193.06</v>
      </c>
      <c r="C914">
        <v>185.12</v>
      </c>
      <c r="D914">
        <v>185.95</v>
      </c>
      <c r="E914">
        <v>184.73</v>
      </c>
      <c r="F914">
        <v>118.67</v>
      </c>
      <c r="G914">
        <v>109.78</v>
      </c>
      <c r="H914">
        <v>102.28</v>
      </c>
      <c r="I914">
        <v>108.67</v>
      </c>
      <c r="J914">
        <v>93.95</v>
      </c>
      <c r="K914">
        <v>29.06</v>
      </c>
    </row>
    <row r="915" spans="1:11">
      <c r="A915">
        <v>113.5</v>
      </c>
      <c r="B915">
        <v>192.84</v>
      </c>
      <c r="C915">
        <v>185.01</v>
      </c>
      <c r="D915">
        <v>185.62</v>
      </c>
      <c r="E915">
        <v>184.67</v>
      </c>
      <c r="F915">
        <v>118.67</v>
      </c>
      <c r="G915">
        <v>109.84</v>
      </c>
      <c r="H915">
        <v>102.28</v>
      </c>
      <c r="I915">
        <v>109.28</v>
      </c>
      <c r="J915">
        <v>94.06</v>
      </c>
      <c r="K915">
        <v>29.06</v>
      </c>
    </row>
    <row r="916" spans="1:11">
      <c r="A916">
        <v>113.67</v>
      </c>
      <c r="B916">
        <v>192.84</v>
      </c>
      <c r="C916">
        <v>184.51</v>
      </c>
      <c r="D916">
        <v>185.12</v>
      </c>
      <c r="E916">
        <v>184.78</v>
      </c>
      <c r="F916">
        <v>118.67</v>
      </c>
      <c r="G916">
        <v>109.9</v>
      </c>
      <c r="H916">
        <v>102.23</v>
      </c>
      <c r="I916">
        <v>109.9</v>
      </c>
      <c r="J916">
        <v>94.12</v>
      </c>
      <c r="K916">
        <v>29.12</v>
      </c>
    </row>
    <row r="917" spans="1:11">
      <c r="A917">
        <v>113.83</v>
      </c>
      <c r="B917">
        <v>193.06</v>
      </c>
      <c r="C917">
        <v>183.78</v>
      </c>
      <c r="D917">
        <v>184.45</v>
      </c>
      <c r="E917">
        <v>184.78</v>
      </c>
      <c r="F917">
        <v>118.67</v>
      </c>
      <c r="G917">
        <v>109.9</v>
      </c>
      <c r="H917">
        <v>102.28</v>
      </c>
      <c r="I917">
        <v>110.06</v>
      </c>
      <c r="J917">
        <v>94.23</v>
      </c>
      <c r="K917">
        <v>29.12</v>
      </c>
    </row>
    <row r="918" spans="1:11">
      <c r="A918">
        <v>114</v>
      </c>
      <c r="B918">
        <v>193.23</v>
      </c>
      <c r="C918">
        <v>183.12</v>
      </c>
      <c r="D918">
        <v>183.78</v>
      </c>
      <c r="E918">
        <v>184.73</v>
      </c>
      <c r="F918">
        <v>118.67</v>
      </c>
      <c r="G918">
        <v>109.95</v>
      </c>
      <c r="H918">
        <v>102.28</v>
      </c>
      <c r="I918">
        <v>110.67</v>
      </c>
      <c r="J918">
        <v>94.28</v>
      </c>
      <c r="K918">
        <v>29.06</v>
      </c>
    </row>
    <row r="919" spans="1:11">
      <c r="A919">
        <v>114.17</v>
      </c>
      <c r="B919">
        <v>193.56</v>
      </c>
      <c r="C919">
        <v>182.84</v>
      </c>
      <c r="D919">
        <v>183.51</v>
      </c>
      <c r="E919">
        <v>184.67</v>
      </c>
      <c r="F919">
        <v>118.73</v>
      </c>
      <c r="G919">
        <v>110.06</v>
      </c>
      <c r="H919">
        <v>102.4</v>
      </c>
      <c r="I919">
        <v>111.12</v>
      </c>
      <c r="J919">
        <v>94.45</v>
      </c>
      <c r="K919">
        <v>29.06</v>
      </c>
    </row>
    <row r="920" spans="1:11">
      <c r="A920">
        <v>114.33</v>
      </c>
      <c r="B920">
        <v>193.78</v>
      </c>
      <c r="C920">
        <v>182.51</v>
      </c>
      <c r="D920">
        <v>183.12</v>
      </c>
      <c r="E920">
        <v>184.62</v>
      </c>
      <c r="F920">
        <v>118.73</v>
      </c>
      <c r="G920">
        <v>110.06</v>
      </c>
      <c r="H920">
        <v>102.4</v>
      </c>
      <c r="I920">
        <v>111.51</v>
      </c>
      <c r="J920">
        <v>94.56</v>
      </c>
      <c r="K920">
        <v>29.12</v>
      </c>
    </row>
    <row r="921" spans="1:11">
      <c r="A921">
        <v>114.5</v>
      </c>
      <c r="B921">
        <v>194.01</v>
      </c>
      <c r="C921">
        <v>182.67</v>
      </c>
      <c r="D921">
        <v>183.01</v>
      </c>
      <c r="E921">
        <v>184.51</v>
      </c>
      <c r="F921">
        <v>118.9</v>
      </c>
      <c r="G921">
        <v>110.12</v>
      </c>
      <c r="H921">
        <v>102.45</v>
      </c>
      <c r="I921">
        <v>112.12</v>
      </c>
      <c r="J921">
        <v>94.62</v>
      </c>
      <c r="K921">
        <v>29.12</v>
      </c>
    </row>
    <row r="922" spans="1:11">
      <c r="A922">
        <v>114.67</v>
      </c>
      <c r="B922">
        <v>194.06</v>
      </c>
      <c r="C922">
        <v>182.9</v>
      </c>
      <c r="D922">
        <v>182.95</v>
      </c>
      <c r="E922">
        <v>184.51</v>
      </c>
      <c r="F922">
        <v>118.9</v>
      </c>
      <c r="G922">
        <v>110.17</v>
      </c>
      <c r="H922">
        <v>102.51</v>
      </c>
      <c r="I922">
        <v>112.51</v>
      </c>
      <c r="J922">
        <v>94.78</v>
      </c>
      <c r="K922">
        <v>29.12</v>
      </c>
    </row>
    <row r="923" spans="1:11">
      <c r="A923">
        <v>114.83</v>
      </c>
      <c r="B923">
        <v>194.17</v>
      </c>
      <c r="C923">
        <v>183.01</v>
      </c>
      <c r="D923">
        <v>183.06</v>
      </c>
      <c r="E923">
        <v>184.45</v>
      </c>
      <c r="F923">
        <v>118.9</v>
      </c>
      <c r="G923">
        <v>110.17</v>
      </c>
      <c r="H923">
        <v>102.56</v>
      </c>
      <c r="I923">
        <v>113.23</v>
      </c>
      <c r="J923">
        <v>94.84</v>
      </c>
      <c r="K923">
        <v>29.12</v>
      </c>
    </row>
    <row r="924" spans="1:11">
      <c r="A924">
        <v>115</v>
      </c>
      <c r="B924">
        <v>194.67</v>
      </c>
      <c r="C924">
        <v>182.95</v>
      </c>
      <c r="D924">
        <v>183.17</v>
      </c>
      <c r="E924">
        <v>184.45</v>
      </c>
      <c r="F924">
        <v>119.01</v>
      </c>
      <c r="G924">
        <v>110.23</v>
      </c>
      <c r="H924">
        <v>102.67</v>
      </c>
      <c r="I924">
        <v>113.45</v>
      </c>
      <c r="J924">
        <v>95.01</v>
      </c>
      <c r="K924">
        <v>29.12</v>
      </c>
    </row>
    <row r="925" spans="1:11">
      <c r="A925">
        <v>115.17</v>
      </c>
      <c r="B925">
        <v>195.17</v>
      </c>
      <c r="C925">
        <v>183.01</v>
      </c>
      <c r="D925">
        <v>183.12</v>
      </c>
      <c r="E925">
        <v>184.34</v>
      </c>
      <c r="F925">
        <v>119.01</v>
      </c>
      <c r="G925">
        <v>110.23</v>
      </c>
      <c r="H925">
        <v>103.01</v>
      </c>
      <c r="I925">
        <v>113.62</v>
      </c>
      <c r="J925">
        <v>95.01</v>
      </c>
      <c r="K925">
        <v>29.12</v>
      </c>
    </row>
    <row r="926" spans="1:11">
      <c r="A926">
        <v>115.33</v>
      </c>
      <c r="B926">
        <v>195.67</v>
      </c>
      <c r="C926">
        <v>182.84</v>
      </c>
      <c r="D926">
        <v>183.17</v>
      </c>
      <c r="E926">
        <v>184.28</v>
      </c>
      <c r="F926">
        <v>119.06</v>
      </c>
      <c r="G926">
        <v>110.34</v>
      </c>
      <c r="H926">
        <v>103.06</v>
      </c>
      <c r="I926">
        <v>113.4</v>
      </c>
      <c r="J926">
        <v>95.12</v>
      </c>
      <c r="K926">
        <v>29.12</v>
      </c>
    </row>
    <row r="927" spans="1:11">
      <c r="A927">
        <v>115.5</v>
      </c>
      <c r="B927">
        <v>195.84</v>
      </c>
      <c r="C927">
        <v>182.73</v>
      </c>
      <c r="D927">
        <v>182.95</v>
      </c>
      <c r="E927">
        <v>184.34</v>
      </c>
      <c r="F927">
        <v>119.17</v>
      </c>
      <c r="G927">
        <v>110.4</v>
      </c>
      <c r="H927">
        <v>103.06</v>
      </c>
      <c r="I927">
        <v>113.34</v>
      </c>
      <c r="J927">
        <v>95.23</v>
      </c>
      <c r="K927">
        <v>29.12</v>
      </c>
    </row>
    <row r="928" spans="1:11">
      <c r="A928">
        <v>115.67</v>
      </c>
      <c r="B928">
        <v>195.78</v>
      </c>
      <c r="C928">
        <v>182.67</v>
      </c>
      <c r="D928">
        <v>182.78</v>
      </c>
      <c r="E928">
        <v>184.34</v>
      </c>
      <c r="F928">
        <v>119.12</v>
      </c>
      <c r="G928">
        <v>110.4</v>
      </c>
      <c r="H928">
        <v>103.06</v>
      </c>
      <c r="I928">
        <v>113.9</v>
      </c>
      <c r="J928">
        <v>95.28</v>
      </c>
      <c r="K928">
        <v>29.12</v>
      </c>
    </row>
    <row r="929" spans="1:11">
      <c r="A929">
        <v>115.83</v>
      </c>
      <c r="B929">
        <v>195.51</v>
      </c>
      <c r="C929">
        <v>182.45</v>
      </c>
      <c r="D929">
        <v>182.67</v>
      </c>
      <c r="E929">
        <v>184.51</v>
      </c>
      <c r="F929">
        <v>119.12</v>
      </c>
      <c r="G929">
        <v>110.4</v>
      </c>
      <c r="H929">
        <v>103.17</v>
      </c>
      <c r="I929">
        <v>113.9</v>
      </c>
      <c r="J929">
        <v>95.4</v>
      </c>
      <c r="K929">
        <v>29.12</v>
      </c>
    </row>
    <row r="930" spans="1:11">
      <c r="A930">
        <v>116</v>
      </c>
      <c r="B930">
        <v>195.17</v>
      </c>
      <c r="C930">
        <v>182.28</v>
      </c>
      <c r="D930">
        <v>182.45</v>
      </c>
      <c r="E930">
        <v>185.01</v>
      </c>
      <c r="F930">
        <v>119.17</v>
      </c>
      <c r="G930">
        <v>110.51</v>
      </c>
      <c r="H930">
        <v>103.23</v>
      </c>
      <c r="I930">
        <v>113.95</v>
      </c>
      <c r="J930">
        <v>95.56</v>
      </c>
      <c r="K930">
        <v>29.12</v>
      </c>
    </row>
    <row r="931" spans="1:11">
      <c r="A931">
        <v>116.17</v>
      </c>
      <c r="B931">
        <v>194.73</v>
      </c>
      <c r="C931">
        <v>182.01</v>
      </c>
      <c r="D931">
        <v>182.28</v>
      </c>
      <c r="E931">
        <v>185.73</v>
      </c>
      <c r="F931">
        <v>119.17</v>
      </c>
      <c r="G931">
        <v>110.51</v>
      </c>
      <c r="H931">
        <v>103.28</v>
      </c>
      <c r="I931">
        <v>113.67</v>
      </c>
      <c r="J931">
        <v>95.56</v>
      </c>
      <c r="K931">
        <v>29.12</v>
      </c>
    </row>
    <row r="932" spans="1:11">
      <c r="A932">
        <v>116.33</v>
      </c>
      <c r="B932">
        <v>194.56</v>
      </c>
      <c r="C932">
        <v>181.73</v>
      </c>
      <c r="D932">
        <v>182.06</v>
      </c>
      <c r="E932">
        <v>186.45</v>
      </c>
      <c r="F932">
        <v>119.17</v>
      </c>
      <c r="G932">
        <v>110.56</v>
      </c>
      <c r="H932">
        <v>103.34</v>
      </c>
      <c r="I932">
        <v>113.56</v>
      </c>
      <c r="J932">
        <v>95.67</v>
      </c>
      <c r="K932">
        <v>29.12</v>
      </c>
    </row>
    <row r="933" spans="1:11">
      <c r="A933">
        <v>116.5</v>
      </c>
      <c r="B933">
        <v>194.12</v>
      </c>
      <c r="C933">
        <v>181.62</v>
      </c>
      <c r="D933">
        <v>181.9</v>
      </c>
      <c r="E933">
        <v>186.23</v>
      </c>
      <c r="F933">
        <v>119.17</v>
      </c>
      <c r="G933">
        <v>110.56</v>
      </c>
      <c r="H933">
        <v>103.34</v>
      </c>
      <c r="I933">
        <v>113.51</v>
      </c>
      <c r="J933">
        <v>95.9</v>
      </c>
      <c r="K933">
        <v>29.12</v>
      </c>
    </row>
    <row r="934" spans="1:11">
      <c r="A934">
        <v>116.67</v>
      </c>
      <c r="B934">
        <v>193.84</v>
      </c>
      <c r="C934">
        <v>180.9</v>
      </c>
      <c r="D934">
        <v>181.4</v>
      </c>
      <c r="E934">
        <v>185.95</v>
      </c>
      <c r="F934">
        <v>119.17</v>
      </c>
      <c r="G934">
        <v>110.67</v>
      </c>
      <c r="H934">
        <v>103.34</v>
      </c>
      <c r="I934">
        <v>113.45</v>
      </c>
      <c r="J934">
        <v>95.95</v>
      </c>
      <c r="K934">
        <v>29.12</v>
      </c>
    </row>
    <row r="935" spans="1:11">
      <c r="A935">
        <v>116.83</v>
      </c>
      <c r="B935">
        <v>193.78</v>
      </c>
      <c r="C935">
        <v>180.34</v>
      </c>
      <c r="D935">
        <v>180.84</v>
      </c>
      <c r="E935">
        <v>185.84</v>
      </c>
      <c r="F935">
        <v>119.23</v>
      </c>
      <c r="G935">
        <v>110.78</v>
      </c>
      <c r="H935">
        <v>103.56</v>
      </c>
      <c r="I935">
        <v>113.51</v>
      </c>
      <c r="J935">
        <v>96.06</v>
      </c>
      <c r="K935">
        <v>29.12</v>
      </c>
    </row>
    <row r="936" spans="1:11">
      <c r="A936">
        <v>117</v>
      </c>
      <c r="B936">
        <v>193.34</v>
      </c>
      <c r="C936">
        <v>179.84</v>
      </c>
      <c r="D936">
        <v>180.23</v>
      </c>
      <c r="E936">
        <v>185.73</v>
      </c>
      <c r="F936">
        <v>119.23</v>
      </c>
      <c r="G936">
        <v>110.84</v>
      </c>
      <c r="H936">
        <v>103.56</v>
      </c>
      <c r="I936">
        <v>113.51</v>
      </c>
      <c r="J936">
        <v>96.12</v>
      </c>
      <c r="K936">
        <v>29.12</v>
      </c>
    </row>
    <row r="937" spans="1:11">
      <c r="A937">
        <v>117.17</v>
      </c>
      <c r="B937">
        <v>193.01</v>
      </c>
      <c r="C937">
        <v>179.34</v>
      </c>
      <c r="D937">
        <v>179.67</v>
      </c>
      <c r="E937">
        <v>185.67</v>
      </c>
      <c r="F937">
        <v>119.23</v>
      </c>
      <c r="G937">
        <v>111.01</v>
      </c>
      <c r="H937">
        <v>103.84</v>
      </c>
      <c r="I937">
        <v>113.4</v>
      </c>
      <c r="J937">
        <v>96.28</v>
      </c>
      <c r="K937">
        <v>29.12</v>
      </c>
    </row>
    <row r="938" spans="1:11">
      <c r="A938">
        <v>117.33</v>
      </c>
      <c r="B938">
        <v>192.9</v>
      </c>
      <c r="C938">
        <v>178.84</v>
      </c>
      <c r="D938">
        <v>179.12</v>
      </c>
      <c r="E938">
        <v>185.73</v>
      </c>
      <c r="F938">
        <v>119.23</v>
      </c>
      <c r="G938">
        <v>111.06</v>
      </c>
      <c r="H938">
        <v>104.12</v>
      </c>
      <c r="I938">
        <v>113.51</v>
      </c>
      <c r="J938">
        <v>96.34</v>
      </c>
      <c r="K938">
        <v>29.12</v>
      </c>
    </row>
    <row r="939" spans="1:11">
      <c r="A939">
        <v>117.5</v>
      </c>
      <c r="B939">
        <v>192.45</v>
      </c>
      <c r="C939">
        <v>178.73</v>
      </c>
      <c r="D939">
        <v>178.73</v>
      </c>
      <c r="E939">
        <v>185.67</v>
      </c>
      <c r="F939">
        <v>119.45</v>
      </c>
      <c r="G939">
        <v>111.17</v>
      </c>
      <c r="H939">
        <v>104.17</v>
      </c>
      <c r="I939">
        <v>113.62</v>
      </c>
      <c r="J939">
        <v>96.45</v>
      </c>
      <c r="K939">
        <v>29.12</v>
      </c>
    </row>
    <row r="940" spans="1:11">
      <c r="A940">
        <v>117.67</v>
      </c>
      <c r="B940">
        <v>192.17</v>
      </c>
      <c r="C940">
        <v>178.67</v>
      </c>
      <c r="D940">
        <v>178.51</v>
      </c>
      <c r="E940">
        <v>185.62</v>
      </c>
      <c r="F940">
        <v>119.62</v>
      </c>
      <c r="G940">
        <v>111.34</v>
      </c>
      <c r="H940">
        <v>104.45</v>
      </c>
      <c r="I940">
        <v>113.73</v>
      </c>
      <c r="J940">
        <v>96.51</v>
      </c>
      <c r="K940">
        <v>29.12</v>
      </c>
    </row>
    <row r="941" spans="1:11">
      <c r="A941">
        <v>117.83</v>
      </c>
      <c r="B941">
        <v>192.01</v>
      </c>
      <c r="C941">
        <v>178.51</v>
      </c>
      <c r="D941">
        <v>178.4</v>
      </c>
      <c r="E941">
        <v>185.51</v>
      </c>
      <c r="F941">
        <v>119.67</v>
      </c>
      <c r="G941">
        <v>111.4</v>
      </c>
      <c r="H941">
        <v>104.51</v>
      </c>
      <c r="I941">
        <v>114.78</v>
      </c>
      <c r="J941">
        <v>96.62</v>
      </c>
      <c r="K941">
        <v>29.12</v>
      </c>
    </row>
    <row r="942" spans="1:11">
      <c r="A942">
        <v>118</v>
      </c>
      <c r="B942">
        <v>192.56</v>
      </c>
      <c r="C942">
        <v>178.51</v>
      </c>
      <c r="D942">
        <v>178.4</v>
      </c>
      <c r="E942">
        <v>185.56</v>
      </c>
      <c r="F942">
        <v>119.84</v>
      </c>
      <c r="G942">
        <v>111.73</v>
      </c>
      <c r="H942">
        <v>104.73</v>
      </c>
      <c r="I942">
        <v>115.34</v>
      </c>
      <c r="J942">
        <v>96.73</v>
      </c>
      <c r="K942">
        <v>29.12</v>
      </c>
    </row>
    <row r="943" spans="1:11">
      <c r="A943">
        <v>118.17</v>
      </c>
      <c r="B943">
        <v>193.4</v>
      </c>
      <c r="C943">
        <v>178.51</v>
      </c>
      <c r="D943">
        <v>178.51</v>
      </c>
      <c r="E943">
        <v>185.56</v>
      </c>
      <c r="F943">
        <v>119.95</v>
      </c>
      <c r="G943">
        <v>111.84</v>
      </c>
      <c r="H943">
        <v>104.84</v>
      </c>
      <c r="I943">
        <v>115.23</v>
      </c>
      <c r="J943">
        <v>96.84</v>
      </c>
      <c r="K943">
        <v>29.12</v>
      </c>
    </row>
    <row r="944" spans="1:11">
      <c r="A944">
        <v>118.33</v>
      </c>
      <c r="B944">
        <v>193.78</v>
      </c>
      <c r="C944">
        <v>178.4</v>
      </c>
      <c r="D944">
        <v>178.51</v>
      </c>
      <c r="E944">
        <v>185.51</v>
      </c>
      <c r="F944">
        <v>120.12</v>
      </c>
      <c r="G944">
        <v>111.95</v>
      </c>
      <c r="H944">
        <v>104.84</v>
      </c>
      <c r="I944">
        <v>115.01</v>
      </c>
      <c r="J944">
        <v>96.84</v>
      </c>
      <c r="K944">
        <v>29.12</v>
      </c>
    </row>
    <row r="945" spans="1:11">
      <c r="A945">
        <v>118.5</v>
      </c>
      <c r="B945">
        <v>193.9</v>
      </c>
      <c r="C945">
        <v>178.34</v>
      </c>
      <c r="D945">
        <v>178.51</v>
      </c>
      <c r="E945">
        <v>185.45</v>
      </c>
      <c r="F945">
        <v>120.4</v>
      </c>
      <c r="G945">
        <v>112.12</v>
      </c>
      <c r="H945">
        <v>104.9</v>
      </c>
      <c r="I945">
        <v>115.17</v>
      </c>
      <c r="J945">
        <v>96.95</v>
      </c>
      <c r="K945">
        <v>29.12</v>
      </c>
    </row>
    <row r="946" spans="1:11">
      <c r="A946">
        <v>118.67</v>
      </c>
      <c r="B946">
        <v>193.73</v>
      </c>
      <c r="C946">
        <v>178.51</v>
      </c>
      <c r="D946">
        <v>178.84</v>
      </c>
      <c r="E946">
        <v>185.34</v>
      </c>
      <c r="F946">
        <v>120.45</v>
      </c>
      <c r="G946">
        <v>112.34</v>
      </c>
      <c r="H946">
        <v>104.84</v>
      </c>
      <c r="I946">
        <v>115.34</v>
      </c>
      <c r="J946">
        <v>97.06</v>
      </c>
      <c r="K946">
        <v>29.12</v>
      </c>
    </row>
    <row r="947" spans="1:11">
      <c r="A947">
        <v>118.83</v>
      </c>
      <c r="B947">
        <v>193.4</v>
      </c>
      <c r="C947">
        <v>179.23</v>
      </c>
      <c r="D947">
        <v>179.73</v>
      </c>
      <c r="E947">
        <v>185.06</v>
      </c>
      <c r="F947">
        <v>120.51</v>
      </c>
      <c r="G947">
        <v>112.4</v>
      </c>
      <c r="H947">
        <v>105.56</v>
      </c>
      <c r="I947">
        <v>114.9</v>
      </c>
      <c r="J947">
        <v>97.06</v>
      </c>
      <c r="K947">
        <v>29.12</v>
      </c>
    </row>
    <row r="948" spans="1:11">
      <c r="A948">
        <v>119</v>
      </c>
      <c r="B948">
        <v>193.06</v>
      </c>
      <c r="C948">
        <v>181.12</v>
      </c>
      <c r="D948">
        <v>181.62</v>
      </c>
      <c r="E948">
        <v>185.17</v>
      </c>
      <c r="F948">
        <v>120.67</v>
      </c>
      <c r="G948">
        <v>112.56</v>
      </c>
      <c r="H948">
        <v>105.78</v>
      </c>
      <c r="I948">
        <v>114.73</v>
      </c>
      <c r="J948">
        <v>97.23</v>
      </c>
      <c r="K948">
        <v>29.12</v>
      </c>
    </row>
    <row r="949" spans="1:11">
      <c r="A949">
        <v>119.17</v>
      </c>
      <c r="B949">
        <v>192.56</v>
      </c>
      <c r="C949">
        <v>181.78</v>
      </c>
      <c r="D949">
        <v>182.51</v>
      </c>
      <c r="E949">
        <v>186.23</v>
      </c>
      <c r="F949">
        <v>120.67</v>
      </c>
      <c r="G949">
        <v>112.73</v>
      </c>
      <c r="H949">
        <v>105.9</v>
      </c>
      <c r="I949">
        <v>114.73</v>
      </c>
      <c r="J949">
        <v>97.28</v>
      </c>
      <c r="K949">
        <v>29.12</v>
      </c>
    </row>
    <row r="950" spans="1:11">
      <c r="A950">
        <v>119.33</v>
      </c>
      <c r="B950">
        <v>192.28</v>
      </c>
      <c r="C950">
        <v>181.95</v>
      </c>
      <c r="D950">
        <v>182.67</v>
      </c>
      <c r="E950">
        <v>186.67</v>
      </c>
      <c r="F950">
        <v>120.73</v>
      </c>
      <c r="G950">
        <v>112.78</v>
      </c>
      <c r="H950">
        <v>105.9</v>
      </c>
      <c r="I950">
        <v>114.67</v>
      </c>
      <c r="J950">
        <v>97.45</v>
      </c>
      <c r="K950">
        <v>29.12</v>
      </c>
    </row>
    <row r="951" spans="1:11">
      <c r="A951">
        <v>119.5</v>
      </c>
      <c r="B951">
        <v>191.78</v>
      </c>
      <c r="C951">
        <v>181.73</v>
      </c>
      <c r="D951">
        <v>182.45</v>
      </c>
      <c r="E951">
        <v>186.78</v>
      </c>
      <c r="F951">
        <v>120.78</v>
      </c>
      <c r="G951">
        <v>112.95</v>
      </c>
      <c r="H951">
        <v>106.28</v>
      </c>
      <c r="I951">
        <v>115.01</v>
      </c>
      <c r="J951">
        <v>97.51</v>
      </c>
      <c r="K951">
        <v>29.12</v>
      </c>
    </row>
    <row r="952" spans="1:11">
      <c r="A952">
        <v>119.67</v>
      </c>
      <c r="B952">
        <v>191.23</v>
      </c>
      <c r="C952">
        <v>181.62</v>
      </c>
      <c r="D952">
        <v>182.17</v>
      </c>
      <c r="E952">
        <v>186.06</v>
      </c>
      <c r="F952">
        <v>120.78</v>
      </c>
      <c r="G952">
        <v>113.12</v>
      </c>
      <c r="H952">
        <v>106.4</v>
      </c>
      <c r="I952">
        <v>114.95</v>
      </c>
      <c r="J952">
        <v>97.56</v>
      </c>
      <c r="K952">
        <v>29.12</v>
      </c>
    </row>
    <row r="953" spans="1:11">
      <c r="A953">
        <v>119.83</v>
      </c>
      <c r="B953">
        <v>190.56</v>
      </c>
      <c r="C953">
        <v>181.45</v>
      </c>
      <c r="D953">
        <v>181.84</v>
      </c>
      <c r="E953">
        <v>185.62</v>
      </c>
      <c r="F953">
        <v>120.95</v>
      </c>
      <c r="G953">
        <v>113.12</v>
      </c>
      <c r="H953">
        <v>106.56</v>
      </c>
      <c r="I953">
        <v>114.84</v>
      </c>
      <c r="J953">
        <v>97.62</v>
      </c>
      <c r="K953">
        <v>29.12</v>
      </c>
    </row>
    <row r="954" spans="1:11">
      <c r="A954">
        <v>120</v>
      </c>
      <c r="B954">
        <v>189.28</v>
      </c>
      <c r="C954">
        <v>181.23</v>
      </c>
      <c r="D954">
        <v>181.51</v>
      </c>
      <c r="E954">
        <v>185.12</v>
      </c>
      <c r="F954">
        <v>121.23</v>
      </c>
      <c r="G954">
        <v>113.28</v>
      </c>
      <c r="H954">
        <v>106.73</v>
      </c>
      <c r="I954">
        <v>114.9</v>
      </c>
      <c r="J954">
        <v>97.78</v>
      </c>
      <c r="K954">
        <v>29.12</v>
      </c>
    </row>
    <row r="955" spans="1:11">
      <c r="A955">
        <v>120.17</v>
      </c>
      <c r="B955">
        <v>188.4</v>
      </c>
      <c r="C955">
        <v>181.12</v>
      </c>
      <c r="D955">
        <v>181.23</v>
      </c>
      <c r="E955">
        <v>183.9</v>
      </c>
      <c r="F955">
        <v>121.4</v>
      </c>
      <c r="G955">
        <v>113.34</v>
      </c>
      <c r="H955">
        <v>106.56</v>
      </c>
      <c r="I955">
        <v>114.56</v>
      </c>
      <c r="J955">
        <v>97.78</v>
      </c>
      <c r="K955">
        <v>29.12</v>
      </c>
    </row>
    <row r="956" spans="1:11">
      <c r="A956">
        <v>120.33</v>
      </c>
      <c r="B956">
        <v>187.62</v>
      </c>
      <c r="C956">
        <v>181.12</v>
      </c>
      <c r="D956">
        <v>181.17</v>
      </c>
      <c r="E956">
        <v>183.34</v>
      </c>
      <c r="F956">
        <v>121.45</v>
      </c>
      <c r="G956">
        <v>113.34</v>
      </c>
      <c r="H956">
        <v>106.84</v>
      </c>
      <c r="I956">
        <v>114.45</v>
      </c>
      <c r="J956">
        <v>97.95</v>
      </c>
      <c r="K956">
        <v>29.12</v>
      </c>
    </row>
    <row r="957" spans="1:11">
      <c r="A957">
        <v>120.5</v>
      </c>
      <c r="B957">
        <v>185.78</v>
      </c>
      <c r="C957">
        <v>181.4</v>
      </c>
      <c r="D957">
        <v>181.34</v>
      </c>
      <c r="E957">
        <v>182.78</v>
      </c>
      <c r="F957">
        <v>121.45</v>
      </c>
      <c r="G957">
        <v>113.4</v>
      </c>
      <c r="H957">
        <v>106.95</v>
      </c>
      <c r="I957">
        <v>114.4</v>
      </c>
      <c r="J957">
        <v>97.95</v>
      </c>
      <c r="K957">
        <v>29.12</v>
      </c>
    </row>
    <row r="958" spans="1:11">
      <c r="A958">
        <v>120.67</v>
      </c>
      <c r="B958">
        <v>183.28</v>
      </c>
      <c r="C958">
        <v>181.34</v>
      </c>
      <c r="D958">
        <v>181.23</v>
      </c>
      <c r="E958">
        <v>180.34</v>
      </c>
      <c r="F958">
        <v>121.4</v>
      </c>
      <c r="G958">
        <v>113.45</v>
      </c>
      <c r="H958">
        <v>106.9</v>
      </c>
      <c r="I958">
        <v>114.56</v>
      </c>
      <c r="J958">
        <v>98.12</v>
      </c>
      <c r="K958">
        <v>29.12</v>
      </c>
    </row>
    <row r="959" spans="1:11">
      <c r="A959">
        <v>120.83</v>
      </c>
      <c r="B959">
        <v>182.62</v>
      </c>
      <c r="C959">
        <v>179.84</v>
      </c>
      <c r="D959">
        <v>180.28</v>
      </c>
      <c r="E959">
        <v>177.34</v>
      </c>
      <c r="F959">
        <v>121.45</v>
      </c>
      <c r="G959">
        <v>113.56</v>
      </c>
      <c r="H959">
        <v>106.95</v>
      </c>
      <c r="I959">
        <v>114.51</v>
      </c>
      <c r="J959">
        <v>98.17</v>
      </c>
      <c r="K959">
        <v>29.12</v>
      </c>
    </row>
    <row r="960" spans="1:11">
      <c r="A960">
        <v>121</v>
      </c>
      <c r="B960">
        <v>181.73</v>
      </c>
      <c r="C960">
        <v>178.4</v>
      </c>
      <c r="D960">
        <v>179.06</v>
      </c>
      <c r="E960">
        <v>174.73</v>
      </c>
      <c r="F960">
        <v>121.45</v>
      </c>
      <c r="G960">
        <v>113.51</v>
      </c>
      <c r="H960">
        <v>106.9</v>
      </c>
      <c r="I960">
        <v>114.45</v>
      </c>
      <c r="J960">
        <v>98.28</v>
      </c>
      <c r="K960">
        <v>29.17</v>
      </c>
    </row>
    <row r="961" spans="1:11">
      <c r="A961">
        <v>121.17</v>
      </c>
      <c r="B961">
        <v>179.06</v>
      </c>
      <c r="C961">
        <v>178.01</v>
      </c>
      <c r="D961">
        <v>178.62</v>
      </c>
      <c r="E961">
        <v>172.28</v>
      </c>
      <c r="F961">
        <v>121.4</v>
      </c>
      <c r="G961">
        <v>113.51</v>
      </c>
      <c r="H961">
        <v>107.01</v>
      </c>
      <c r="I961">
        <v>114.23</v>
      </c>
      <c r="J961">
        <v>98.4</v>
      </c>
      <c r="K961">
        <v>29.12</v>
      </c>
    </row>
    <row r="962" spans="1:11">
      <c r="A962">
        <v>121.33</v>
      </c>
      <c r="B962">
        <v>176.17</v>
      </c>
      <c r="C962">
        <v>177.62</v>
      </c>
      <c r="D962">
        <v>178.23</v>
      </c>
      <c r="E962">
        <v>170.17</v>
      </c>
      <c r="F962">
        <v>121.28</v>
      </c>
      <c r="G962">
        <v>113.56</v>
      </c>
      <c r="H962">
        <v>106.84</v>
      </c>
      <c r="I962">
        <v>113.9</v>
      </c>
      <c r="J962">
        <v>98.4</v>
      </c>
      <c r="K962">
        <v>29.12</v>
      </c>
    </row>
    <row r="963" spans="1:11">
      <c r="A963">
        <v>121.5</v>
      </c>
      <c r="B963">
        <v>174.62</v>
      </c>
      <c r="C963">
        <v>177.28</v>
      </c>
      <c r="D963">
        <v>177.9</v>
      </c>
      <c r="E963">
        <v>168.28</v>
      </c>
      <c r="F963">
        <v>121.12</v>
      </c>
      <c r="G963">
        <v>113.56</v>
      </c>
      <c r="H963">
        <v>106.67</v>
      </c>
      <c r="I963">
        <v>113.67</v>
      </c>
      <c r="J963">
        <v>98.51</v>
      </c>
      <c r="K963">
        <v>29.17</v>
      </c>
    </row>
    <row r="964" spans="1:11">
      <c r="A964">
        <v>121.67</v>
      </c>
      <c r="B964">
        <v>172.17</v>
      </c>
      <c r="C964">
        <v>177.73</v>
      </c>
      <c r="D964">
        <v>178.62</v>
      </c>
      <c r="E964">
        <v>167.78</v>
      </c>
      <c r="F964">
        <v>121.01</v>
      </c>
      <c r="G964">
        <v>113.56</v>
      </c>
      <c r="H964">
        <v>106.56</v>
      </c>
      <c r="I964">
        <v>113.45</v>
      </c>
      <c r="J964">
        <v>98.56</v>
      </c>
      <c r="K964">
        <v>29.12</v>
      </c>
    </row>
    <row r="965" spans="1:11">
      <c r="A965">
        <v>121.83</v>
      </c>
      <c r="B965">
        <v>170.84</v>
      </c>
      <c r="C965">
        <v>179.45</v>
      </c>
      <c r="D965">
        <v>180.56</v>
      </c>
      <c r="E965">
        <v>164.73</v>
      </c>
      <c r="F965">
        <v>120.9</v>
      </c>
      <c r="G965">
        <v>113.56</v>
      </c>
      <c r="H965">
        <v>106.4</v>
      </c>
      <c r="I965">
        <v>113.12</v>
      </c>
      <c r="J965">
        <v>98.67</v>
      </c>
      <c r="K965">
        <v>29.12</v>
      </c>
    </row>
    <row r="966" spans="1:11">
      <c r="A966">
        <v>122</v>
      </c>
      <c r="B966">
        <v>169.51</v>
      </c>
      <c r="C966">
        <v>180.17</v>
      </c>
      <c r="D966">
        <v>181.34</v>
      </c>
      <c r="E966">
        <v>163.01</v>
      </c>
      <c r="F966">
        <v>120.9</v>
      </c>
      <c r="G966">
        <v>113.56</v>
      </c>
      <c r="H966">
        <v>106.23</v>
      </c>
      <c r="I966">
        <v>113.12</v>
      </c>
      <c r="J966">
        <v>98.78</v>
      </c>
      <c r="K966">
        <v>29.12</v>
      </c>
    </row>
    <row r="967" spans="1:11">
      <c r="A967">
        <v>122.17</v>
      </c>
      <c r="B967">
        <v>169.34</v>
      </c>
      <c r="C967">
        <v>180.01</v>
      </c>
      <c r="D967">
        <v>181.01</v>
      </c>
      <c r="E967">
        <v>161.62</v>
      </c>
      <c r="F967">
        <v>120.78</v>
      </c>
      <c r="G967">
        <v>113.45</v>
      </c>
      <c r="H967">
        <v>106.17</v>
      </c>
      <c r="I967">
        <v>113.12</v>
      </c>
      <c r="J967">
        <v>98.78</v>
      </c>
      <c r="K967">
        <v>29.17</v>
      </c>
    </row>
    <row r="968" spans="1:11">
      <c r="A968">
        <v>122.33</v>
      </c>
      <c r="B968">
        <v>169.17</v>
      </c>
      <c r="C968">
        <v>179.78</v>
      </c>
      <c r="D968">
        <v>180.56</v>
      </c>
      <c r="E968">
        <v>159.4</v>
      </c>
      <c r="F968">
        <v>120.78</v>
      </c>
      <c r="G968">
        <v>113.56</v>
      </c>
      <c r="H968">
        <v>106.06</v>
      </c>
      <c r="I968">
        <v>112.84</v>
      </c>
      <c r="J968">
        <v>98.9</v>
      </c>
      <c r="K968">
        <v>29.12</v>
      </c>
    </row>
    <row r="969" spans="1:11">
      <c r="A969">
        <v>122.5</v>
      </c>
      <c r="B969">
        <v>168.73</v>
      </c>
      <c r="C969">
        <v>179.84</v>
      </c>
      <c r="D969">
        <v>180.34</v>
      </c>
      <c r="E969">
        <v>156.84</v>
      </c>
      <c r="F969">
        <v>120.78</v>
      </c>
      <c r="G969">
        <v>113.51</v>
      </c>
      <c r="H969">
        <v>106.12</v>
      </c>
      <c r="I969">
        <v>112.78</v>
      </c>
      <c r="J969">
        <v>99.06</v>
      </c>
      <c r="K969">
        <v>29.17</v>
      </c>
    </row>
    <row r="970" spans="1:11">
      <c r="A970">
        <v>122.67</v>
      </c>
      <c r="B970">
        <v>167.84</v>
      </c>
      <c r="C970">
        <v>179.51</v>
      </c>
      <c r="D970">
        <v>179.95</v>
      </c>
      <c r="E970">
        <v>154.66999999999999</v>
      </c>
      <c r="F970">
        <v>120.51</v>
      </c>
      <c r="G970">
        <v>113.51</v>
      </c>
      <c r="H970">
        <v>106.01</v>
      </c>
      <c r="I970">
        <v>112.45</v>
      </c>
      <c r="J970">
        <v>99.06</v>
      </c>
      <c r="K970">
        <v>29.17</v>
      </c>
    </row>
    <row r="971" spans="1:11">
      <c r="A971">
        <v>122.83</v>
      </c>
      <c r="B971">
        <v>165.95</v>
      </c>
      <c r="C971">
        <v>179.23</v>
      </c>
      <c r="D971">
        <v>179.67</v>
      </c>
      <c r="E971">
        <v>153.28</v>
      </c>
      <c r="F971">
        <v>120.51</v>
      </c>
      <c r="G971">
        <v>113.56</v>
      </c>
      <c r="H971">
        <v>105.95</v>
      </c>
      <c r="I971">
        <v>112.34</v>
      </c>
      <c r="J971">
        <v>99.23</v>
      </c>
      <c r="K971">
        <v>29.17</v>
      </c>
    </row>
    <row r="972" spans="1:11">
      <c r="A972">
        <v>123</v>
      </c>
      <c r="B972">
        <v>163.51</v>
      </c>
      <c r="C972">
        <v>179.01</v>
      </c>
      <c r="D972">
        <v>179.23</v>
      </c>
      <c r="E972">
        <v>152.22999999999999</v>
      </c>
      <c r="F972">
        <v>120.4</v>
      </c>
      <c r="G972">
        <v>113.45</v>
      </c>
      <c r="H972">
        <v>106.01</v>
      </c>
      <c r="I972">
        <v>112.06</v>
      </c>
      <c r="J972">
        <v>99.23</v>
      </c>
      <c r="K972">
        <v>29.17</v>
      </c>
    </row>
    <row r="973" spans="1:11">
      <c r="A973">
        <v>123.17</v>
      </c>
      <c r="B973">
        <v>160.22999999999999</v>
      </c>
      <c r="C973">
        <v>178.67</v>
      </c>
      <c r="D973">
        <v>178.9</v>
      </c>
      <c r="E973">
        <v>151.06</v>
      </c>
      <c r="F973">
        <v>120.34</v>
      </c>
      <c r="G973">
        <v>113.4</v>
      </c>
      <c r="H973">
        <v>106.01</v>
      </c>
      <c r="I973">
        <v>112.17</v>
      </c>
      <c r="J973">
        <v>99.4</v>
      </c>
      <c r="K973">
        <v>29.17</v>
      </c>
    </row>
    <row r="974" spans="1:11">
      <c r="A974">
        <v>123.33</v>
      </c>
      <c r="B974">
        <v>156.94999999999999</v>
      </c>
      <c r="C974">
        <v>177.9</v>
      </c>
      <c r="D974">
        <v>178.4</v>
      </c>
      <c r="E974">
        <v>149.66999999999999</v>
      </c>
      <c r="F974">
        <v>120.28</v>
      </c>
      <c r="G974">
        <v>113.45</v>
      </c>
      <c r="H974">
        <v>106.23</v>
      </c>
      <c r="I974">
        <v>112.17</v>
      </c>
      <c r="J974">
        <v>99.4</v>
      </c>
      <c r="K974">
        <v>29.17</v>
      </c>
    </row>
    <row r="975" spans="1:11">
      <c r="A975">
        <v>123.5</v>
      </c>
      <c r="B975">
        <v>154.56</v>
      </c>
      <c r="C975">
        <v>176.06</v>
      </c>
      <c r="D975">
        <v>176.84</v>
      </c>
      <c r="E975">
        <v>146.84</v>
      </c>
      <c r="F975">
        <v>120.12</v>
      </c>
      <c r="G975">
        <v>113.45</v>
      </c>
      <c r="H975">
        <v>106.17</v>
      </c>
      <c r="I975">
        <v>112.17</v>
      </c>
      <c r="J975">
        <v>99.56</v>
      </c>
      <c r="K975">
        <v>29.17</v>
      </c>
    </row>
    <row r="976" spans="1:11">
      <c r="A976">
        <v>123.67</v>
      </c>
      <c r="B976">
        <v>152.12</v>
      </c>
      <c r="C976">
        <v>174.62</v>
      </c>
      <c r="D976">
        <v>175.62</v>
      </c>
      <c r="E976">
        <v>144.56</v>
      </c>
      <c r="F976">
        <v>119.9</v>
      </c>
      <c r="G976">
        <v>113.4</v>
      </c>
      <c r="H976">
        <v>106.12</v>
      </c>
      <c r="I976">
        <v>112.01</v>
      </c>
      <c r="J976">
        <v>99.62</v>
      </c>
      <c r="K976">
        <v>29.17</v>
      </c>
    </row>
    <row r="977" spans="1:11">
      <c r="A977">
        <v>123.83</v>
      </c>
      <c r="B977">
        <v>150.78</v>
      </c>
      <c r="C977">
        <v>173.78</v>
      </c>
      <c r="D977">
        <v>174.84</v>
      </c>
      <c r="E977">
        <v>142.56</v>
      </c>
      <c r="F977">
        <v>119.73</v>
      </c>
      <c r="G977">
        <v>113.28</v>
      </c>
      <c r="H977">
        <v>106.01</v>
      </c>
      <c r="I977">
        <v>111.84</v>
      </c>
      <c r="J977">
        <v>99.67</v>
      </c>
      <c r="K977">
        <v>29.17</v>
      </c>
    </row>
    <row r="978" spans="1:11">
      <c r="A978">
        <v>124</v>
      </c>
      <c r="B978">
        <v>150.28</v>
      </c>
      <c r="C978">
        <v>173.56</v>
      </c>
      <c r="D978">
        <v>174.51</v>
      </c>
      <c r="E978">
        <v>141.12</v>
      </c>
      <c r="F978">
        <v>119.45</v>
      </c>
      <c r="G978">
        <v>113.28</v>
      </c>
      <c r="H978">
        <v>105.84</v>
      </c>
      <c r="I978">
        <v>111.56</v>
      </c>
      <c r="J978">
        <v>99.73</v>
      </c>
      <c r="K978">
        <v>29.17</v>
      </c>
    </row>
    <row r="979" spans="1:11">
      <c r="A979">
        <v>124.17</v>
      </c>
      <c r="B979">
        <v>151.01</v>
      </c>
      <c r="C979">
        <v>173.78</v>
      </c>
      <c r="D979">
        <v>174.45</v>
      </c>
      <c r="E979">
        <v>140.34</v>
      </c>
      <c r="F979">
        <v>119.17</v>
      </c>
      <c r="G979">
        <v>113.23</v>
      </c>
      <c r="H979">
        <v>105.67</v>
      </c>
      <c r="I979">
        <v>111.4</v>
      </c>
      <c r="J979">
        <v>99.9</v>
      </c>
      <c r="K979">
        <v>29.17</v>
      </c>
    </row>
    <row r="980" spans="1:11">
      <c r="A980">
        <v>124.33</v>
      </c>
      <c r="B980">
        <v>151.62</v>
      </c>
      <c r="C980">
        <v>173.45</v>
      </c>
      <c r="D980">
        <v>174.06</v>
      </c>
      <c r="E980">
        <v>139.16999999999999</v>
      </c>
      <c r="F980">
        <v>119.06</v>
      </c>
      <c r="G980">
        <v>113.12</v>
      </c>
      <c r="H980">
        <v>105.45</v>
      </c>
      <c r="I980">
        <v>111.17</v>
      </c>
      <c r="J980">
        <v>99.95</v>
      </c>
      <c r="K980">
        <v>29.17</v>
      </c>
    </row>
    <row r="981" spans="1:11">
      <c r="A981">
        <v>124.5</v>
      </c>
      <c r="B981">
        <v>152.12</v>
      </c>
      <c r="C981">
        <v>173.45</v>
      </c>
      <c r="D981">
        <v>173.95</v>
      </c>
      <c r="E981">
        <v>139.9</v>
      </c>
      <c r="F981">
        <v>119.01</v>
      </c>
      <c r="G981">
        <v>113.01</v>
      </c>
      <c r="H981">
        <v>105.4</v>
      </c>
      <c r="I981">
        <v>111.17</v>
      </c>
      <c r="J981">
        <v>100.06</v>
      </c>
      <c r="K981">
        <v>29.17</v>
      </c>
    </row>
    <row r="982" spans="1:11">
      <c r="A982">
        <v>124.67</v>
      </c>
      <c r="B982">
        <v>153.06</v>
      </c>
      <c r="C982">
        <v>173.62</v>
      </c>
      <c r="D982">
        <v>174.01</v>
      </c>
      <c r="E982">
        <v>140.06</v>
      </c>
      <c r="F982">
        <v>118.9</v>
      </c>
      <c r="G982">
        <v>112.95</v>
      </c>
      <c r="H982">
        <v>105.34</v>
      </c>
      <c r="I982">
        <v>111.17</v>
      </c>
      <c r="J982">
        <v>100.17</v>
      </c>
      <c r="K982">
        <v>29.17</v>
      </c>
    </row>
    <row r="983" spans="1:11">
      <c r="A983">
        <v>124.83</v>
      </c>
      <c r="B983">
        <v>153.51</v>
      </c>
      <c r="C983">
        <v>176.06</v>
      </c>
      <c r="D983">
        <v>177.23</v>
      </c>
      <c r="E983">
        <v>140.84</v>
      </c>
      <c r="F983">
        <v>118.95</v>
      </c>
      <c r="G983">
        <v>112.78</v>
      </c>
      <c r="H983">
        <v>105.23</v>
      </c>
      <c r="I983">
        <v>111.17</v>
      </c>
      <c r="J983">
        <v>100.23</v>
      </c>
      <c r="K983">
        <v>29.17</v>
      </c>
    </row>
    <row r="984" spans="1:11">
      <c r="A984">
        <v>125</v>
      </c>
      <c r="B984">
        <v>153.78</v>
      </c>
      <c r="C984">
        <v>178.73</v>
      </c>
      <c r="D984">
        <v>180.01</v>
      </c>
      <c r="E984">
        <v>141.94999999999999</v>
      </c>
      <c r="F984">
        <v>119.17</v>
      </c>
      <c r="G984">
        <v>112.62</v>
      </c>
      <c r="H984">
        <v>105.12</v>
      </c>
      <c r="I984">
        <v>111.06</v>
      </c>
      <c r="J984">
        <v>100.28</v>
      </c>
      <c r="K984">
        <v>29.17</v>
      </c>
    </row>
    <row r="985" spans="1:11">
      <c r="A985">
        <v>125.17</v>
      </c>
      <c r="B985">
        <v>154.06</v>
      </c>
      <c r="C985">
        <v>178.51</v>
      </c>
      <c r="D985">
        <v>179.67</v>
      </c>
      <c r="E985">
        <v>143.94999999999999</v>
      </c>
      <c r="F985">
        <v>119.23</v>
      </c>
      <c r="G985">
        <v>112.67</v>
      </c>
      <c r="H985">
        <v>105.23</v>
      </c>
      <c r="I985">
        <v>110.95</v>
      </c>
      <c r="J985">
        <v>100.4</v>
      </c>
      <c r="K985">
        <v>29.17</v>
      </c>
    </row>
    <row r="986" spans="1:11">
      <c r="A986">
        <v>125.33</v>
      </c>
      <c r="B986">
        <v>154.06</v>
      </c>
      <c r="C986">
        <v>177.45</v>
      </c>
      <c r="D986">
        <v>178.4</v>
      </c>
      <c r="E986">
        <v>146.56</v>
      </c>
      <c r="F986">
        <v>119.51</v>
      </c>
      <c r="G986">
        <v>112.62</v>
      </c>
      <c r="H986">
        <v>105.28</v>
      </c>
      <c r="I986">
        <v>111.23</v>
      </c>
      <c r="J986">
        <v>100.45</v>
      </c>
      <c r="K986">
        <v>29.17</v>
      </c>
    </row>
    <row r="987" spans="1:11">
      <c r="A987">
        <v>125.5</v>
      </c>
      <c r="B987">
        <v>155.78</v>
      </c>
      <c r="C987">
        <v>175.78</v>
      </c>
      <c r="D987">
        <v>176.56</v>
      </c>
      <c r="E987">
        <v>148.44999999999999</v>
      </c>
      <c r="F987">
        <v>120.01</v>
      </c>
      <c r="G987">
        <v>112.78</v>
      </c>
      <c r="H987">
        <v>105.45</v>
      </c>
      <c r="I987">
        <v>111.51</v>
      </c>
      <c r="J987">
        <v>100.62</v>
      </c>
      <c r="K987">
        <v>29.17</v>
      </c>
    </row>
    <row r="988" spans="1:11">
      <c r="A988">
        <v>125.67</v>
      </c>
      <c r="B988">
        <v>155.28</v>
      </c>
      <c r="C988">
        <v>174.95</v>
      </c>
      <c r="D988">
        <v>175.73</v>
      </c>
      <c r="E988">
        <v>150.12</v>
      </c>
      <c r="F988">
        <v>120.45</v>
      </c>
      <c r="G988">
        <v>112.9</v>
      </c>
      <c r="H988">
        <v>105.95</v>
      </c>
      <c r="I988">
        <v>111.56</v>
      </c>
      <c r="J988">
        <v>100.62</v>
      </c>
      <c r="K988">
        <v>29.17</v>
      </c>
    </row>
    <row r="989" spans="1:11">
      <c r="A989">
        <v>125.83</v>
      </c>
      <c r="B989">
        <v>155.84</v>
      </c>
      <c r="C989">
        <v>174.45</v>
      </c>
      <c r="D989">
        <v>175.06</v>
      </c>
      <c r="E989">
        <v>151.22999999999999</v>
      </c>
      <c r="F989">
        <v>120.45</v>
      </c>
      <c r="G989">
        <v>113.06</v>
      </c>
      <c r="H989">
        <v>106.01</v>
      </c>
      <c r="I989">
        <v>111.51</v>
      </c>
      <c r="J989">
        <v>100.73</v>
      </c>
      <c r="K989">
        <v>29.17</v>
      </c>
    </row>
    <row r="990" spans="1:11">
      <c r="A990">
        <v>126</v>
      </c>
      <c r="B990">
        <v>154.66999999999999</v>
      </c>
      <c r="C990">
        <v>173.95</v>
      </c>
      <c r="D990">
        <v>174.62</v>
      </c>
      <c r="E990">
        <v>150.28</v>
      </c>
      <c r="F990">
        <v>120.67</v>
      </c>
      <c r="G990">
        <v>113.28</v>
      </c>
      <c r="H990">
        <v>106.17</v>
      </c>
      <c r="I990">
        <v>111.51</v>
      </c>
      <c r="J990">
        <v>100.78</v>
      </c>
      <c r="K990">
        <v>29.17</v>
      </c>
    </row>
    <row r="991" spans="1:11">
      <c r="A991">
        <v>126.17</v>
      </c>
      <c r="B991">
        <v>152.28</v>
      </c>
      <c r="C991">
        <v>170.9</v>
      </c>
      <c r="D991">
        <v>172.34</v>
      </c>
      <c r="E991">
        <v>148.51</v>
      </c>
      <c r="F991">
        <v>121.01</v>
      </c>
      <c r="G991">
        <v>113.34</v>
      </c>
      <c r="H991">
        <v>106.23</v>
      </c>
      <c r="I991">
        <v>111.95</v>
      </c>
      <c r="J991">
        <v>100.95</v>
      </c>
      <c r="K991">
        <v>29.17</v>
      </c>
    </row>
    <row r="992" spans="1:11">
      <c r="A992">
        <v>126.33</v>
      </c>
      <c r="B992">
        <v>150.62</v>
      </c>
      <c r="C992">
        <v>168.9</v>
      </c>
      <c r="D992">
        <v>170.28</v>
      </c>
      <c r="E992">
        <v>146.9</v>
      </c>
      <c r="F992">
        <v>121.12</v>
      </c>
      <c r="G992">
        <v>113.62</v>
      </c>
      <c r="H992">
        <v>106.23</v>
      </c>
      <c r="I992">
        <v>112.51</v>
      </c>
      <c r="J992">
        <v>101.01</v>
      </c>
      <c r="K992">
        <v>29.17</v>
      </c>
    </row>
    <row r="993" spans="1:11">
      <c r="A993">
        <v>126.5</v>
      </c>
      <c r="B993">
        <v>147.62</v>
      </c>
      <c r="C993">
        <v>165.12</v>
      </c>
      <c r="D993">
        <v>167.12</v>
      </c>
      <c r="E993">
        <v>145.78</v>
      </c>
      <c r="F993">
        <v>121.28</v>
      </c>
      <c r="G993">
        <v>113.73</v>
      </c>
      <c r="H993">
        <v>106.23</v>
      </c>
      <c r="I993">
        <v>112.51</v>
      </c>
      <c r="J993">
        <v>101.06</v>
      </c>
      <c r="K993">
        <v>29.17</v>
      </c>
    </row>
    <row r="994" spans="1:11">
      <c r="A994">
        <v>126.67</v>
      </c>
      <c r="B994">
        <v>145.66999999999999</v>
      </c>
      <c r="C994">
        <v>161.84</v>
      </c>
      <c r="D994">
        <v>164.06</v>
      </c>
      <c r="E994">
        <v>143.16999999999999</v>
      </c>
      <c r="F994">
        <v>121.56</v>
      </c>
      <c r="G994">
        <v>113.9</v>
      </c>
      <c r="H994">
        <v>106.34</v>
      </c>
      <c r="I994">
        <v>112.45</v>
      </c>
      <c r="J994">
        <v>101.12</v>
      </c>
      <c r="K994">
        <v>29.17</v>
      </c>
    </row>
    <row r="995" spans="1:11">
      <c r="A995">
        <v>126.83</v>
      </c>
      <c r="B995">
        <v>147.78</v>
      </c>
      <c r="C995">
        <v>159.94999999999999</v>
      </c>
      <c r="D995">
        <v>162.28</v>
      </c>
      <c r="E995">
        <v>140.84</v>
      </c>
      <c r="F995">
        <v>121.9</v>
      </c>
      <c r="G995">
        <v>114.06</v>
      </c>
      <c r="H995">
        <v>106.56</v>
      </c>
      <c r="I995">
        <v>112.45</v>
      </c>
      <c r="J995">
        <v>101.34</v>
      </c>
      <c r="K995">
        <v>29.17</v>
      </c>
    </row>
    <row r="996" spans="1:11">
      <c r="A996">
        <v>127</v>
      </c>
      <c r="B996">
        <v>149.28</v>
      </c>
      <c r="C996">
        <v>158.28</v>
      </c>
      <c r="D996">
        <v>160.84</v>
      </c>
      <c r="E996">
        <v>139.22999999999999</v>
      </c>
      <c r="F996">
        <v>121.84</v>
      </c>
      <c r="G996">
        <v>114.23</v>
      </c>
      <c r="H996">
        <v>106.67</v>
      </c>
      <c r="I996">
        <v>112.45</v>
      </c>
      <c r="J996">
        <v>101.4</v>
      </c>
      <c r="K996">
        <v>29.17</v>
      </c>
    </row>
    <row r="997" spans="1:11">
      <c r="A997">
        <v>127.17</v>
      </c>
      <c r="B997">
        <v>148.06</v>
      </c>
      <c r="C997">
        <v>158.12</v>
      </c>
      <c r="D997">
        <v>160.22999999999999</v>
      </c>
      <c r="E997">
        <v>137.44999999999999</v>
      </c>
      <c r="F997">
        <v>121.95</v>
      </c>
      <c r="G997">
        <v>114.4</v>
      </c>
      <c r="H997">
        <v>107.06</v>
      </c>
      <c r="I997">
        <v>112.34</v>
      </c>
      <c r="J997">
        <v>101.45</v>
      </c>
      <c r="K997">
        <v>29.17</v>
      </c>
    </row>
    <row r="998" spans="1:11">
      <c r="A998">
        <v>127.33</v>
      </c>
      <c r="B998">
        <v>146.12</v>
      </c>
      <c r="C998">
        <v>157.72999999999999</v>
      </c>
      <c r="D998">
        <v>159.66999999999999</v>
      </c>
      <c r="E998">
        <v>135.4</v>
      </c>
      <c r="F998">
        <v>122.01</v>
      </c>
      <c r="G998">
        <v>114.56</v>
      </c>
      <c r="H998">
        <v>107.17</v>
      </c>
      <c r="I998">
        <v>112.28</v>
      </c>
      <c r="J998">
        <v>101.45</v>
      </c>
      <c r="K998">
        <v>29.17</v>
      </c>
    </row>
    <row r="999" spans="1:11">
      <c r="A999">
        <v>127.5</v>
      </c>
      <c r="B999">
        <v>144.06</v>
      </c>
      <c r="C999">
        <v>158.01</v>
      </c>
      <c r="D999">
        <v>159.4</v>
      </c>
      <c r="E999">
        <v>134.06</v>
      </c>
      <c r="F999">
        <v>122.23</v>
      </c>
      <c r="G999">
        <v>114.73</v>
      </c>
      <c r="H999">
        <v>107.06</v>
      </c>
      <c r="I999">
        <v>112.34</v>
      </c>
      <c r="J999">
        <v>101.67</v>
      </c>
      <c r="K999">
        <v>29.17</v>
      </c>
    </row>
    <row r="1000" spans="1:11">
      <c r="A1000">
        <v>127.67</v>
      </c>
      <c r="B1000">
        <v>142.51</v>
      </c>
      <c r="C1000">
        <v>159.72999999999999</v>
      </c>
      <c r="D1000">
        <v>161.22999999999999</v>
      </c>
      <c r="E1000">
        <v>133.34</v>
      </c>
      <c r="F1000">
        <v>122.28</v>
      </c>
      <c r="G1000">
        <v>114.78</v>
      </c>
      <c r="H1000">
        <v>107.12</v>
      </c>
      <c r="I1000">
        <v>112.34</v>
      </c>
      <c r="J1000">
        <v>101.73</v>
      </c>
      <c r="K1000">
        <v>29.17</v>
      </c>
    </row>
    <row r="1001" spans="1:11">
      <c r="A1001">
        <v>127.83</v>
      </c>
      <c r="B1001">
        <v>142.01</v>
      </c>
      <c r="C1001">
        <v>164.67</v>
      </c>
      <c r="D1001">
        <v>166.34</v>
      </c>
      <c r="E1001">
        <v>133.34</v>
      </c>
      <c r="F1001">
        <v>122.4</v>
      </c>
      <c r="G1001">
        <v>115.01</v>
      </c>
      <c r="H1001">
        <v>107.17</v>
      </c>
      <c r="I1001">
        <v>112.45</v>
      </c>
      <c r="J1001">
        <v>101.9</v>
      </c>
      <c r="K1001">
        <v>29.17</v>
      </c>
    </row>
    <row r="1002" spans="1:11">
      <c r="A1002">
        <v>128</v>
      </c>
      <c r="B1002">
        <v>143.12</v>
      </c>
      <c r="C1002">
        <v>166.95</v>
      </c>
      <c r="D1002">
        <v>168.34</v>
      </c>
      <c r="E1002">
        <v>133.9</v>
      </c>
      <c r="F1002">
        <v>122.51</v>
      </c>
      <c r="G1002">
        <v>115.01</v>
      </c>
      <c r="H1002">
        <v>107.51</v>
      </c>
      <c r="I1002">
        <v>112.62</v>
      </c>
      <c r="J1002">
        <v>101.9</v>
      </c>
      <c r="K1002">
        <v>29.17</v>
      </c>
    </row>
    <row r="1003" spans="1:11">
      <c r="A1003">
        <v>128.16999999999999</v>
      </c>
      <c r="B1003">
        <v>143.84</v>
      </c>
      <c r="C1003">
        <v>167.34</v>
      </c>
      <c r="D1003">
        <v>168.4</v>
      </c>
      <c r="E1003">
        <v>133.12</v>
      </c>
      <c r="F1003">
        <v>122.56</v>
      </c>
      <c r="G1003">
        <v>115.06</v>
      </c>
      <c r="H1003">
        <v>107.51</v>
      </c>
      <c r="I1003">
        <v>112.51</v>
      </c>
      <c r="J1003">
        <v>101.95</v>
      </c>
      <c r="K1003">
        <v>29.17</v>
      </c>
    </row>
    <row r="1004" spans="1:11">
      <c r="A1004">
        <v>128.33000000000001</v>
      </c>
      <c r="B1004">
        <v>144.01</v>
      </c>
      <c r="C1004">
        <v>167.34</v>
      </c>
      <c r="D1004">
        <v>168.28</v>
      </c>
      <c r="E1004">
        <v>133.06</v>
      </c>
      <c r="F1004">
        <v>122.62</v>
      </c>
      <c r="G1004">
        <v>115.12</v>
      </c>
      <c r="H1004">
        <v>107.56</v>
      </c>
      <c r="I1004">
        <v>112.45</v>
      </c>
      <c r="J1004">
        <v>102.06</v>
      </c>
      <c r="K1004">
        <v>29.17</v>
      </c>
    </row>
    <row r="1005" spans="1:11">
      <c r="A1005">
        <v>128.5</v>
      </c>
      <c r="B1005">
        <v>141.78</v>
      </c>
      <c r="C1005">
        <v>167.23</v>
      </c>
      <c r="D1005">
        <v>168.01</v>
      </c>
      <c r="E1005">
        <v>134.22999999999999</v>
      </c>
      <c r="F1005">
        <v>122.84</v>
      </c>
      <c r="G1005">
        <v>115.17</v>
      </c>
      <c r="H1005">
        <v>107.62</v>
      </c>
      <c r="I1005">
        <v>112.4</v>
      </c>
      <c r="J1005">
        <v>102.12</v>
      </c>
      <c r="K1005">
        <v>29.17</v>
      </c>
    </row>
    <row r="1006" spans="1:11">
      <c r="A1006">
        <v>128.66999999999999</v>
      </c>
      <c r="B1006">
        <v>140.56</v>
      </c>
      <c r="C1006">
        <v>166.9</v>
      </c>
      <c r="D1006">
        <v>167.51</v>
      </c>
      <c r="E1006">
        <v>133.94999999999999</v>
      </c>
      <c r="F1006">
        <v>123.01</v>
      </c>
      <c r="G1006">
        <v>115.34</v>
      </c>
      <c r="H1006">
        <v>107.62</v>
      </c>
      <c r="I1006">
        <v>112.45</v>
      </c>
      <c r="J1006">
        <v>102.28</v>
      </c>
      <c r="K1006">
        <v>29.23</v>
      </c>
    </row>
    <row r="1007" spans="1:11">
      <c r="A1007">
        <v>128.83000000000001</v>
      </c>
      <c r="B1007">
        <v>141.16999999999999</v>
      </c>
      <c r="C1007">
        <v>166.73</v>
      </c>
      <c r="D1007">
        <v>167.17</v>
      </c>
      <c r="E1007">
        <v>132.28</v>
      </c>
      <c r="F1007">
        <v>123.17</v>
      </c>
      <c r="G1007">
        <v>115.51</v>
      </c>
      <c r="H1007">
        <v>107.67</v>
      </c>
      <c r="I1007">
        <v>112.51</v>
      </c>
      <c r="J1007">
        <v>102.28</v>
      </c>
      <c r="K1007">
        <v>29.23</v>
      </c>
    </row>
    <row r="1008" spans="1:11">
      <c r="A1008">
        <v>129</v>
      </c>
      <c r="B1008">
        <v>138.94999999999999</v>
      </c>
      <c r="C1008">
        <v>166.84</v>
      </c>
      <c r="D1008">
        <v>167.12</v>
      </c>
      <c r="E1008">
        <v>131.12</v>
      </c>
      <c r="F1008">
        <v>123.23</v>
      </c>
      <c r="G1008">
        <v>115.67</v>
      </c>
      <c r="H1008">
        <v>107.78</v>
      </c>
      <c r="I1008">
        <v>112.56</v>
      </c>
      <c r="J1008">
        <v>102.4</v>
      </c>
      <c r="K1008">
        <v>29.23</v>
      </c>
    </row>
    <row r="1009" spans="1:11">
      <c r="A1009">
        <v>129.16999999999999</v>
      </c>
      <c r="B1009">
        <v>138.56</v>
      </c>
      <c r="C1009">
        <v>166.84</v>
      </c>
      <c r="D1009">
        <v>167.01</v>
      </c>
      <c r="E1009">
        <v>130.01</v>
      </c>
      <c r="F1009">
        <v>123.28</v>
      </c>
      <c r="G1009">
        <v>115.84</v>
      </c>
      <c r="H1009">
        <v>107.84</v>
      </c>
      <c r="I1009">
        <v>112.62</v>
      </c>
      <c r="J1009">
        <v>102.51</v>
      </c>
      <c r="K1009">
        <v>29.23</v>
      </c>
    </row>
    <row r="1010" spans="1:11">
      <c r="A1010">
        <v>129.33000000000001</v>
      </c>
      <c r="B1010">
        <v>139.01</v>
      </c>
      <c r="C1010">
        <v>166.95</v>
      </c>
      <c r="D1010">
        <v>167.01</v>
      </c>
      <c r="E1010">
        <v>130.34</v>
      </c>
      <c r="F1010">
        <v>122.95</v>
      </c>
      <c r="G1010">
        <v>115.9</v>
      </c>
      <c r="H1010">
        <v>107.84</v>
      </c>
      <c r="I1010">
        <v>112.62</v>
      </c>
      <c r="J1010">
        <v>102.56</v>
      </c>
      <c r="K1010">
        <v>29.23</v>
      </c>
    </row>
    <row r="1011" spans="1:11">
      <c r="A1011">
        <v>129.5</v>
      </c>
      <c r="B1011">
        <v>139.9</v>
      </c>
      <c r="C1011">
        <v>166.73</v>
      </c>
      <c r="D1011">
        <v>166.84</v>
      </c>
      <c r="E1011">
        <v>129.12</v>
      </c>
      <c r="F1011">
        <v>122.73</v>
      </c>
      <c r="G1011">
        <v>115.95</v>
      </c>
      <c r="H1011">
        <v>107.9</v>
      </c>
      <c r="I1011">
        <v>112.4</v>
      </c>
      <c r="J1011">
        <v>102.67</v>
      </c>
      <c r="K1011">
        <v>29.23</v>
      </c>
    </row>
    <row r="1012" spans="1:11">
      <c r="A1012">
        <v>129.66999999999999</v>
      </c>
      <c r="B1012">
        <v>140.16999999999999</v>
      </c>
      <c r="C1012">
        <v>166.67</v>
      </c>
      <c r="D1012">
        <v>166.73</v>
      </c>
      <c r="E1012">
        <v>128.56</v>
      </c>
      <c r="F1012">
        <v>122.67</v>
      </c>
      <c r="G1012">
        <v>116.01</v>
      </c>
      <c r="H1012">
        <v>107.84</v>
      </c>
      <c r="I1012">
        <v>112.28</v>
      </c>
      <c r="J1012">
        <v>102.73</v>
      </c>
      <c r="K1012">
        <v>29.23</v>
      </c>
    </row>
    <row r="1013" spans="1:11">
      <c r="A1013">
        <v>129.83000000000001</v>
      </c>
      <c r="B1013">
        <v>140.01</v>
      </c>
      <c r="C1013">
        <v>166.73</v>
      </c>
      <c r="D1013">
        <v>166.73</v>
      </c>
      <c r="E1013">
        <v>128.84</v>
      </c>
      <c r="F1013">
        <v>122.4</v>
      </c>
      <c r="G1013">
        <v>115.95</v>
      </c>
      <c r="H1013">
        <v>107.62</v>
      </c>
      <c r="I1013">
        <v>112.17</v>
      </c>
      <c r="J1013">
        <v>102.84</v>
      </c>
      <c r="K1013">
        <v>29.23</v>
      </c>
    </row>
    <row r="1014" spans="1:11">
      <c r="A1014">
        <v>130</v>
      </c>
      <c r="B1014">
        <v>139.34</v>
      </c>
      <c r="C1014">
        <v>166.73</v>
      </c>
      <c r="D1014">
        <v>166.73</v>
      </c>
      <c r="E1014">
        <v>129.84</v>
      </c>
      <c r="F1014">
        <v>122.51</v>
      </c>
      <c r="G1014">
        <v>115.95</v>
      </c>
      <c r="H1014">
        <v>107.67</v>
      </c>
      <c r="I1014">
        <v>112.12</v>
      </c>
      <c r="J1014">
        <v>102.9</v>
      </c>
      <c r="K1014">
        <v>29.23</v>
      </c>
    </row>
    <row r="1015" spans="1:11">
      <c r="A1015">
        <v>130.16999999999999</v>
      </c>
      <c r="B1015">
        <v>138.78</v>
      </c>
      <c r="C1015">
        <v>166.62</v>
      </c>
      <c r="D1015">
        <v>166.56</v>
      </c>
      <c r="E1015">
        <v>130.56</v>
      </c>
      <c r="F1015">
        <v>122.9</v>
      </c>
      <c r="G1015">
        <v>115.9</v>
      </c>
      <c r="H1015">
        <v>107.56</v>
      </c>
      <c r="I1015">
        <v>112.01</v>
      </c>
      <c r="J1015">
        <v>103.01</v>
      </c>
      <c r="K1015">
        <v>29.23</v>
      </c>
    </row>
    <row r="1016" spans="1:11">
      <c r="A1016">
        <v>130.33000000000001</v>
      </c>
      <c r="B1016">
        <v>138.9</v>
      </c>
      <c r="C1016">
        <v>166.23</v>
      </c>
      <c r="D1016">
        <v>166.23</v>
      </c>
      <c r="E1016">
        <v>131.44999999999999</v>
      </c>
      <c r="F1016">
        <v>122.9</v>
      </c>
      <c r="G1016">
        <v>115.9</v>
      </c>
      <c r="H1016">
        <v>107.78</v>
      </c>
      <c r="I1016">
        <v>111.95</v>
      </c>
      <c r="J1016">
        <v>103.12</v>
      </c>
      <c r="K1016">
        <v>29.23</v>
      </c>
    </row>
    <row r="1017" spans="1:11">
      <c r="A1017">
        <v>130.5</v>
      </c>
      <c r="B1017">
        <v>138.72999999999999</v>
      </c>
      <c r="C1017">
        <v>165.23</v>
      </c>
      <c r="D1017">
        <v>165.56</v>
      </c>
      <c r="E1017">
        <v>132.56</v>
      </c>
      <c r="F1017">
        <v>122.78</v>
      </c>
      <c r="G1017">
        <v>115.84</v>
      </c>
      <c r="H1017">
        <v>107.78</v>
      </c>
      <c r="I1017">
        <v>111.84</v>
      </c>
      <c r="J1017">
        <v>103.17</v>
      </c>
      <c r="K1017">
        <v>29.23</v>
      </c>
    </row>
    <row r="1018" spans="1:11">
      <c r="A1018">
        <v>130.66999999999999</v>
      </c>
      <c r="B1018">
        <v>138.84</v>
      </c>
      <c r="C1018">
        <v>164.12</v>
      </c>
      <c r="D1018">
        <v>164.23</v>
      </c>
      <c r="E1018">
        <v>134.01</v>
      </c>
      <c r="F1018">
        <v>123.23</v>
      </c>
      <c r="G1018">
        <v>115.78</v>
      </c>
      <c r="H1018">
        <v>107.78</v>
      </c>
      <c r="I1018">
        <v>111.78</v>
      </c>
      <c r="J1018">
        <v>103.23</v>
      </c>
      <c r="K1018">
        <v>29.23</v>
      </c>
    </row>
    <row r="1019" spans="1:11">
      <c r="A1019">
        <v>130.83000000000001</v>
      </c>
      <c r="B1019">
        <v>138.78</v>
      </c>
      <c r="C1019">
        <v>163.16999999999999</v>
      </c>
      <c r="D1019">
        <v>163.28</v>
      </c>
      <c r="E1019">
        <v>135.62</v>
      </c>
      <c r="F1019">
        <v>123.28</v>
      </c>
      <c r="G1019">
        <v>115.73</v>
      </c>
      <c r="H1019">
        <v>107.67</v>
      </c>
      <c r="I1019">
        <v>111.62</v>
      </c>
      <c r="J1019">
        <v>103.34</v>
      </c>
      <c r="K1019">
        <v>29.23</v>
      </c>
    </row>
    <row r="1020" spans="1:11">
      <c r="A1020">
        <v>131</v>
      </c>
      <c r="B1020">
        <v>139.06</v>
      </c>
      <c r="C1020">
        <v>162.44999999999999</v>
      </c>
      <c r="D1020">
        <v>162.72999999999999</v>
      </c>
      <c r="E1020">
        <v>136.22999999999999</v>
      </c>
      <c r="F1020">
        <v>123.4</v>
      </c>
      <c r="G1020">
        <v>115.73</v>
      </c>
      <c r="H1020">
        <v>107.84</v>
      </c>
      <c r="I1020">
        <v>111.62</v>
      </c>
      <c r="J1020">
        <v>103.4</v>
      </c>
      <c r="K1020">
        <v>29.23</v>
      </c>
    </row>
    <row r="1021" spans="1:11">
      <c r="A1021">
        <v>131.16999999999999</v>
      </c>
      <c r="B1021">
        <v>138.51</v>
      </c>
      <c r="C1021">
        <v>162.44999999999999</v>
      </c>
      <c r="D1021">
        <v>162.9</v>
      </c>
      <c r="E1021">
        <v>137.06</v>
      </c>
      <c r="F1021">
        <v>123.56</v>
      </c>
      <c r="G1021">
        <v>115.73</v>
      </c>
      <c r="H1021">
        <v>107.9</v>
      </c>
      <c r="I1021">
        <v>111.67</v>
      </c>
      <c r="J1021">
        <v>103.51</v>
      </c>
      <c r="K1021">
        <v>29.23</v>
      </c>
    </row>
    <row r="1022" spans="1:11">
      <c r="A1022">
        <v>131.33000000000001</v>
      </c>
      <c r="B1022">
        <v>138.72999999999999</v>
      </c>
      <c r="C1022">
        <v>162.22999999999999</v>
      </c>
      <c r="D1022">
        <v>162.56</v>
      </c>
      <c r="E1022">
        <v>138.06</v>
      </c>
      <c r="F1022">
        <v>123.73</v>
      </c>
      <c r="G1022">
        <v>115.73</v>
      </c>
      <c r="H1022">
        <v>108.01</v>
      </c>
      <c r="I1022">
        <v>111.62</v>
      </c>
      <c r="J1022">
        <v>103.51</v>
      </c>
      <c r="K1022">
        <v>29.23</v>
      </c>
    </row>
    <row r="1023" spans="1:11">
      <c r="A1023">
        <v>131.5</v>
      </c>
      <c r="B1023">
        <v>139.9</v>
      </c>
      <c r="C1023">
        <v>161.72999999999999</v>
      </c>
      <c r="D1023">
        <v>162.22999999999999</v>
      </c>
      <c r="E1023">
        <v>139.16999999999999</v>
      </c>
      <c r="F1023">
        <v>123.78</v>
      </c>
      <c r="G1023">
        <v>115.73</v>
      </c>
      <c r="H1023">
        <v>108.17</v>
      </c>
      <c r="I1023">
        <v>111.62</v>
      </c>
      <c r="J1023">
        <v>103.62</v>
      </c>
      <c r="K1023">
        <v>29.23</v>
      </c>
    </row>
    <row r="1024" spans="1:11">
      <c r="A1024">
        <v>131.66999999999999</v>
      </c>
      <c r="B1024">
        <v>140.9</v>
      </c>
      <c r="C1024">
        <v>160.72999999999999</v>
      </c>
      <c r="D1024">
        <v>161.51</v>
      </c>
      <c r="E1024">
        <v>140.01</v>
      </c>
      <c r="F1024">
        <v>123.9</v>
      </c>
      <c r="G1024">
        <v>115.84</v>
      </c>
      <c r="H1024">
        <v>108.28</v>
      </c>
      <c r="I1024">
        <v>111.73</v>
      </c>
      <c r="J1024">
        <v>103.78</v>
      </c>
      <c r="K1024">
        <v>29.23</v>
      </c>
    </row>
    <row r="1025" spans="1:11">
      <c r="A1025">
        <v>131.83000000000001</v>
      </c>
      <c r="B1025">
        <v>141.22999999999999</v>
      </c>
      <c r="C1025">
        <v>159.34</v>
      </c>
      <c r="D1025">
        <v>160.28</v>
      </c>
      <c r="E1025">
        <v>140.12</v>
      </c>
      <c r="F1025">
        <v>124.01</v>
      </c>
      <c r="G1025">
        <v>115.95</v>
      </c>
      <c r="H1025">
        <v>108.28</v>
      </c>
      <c r="I1025">
        <v>111.67</v>
      </c>
      <c r="J1025">
        <v>103.84</v>
      </c>
      <c r="K1025">
        <v>29.23</v>
      </c>
    </row>
    <row r="1026" spans="1:11">
      <c r="A1026">
        <v>132</v>
      </c>
      <c r="B1026">
        <v>141.12</v>
      </c>
      <c r="C1026">
        <v>156.22999999999999</v>
      </c>
      <c r="D1026">
        <v>157.62</v>
      </c>
      <c r="E1026">
        <v>140.94999999999999</v>
      </c>
      <c r="F1026">
        <v>124.12</v>
      </c>
      <c r="G1026">
        <v>116.01</v>
      </c>
      <c r="H1026">
        <v>108.4</v>
      </c>
      <c r="I1026">
        <v>111.67</v>
      </c>
      <c r="J1026">
        <v>103.9</v>
      </c>
      <c r="K1026">
        <v>29.23</v>
      </c>
    </row>
    <row r="1027" spans="1:11">
      <c r="A1027">
        <v>132.16999999999999</v>
      </c>
      <c r="B1027">
        <v>141.34</v>
      </c>
      <c r="C1027">
        <v>153.9</v>
      </c>
      <c r="D1027">
        <v>155.9</v>
      </c>
      <c r="E1027">
        <v>140.01</v>
      </c>
      <c r="F1027">
        <v>124.17</v>
      </c>
      <c r="G1027">
        <v>116.12</v>
      </c>
      <c r="H1027">
        <v>108.34</v>
      </c>
      <c r="I1027">
        <v>112.62</v>
      </c>
      <c r="J1027">
        <v>104.01</v>
      </c>
      <c r="K1027">
        <v>29.23</v>
      </c>
    </row>
    <row r="1028" spans="1:11">
      <c r="A1028">
        <v>132.33000000000001</v>
      </c>
      <c r="B1028">
        <v>139.56</v>
      </c>
      <c r="C1028">
        <v>151.9</v>
      </c>
      <c r="D1028">
        <v>154.4</v>
      </c>
      <c r="E1028">
        <v>137.44999999999999</v>
      </c>
      <c r="F1028">
        <v>124.56</v>
      </c>
      <c r="G1028">
        <v>116.28</v>
      </c>
      <c r="H1028">
        <v>108.62</v>
      </c>
      <c r="I1028">
        <v>112.67</v>
      </c>
      <c r="J1028">
        <v>104.12</v>
      </c>
      <c r="K1028">
        <v>29.23</v>
      </c>
    </row>
    <row r="1029" spans="1:11">
      <c r="A1029">
        <v>132.5</v>
      </c>
      <c r="B1029">
        <v>137.9</v>
      </c>
      <c r="C1029">
        <v>149.66999999999999</v>
      </c>
      <c r="D1029">
        <v>152.72999999999999</v>
      </c>
      <c r="E1029">
        <v>135.44999999999999</v>
      </c>
      <c r="F1029">
        <v>124.56</v>
      </c>
      <c r="G1029">
        <v>116.28</v>
      </c>
      <c r="H1029">
        <v>108.51</v>
      </c>
      <c r="I1029">
        <v>112.62</v>
      </c>
      <c r="J1029">
        <v>104.17</v>
      </c>
      <c r="K1029">
        <v>29.23</v>
      </c>
    </row>
    <row r="1030" spans="1:11">
      <c r="A1030">
        <v>132.66999999999999</v>
      </c>
      <c r="B1030">
        <v>135.01</v>
      </c>
      <c r="C1030">
        <v>149.62</v>
      </c>
      <c r="D1030">
        <v>152.28</v>
      </c>
      <c r="E1030">
        <v>135.62</v>
      </c>
      <c r="F1030">
        <v>124.62</v>
      </c>
      <c r="G1030">
        <v>116.4</v>
      </c>
      <c r="H1030">
        <v>108.45</v>
      </c>
      <c r="I1030">
        <v>112.06</v>
      </c>
      <c r="J1030">
        <v>104.17</v>
      </c>
      <c r="K1030">
        <v>29.28</v>
      </c>
    </row>
    <row r="1031" spans="1:11">
      <c r="A1031">
        <v>132.83000000000001</v>
      </c>
      <c r="B1031">
        <v>133.4</v>
      </c>
      <c r="C1031">
        <v>150.28</v>
      </c>
      <c r="D1031">
        <v>152.44999999999999</v>
      </c>
      <c r="E1031">
        <v>136.28</v>
      </c>
      <c r="F1031">
        <v>125.01</v>
      </c>
      <c r="G1031">
        <v>116.45</v>
      </c>
      <c r="H1031">
        <v>108.56</v>
      </c>
      <c r="I1031">
        <v>111.9</v>
      </c>
      <c r="J1031">
        <v>104.34</v>
      </c>
      <c r="K1031">
        <v>29.23</v>
      </c>
    </row>
    <row r="1032" spans="1:11">
      <c r="A1032">
        <v>133</v>
      </c>
      <c r="B1032">
        <v>131.28</v>
      </c>
      <c r="C1032">
        <v>150.34</v>
      </c>
      <c r="D1032">
        <v>152.22999999999999</v>
      </c>
      <c r="E1032">
        <v>136.66999999999999</v>
      </c>
      <c r="F1032">
        <v>125.56</v>
      </c>
      <c r="G1032">
        <v>116.56</v>
      </c>
      <c r="H1032">
        <v>108.4</v>
      </c>
      <c r="I1032">
        <v>111.62</v>
      </c>
      <c r="J1032">
        <v>104.45</v>
      </c>
      <c r="K1032">
        <v>29.23</v>
      </c>
    </row>
    <row r="1033" spans="1:11">
      <c r="A1033">
        <v>133.16999999999999</v>
      </c>
      <c r="B1033">
        <v>129.78</v>
      </c>
      <c r="C1033">
        <v>145.22999999999999</v>
      </c>
      <c r="D1033">
        <v>148.66999999999999</v>
      </c>
      <c r="E1033">
        <v>138.51</v>
      </c>
      <c r="F1033">
        <v>125.62</v>
      </c>
      <c r="G1033">
        <v>116.73</v>
      </c>
      <c r="H1033">
        <v>108.28</v>
      </c>
      <c r="I1033">
        <v>111.67</v>
      </c>
      <c r="J1033">
        <v>104.51</v>
      </c>
      <c r="K1033">
        <v>29.23</v>
      </c>
    </row>
    <row r="1034" spans="1:11">
      <c r="A1034">
        <v>133.33000000000001</v>
      </c>
      <c r="B1034">
        <v>132.4</v>
      </c>
      <c r="C1034">
        <v>145.28</v>
      </c>
      <c r="D1034">
        <v>147.62</v>
      </c>
      <c r="E1034">
        <v>141.34</v>
      </c>
      <c r="F1034">
        <v>125.51</v>
      </c>
      <c r="G1034">
        <v>116.78</v>
      </c>
      <c r="H1034">
        <v>108.17</v>
      </c>
      <c r="I1034">
        <v>111.78</v>
      </c>
      <c r="J1034">
        <v>104.62</v>
      </c>
      <c r="K1034">
        <v>29.23</v>
      </c>
    </row>
    <row r="1035" spans="1:11">
      <c r="A1035">
        <v>133.5</v>
      </c>
      <c r="B1035">
        <v>133.22999999999999</v>
      </c>
      <c r="C1035">
        <v>145.72999999999999</v>
      </c>
      <c r="D1035">
        <v>147.94999999999999</v>
      </c>
      <c r="E1035">
        <v>144.06</v>
      </c>
      <c r="F1035">
        <v>125.4</v>
      </c>
      <c r="G1035">
        <v>116.84</v>
      </c>
      <c r="H1035">
        <v>108.17</v>
      </c>
      <c r="I1035">
        <v>111.84</v>
      </c>
      <c r="J1035">
        <v>104.67</v>
      </c>
      <c r="K1035">
        <v>29.23</v>
      </c>
    </row>
    <row r="1036" spans="1:11">
      <c r="A1036">
        <v>133.66999999999999</v>
      </c>
      <c r="B1036">
        <v>135.28</v>
      </c>
      <c r="C1036">
        <v>147.56</v>
      </c>
      <c r="D1036">
        <v>149.16999999999999</v>
      </c>
      <c r="E1036">
        <v>146.16999999999999</v>
      </c>
      <c r="F1036">
        <v>125.28</v>
      </c>
      <c r="G1036">
        <v>116.9</v>
      </c>
      <c r="H1036">
        <v>108.12</v>
      </c>
      <c r="I1036">
        <v>111.51</v>
      </c>
      <c r="J1036">
        <v>104.78</v>
      </c>
      <c r="K1036">
        <v>29.28</v>
      </c>
    </row>
    <row r="1037" spans="1:11">
      <c r="A1037">
        <v>133.83000000000001</v>
      </c>
      <c r="B1037">
        <v>137.01</v>
      </c>
      <c r="C1037">
        <v>149.28</v>
      </c>
      <c r="D1037">
        <v>150.4</v>
      </c>
      <c r="E1037">
        <v>148.01</v>
      </c>
      <c r="F1037">
        <v>125.28</v>
      </c>
      <c r="G1037">
        <v>116.9</v>
      </c>
      <c r="H1037">
        <v>108.12</v>
      </c>
      <c r="I1037">
        <v>111.4</v>
      </c>
      <c r="J1037">
        <v>104.84</v>
      </c>
      <c r="K1037">
        <v>29.28</v>
      </c>
    </row>
    <row r="1038" spans="1:11">
      <c r="A1038">
        <v>134</v>
      </c>
      <c r="B1038">
        <v>138.66999999999999</v>
      </c>
      <c r="C1038">
        <v>150.72999999999999</v>
      </c>
      <c r="D1038">
        <v>151.62</v>
      </c>
      <c r="E1038">
        <v>149.16999999999999</v>
      </c>
      <c r="F1038">
        <v>125.17</v>
      </c>
      <c r="G1038">
        <v>116.95</v>
      </c>
      <c r="H1038">
        <v>108.06</v>
      </c>
      <c r="I1038">
        <v>111.51</v>
      </c>
      <c r="J1038">
        <v>104.95</v>
      </c>
      <c r="K1038">
        <v>29.28</v>
      </c>
    </row>
    <row r="1039" spans="1:11">
      <c r="A1039">
        <v>134.16999999999999</v>
      </c>
      <c r="B1039">
        <v>140.34</v>
      </c>
      <c r="C1039">
        <v>151.28</v>
      </c>
      <c r="D1039">
        <v>151.94999999999999</v>
      </c>
      <c r="E1039">
        <v>149.72999999999999</v>
      </c>
      <c r="F1039">
        <v>125.28</v>
      </c>
      <c r="G1039">
        <v>117.06</v>
      </c>
      <c r="H1039">
        <v>108.06</v>
      </c>
      <c r="I1039">
        <v>111.56</v>
      </c>
      <c r="J1039">
        <v>105.01</v>
      </c>
      <c r="K1039">
        <v>29.28</v>
      </c>
    </row>
    <row r="1040" spans="1:11">
      <c r="A1040">
        <v>134.33000000000001</v>
      </c>
      <c r="B1040">
        <v>142.06</v>
      </c>
      <c r="C1040">
        <v>152.06</v>
      </c>
      <c r="D1040">
        <v>152.44999999999999</v>
      </c>
      <c r="E1040">
        <v>150.51</v>
      </c>
      <c r="F1040">
        <v>125.4</v>
      </c>
      <c r="G1040">
        <v>117.06</v>
      </c>
      <c r="H1040">
        <v>108.01</v>
      </c>
      <c r="I1040">
        <v>111.67</v>
      </c>
      <c r="J1040">
        <v>105.12</v>
      </c>
      <c r="K1040">
        <v>29.28</v>
      </c>
    </row>
    <row r="1041" spans="1:11">
      <c r="A1041">
        <v>134.5</v>
      </c>
      <c r="B1041">
        <v>143.28</v>
      </c>
      <c r="C1041">
        <v>153.06</v>
      </c>
      <c r="D1041">
        <v>153.28</v>
      </c>
      <c r="E1041">
        <v>150.62</v>
      </c>
      <c r="F1041">
        <v>125.67</v>
      </c>
      <c r="G1041">
        <v>117.06</v>
      </c>
      <c r="H1041">
        <v>108.12</v>
      </c>
      <c r="I1041">
        <v>111.62</v>
      </c>
      <c r="J1041">
        <v>105.17</v>
      </c>
      <c r="K1041">
        <v>29.28</v>
      </c>
    </row>
    <row r="1042" spans="1:11">
      <c r="A1042">
        <v>134.66999999999999</v>
      </c>
      <c r="B1042">
        <v>144.22999999999999</v>
      </c>
      <c r="C1042">
        <v>153.56</v>
      </c>
      <c r="D1042">
        <v>153.94999999999999</v>
      </c>
      <c r="E1042">
        <v>150.78</v>
      </c>
      <c r="F1042">
        <v>125.45</v>
      </c>
      <c r="G1042">
        <v>117.12</v>
      </c>
      <c r="H1042">
        <v>108.17</v>
      </c>
      <c r="I1042">
        <v>111.56</v>
      </c>
      <c r="J1042">
        <v>105.28</v>
      </c>
      <c r="K1042">
        <v>29.28</v>
      </c>
    </row>
    <row r="1043" spans="1:11">
      <c r="A1043">
        <v>134.83000000000001</v>
      </c>
      <c r="B1043">
        <v>143.12</v>
      </c>
      <c r="C1043">
        <v>154.4</v>
      </c>
      <c r="D1043">
        <v>154.66999999999999</v>
      </c>
      <c r="E1043">
        <v>150.94999999999999</v>
      </c>
      <c r="F1043">
        <v>124.95</v>
      </c>
      <c r="G1043">
        <v>117.23</v>
      </c>
      <c r="H1043">
        <v>108.17</v>
      </c>
      <c r="I1043">
        <v>111.62</v>
      </c>
      <c r="J1043">
        <v>105.4</v>
      </c>
      <c r="K1043">
        <v>29.28</v>
      </c>
    </row>
    <row r="1044" spans="1:11">
      <c r="A1044">
        <v>135</v>
      </c>
      <c r="B1044">
        <v>142.12</v>
      </c>
      <c r="C1044">
        <v>154.72999999999999</v>
      </c>
      <c r="D1044">
        <v>155.06</v>
      </c>
      <c r="E1044">
        <v>151.56</v>
      </c>
      <c r="F1044">
        <v>124.78</v>
      </c>
      <c r="G1044">
        <v>117.12</v>
      </c>
      <c r="H1044">
        <v>107.95</v>
      </c>
      <c r="I1044">
        <v>111.67</v>
      </c>
      <c r="J1044">
        <v>105.4</v>
      </c>
      <c r="K1044">
        <v>29.28</v>
      </c>
    </row>
    <row r="1045" spans="1:11">
      <c r="A1045">
        <v>135.16999999999999</v>
      </c>
      <c r="B1045">
        <v>143.01</v>
      </c>
      <c r="C1045">
        <v>155.34</v>
      </c>
      <c r="D1045">
        <v>155.56</v>
      </c>
      <c r="E1045">
        <v>151.84</v>
      </c>
      <c r="F1045">
        <v>124.73</v>
      </c>
      <c r="G1045">
        <v>117.23</v>
      </c>
      <c r="H1045">
        <v>107.95</v>
      </c>
      <c r="I1045">
        <v>111.95</v>
      </c>
      <c r="J1045">
        <v>105.56</v>
      </c>
      <c r="K1045">
        <v>29.28</v>
      </c>
    </row>
    <row r="1046" spans="1:11">
      <c r="A1046">
        <v>135.33000000000001</v>
      </c>
      <c r="B1046">
        <v>143.84</v>
      </c>
      <c r="C1046">
        <v>155.62</v>
      </c>
      <c r="D1046">
        <v>155.9</v>
      </c>
      <c r="E1046">
        <v>152.4</v>
      </c>
      <c r="F1046">
        <v>124.56</v>
      </c>
      <c r="G1046">
        <v>117.17</v>
      </c>
      <c r="H1046">
        <v>107.84</v>
      </c>
      <c r="I1046">
        <v>111.95</v>
      </c>
      <c r="J1046">
        <v>105.62</v>
      </c>
      <c r="K1046">
        <v>29.28</v>
      </c>
    </row>
    <row r="1047" spans="1:11">
      <c r="A1047">
        <v>135.5</v>
      </c>
      <c r="B1047">
        <v>143.4</v>
      </c>
      <c r="C1047">
        <v>155.84</v>
      </c>
      <c r="D1047">
        <v>156.12</v>
      </c>
      <c r="E1047">
        <v>149.44999999999999</v>
      </c>
      <c r="F1047">
        <v>124.34</v>
      </c>
      <c r="G1047">
        <v>117.12</v>
      </c>
      <c r="H1047">
        <v>107.95</v>
      </c>
      <c r="I1047">
        <v>111.62</v>
      </c>
      <c r="J1047">
        <v>105.73</v>
      </c>
      <c r="K1047">
        <v>29.28</v>
      </c>
    </row>
    <row r="1048" spans="1:11">
      <c r="A1048">
        <v>135.66999999999999</v>
      </c>
      <c r="B1048">
        <v>142.62</v>
      </c>
      <c r="C1048">
        <v>155.9</v>
      </c>
      <c r="D1048">
        <v>156.16999999999999</v>
      </c>
      <c r="E1048">
        <v>149.56</v>
      </c>
      <c r="F1048">
        <v>124.01</v>
      </c>
      <c r="G1048">
        <v>117.06</v>
      </c>
      <c r="H1048">
        <v>107.9</v>
      </c>
      <c r="I1048">
        <v>111.06</v>
      </c>
      <c r="J1048">
        <v>105.78</v>
      </c>
      <c r="K1048">
        <v>29.28</v>
      </c>
    </row>
    <row r="1049" spans="1:11">
      <c r="A1049">
        <v>135.83000000000001</v>
      </c>
      <c r="B1049">
        <v>143.9</v>
      </c>
      <c r="C1049">
        <v>156.16999999999999</v>
      </c>
      <c r="D1049">
        <v>156.4</v>
      </c>
      <c r="E1049">
        <v>150.06</v>
      </c>
      <c r="F1049">
        <v>123.78</v>
      </c>
      <c r="G1049">
        <v>117.06</v>
      </c>
      <c r="H1049">
        <v>107.73</v>
      </c>
      <c r="I1049">
        <v>110.73</v>
      </c>
      <c r="J1049">
        <v>105.9</v>
      </c>
      <c r="K1049">
        <v>29.28</v>
      </c>
    </row>
    <row r="1050" spans="1:11">
      <c r="A1050">
        <v>136</v>
      </c>
      <c r="B1050">
        <v>143.9</v>
      </c>
      <c r="C1050">
        <v>156.44999999999999</v>
      </c>
      <c r="D1050">
        <v>156.66999999999999</v>
      </c>
      <c r="E1050">
        <v>146.84</v>
      </c>
      <c r="F1050">
        <v>123.56</v>
      </c>
      <c r="G1050">
        <v>117.06</v>
      </c>
      <c r="H1050">
        <v>107.73</v>
      </c>
      <c r="I1050">
        <v>110.06</v>
      </c>
      <c r="J1050">
        <v>105.95</v>
      </c>
      <c r="K1050">
        <v>29.28</v>
      </c>
    </row>
    <row r="1051" spans="1:11">
      <c r="A1051">
        <v>136.16999999999999</v>
      </c>
      <c r="B1051">
        <v>141.22999999999999</v>
      </c>
      <c r="C1051">
        <v>156.78</v>
      </c>
      <c r="D1051">
        <v>157.01</v>
      </c>
      <c r="E1051">
        <v>145.01</v>
      </c>
      <c r="F1051">
        <v>123.51</v>
      </c>
      <c r="G1051">
        <v>116.95</v>
      </c>
      <c r="H1051">
        <v>107.67</v>
      </c>
      <c r="I1051">
        <v>109.84</v>
      </c>
      <c r="J1051">
        <v>106.01</v>
      </c>
      <c r="K1051">
        <v>29.28</v>
      </c>
    </row>
    <row r="1052" spans="1:11">
      <c r="A1052">
        <v>136.33000000000001</v>
      </c>
      <c r="B1052">
        <v>142.62</v>
      </c>
      <c r="C1052">
        <v>157.12</v>
      </c>
      <c r="D1052">
        <v>157.22999999999999</v>
      </c>
      <c r="E1052">
        <v>140.56</v>
      </c>
      <c r="F1052">
        <v>122.56</v>
      </c>
      <c r="G1052">
        <v>116.84</v>
      </c>
      <c r="H1052">
        <v>107.34</v>
      </c>
      <c r="I1052">
        <v>109.73</v>
      </c>
      <c r="J1052">
        <v>106.06</v>
      </c>
      <c r="K1052">
        <v>29.28</v>
      </c>
    </row>
    <row r="1053" spans="1:11">
      <c r="A1053">
        <v>136.5</v>
      </c>
      <c r="B1053">
        <v>140.06</v>
      </c>
      <c r="C1053">
        <v>157.22999999999999</v>
      </c>
      <c r="D1053">
        <v>157.4</v>
      </c>
      <c r="E1053">
        <v>139.4</v>
      </c>
      <c r="F1053">
        <v>122.34</v>
      </c>
      <c r="G1053">
        <v>116.73</v>
      </c>
      <c r="H1053">
        <v>106.84</v>
      </c>
      <c r="I1053">
        <v>109.56</v>
      </c>
      <c r="J1053">
        <v>106.17</v>
      </c>
      <c r="K1053">
        <v>29.28</v>
      </c>
    </row>
    <row r="1054" spans="1:11">
      <c r="A1054">
        <v>136.66999999999999</v>
      </c>
      <c r="B1054">
        <v>140.01</v>
      </c>
      <c r="C1054">
        <v>157.22999999999999</v>
      </c>
      <c r="D1054">
        <v>157.51</v>
      </c>
      <c r="E1054">
        <v>139.16999999999999</v>
      </c>
      <c r="F1054">
        <v>122.01</v>
      </c>
      <c r="G1054">
        <v>116.62</v>
      </c>
      <c r="H1054">
        <v>106.17</v>
      </c>
      <c r="I1054">
        <v>109.01</v>
      </c>
      <c r="J1054">
        <v>106.28</v>
      </c>
      <c r="K1054">
        <v>29.28</v>
      </c>
    </row>
    <row r="1055" spans="1:11">
      <c r="A1055">
        <v>136.83000000000001</v>
      </c>
      <c r="B1055">
        <v>140.01</v>
      </c>
      <c r="C1055">
        <v>157.34</v>
      </c>
      <c r="D1055">
        <v>157.56</v>
      </c>
      <c r="E1055">
        <v>138.4</v>
      </c>
      <c r="F1055">
        <v>121.73</v>
      </c>
      <c r="G1055">
        <v>116.45</v>
      </c>
      <c r="H1055">
        <v>106.06</v>
      </c>
      <c r="I1055">
        <v>108.73</v>
      </c>
      <c r="J1055">
        <v>106.4</v>
      </c>
      <c r="K1055">
        <v>29.28</v>
      </c>
    </row>
    <row r="1056" spans="1:11">
      <c r="A1056">
        <v>137</v>
      </c>
      <c r="B1056">
        <v>140.62</v>
      </c>
      <c r="C1056">
        <v>157.51</v>
      </c>
      <c r="D1056">
        <v>157.72999999999999</v>
      </c>
      <c r="E1056">
        <v>134.51</v>
      </c>
      <c r="F1056">
        <v>121.45</v>
      </c>
      <c r="G1056">
        <v>116.23</v>
      </c>
      <c r="H1056">
        <v>105.73</v>
      </c>
      <c r="I1056">
        <v>108.45</v>
      </c>
      <c r="J1056">
        <v>106.4</v>
      </c>
      <c r="K1056">
        <v>29.28</v>
      </c>
    </row>
    <row r="1057" spans="1:11">
      <c r="A1057">
        <v>137.16999999999999</v>
      </c>
      <c r="B1057">
        <v>141.66999999999999</v>
      </c>
      <c r="C1057">
        <v>157.84</v>
      </c>
      <c r="D1057">
        <v>158.01</v>
      </c>
      <c r="E1057">
        <v>134.34</v>
      </c>
      <c r="F1057">
        <v>121.17</v>
      </c>
      <c r="G1057">
        <v>116.01</v>
      </c>
      <c r="H1057">
        <v>105.73</v>
      </c>
      <c r="I1057">
        <v>108.06</v>
      </c>
      <c r="J1057">
        <v>106.56</v>
      </c>
      <c r="K1057">
        <v>29.28</v>
      </c>
    </row>
    <row r="1058" spans="1:11">
      <c r="A1058">
        <v>137.33000000000001</v>
      </c>
      <c r="B1058">
        <v>142.94999999999999</v>
      </c>
      <c r="C1058">
        <v>157.9</v>
      </c>
      <c r="D1058">
        <v>158.12</v>
      </c>
      <c r="E1058">
        <v>135.56</v>
      </c>
      <c r="F1058">
        <v>120.84</v>
      </c>
      <c r="G1058">
        <v>115.84</v>
      </c>
      <c r="H1058">
        <v>105.62</v>
      </c>
      <c r="I1058">
        <v>107.34</v>
      </c>
      <c r="J1058">
        <v>106.62</v>
      </c>
      <c r="K1058">
        <v>29.28</v>
      </c>
    </row>
    <row r="1059" spans="1:11">
      <c r="A1059">
        <v>137.5</v>
      </c>
      <c r="B1059">
        <v>144.06</v>
      </c>
      <c r="C1059">
        <v>158.16999999999999</v>
      </c>
      <c r="D1059">
        <v>158.44999999999999</v>
      </c>
      <c r="E1059">
        <v>136.9</v>
      </c>
      <c r="F1059">
        <v>120.62</v>
      </c>
      <c r="G1059">
        <v>115.73</v>
      </c>
      <c r="H1059">
        <v>105.56</v>
      </c>
      <c r="I1059">
        <v>107.45</v>
      </c>
      <c r="J1059">
        <v>106.73</v>
      </c>
      <c r="K1059">
        <v>29.28</v>
      </c>
    </row>
    <row r="1060" spans="1:11">
      <c r="A1060">
        <v>137.66999999999999</v>
      </c>
      <c r="B1060">
        <v>145.06</v>
      </c>
      <c r="C1060">
        <v>158.28</v>
      </c>
      <c r="D1060">
        <v>158.62</v>
      </c>
      <c r="E1060">
        <v>137.84</v>
      </c>
      <c r="F1060">
        <v>120.28</v>
      </c>
      <c r="G1060">
        <v>115.34</v>
      </c>
      <c r="H1060">
        <v>105.45</v>
      </c>
      <c r="I1060">
        <v>107.51</v>
      </c>
      <c r="J1060">
        <v>106.78</v>
      </c>
      <c r="K1060">
        <v>29.28</v>
      </c>
    </row>
    <row r="1061" spans="1:11">
      <c r="A1061">
        <v>137.83000000000001</v>
      </c>
      <c r="B1061">
        <v>146.01</v>
      </c>
      <c r="C1061">
        <v>158.28</v>
      </c>
      <c r="D1061">
        <v>158.72999999999999</v>
      </c>
      <c r="E1061">
        <v>139.12</v>
      </c>
      <c r="F1061">
        <v>120.01</v>
      </c>
      <c r="G1061">
        <v>115.23</v>
      </c>
      <c r="H1061">
        <v>105.45</v>
      </c>
      <c r="I1061">
        <v>107.51</v>
      </c>
      <c r="J1061">
        <v>106.84</v>
      </c>
      <c r="K1061">
        <v>29.28</v>
      </c>
    </row>
    <row r="1062" spans="1:11">
      <c r="A1062">
        <v>138</v>
      </c>
      <c r="B1062">
        <v>147.06</v>
      </c>
      <c r="C1062">
        <v>158.51</v>
      </c>
      <c r="D1062">
        <v>158.94999999999999</v>
      </c>
      <c r="E1062">
        <v>136.44999999999999</v>
      </c>
      <c r="F1062">
        <v>120.01</v>
      </c>
      <c r="G1062">
        <v>115.17</v>
      </c>
      <c r="H1062">
        <v>105.45</v>
      </c>
      <c r="I1062">
        <v>107.23</v>
      </c>
      <c r="J1062">
        <v>106.9</v>
      </c>
      <c r="K1062">
        <v>29.28</v>
      </c>
    </row>
    <row r="1063" spans="1:11">
      <c r="A1063">
        <v>138.16999999999999</v>
      </c>
      <c r="B1063">
        <v>147.51</v>
      </c>
      <c r="C1063">
        <v>158.66999999999999</v>
      </c>
      <c r="D1063">
        <v>158.94999999999999</v>
      </c>
      <c r="E1063">
        <v>132.78</v>
      </c>
      <c r="F1063">
        <v>119.95</v>
      </c>
      <c r="G1063">
        <v>115.01</v>
      </c>
      <c r="H1063">
        <v>105.45</v>
      </c>
      <c r="I1063">
        <v>107.17</v>
      </c>
      <c r="J1063">
        <v>106.95</v>
      </c>
      <c r="K1063">
        <v>29.28</v>
      </c>
    </row>
    <row r="1064" spans="1:11">
      <c r="A1064">
        <v>138.33000000000001</v>
      </c>
      <c r="B1064">
        <v>146.9</v>
      </c>
      <c r="C1064">
        <v>158.72999999999999</v>
      </c>
      <c r="D1064">
        <v>159.01</v>
      </c>
      <c r="E1064">
        <v>130.12</v>
      </c>
      <c r="F1064">
        <v>120.01</v>
      </c>
      <c r="G1064">
        <v>114.84</v>
      </c>
      <c r="H1064">
        <v>105.45</v>
      </c>
      <c r="I1064">
        <v>107.56</v>
      </c>
      <c r="J1064">
        <v>107.12</v>
      </c>
      <c r="K1064">
        <v>29.34</v>
      </c>
    </row>
    <row r="1065" spans="1:11">
      <c r="A1065">
        <v>138.5</v>
      </c>
      <c r="B1065">
        <v>142.9</v>
      </c>
      <c r="C1065">
        <v>158.84</v>
      </c>
      <c r="D1065">
        <v>159.01</v>
      </c>
      <c r="E1065">
        <v>129.94999999999999</v>
      </c>
      <c r="F1065">
        <v>119.9</v>
      </c>
      <c r="G1065">
        <v>114.84</v>
      </c>
      <c r="H1065">
        <v>105.62</v>
      </c>
      <c r="I1065">
        <v>107.95</v>
      </c>
      <c r="J1065">
        <v>107.17</v>
      </c>
      <c r="K1065">
        <v>29.34</v>
      </c>
    </row>
    <row r="1066" spans="1:11">
      <c r="A1066">
        <v>138.66999999999999</v>
      </c>
      <c r="B1066">
        <v>143.44999999999999</v>
      </c>
      <c r="C1066">
        <v>159.12</v>
      </c>
      <c r="D1066">
        <v>159.28</v>
      </c>
      <c r="E1066">
        <v>132.28</v>
      </c>
      <c r="F1066">
        <v>119.45</v>
      </c>
      <c r="G1066">
        <v>114.73</v>
      </c>
      <c r="H1066">
        <v>105.67</v>
      </c>
      <c r="I1066">
        <v>108.23</v>
      </c>
      <c r="J1066">
        <v>107.34</v>
      </c>
      <c r="K1066">
        <v>29.34</v>
      </c>
    </row>
    <row r="1067" spans="1:11">
      <c r="A1067">
        <v>138.83000000000001</v>
      </c>
      <c r="B1067">
        <v>141.44999999999999</v>
      </c>
      <c r="C1067">
        <v>159.34</v>
      </c>
      <c r="D1067">
        <v>159.62</v>
      </c>
      <c r="E1067">
        <v>134.22999999999999</v>
      </c>
      <c r="F1067">
        <v>119.45</v>
      </c>
      <c r="G1067">
        <v>114.67</v>
      </c>
      <c r="H1067">
        <v>105.62</v>
      </c>
      <c r="I1067">
        <v>108.45</v>
      </c>
      <c r="J1067">
        <v>107.45</v>
      </c>
      <c r="K1067">
        <v>29.34</v>
      </c>
    </row>
    <row r="1068" spans="1:11">
      <c r="A1068">
        <v>139</v>
      </c>
      <c r="B1068">
        <v>140.62</v>
      </c>
      <c r="C1068">
        <v>159.51</v>
      </c>
      <c r="D1068">
        <v>159.66999999999999</v>
      </c>
      <c r="E1068">
        <v>135.66999999999999</v>
      </c>
      <c r="F1068">
        <v>119.4</v>
      </c>
      <c r="G1068">
        <v>114.56</v>
      </c>
      <c r="H1068">
        <v>105.56</v>
      </c>
      <c r="I1068">
        <v>108.51</v>
      </c>
      <c r="J1068">
        <v>107.51</v>
      </c>
      <c r="K1068">
        <v>29.34</v>
      </c>
    </row>
    <row r="1069" spans="1:11">
      <c r="A1069">
        <v>139.16999999999999</v>
      </c>
      <c r="B1069">
        <v>142.4</v>
      </c>
      <c r="C1069">
        <v>159.62</v>
      </c>
      <c r="D1069">
        <v>159.78</v>
      </c>
      <c r="E1069">
        <v>134.84</v>
      </c>
      <c r="F1069">
        <v>119.28</v>
      </c>
      <c r="G1069">
        <v>114.51</v>
      </c>
      <c r="H1069">
        <v>105.62</v>
      </c>
      <c r="I1069">
        <v>108.62</v>
      </c>
      <c r="J1069">
        <v>107.56</v>
      </c>
      <c r="K1069">
        <v>29.34</v>
      </c>
    </row>
    <row r="1070" spans="1:11">
      <c r="A1070">
        <v>139.33000000000001</v>
      </c>
      <c r="B1070">
        <v>141.72999999999999</v>
      </c>
      <c r="C1070">
        <v>159.66999999999999</v>
      </c>
      <c r="D1070">
        <v>159.94999999999999</v>
      </c>
      <c r="E1070">
        <v>130.94999999999999</v>
      </c>
      <c r="F1070">
        <v>119.06</v>
      </c>
      <c r="G1070">
        <v>114.4</v>
      </c>
      <c r="H1070">
        <v>105.67</v>
      </c>
      <c r="I1070">
        <v>108.62</v>
      </c>
      <c r="J1070">
        <v>107.67</v>
      </c>
      <c r="K1070">
        <v>29.34</v>
      </c>
    </row>
    <row r="1071" spans="1:11">
      <c r="A1071">
        <v>139.5</v>
      </c>
      <c r="B1071">
        <v>138.72999999999999</v>
      </c>
      <c r="C1071">
        <v>159.94999999999999</v>
      </c>
      <c r="D1071">
        <v>160.16999999999999</v>
      </c>
      <c r="E1071">
        <v>127.84</v>
      </c>
      <c r="F1071">
        <v>118.67</v>
      </c>
      <c r="G1071">
        <v>114.4</v>
      </c>
      <c r="H1071">
        <v>105.73</v>
      </c>
      <c r="I1071">
        <v>108.73</v>
      </c>
      <c r="J1071">
        <v>107.73</v>
      </c>
      <c r="K1071">
        <v>29.34</v>
      </c>
    </row>
    <row r="1072" spans="1:11">
      <c r="A1072">
        <v>139.66999999999999</v>
      </c>
      <c r="B1072">
        <v>139.34</v>
      </c>
      <c r="C1072">
        <v>160.01</v>
      </c>
      <c r="D1072">
        <v>160.28</v>
      </c>
      <c r="E1072">
        <v>126.95</v>
      </c>
      <c r="F1072">
        <v>118.23</v>
      </c>
      <c r="G1072">
        <v>114.23</v>
      </c>
      <c r="H1072">
        <v>105.67</v>
      </c>
      <c r="I1072">
        <v>108.4</v>
      </c>
      <c r="J1072">
        <v>107.73</v>
      </c>
      <c r="K1072">
        <v>29.34</v>
      </c>
    </row>
    <row r="1073" spans="1:11">
      <c r="A1073">
        <v>139.83000000000001</v>
      </c>
      <c r="B1073">
        <v>141.34</v>
      </c>
      <c r="C1073">
        <v>160.28</v>
      </c>
      <c r="D1073">
        <v>160.51</v>
      </c>
      <c r="E1073">
        <v>128.56</v>
      </c>
      <c r="F1073">
        <v>118.06</v>
      </c>
      <c r="G1073">
        <v>114.23</v>
      </c>
      <c r="H1073">
        <v>105.34</v>
      </c>
      <c r="I1073">
        <v>108.12</v>
      </c>
      <c r="J1073">
        <v>107.95</v>
      </c>
      <c r="K1073">
        <v>29.34</v>
      </c>
    </row>
    <row r="1074" spans="1:11">
      <c r="A1074">
        <v>140</v>
      </c>
      <c r="B1074">
        <v>141.84</v>
      </c>
      <c r="C1074">
        <v>160.4</v>
      </c>
      <c r="D1074">
        <v>160.56</v>
      </c>
      <c r="E1074">
        <v>130.62</v>
      </c>
      <c r="F1074">
        <v>117.9</v>
      </c>
      <c r="G1074">
        <v>114.17</v>
      </c>
      <c r="H1074">
        <v>105.17</v>
      </c>
      <c r="I1074">
        <v>107.95</v>
      </c>
      <c r="J1074">
        <v>107.95</v>
      </c>
      <c r="K1074">
        <v>29.34</v>
      </c>
    </row>
    <row r="1075" spans="1:11">
      <c r="A1075">
        <v>140.16999999999999</v>
      </c>
      <c r="B1075">
        <v>139.78</v>
      </c>
      <c r="C1075">
        <v>160.44999999999999</v>
      </c>
      <c r="D1075">
        <v>160.62</v>
      </c>
      <c r="E1075">
        <v>132.9</v>
      </c>
      <c r="F1075">
        <v>117.84</v>
      </c>
      <c r="G1075">
        <v>114.06</v>
      </c>
      <c r="H1075">
        <v>105.06</v>
      </c>
      <c r="I1075">
        <v>107.51</v>
      </c>
      <c r="J1075">
        <v>108.12</v>
      </c>
      <c r="K1075">
        <v>29.34</v>
      </c>
    </row>
    <row r="1076" spans="1:11">
      <c r="A1076">
        <v>140.33000000000001</v>
      </c>
      <c r="B1076">
        <v>137.51</v>
      </c>
      <c r="C1076">
        <v>158.78</v>
      </c>
      <c r="D1076">
        <v>159.62</v>
      </c>
      <c r="E1076">
        <v>135.22999999999999</v>
      </c>
      <c r="F1076">
        <v>117.23</v>
      </c>
      <c r="G1076">
        <v>113.9</v>
      </c>
      <c r="H1076">
        <v>104.95</v>
      </c>
      <c r="I1076">
        <v>107.51</v>
      </c>
      <c r="J1076">
        <v>108.12</v>
      </c>
      <c r="K1076">
        <v>29.34</v>
      </c>
    </row>
    <row r="1077" spans="1:11">
      <c r="A1077">
        <v>140.5</v>
      </c>
      <c r="B1077">
        <v>136.66999999999999</v>
      </c>
      <c r="C1077">
        <v>157.56</v>
      </c>
      <c r="D1077">
        <v>158.51</v>
      </c>
      <c r="E1077">
        <v>137.28</v>
      </c>
      <c r="F1077">
        <v>116.95</v>
      </c>
      <c r="G1077">
        <v>113.78</v>
      </c>
      <c r="H1077">
        <v>104.95</v>
      </c>
      <c r="I1077">
        <v>107.51</v>
      </c>
      <c r="J1077">
        <v>108.17</v>
      </c>
      <c r="K1077">
        <v>29.34</v>
      </c>
    </row>
    <row r="1078" spans="1:11">
      <c r="A1078">
        <v>140.66999999999999</v>
      </c>
      <c r="B1078">
        <v>138.9</v>
      </c>
      <c r="C1078">
        <v>156.56</v>
      </c>
      <c r="D1078">
        <v>157.72999999999999</v>
      </c>
      <c r="E1078">
        <v>139.34</v>
      </c>
      <c r="F1078">
        <v>116.78</v>
      </c>
      <c r="G1078">
        <v>113.78</v>
      </c>
      <c r="H1078">
        <v>104.95</v>
      </c>
      <c r="I1078">
        <v>107.78</v>
      </c>
      <c r="J1078">
        <v>108.28</v>
      </c>
      <c r="K1078">
        <v>29.34</v>
      </c>
    </row>
    <row r="1079" spans="1:11">
      <c r="A1079">
        <v>140.83000000000001</v>
      </c>
      <c r="B1079">
        <v>140.84</v>
      </c>
      <c r="C1079">
        <v>157.34</v>
      </c>
      <c r="D1079">
        <v>158.01</v>
      </c>
      <c r="E1079">
        <v>141.01</v>
      </c>
      <c r="F1079">
        <v>116.67</v>
      </c>
      <c r="G1079">
        <v>113.73</v>
      </c>
      <c r="H1079">
        <v>104.78</v>
      </c>
      <c r="I1079">
        <v>107.84</v>
      </c>
      <c r="J1079">
        <v>108.34</v>
      </c>
      <c r="K1079">
        <v>29.34</v>
      </c>
    </row>
    <row r="1080" spans="1:11">
      <c r="A1080">
        <v>141</v>
      </c>
      <c r="B1080">
        <v>143.28</v>
      </c>
      <c r="C1080">
        <v>158.01</v>
      </c>
      <c r="D1080">
        <v>158.51</v>
      </c>
      <c r="E1080">
        <v>145.66999999999999</v>
      </c>
      <c r="F1080">
        <v>116.45</v>
      </c>
      <c r="G1080">
        <v>113.56</v>
      </c>
      <c r="H1080">
        <v>104.9</v>
      </c>
      <c r="I1080">
        <v>107.78</v>
      </c>
      <c r="J1080">
        <v>108.45</v>
      </c>
      <c r="K1080">
        <v>29.34</v>
      </c>
    </row>
    <row r="1081" spans="1:11">
      <c r="A1081">
        <v>141.16999999999999</v>
      </c>
      <c r="B1081">
        <v>149.44999999999999</v>
      </c>
      <c r="C1081">
        <v>158.94999999999999</v>
      </c>
      <c r="D1081">
        <v>159.22999999999999</v>
      </c>
      <c r="E1081">
        <v>156.16999999999999</v>
      </c>
      <c r="F1081">
        <v>116.28</v>
      </c>
      <c r="G1081">
        <v>113.56</v>
      </c>
      <c r="H1081">
        <v>104.84</v>
      </c>
      <c r="I1081">
        <v>107.78</v>
      </c>
      <c r="J1081">
        <v>108.51</v>
      </c>
      <c r="K1081">
        <v>29.34</v>
      </c>
    </row>
    <row r="1082" spans="1:11">
      <c r="A1082">
        <v>141.33000000000001</v>
      </c>
      <c r="B1082">
        <v>161.34</v>
      </c>
      <c r="C1082">
        <v>159.62</v>
      </c>
      <c r="D1082">
        <v>159.72999999999999</v>
      </c>
      <c r="E1082">
        <v>171.12</v>
      </c>
      <c r="F1082">
        <v>116.34</v>
      </c>
      <c r="G1082">
        <v>113.56</v>
      </c>
      <c r="H1082">
        <v>104.78</v>
      </c>
      <c r="I1082">
        <v>107.73</v>
      </c>
      <c r="J1082">
        <v>108.62</v>
      </c>
      <c r="K1082">
        <v>29.34</v>
      </c>
    </row>
    <row r="1083" spans="1:11">
      <c r="A1083">
        <v>141.5</v>
      </c>
      <c r="B1083">
        <v>264.62</v>
      </c>
      <c r="C1083">
        <v>160.4</v>
      </c>
      <c r="D1083">
        <v>160.28</v>
      </c>
      <c r="E1083">
        <v>177.4</v>
      </c>
      <c r="F1083">
        <v>116.28</v>
      </c>
      <c r="G1083">
        <v>113.56</v>
      </c>
      <c r="H1083">
        <v>104.84</v>
      </c>
      <c r="I1083">
        <v>107.78</v>
      </c>
      <c r="J1083">
        <v>108.78</v>
      </c>
      <c r="K1083">
        <v>29.34</v>
      </c>
    </row>
    <row r="1084" spans="1:11">
      <c r="A1084">
        <v>141.66999999999999</v>
      </c>
      <c r="B1084">
        <v>267.89999999999998</v>
      </c>
      <c r="C1084">
        <v>161.4</v>
      </c>
      <c r="D1084">
        <v>161.01</v>
      </c>
      <c r="E1084">
        <v>182.84</v>
      </c>
      <c r="F1084">
        <v>116.12</v>
      </c>
      <c r="G1084">
        <v>113.51</v>
      </c>
      <c r="H1084">
        <v>104.45</v>
      </c>
      <c r="I1084">
        <v>107.84</v>
      </c>
      <c r="J1084">
        <v>108.73</v>
      </c>
      <c r="K1084">
        <v>29.34</v>
      </c>
    </row>
    <row r="1085" spans="1:11">
      <c r="A1085">
        <v>141.83000000000001</v>
      </c>
      <c r="B1085">
        <v>269.45</v>
      </c>
      <c r="C1085">
        <v>162.62</v>
      </c>
      <c r="D1085">
        <v>162.06</v>
      </c>
      <c r="E1085">
        <v>179.01</v>
      </c>
      <c r="F1085">
        <v>116.17</v>
      </c>
      <c r="G1085">
        <v>113.62</v>
      </c>
      <c r="H1085">
        <v>104.45</v>
      </c>
      <c r="I1085">
        <v>107.84</v>
      </c>
      <c r="J1085">
        <v>108.84</v>
      </c>
      <c r="K1085">
        <v>29.34</v>
      </c>
    </row>
    <row r="1086" spans="1:11">
      <c r="A1086">
        <v>142</v>
      </c>
      <c r="B1086">
        <v>269.23</v>
      </c>
      <c r="C1086">
        <v>163.4</v>
      </c>
      <c r="D1086">
        <v>162.78</v>
      </c>
      <c r="E1086">
        <v>171.51</v>
      </c>
      <c r="F1086">
        <v>116.17</v>
      </c>
      <c r="G1086">
        <v>113.56</v>
      </c>
      <c r="H1086">
        <v>104.34</v>
      </c>
      <c r="I1086">
        <v>107.73</v>
      </c>
      <c r="J1086">
        <v>108.9</v>
      </c>
      <c r="K1086">
        <v>29.4</v>
      </c>
    </row>
    <row r="1087" spans="1:11">
      <c r="A1087">
        <v>142.16999999999999</v>
      </c>
      <c r="B1087">
        <v>269.23</v>
      </c>
      <c r="C1087">
        <v>188.51</v>
      </c>
      <c r="D1087">
        <v>222.23</v>
      </c>
      <c r="E1087">
        <v>169.12</v>
      </c>
      <c r="F1087">
        <v>116.12</v>
      </c>
      <c r="G1087">
        <v>113.62</v>
      </c>
      <c r="H1087">
        <v>104.28</v>
      </c>
      <c r="I1087">
        <v>107.12</v>
      </c>
      <c r="J1087">
        <v>109.01</v>
      </c>
      <c r="K1087">
        <v>29.4</v>
      </c>
    </row>
    <row r="1088" spans="1:11">
      <c r="A1088">
        <v>142.33000000000001</v>
      </c>
      <c r="B1088">
        <v>269.51</v>
      </c>
      <c r="C1088">
        <v>264.06</v>
      </c>
      <c r="D1088">
        <v>259.39999999999998</v>
      </c>
      <c r="E1088">
        <v>229.9</v>
      </c>
      <c r="F1088">
        <v>116.17</v>
      </c>
      <c r="G1088">
        <v>113.62</v>
      </c>
      <c r="H1088">
        <v>103.9</v>
      </c>
      <c r="I1088">
        <v>106.84</v>
      </c>
      <c r="J1088">
        <v>109.12</v>
      </c>
      <c r="K1088">
        <v>29.4</v>
      </c>
    </row>
    <row r="1089" spans="1:11">
      <c r="A1089">
        <v>142.5</v>
      </c>
      <c r="B1089">
        <v>269.89999999999998</v>
      </c>
      <c r="C1089">
        <v>267.39999999999998</v>
      </c>
      <c r="D1089">
        <v>262.73</v>
      </c>
      <c r="E1089">
        <v>268.23</v>
      </c>
      <c r="F1089">
        <v>116.12</v>
      </c>
      <c r="G1089">
        <v>113.62</v>
      </c>
      <c r="H1089">
        <v>103.73</v>
      </c>
      <c r="I1089">
        <v>106.9</v>
      </c>
      <c r="J1089">
        <v>109.23</v>
      </c>
      <c r="K1089">
        <v>29.4</v>
      </c>
    </row>
    <row r="1090" spans="1:11">
      <c r="A1090">
        <v>142.66999999999999</v>
      </c>
      <c r="B1090">
        <v>269.77999999999997</v>
      </c>
      <c r="C1090">
        <v>267.95</v>
      </c>
      <c r="D1090">
        <v>264.01</v>
      </c>
      <c r="E1090">
        <v>268.51</v>
      </c>
      <c r="F1090">
        <v>116.17</v>
      </c>
      <c r="G1090">
        <v>113.56</v>
      </c>
      <c r="H1090">
        <v>103.51</v>
      </c>
      <c r="I1090">
        <v>106.84</v>
      </c>
      <c r="J1090">
        <v>109.28</v>
      </c>
      <c r="K1090">
        <v>29.4</v>
      </c>
    </row>
    <row r="1091" spans="1:11">
      <c r="A1091">
        <v>142.83000000000001</v>
      </c>
      <c r="B1091">
        <v>270.39999999999998</v>
      </c>
      <c r="C1091">
        <v>269.06</v>
      </c>
      <c r="D1091">
        <v>267.77999999999997</v>
      </c>
      <c r="E1091">
        <v>269.39999999999998</v>
      </c>
      <c r="F1091">
        <v>116.28</v>
      </c>
      <c r="G1091">
        <v>113.62</v>
      </c>
      <c r="H1091">
        <v>103.34</v>
      </c>
      <c r="I1091">
        <v>107.01</v>
      </c>
      <c r="J1091">
        <v>109.4</v>
      </c>
      <c r="K1091">
        <v>29.4</v>
      </c>
    </row>
    <row r="1092" spans="1:11">
      <c r="A1092">
        <v>143</v>
      </c>
      <c r="B1092">
        <v>269.12</v>
      </c>
      <c r="C1092">
        <v>268.89999999999998</v>
      </c>
      <c r="D1092">
        <v>268.23</v>
      </c>
      <c r="E1092">
        <v>269.39999999999998</v>
      </c>
      <c r="F1092">
        <v>116.12</v>
      </c>
      <c r="G1092">
        <v>113.51</v>
      </c>
      <c r="H1092">
        <v>103.4</v>
      </c>
      <c r="I1092">
        <v>107.01</v>
      </c>
      <c r="J1092">
        <v>109.4</v>
      </c>
      <c r="K1092">
        <v>29.4</v>
      </c>
    </row>
    <row r="1093" spans="1:11">
      <c r="A1093">
        <v>143.16999999999999</v>
      </c>
      <c r="B1093">
        <v>263.73</v>
      </c>
      <c r="C1093">
        <v>269.23</v>
      </c>
      <c r="D1093">
        <v>269.27999999999997</v>
      </c>
      <c r="E1093">
        <v>269.51</v>
      </c>
      <c r="F1093">
        <v>116.01</v>
      </c>
      <c r="G1093">
        <v>113.45</v>
      </c>
      <c r="H1093">
        <v>103.23</v>
      </c>
      <c r="I1093">
        <v>107.17</v>
      </c>
      <c r="J1093">
        <v>109.45</v>
      </c>
      <c r="K1093">
        <v>29.4</v>
      </c>
    </row>
    <row r="1094" spans="1:11">
      <c r="A1094">
        <v>143.33000000000001</v>
      </c>
      <c r="B1094">
        <v>255.17</v>
      </c>
      <c r="C1094">
        <v>269.23</v>
      </c>
      <c r="D1094">
        <v>269.39999999999998</v>
      </c>
      <c r="E1094">
        <v>269.17</v>
      </c>
      <c r="F1094">
        <v>115.73</v>
      </c>
      <c r="G1094">
        <v>113.4</v>
      </c>
      <c r="H1094">
        <v>103.01</v>
      </c>
      <c r="I1094">
        <v>106.84</v>
      </c>
      <c r="J1094">
        <v>109.56</v>
      </c>
      <c r="K1094">
        <v>29.4</v>
      </c>
    </row>
    <row r="1095" spans="1:11">
      <c r="A1095">
        <v>143.5</v>
      </c>
      <c r="B1095">
        <v>249.28</v>
      </c>
      <c r="C1095">
        <v>269.39999999999998</v>
      </c>
      <c r="D1095">
        <v>269.62</v>
      </c>
      <c r="E1095">
        <v>269.89999999999998</v>
      </c>
      <c r="F1095">
        <v>115.78</v>
      </c>
      <c r="G1095">
        <v>113.28</v>
      </c>
      <c r="H1095">
        <v>102.95</v>
      </c>
      <c r="I1095">
        <v>106.56</v>
      </c>
      <c r="J1095">
        <v>109.56</v>
      </c>
      <c r="K1095">
        <v>29.4</v>
      </c>
    </row>
    <row r="1096" spans="1:11">
      <c r="A1096">
        <v>143.66999999999999</v>
      </c>
      <c r="B1096">
        <v>243.28</v>
      </c>
      <c r="C1096">
        <v>269.56</v>
      </c>
      <c r="D1096">
        <v>269.89999999999998</v>
      </c>
      <c r="E1096">
        <v>269.45</v>
      </c>
      <c r="F1096">
        <v>115.84</v>
      </c>
      <c r="G1096">
        <v>113.28</v>
      </c>
      <c r="H1096">
        <v>103.06</v>
      </c>
      <c r="I1096">
        <v>105.95</v>
      </c>
      <c r="J1096">
        <v>109.62</v>
      </c>
      <c r="K1096">
        <v>29.4</v>
      </c>
    </row>
    <row r="1097" spans="1:11">
      <c r="A1097">
        <v>143.83000000000001</v>
      </c>
      <c r="B1097">
        <v>237.67</v>
      </c>
      <c r="C1097">
        <v>269.23</v>
      </c>
      <c r="D1097">
        <v>269.62</v>
      </c>
      <c r="E1097">
        <v>269.23</v>
      </c>
      <c r="F1097">
        <v>115.95</v>
      </c>
      <c r="G1097">
        <v>113.28</v>
      </c>
      <c r="H1097">
        <v>103.12</v>
      </c>
      <c r="I1097">
        <v>106.23</v>
      </c>
      <c r="J1097">
        <v>109.78</v>
      </c>
      <c r="K1097">
        <v>29.4</v>
      </c>
    </row>
    <row r="1098" spans="1:11">
      <c r="A1098">
        <v>144</v>
      </c>
      <c r="B1098">
        <v>234.01</v>
      </c>
      <c r="C1098">
        <v>268.12</v>
      </c>
      <c r="D1098">
        <v>268.89999999999998</v>
      </c>
      <c r="E1098">
        <v>269.17</v>
      </c>
      <c r="F1098">
        <v>116.01</v>
      </c>
      <c r="G1098">
        <v>113.28</v>
      </c>
      <c r="H1098">
        <v>102.78</v>
      </c>
      <c r="I1098">
        <v>106.4</v>
      </c>
      <c r="J1098">
        <v>109.84</v>
      </c>
      <c r="K1098">
        <v>29.4</v>
      </c>
    </row>
    <row r="1099" spans="1:11">
      <c r="A1099">
        <v>144.16999999999999</v>
      </c>
      <c r="B1099">
        <v>226.73</v>
      </c>
      <c r="C1099">
        <v>266.73</v>
      </c>
      <c r="D1099">
        <v>268.01</v>
      </c>
      <c r="E1099">
        <v>269.33999999999997</v>
      </c>
      <c r="F1099">
        <v>115.95</v>
      </c>
      <c r="G1099">
        <v>113.34</v>
      </c>
      <c r="H1099">
        <v>102.73</v>
      </c>
      <c r="I1099">
        <v>106.45</v>
      </c>
      <c r="J1099">
        <v>109.9</v>
      </c>
      <c r="K1099">
        <v>29.4</v>
      </c>
    </row>
    <row r="1100" spans="1:11">
      <c r="A1100">
        <v>144.33000000000001</v>
      </c>
      <c r="B1100">
        <v>221.01</v>
      </c>
      <c r="C1100">
        <v>254.45</v>
      </c>
      <c r="D1100">
        <v>260.23</v>
      </c>
      <c r="E1100">
        <v>269.33999999999997</v>
      </c>
      <c r="F1100">
        <v>116.12</v>
      </c>
      <c r="G1100">
        <v>113.34</v>
      </c>
      <c r="H1100">
        <v>102.28</v>
      </c>
      <c r="I1100">
        <v>106.73</v>
      </c>
      <c r="J1100">
        <v>109.95</v>
      </c>
      <c r="K1100">
        <v>29.4</v>
      </c>
    </row>
    <row r="1101" spans="1:11">
      <c r="A1101">
        <v>144.5</v>
      </c>
      <c r="B1101">
        <v>216.23</v>
      </c>
      <c r="C1101">
        <v>247.28</v>
      </c>
      <c r="D1101">
        <v>254.12</v>
      </c>
      <c r="E1101">
        <v>269.06</v>
      </c>
      <c r="F1101">
        <v>116.28</v>
      </c>
      <c r="G1101">
        <v>113.51</v>
      </c>
      <c r="H1101">
        <v>102.12</v>
      </c>
      <c r="I1101">
        <v>106.9</v>
      </c>
      <c r="J1101">
        <v>110.06</v>
      </c>
      <c r="K1101">
        <v>29.4</v>
      </c>
    </row>
    <row r="1102" spans="1:11">
      <c r="A1102">
        <v>144.66999999999999</v>
      </c>
      <c r="B1102">
        <v>211.28</v>
      </c>
      <c r="C1102">
        <v>241.73</v>
      </c>
      <c r="D1102">
        <v>248.34</v>
      </c>
      <c r="E1102">
        <v>266.39999999999998</v>
      </c>
      <c r="F1102">
        <v>116.34</v>
      </c>
      <c r="G1102">
        <v>113.67</v>
      </c>
      <c r="H1102">
        <v>102.67</v>
      </c>
      <c r="I1102">
        <v>107.01</v>
      </c>
      <c r="J1102">
        <v>110.17</v>
      </c>
      <c r="K1102">
        <v>29.4</v>
      </c>
    </row>
    <row r="1103" spans="1:11">
      <c r="A1103">
        <v>144.83000000000001</v>
      </c>
      <c r="B1103">
        <v>205.56</v>
      </c>
      <c r="C1103">
        <v>235.17</v>
      </c>
      <c r="D1103">
        <v>242.51</v>
      </c>
      <c r="E1103">
        <v>258.23</v>
      </c>
      <c r="F1103">
        <v>115.84</v>
      </c>
      <c r="G1103">
        <v>113.73</v>
      </c>
      <c r="H1103">
        <v>102.9</v>
      </c>
      <c r="I1103">
        <v>107.01</v>
      </c>
      <c r="J1103">
        <v>110.17</v>
      </c>
      <c r="K1103">
        <v>29.4</v>
      </c>
    </row>
    <row r="1104" spans="1:11">
      <c r="A1104">
        <v>145</v>
      </c>
      <c r="B1104">
        <v>200.28</v>
      </c>
      <c r="C1104">
        <v>230.84</v>
      </c>
      <c r="D1104">
        <v>237.51</v>
      </c>
      <c r="E1104">
        <v>253.45</v>
      </c>
      <c r="F1104">
        <v>115.9</v>
      </c>
      <c r="G1104">
        <v>113.9</v>
      </c>
      <c r="H1104">
        <v>103.17</v>
      </c>
      <c r="I1104">
        <v>107.12</v>
      </c>
      <c r="J1104">
        <v>110.34</v>
      </c>
      <c r="K1104">
        <v>29.4</v>
      </c>
    </row>
    <row r="1105" spans="1:11">
      <c r="A1105">
        <v>145.16999999999999</v>
      </c>
      <c r="B1105">
        <v>195.95</v>
      </c>
      <c r="C1105">
        <v>229.01</v>
      </c>
      <c r="D1105">
        <v>233.84</v>
      </c>
      <c r="E1105">
        <v>249.95</v>
      </c>
      <c r="F1105">
        <v>115.78</v>
      </c>
      <c r="G1105">
        <v>113.84</v>
      </c>
      <c r="H1105">
        <v>103.23</v>
      </c>
      <c r="I1105">
        <v>107.17</v>
      </c>
      <c r="J1105">
        <v>110.28</v>
      </c>
      <c r="K1105">
        <v>29.4</v>
      </c>
    </row>
    <row r="1106" spans="1:11">
      <c r="A1106">
        <v>145.33000000000001</v>
      </c>
      <c r="B1106">
        <v>193.9</v>
      </c>
      <c r="C1106">
        <v>227.56</v>
      </c>
      <c r="D1106">
        <v>229.45</v>
      </c>
      <c r="E1106">
        <v>248.9</v>
      </c>
      <c r="F1106">
        <v>115.67</v>
      </c>
      <c r="G1106">
        <v>113.9</v>
      </c>
      <c r="H1106">
        <v>103.01</v>
      </c>
      <c r="I1106">
        <v>107.34</v>
      </c>
      <c r="J1106">
        <v>110.51</v>
      </c>
      <c r="K1106">
        <v>29.4</v>
      </c>
    </row>
    <row r="1107" spans="1:11">
      <c r="A1107">
        <v>145.5</v>
      </c>
      <c r="B1107">
        <v>190.56</v>
      </c>
      <c r="C1107">
        <v>224.9</v>
      </c>
      <c r="D1107">
        <v>227.17</v>
      </c>
      <c r="E1107">
        <v>247.73</v>
      </c>
      <c r="F1107">
        <v>115.67</v>
      </c>
      <c r="G1107">
        <v>113.78</v>
      </c>
      <c r="H1107">
        <v>102.9</v>
      </c>
      <c r="I1107">
        <v>107.51</v>
      </c>
      <c r="J1107">
        <v>110.56</v>
      </c>
      <c r="K1107">
        <v>29.4</v>
      </c>
    </row>
    <row r="1108" spans="1:11">
      <c r="A1108">
        <v>145.66999999999999</v>
      </c>
      <c r="B1108">
        <v>189.62</v>
      </c>
      <c r="C1108">
        <v>219.28</v>
      </c>
      <c r="D1108">
        <v>222.84</v>
      </c>
      <c r="E1108">
        <v>243.34</v>
      </c>
      <c r="F1108">
        <v>115.67</v>
      </c>
      <c r="G1108">
        <v>113.73</v>
      </c>
      <c r="H1108">
        <v>103.01</v>
      </c>
      <c r="I1108">
        <v>107.62</v>
      </c>
      <c r="J1108">
        <v>110.62</v>
      </c>
      <c r="K1108">
        <v>29.4</v>
      </c>
    </row>
    <row r="1109" spans="1:11">
      <c r="A1109">
        <v>145.83000000000001</v>
      </c>
      <c r="B1109">
        <v>193.45</v>
      </c>
      <c r="C1109">
        <v>213.51</v>
      </c>
      <c r="D1109">
        <v>218.62</v>
      </c>
      <c r="E1109">
        <v>237.95</v>
      </c>
      <c r="F1109">
        <v>115.67</v>
      </c>
      <c r="G1109">
        <v>113.67</v>
      </c>
      <c r="H1109">
        <v>102.78</v>
      </c>
      <c r="I1109">
        <v>107.45</v>
      </c>
      <c r="J1109">
        <v>110.73</v>
      </c>
      <c r="K1109">
        <v>29.4</v>
      </c>
    </row>
    <row r="1110" spans="1:11">
      <c r="A1110">
        <v>146</v>
      </c>
      <c r="B1110">
        <v>192.73</v>
      </c>
      <c r="C1110">
        <v>209.28</v>
      </c>
      <c r="D1110">
        <v>213.62</v>
      </c>
      <c r="E1110">
        <v>234.34</v>
      </c>
      <c r="F1110">
        <v>115.56</v>
      </c>
      <c r="G1110">
        <v>113.67</v>
      </c>
      <c r="H1110">
        <v>102.9</v>
      </c>
      <c r="I1110">
        <v>107.51</v>
      </c>
      <c r="J1110">
        <v>110.73</v>
      </c>
      <c r="K1110">
        <v>29.4</v>
      </c>
    </row>
    <row r="1111" spans="1:11">
      <c r="A1111">
        <v>146.16999999999999</v>
      </c>
      <c r="B1111">
        <v>251.4</v>
      </c>
      <c r="C1111">
        <v>207.62</v>
      </c>
      <c r="D1111">
        <v>211.4</v>
      </c>
      <c r="E1111">
        <v>229.73</v>
      </c>
      <c r="F1111">
        <v>115.34</v>
      </c>
      <c r="G1111">
        <v>113.67</v>
      </c>
      <c r="H1111">
        <v>102.95</v>
      </c>
      <c r="I1111">
        <v>106.56</v>
      </c>
      <c r="J1111">
        <v>110.9</v>
      </c>
      <c r="K1111">
        <v>29.4</v>
      </c>
    </row>
    <row r="1112" spans="1:11">
      <c r="A1112">
        <v>146.33000000000001</v>
      </c>
      <c r="B1112">
        <v>268.95</v>
      </c>
      <c r="C1112">
        <v>206.23</v>
      </c>
      <c r="D1112">
        <v>209.56</v>
      </c>
      <c r="E1112">
        <v>226.73</v>
      </c>
      <c r="F1112">
        <v>115.62</v>
      </c>
      <c r="G1112">
        <v>113.62</v>
      </c>
      <c r="H1112">
        <v>103.17</v>
      </c>
      <c r="I1112">
        <v>106.06</v>
      </c>
      <c r="J1112">
        <v>110.9</v>
      </c>
      <c r="K1112">
        <v>29.45</v>
      </c>
    </row>
    <row r="1113" spans="1:11">
      <c r="A1113">
        <v>146.5</v>
      </c>
      <c r="B1113">
        <v>269.62</v>
      </c>
      <c r="C1113">
        <v>204.45</v>
      </c>
      <c r="D1113">
        <v>207.67</v>
      </c>
      <c r="E1113">
        <v>224.12</v>
      </c>
      <c r="F1113">
        <v>116.12</v>
      </c>
      <c r="G1113">
        <v>113.67</v>
      </c>
      <c r="H1113">
        <v>103.06</v>
      </c>
      <c r="I1113">
        <v>106.23</v>
      </c>
      <c r="J1113">
        <v>111.01</v>
      </c>
      <c r="K1113">
        <v>29.45</v>
      </c>
    </row>
    <row r="1114" spans="1:11">
      <c r="A1114">
        <v>146.66999999999999</v>
      </c>
      <c r="B1114">
        <v>269.73</v>
      </c>
      <c r="C1114">
        <v>201.78</v>
      </c>
      <c r="D1114">
        <v>204.9</v>
      </c>
      <c r="E1114">
        <v>221.62</v>
      </c>
      <c r="F1114">
        <v>116.28</v>
      </c>
      <c r="G1114">
        <v>113.73</v>
      </c>
      <c r="H1114">
        <v>103.51</v>
      </c>
      <c r="I1114">
        <v>106.51</v>
      </c>
      <c r="J1114">
        <v>111.06</v>
      </c>
      <c r="K1114">
        <v>29.45</v>
      </c>
    </row>
    <row r="1115" spans="1:11">
      <c r="A1115">
        <v>146.83000000000001</v>
      </c>
      <c r="B1115">
        <v>269.83999999999997</v>
      </c>
      <c r="C1115">
        <v>199.28</v>
      </c>
      <c r="D1115">
        <v>202.06</v>
      </c>
      <c r="E1115">
        <v>217.51</v>
      </c>
      <c r="F1115">
        <v>116.28</v>
      </c>
      <c r="G1115">
        <v>113.78</v>
      </c>
      <c r="H1115">
        <v>103.78</v>
      </c>
      <c r="I1115">
        <v>106.62</v>
      </c>
      <c r="J1115">
        <v>111.17</v>
      </c>
      <c r="K1115">
        <v>29.45</v>
      </c>
    </row>
    <row r="1116" spans="1:11">
      <c r="A1116">
        <v>147</v>
      </c>
      <c r="B1116">
        <v>269.83999999999997</v>
      </c>
      <c r="C1116">
        <v>242.12</v>
      </c>
      <c r="D1116">
        <v>250.06</v>
      </c>
      <c r="E1116">
        <v>226.12</v>
      </c>
      <c r="F1116">
        <v>116.62</v>
      </c>
      <c r="G1116">
        <v>113.95</v>
      </c>
      <c r="H1116">
        <v>104.01</v>
      </c>
      <c r="I1116">
        <v>106.84</v>
      </c>
      <c r="J1116">
        <v>111.17</v>
      </c>
      <c r="K1116">
        <v>29.45</v>
      </c>
    </row>
    <row r="1117" spans="1:11">
      <c r="A1117">
        <v>147.16999999999999</v>
      </c>
      <c r="B1117">
        <v>269.95</v>
      </c>
      <c r="C1117">
        <v>262.23</v>
      </c>
      <c r="D1117">
        <v>261.39999999999998</v>
      </c>
      <c r="E1117">
        <v>266.45</v>
      </c>
      <c r="F1117">
        <v>116.67</v>
      </c>
      <c r="G1117">
        <v>114.06</v>
      </c>
      <c r="H1117">
        <v>104.34</v>
      </c>
      <c r="I1117">
        <v>106.9</v>
      </c>
      <c r="J1117">
        <v>111.23</v>
      </c>
      <c r="K1117">
        <v>29.45</v>
      </c>
    </row>
    <row r="1118" spans="1:11">
      <c r="A1118">
        <v>147.33000000000001</v>
      </c>
      <c r="B1118">
        <v>269.73</v>
      </c>
      <c r="C1118">
        <v>266.83999999999997</v>
      </c>
      <c r="D1118">
        <v>264.06</v>
      </c>
      <c r="E1118">
        <v>269.06</v>
      </c>
      <c r="F1118">
        <v>116.78</v>
      </c>
      <c r="G1118">
        <v>114.23</v>
      </c>
      <c r="H1118">
        <v>104.62</v>
      </c>
      <c r="I1118">
        <v>106.84</v>
      </c>
      <c r="J1118">
        <v>111.34</v>
      </c>
      <c r="K1118">
        <v>29.45</v>
      </c>
    </row>
    <row r="1119" spans="1:11">
      <c r="A1119">
        <v>147.5</v>
      </c>
      <c r="B1119">
        <v>268.73</v>
      </c>
      <c r="C1119">
        <v>268.67</v>
      </c>
      <c r="D1119">
        <v>265.62</v>
      </c>
      <c r="E1119">
        <v>269.39999999999998</v>
      </c>
      <c r="F1119">
        <v>117.06</v>
      </c>
      <c r="G1119">
        <v>114.45</v>
      </c>
      <c r="H1119">
        <v>105.06</v>
      </c>
      <c r="I1119">
        <v>107.23</v>
      </c>
      <c r="J1119">
        <v>111.51</v>
      </c>
      <c r="K1119">
        <v>29.45</v>
      </c>
    </row>
    <row r="1120" spans="1:11">
      <c r="A1120">
        <v>147.66999999999999</v>
      </c>
      <c r="B1120">
        <v>267.83999999999997</v>
      </c>
      <c r="C1120">
        <v>269.17</v>
      </c>
      <c r="D1120">
        <v>265.39999999999998</v>
      </c>
      <c r="E1120">
        <v>267.83999999999997</v>
      </c>
      <c r="F1120">
        <v>116.95</v>
      </c>
      <c r="G1120">
        <v>114.62</v>
      </c>
      <c r="H1120">
        <v>104.95</v>
      </c>
      <c r="I1120">
        <v>107.51</v>
      </c>
      <c r="J1120">
        <v>111.51</v>
      </c>
      <c r="K1120">
        <v>29.45</v>
      </c>
    </row>
    <row r="1121" spans="1:11">
      <c r="A1121">
        <v>147.83000000000001</v>
      </c>
      <c r="B1121">
        <v>267.23</v>
      </c>
      <c r="C1121">
        <v>269.01</v>
      </c>
      <c r="D1121">
        <v>265.06</v>
      </c>
      <c r="E1121">
        <v>265.51</v>
      </c>
      <c r="F1121">
        <v>116.78</v>
      </c>
      <c r="G1121">
        <v>114.73</v>
      </c>
      <c r="H1121">
        <v>105.17</v>
      </c>
      <c r="I1121">
        <v>107.67</v>
      </c>
      <c r="J1121">
        <v>111.56</v>
      </c>
      <c r="K1121">
        <v>29.45</v>
      </c>
    </row>
    <row r="1122" spans="1:11">
      <c r="A1122">
        <v>148</v>
      </c>
      <c r="B1122">
        <v>266.77999999999997</v>
      </c>
      <c r="C1122">
        <v>269.06</v>
      </c>
      <c r="D1122">
        <v>265.45</v>
      </c>
      <c r="E1122">
        <v>261.62</v>
      </c>
      <c r="F1122">
        <v>116.51</v>
      </c>
      <c r="G1122">
        <v>114.9</v>
      </c>
      <c r="H1122">
        <v>105.28</v>
      </c>
      <c r="I1122">
        <v>107.73</v>
      </c>
      <c r="J1122">
        <v>111.67</v>
      </c>
      <c r="K1122">
        <v>29.45</v>
      </c>
    </row>
    <row r="1123" spans="1:11">
      <c r="A1123">
        <v>148.16999999999999</v>
      </c>
      <c r="B1123">
        <v>266.67</v>
      </c>
      <c r="C1123">
        <v>269.27999999999997</v>
      </c>
      <c r="D1123">
        <v>266.77999999999997</v>
      </c>
      <c r="E1123">
        <v>258.33999999999997</v>
      </c>
      <c r="F1123">
        <v>116.51</v>
      </c>
      <c r="G1123">
        <v>115.01</v>
      </c>
      <c r="H1123">
        <v>105.28</v>
      </c>
      <c r="I1123">
        <v>107.95</v>
      </c>
      <c r="J1123">
        <v>111.78</v>
      </c>
      <c r="K1123">
        <v>29.45</v>
      </c>
    </row>
    <row r="1124" spans="1:11">
      <c r="A1124">
        <v>148.33000000000001</v>
      </c>
      <c r="B1124">
        <v>266.77999999999997</v>
      </c>
      <c r="C1124">
        <v>269.23</v>
      </c>
      <c r="D1124">
        <v>267.73</v>
      </c>
      <c r="E1124">
        <v>257.33999999999997</v>
      </c>
      <c r="F1124">
        <v>116.45</v>
      </c>
      <c r="G1124">
        <v>115.01</v>
      </c>
      <c r="H1124">
        <v>105.28</v>
      </c>
      <c r="I1124">
        <v>107.67</v>
      </c>
      <c r="J1124">
        <v>111.78</v>
      </c>
      <c r="K1124">
        <v>29.45</v>
      </c>
    </row>
    <row r="1125" spans="1:11">
      <c r="A1125">
        <v>148.5</v>
      </c>
      <c r="B1125">
        <v>267.33999999999997</v>
      </c>
      <c r="C1125">
        <v>269.33999999999997</v>
      </c>
      <c r="D1125">
        <v>268.45</v>
      </c>
      <c r="E1125">
        <v>265.77999999999997</v>
      </c>
      <c r="F1125">
        <v>116.45</v>
      </c>
      <c r="G1125">
        <v>115.01</v>
      </c>
      <c r="H1125">
        <v>105.28</v>
      </c>
      <c r="I1125">
        <v>106.84</v>
      </c>
      <c r="J1125">
        <v>111.84</v>
      </c>
      <c r="K1125">
        <v>29.45</v>
      </c>
    </row>
    <row r="1126" spans="1:11">
      <c r="A1126">
        <v>148.66999999999999</v>
      </c>
      <c r="B1126">
        <v>269.33999999999997</v>
      </c>
      <c r="C1126">
        <v>269.39999999999998</v>
      </c>
      <c r="D1126">
        <v>268.67</v>
      </c>
      <c r="E1126">
        <v>268.56</v>
      </c>
      <c r="F1126">
        <v>116.45</v>
      </c>
      <c r="G1126">
        <v>115.01</v>
      </c>
      <c r="H1126">
        <v>105.4</v>
      </c>
      <c r="I1126">
        <v>107.01</v>
      </c>
      <c r="J1126">
        <v>112.01</v>
      </c>
      <c r="K1126">
        <v>29.45</v>
      </c>
    </row>
    <row r="1127" spans="1:11">
      <c r="A1127">
        <v>148.83000000000001</v>
      </c>
      <c r="B1127">
        <v>270.01</v>
      </c>
      <c r="C1127">
        <v>269.45</v>
      </c>
      <c r="D1127">
        <v>268.95</v>
      </c>
      <c r="E1127">
        <v>269.17</v>
      </c>
      <c r="F1127">
        <v>116.45</v>
      </c>
      <c r="G1127">
        <v>114.95</v>
      </c>
      <c r="H1127">
        <v>105.4</v>
      </c>
      <c r="I1127">
        <v>106.9</v>
      </c>
      <c r="J1127">
        <v>112.01</v>
      </c>
      <c r="K1127">
        <v>29.45</v>
      </c>
    </row>
    <row r="1128" spans="1:11">
      <c r="A1128">
        <v>149</v>
      </c>
      <c r="B1128">
        <v>270.12</v>
      </c>
      <c r="C1128">
        <v>269.45</v>
      </c>
      <c r="D1128">
        <v>269.56</v>
      </c>
      <c r="E1128">
        <v>269.56</v>
      </c>
      <c r="F1128">
        <v>116.56</v>
      </c>
      <c r="G1128">
        <v>114.9</v>
      </c>
      <c r="H1128">
        <v>105.45</v>
      </c>
      <c r="I1128">
        <v>106.73</v>
      </c>
      <c r="J1128">
        <v>112.06</v>
      </c>
      <c r="K1128">
        <v>29.45</v>
      </c>
    </row>
    <row r="1129" spans="1:11">
      <c r="A1129">
        <v>149.16999999999999</v>
      </c>
      <c r="B1129">
        <v>270.17</v>
      </c>
      <c r="C1129">
        <v>269.39999999999998</v>
      </c>
      <c r="D1129">
        <v>269.67</v>
      </c>
      <c r="E1129">
        <v>269.39999999999998</v>
      </c>
      <c r="F1129">
        <v>116.67</v>
      </c>
      <c r="G1129">
        <v>114.95</v>
      </c>
      <c r="H1129">
        <v>105.62</v>
      </c>
      <c r="I1129">
        <v>106.73</v>
      </c>
      <c r="J1129">
        <v>112.17</v>
      </c>
      <c r="K1129">
        <v>29.45</v>
      </c>
    </row>
    <row r="1130" spans="1:11">
      <c r="A1130">
        <v>149.33000000000001</v>
      </c>
      <c r="B1130">
        <v>270.12</v>
      </c>
      <c r="C1130">
        <v>269.33999999999997</v>
      </c>
      <c r="D1130">
        <v>269.67</v>
      </c>
      <c r="E1130">
        <v>269.45</v>
      </c>
      <c r="F1130">
        <v>116.56</v>
      </c>
      <c r="G1130">
        <v>114.84</v>
      </c>
      <c r="H1130">
        <v>105.73</v>
      </c>
      <c r="I1130">
        <v>106.56</v>
      </c>
      <c r="J1130">
        <v>112.28</v>
      </c>
      <c r="K1130">
        <v>29.45</v>
      </c>
    </row>
    <row r="1131" spans="1:11">
      <c r="A1131">
        <v>149.5</v>
      </c>
      <c r="B1131">
        <v>270.12</v>
      </c>
      <c r="C1131">
        <v>269.33999999999997</v>
      </c>
      <c r="D1131">
        <v>269.67</v>
      </c>
      <c r="E1131">
        <v>269.62</v>
      </c>
      <c r="F1131">
        <v>116.4</v>
      </c>
      <c r="G1131">
        <v>114.84</v>
      </c>
      <c r="H1131">
        <v>105.78</v>
      </c>
      <c r="I1131">
        <v>106.51</v>
      </c>
      <c r="J1131">
        <v>112.34</v>
      </c>
      <c r="K1131">
        <v>29.51</v>
      </c>
    </row>
    <row r="1132" spans="1:11">
      <c r="A1132">
        <v>149.66999999999999</v>
      </c>
      <c r="B1132">
        <v>270.17</v>
      </c>
      <c r="C1132">
        <v>269.39999999999998</v>
      </c>
      <c r="D1132">
        <v>269.67</v>
      </c>
      <c r="E1132">
        <v>269.62</v>
      </c>
      <c r="F1132">
        <v>116.23</v>
      </c>
      <c r="G1132">
        <v>114.84</v>
      </c>
      <c r="H1132">
        <v>105.84</v>
      </c>
      <c r="I1132">
        <v>106.56</v>
      </c>
      <c r="J1132">
        <v>112.4</v>
      </c>
      <c r="K1132">
        <v>29.51</v>
      </c>
    </row>
    <row r="1133" spans="1:11">
      <c r="A1133">
        <v>149.83000000000001</v>
      </c>
      <c r="B1133">
        <v>270.12</v>
      </c>
      <c r="C1133">
        <v>269.33999999999997</v>
      </c>
      <c r="D1133">
        <v>269.62</v>
      </c>
      <c r="E1133">
        <v>269.12</v>
      </c>
      <c r="F1133">
        <v>116.23</v>
      </c>
      <c r="G1133">
        <v>114.78</v>
      </c>
      <c r="H1133">
        <v>105.62</v>
      </c>
      <c r="I1133">
        <v>106.78</v>
      </c>
      <c r="J1133">
        <v>112.51</v>
      </c>
      <c r="K1133">
        <v>29.51</v>
      </c>
    </row>
    <row r="1134" spans="1:11">
      <c r="A1134">
        <v>150</v>
      </c>
      <c r="B1134">
        <v>270.17</v>
      </c>
      <c r="C1134">
        <v>269.39999999999998</v>
      </c>
      <c r="D1134">
        <v>269.62</v>
      </c>
      <c r="E1134">
        <v>269.62</v>
      </c>
      <c r="F1134">
        <v>116.45</v>
      </c>
      <c r="G1134">
        <v>114.78</v>
      </c>
      <c r="H1134">
        <v>105.56</v>
      </c>
      <c r="I1134">
        <v>106.9</v>
      </c>
      <c r="J1134">
        <v>112.62</v>
      </c>
      <c r="K1134">
        <v>29.51</v>
      </c>
    </row>
    <row r="1135" spans="1:11">
      <c r="A1135">
        <v>150.16999999999999</v>
      </c>
      <c r="B1135">
        <v>270.12</v>
      </c>
      <c r="C1135">
        <v>269.33999999999997</v>
      </c>
      <c r="D1135">
        <v>269.62</v>
      </c>
      <c r="E1135">
        <v>269.62</v>
      </c>
      <c r="F1135">
        <v>116.45</v>
      </c>
      <c r="G1135">
        <v>114.78</v>
      </c>
      <c r="H1135">
        <v>105.45</v>
      </c>
      <c r="I1135">
        <v>106.84</v>
      </c>
      <c r="J1135">
        <v>112.62</v>
      </c>
      <c r="K1135">
        <v>29.51</v>
      </c>
    </row>
    <row r="1136" spans="1:11">
      <c r="A1136">
        <v>150.33000000000001</v>
      </c>
      <c r="B1136">
        <v>270.23</v>
      </c>
      <c r="C1136">
        <v>269.39999999999998</v>
      </c>
      <c r="D1136">
        <v>269.56</v>
      </c>
      <c r="E1136">
        <v>269.62</v>
      </c>
      <c r="F1136">
        <v>116.51</v>
      </c>
      <c r="G1136">
        <v>114.84</v>
      </c>
      <c r="H1136">
        <v>105.4</v>
      </c>
      <c r="I1136">
        <v>106.23</v>
      </c>
      <c r="J1136">
        <v>112.67</v>
      </c>
      <c r="K1136">
        <v>29.51</v>
      </c>
    </row>
    <row r="1137" spans="1:11">
      <c r="A1137">
        <v>150.5</v>
      </c>
      <c r="B1137">
        <v>270.12</v>
      </c>
      <c r="C1137">
        <v>269.33999999999997</v>
      </c>
      <c r="D1137">
        <v>269.56</v>
      </c>
      <c r="E1137">
        <v>269.51</v>
      </c>
      <c r="F1137">
        <v>116.62</v>
      </c>
      <c r="G1137">
        <v>114.78</v>
      </c>
      <c r="H1137">
        <v>105.4</v>
      </c>
      <c r="I1137">
        <v>106.06</v>
      </c>
      <c r="J1137">
        <v>112.78</v>
      </c>
      <c r="K1137">
        <v>29.51</v>
      </c>
    </row>
    <row r="1138" spans="1:11">
      <c r="A1138">
        <v>150.66999999999999</v>
      </c>
      <c r="B1138">
        <v>270.17</v>
      </c>
      <c r="C1138">
        <v>269.33999999999997</v>
      </c>
      <c r="D1138">
        <v>269.67</v>
      </c>
      <c r="E1138">
        <v>269.67</v>
      </c>
      <c r="F1138">
        <v>116.56</v>
      </c>
      <c r="G1138">
        <v>114.78</v>
      </c>
      <c r="H1138">
        <v>104.9</v>
      </c>
      <c r="I1138">
        <v>106.34</v>
      </c>
      <c r="J1138">
        <v>112.84</v>
      </c>
      <c r="K1138">
        <v>29.51</v>
      </c>
    </row>
    <row r="1139" spans="1:11">
      <c r="A1139">
        <v>150.83000000000001</v>
      </c>
      <c r="B1139">
        <v>270.23</v>
      </c>
      <c r="C1139">
        <v>269.39999999999998</v>
      </c>
      <c r="D1139">
        <v>269.73</v>
      </c>
      <c r="E1139">
        <v>269.67</v>
      </c>
      <c r="F1139">
        <v>116.56</v>
      </c>
      <c r="G1139">
        <v>114.78</v>
      </c>
      <c r="H1139">
        <v>104.84</v>
      </c>
      <c r="I1139">
        <v>106.51</v>
      </c>
      <c r="J1139">
        <v>113.01</v>
      </c>
      <c r="K1139">
        <v>29.51</v>
      </c>
    </row>
    <row r="1140" spans="1:11">
      <c r="A1140">
        <v>151</v>
      </c>
      <c r="B1140">
        <v>270.17</v>
      </c>
      <c r="C1140">
        <v>269.39999999999998</v>
      </c>
      <c r="D1140">
        <v>269.67</v>
      </c>
      <c r="E1140">
        <v>269.62</v>
      </c>
      <c r="F1140">
        <v>116.28</v>
      </c>
      <c r="G1140">
        <v>114.84</v>
      </c>
      <c r="H1140">
        <v>104.45</v>
      </c>
      <c r="I1140">
        <v>106.23</v>
      </c>
      <c r="J1140">
        <v>113.06</v>
      </c>
      <c r="K1140">
        <v>29.51</v>
      </c>
    </row>
    <row r="1141" spans="1:11">
      <c r="A1141">
        <v>151.16999999999999</v>
      </c>
      <c r="B1141">
        <v>270.17</v>
      </c>
      <c r="C1141">
        <v>269.39999999999998</v>
      </c>
      <c r="D1141">
        <v>269.62</v>
      </c>
      <c r="E1141">
        <v>269.56</v>
      </c>
      <c r="F1141">
        <v>116.12</v>
      </c>
      <c r="G1141">
        <v>114.84</v>
      </c>
      <c r="H1141">
        <v>104.34</v>
      </c>
      <c r="I1141">
        <v>106.28</v>
      </c>
      <c r="J1141">
        <v>113.12</v>
      </c>
      <c r="K1141">
        <v>29.51</v>
      </c>
    </row>
    <row r="1142" spans="1:11">
      <c r="A1142">
        <v>151.33000000000001</v>
      </c>
      <c r="B1142">
        <v>270.12</v>
      </c>
      <c r="C1142">
        <v>269.01</v>
      </c>
      <c r="D1142">
        <v>269.39999999999998</v>
      </c>
      <c r="E1142">
        <v>269.62</v>
      </c>
      <c r="F1142">
        <v>115.95</v>
      </c>
      <c r="G1142">
        <v>114.84</v>
      </c>
      <c r="H1142">
        <v>104.34</v>
      </c>
      <c r="I1142">
        <v>106.23</v>
      </c>
      <c r="J1142">
        <v>113.17</v>
      </c>
      <c r="K1142">
        <v>29.51</v>
      </c>
    </row>
    <row r="1143" spans="1:11">
      <c r="A1143">
        <v>151.5</v>
      </c>
      <c r="B1143">
        <v>270.27999999999997</v>
      </c>
      <c r="C1143">
        <v>269.33999999999997</v>
      </c>
      <c r="D1143">
        <v>269.67</v>
      </c>
      <c r="E1143">
        <v>269.56</v>
      </c>
      <c r="F1143">
        <v>115.84</v>
      </c>
      <c r="G1143">
        <v>114.78</v>
      </c>
      <c r="H1143">
        <v>104.56</v>
      </c>
      <c r="I1143">
        <v>106.4</v>
      </c>
      <c r="J1143">
        <v>113.28</v>
      </c>
      <c r="K1143">
        <v>29.51</v>
      </c>
    </row>
    <row r="1144" spans="1:11">
      <c r="A1144">
        <v>151.66999999999999</v>
      </c>
      <c r="B1144">
        <v>270.12</v>
      </c>
      <c r="C1144">
        <v>269.27999999999997</v>
      </c>
      <c r="D1144">
        <v>269.62</v>
      </c>
      <c r="E1144">
        <v>269.62</v>
      </c>
      <c r="F1144">
        <v>115.67</v>
      </c>
      <c r="G1144">
        <v>114.84</v>
      </c>
      <c r="H1144">
        <v>104.45</v>
      </c>
      <c r="I1144">
        <v>106.45</v>
      </c>
      <c r="J1144">
        <v>113.34</v>
      </c>
      <c r="K1144">
        <v>29.51</v>
      </c>
    </row>
    <row r="1145" spans="1:11">
      <c r="A1145">
        <v>151.83000000000001</v>
      </c>
      <c r="B1145">
        <v>270.12</v>
      </c>
      <c r="C1145">
        <v>269.23</v>
      </c>
      <c r="D1145">
        <v>269.56</v>
      </c>
      <c r="E1145">
        <v>269.12</v>
      </c>
      <c r="F1145">
        <v>115.67</v>
      </c>
      <c r="G1145">
        <v>114.67</v>
      </c>
      <c r="H1145">
        <v>104.01</v>
      </c>
      <c r="I1145">
        <v>106.51</v>
      </c>
      <c r="J1145">
        <v>113.4</v>
      </c>
      <c r="K1145">
        <v>29.51</v>
      </c>
    </row>
    <row r="1146" spans="1:11">
      <c r="A1146">
        <v>152</v>
      </c>
      <c r="B1146">
        <v>269.56</v>
      </c>
      <c r="C1146">
        <v>268.89999999999998</v>
      </c>
      <c r="D1146">
        <v>269.23</v>
      </c>
      <c r="E1146">
        <v>269.39999999999998</v>
      </c>
      <c r="F1146">
        <v>115.73</v>
      </c>
      <c r="G1146">
        <v>114.67</v>
      </c>
      <c r="H1146">
        <v>103.84</v>
      </c>
      <c r="I1146">
        <v>106.51</v>
      </c>
      <c r="J1146">
        <v>113.56</v>
      </c>
      <c r="K1146">
        <v>29.51</v>
      </c>
    </row>
    <row r="1147" spans="1:11">
      <c r="A1147">
        <v>152.16999999999999</v>
      </c>
      <c r="B1147">
        <v>269.83999999999997</v>
      </c>
      <c r="C1147">
        <v>269.39999999999998</v>
      </c>
      <c r="D1147">
        <v>269.62</v>
      </c>
      <c r="E1147">
        <v>269.06</v>
      </c>
      <c r="F1147">
        <v>115.9</v>
      </c>
      <c r="G1147">
        <v>114.73</v>
      </c>
      <c r="H1147">
        <v>103.95</v>
      </c>
      <c r="I1147">
        <v>106.67</v>
      </c>
      <c r="J1147">
        <v>113.56</v>
      </c>
      <c r="K1147">
        <v>29.51</v>
      </c>
    </row>
    <row r="1148" spans="1:11">
      <c r="A1148">
        <v>152.33000000000001</v>
      </c>
      <c r="B1148">
        <v>269.95</v>
      </c>
      <c r="C1148">
        <v>269.33999999999997</v>
      </c>
      <c r="D1148">
        <v>269.62</v>
      </c>
      <c r="E1148">
        <v>269.56</v>
      </c>
      <c r="F1148">
        <v>115.84</v>
      </c>
      <c r="G1148">
        <v>114.67</v>
      </c>
      <c r="H1148">
        <v>104.12</v>
      </c>
      <c r="I1148">
        <v>106.73</v>
      </c>
      <c r="J1148">
        <v>113.73</v>
      </c>
      <c r="K1148">
        <v>29.51</v>
      </c>
    </row>
    <row r="1149" spans="1:11">
      <c r="A1149">
        <v>152.5</v>
      </c>
      <c r="B1149">
        <v>269.67</v>
      </c>
      <c r="C1149">
        <v>269.45</v>
      </c>
      <c r="D1149">
        <v>269.62</v>
      </c>
      <c r="E1149">
        <v>269.56</v>
      </c>
      <c r="F1149">
        <v>115.9</v>
      </c>
      <c r="G1149">
        <v>114.67</v>
      </c>
      <c r="H1149">
        <v>103.4</v>
      </c>
      <c r="I1149">
        <v>106.56</v>
      </c>
      <c r="J1149">
        <v>113.78</v>
      </c>
      <c r="K1149">
        <v>29.51</v>
      </c>
    </row>
    <row r="1150" spans="1:11">
      <c r="A1150">
        <v>152.66999999999999</v>
      </c>
      <c r="B1150">
        <v>269.62</v>
      </c>
      <c r="C1150">
        <v>269.39999999999998</v>
      </c>
      <c r="D1150">
        <v>269.62</v>
      </c>
      <c r="E1150">
        <v>269.56</v>
      </c>
      <c r="F1150">
        <v>115.73</v>
      </c>
      <c r="G1150">
        <v>114.67</v>
      </c>
      <c r="H1150">
        <v>103.23</v>
      </c>
      <c r="I1150">
        <v>106.73</v>
      </c>
      <c r="J1150">
        <v>113.78</v>
      </c>
      <c r="K1150">
        <v>29.56</v>
      </c>
    </row>
    <row r="1151" spans="1:11">
      <c r="A1151">
        <v>152.83000000000001</v>
      </c>
      <c r="B1151">
        <v>269.23</v>
      </c>
      <c r="C1151">
        <v>269.39999999999998</v>
      </c>
      <c r="D1151">
        <v>269.56</v>
      </c>
      <c r="E1151">
        <v>269.33999999999997</v>
      </c>
      <c r="F1151">
        <v>115.45</v>
      </c>
      <c r="G1151">
        <v>114.62</v>
      </c>
      <c r="H1151">
        <v>103.17</v>
      </c>
      <c r="I1151">
        <v>106.56</v>
      </c>
      <c r="J1151">
        <v>113.9</v>
      </c>
      <c r="K1151">
        <v>29.56</v>
      </c>
    </row>
    <row r="1152" spans="1:11">
      <c r="A1152">
        <v>153</v>
      </c>
      <c r="B1152">
        <v>269.77999999999997</v>
      </c>
      <c r="C1152">
        <v>269.23</v>
      </c>
      <c r="D1152">
        <v>269.51</v>
      </c>
      <c r="E1152">
        <v>269.45</v>
      </c>
      <c r="F1152">
        <v>115.17</v>
      </c>
      <c r="G1152">
        <v>114.73</v>
      </c>
      <c r="H1152">
        <v>103.23</v>
      </c>
      <c r="I1152">
        <v>106.67</v>
      </c>
      <c r="J1152">
        <v>113.95</v>
      </c>
      <c r="K1152">
        <v>29.56</v>
      </c>
    </row>
    <row r="1153" spans="1:11">
      <c r="A1153">
        <v>153.16999999999999</v>
      </c>
      <c r="B1153">
        <v>269.83999999999997</v>
      </c>
      <c r="C1153">
        <v>268.89999999999998</v>
      </c>
      <c r="D1153">
        <v>269.23</v>
      </c>
      <c r="E1153">
        <v>268.62</v>
      </c>
      <c r="F1153">
        <v>114.84</v>
      </c>
      <c r="G1153">
        <v>114.56</v>
      </c>
      <c r="H1153">
        <v>103.06</v>
      </c>
      <c r="I1153">
        <v>106.56</v>
      </c>
      <c r="J1153">
        <v>114.01</v>
      </c>
      <c r="K1153">
        <v>29.56</v>
      </c>
    </row>
    <row r="1154" spans="1:11">
      <c r="A1154">
        <v>153.33000000000001</v>
      </c>
      <c r="B1154">
        <v>269.56</v>
      </c>
      <c r="C1154">
        <v>268.67</v>
      </c>
      <c r="D1154">
        <v>269.12</v>
      </c>
      <c r="E1154">
        <v>269.33999999999997</v>
      </c>
      <c r="F1154">
        <v>114.78</v>
      </c>
      <c r="G1154">
        <v>114.51</v>
      </c>
      <c r="H1154">
        <v>103.06</v>
      </c>
      <c r="I1154">
        <v>106.73</v>
      </c>
      <c r="J1154">
        <v>114.06</v>
      </c>
      <c r="K1154">
        <v>29.56</v>
      </c>
    </row>
    <row r="1155" spans="1:11">
      <c r="A1155">
        <v>153.5</v>
      </c>
      <c r="B1155">
        <v>269.56</v>
      </c>
      <c r="C1155">
        <v>267.83999999999997</v>
      </c>
      <c r="D1155">
        <v>268.27999999999997</v>
      </c>
      <c r="E1155">
        <v>269.39999999999998</v>
      </c>
      <c r="F1155">
        <v>114.9</v>
      </c>
      <c r="G1155">
        <v>114.4</v>
      </c>
      <c r="H1155">
        <v>102.9</v>
      </c>
      <c r="I1155">
        <v>107.06</v>
      </c>
      <c r="J1155">
        <v>114.06</v>
      </c>
      <c r="K1155">
        <v>29.56</v>
      </c>
    </row>
    <row r="1156" spans="1:11">
      <c r="A1156">
        <v>153.66999999999999</v>
      </c>
      <c r="B1156">
        <v>268.45</v>
      </c>
      <c r="C1156">
        <v>268.62</v>
      </c>
      <c r="D1156">
        <v>269.01</v>
      </c>
      <c r="E1156">
        <v>269.23</v>
      </c>
      <c r="F1156">
        <v>115.01</v>
      </c>
      <c r="G1156">
        <v>114.23</v>
      </c>
      <c r="H1156">
        <v>102.9</v>
      </c>
      <c r="I1156">
        <v>106.84</v>
      </c>
      <c r="J1156">
        <v>114.12</v>
      </c>
      <c r="K1156">
        <v>29.56</v>
      </c>
    </row>
    <row r="1157" spans="1:11">
      <c r="A1157">
        <v>153.83000000000001</v>
      </c>
      <c r="B1157">
        <v>267.73</v>
      </c>
      <c r="C1157">
        <v>268.56</v>
      </c>
      <c r="D1157">
        <v>268.83999999999997</v>
      </c>
      <c r="E1157">
        <v>268.95</v>
      </c>
      <c r="F1157">
        <v>115.17</v>
      </c>
      <c r="G1157">
        <v>114.17</v>
      </c>
      <c r="H1157">
        <v>102.95</v>
      </c>
      <c r="I1157">
        <v>106.84</v>
      </c>
      <c r="J1157">
        <v>114.17</v>
      </c>
      <c r="K1157">
        <v>29.56</v>
      </c>
    </row>
    <row r="1158" spans="1:11">
      <c r="A1158">
        <v>154</v>
      </c>
      <c r="B1158">
        <v>267.83999999999997</v>
      </c>
      <c r="C1158">
        <v>268.67</v>
      </c>
      <c r="D1158">
        <v>269.01</v>
      </c>
      <c r="E1158">
        <v>268.67</v>
      </c>
      <c r="F1158">
        <v>115.28</v>
      </c>
      <c r="G1158">
        <v>114.06</v>
      </c>
      <c r="H1158">
        <v>103.01</v>
      </c>
      <c r="I1158">
        <v>107.01</v>
      </c>
      <c r="J1158">
        <v>114.23</v>
      </c>
      <c r="K1158">
        <v>29.56</v>
      </c>
    </row>
    <row r="1159" spans="1:11">
      <c r="A1159">
        <v>154.16999999999999</v>
      </c>
      <c r="B1159">
        <v>267.73</v>
      </c>
      <c r="C1159">
        <v>268.06</v>
      </c>
      <c r="D1159">
        <v>268.27999999999997</v>
      </c>
      <c r="E1159">
        <v>268.89999999999998</v>
      </c>
      <c r="F1159">
        <v>115.4</v>
      </c>
      <c r="G1159">
        <v>114.06</v>
      </c>
      <c r="H1159">
        <v>103.12</v>
      </c>
      <c r="I1159">
        <v>107.34</v>
      </c>
      <c r="J1159">
        <v>114.4</v>
      </c>
      <c r="K1159">
        <v>29.56</v>
      </c>
    </row>
    <row r="1160" spans="1:11">
      <c r="A1160">
        <v>154.33000000000001</v>
      </c>
      <c r="B1160">
        <v>268.17</v>
      </c>
      <c r="C1160">
        <v>268.01</v>
      </c>
      <c r="D1160">
        <v>268.45</v>
      </c>
      <c r="E1160">
        <v>269.01</v>
      </c>
      <c r="F1160">
        <v>115.51</v>
      </c>
      <c r="G1160">
        <v>114.01</v>
      </c>
      <c r="H1160">
        <v>103.12</v>
      </c>
      <c r="I1160">
        <v>107.34</v>
      </c>
      <c r="J1160">
        <v>114.4</v>
      </c>
      <c r="K1160">
        <v>29.56</v>
      </c>
    </row>
    <row r="1161" spans="1:11">
      <c r="A1161">
        <v>154.5</v>
      </c>
      <c r="B1161">
        <v>268.89999999999998</v>
      </c>
      <c r="C1161">
        <v>268.17</v>
      </c>
      <c r="D1161">
        <v>268.45</v>
      </c>
      <c r="E1161">
        <v>269.23</v>
      </c>
      <c r="F1161">
        <v>115.67</v>
      </c>
      <c r="G1161">
        <v>114.06</v>
      </c>
      <c r="H1161">
        <v>103.23</v>
      </c>
      <c r="I1161">
        <v>107.84</v>
      </c>
      <c r="J1161">
        <v>114.51</v>
      </c>
      <c r="K1161">
        <v>29.56</v>
      </c>
    </row>
    <row r="1162" spans="1:11">
      <c r="A1162">
        <v>154.66999999999999</v>
      </c>
      <c r="B1162">
        <v>268.89999999999998</v>
      </c>
      <c r="C1162">
        <v>268.12</v>
      </c>
      <c r="D1162">
        <v>268.33999999999997</v>
      </c>
      <c r="E1162">
        <v>269.17</v>
      </c>
      <c r="F1162">
        <v>115.73</v>
      </c>
      <c r="G1162">
        <v>114.06</v>
      </c>
      <c r="H1162">
        <v>102.9</v>
      </c>
      <c r="I1162">
        <v>108.28</v>
      </c>
      <c r="J1162">
        <v>114.56</v>
      </c>
      <c r="K1162">
        <v>29.56</v>
      </c>
    </row>
    <row r="1163" spans="1:11">
      <c r="A1163">
        <v>154.83000000000001</v>
      </c>
      <c r="B1163">
        <v>268.73</v>
      </c>
      <c r="C1163">
        <v>268.45</v>
      </c>
      <c r="D1163">
        <v>268.83999999999997</v>
      </c>
      <c r="E1163">
        <v>268.39999999999998</v>
      </c>
      <c r="F1163">
        <v>115.84</v>
      </c>
      <c r="G1163">
        <v>114.06</v>
      </c>
      <c r="H1163">
        <v>102.84</v>
      </c>
      <c r="I1163">
        <v>108.9</v>
      </c>
      <c r="J1163">
        <v>114.62</v>
      </c>
      <c r="K1163">
        <v>29.56</v>
      </c>
    </row>
    <row r="1164" spans="1:11">
      <c r="A1164">
        <v>155</v>
      </c>
      <c r="B1164">
        <v>268.67</v>
      </c>
      <c r="C1164">
        <v>268.39999999999998</v>
      </c>
      <c r="D1164">
        <v>268.67</v>
      </c>
      <c r="E1164">
        <v>268.17</v>
      </c>
      <c r="F1164">
        <v>115.9</v>
      </c>
      <c r="G1164">
        <v>114.17</v>
      </c>
      <c r="H1164">
        <v>102.95</v>
      </c>
      <c r="I1164">
        <v>109.23</v>
      </c>
      <c r="J1164">
        <v>114.62</v>
      </c>
      <c r="K1164">
        <v>29.56</v>
      </c>
    </row>
    <row r="1165" spans="1:11">
      <c r="A1165">
        <v>155.16999999999999</v>
      </c>
      <c r="B1165">
        <v>269.01</v>
      </c>
      <c r="C1165">
        <v>267.83999999999997</v>
      </c>
      <c r="D1165">
        <v>268.27999999999997</v>
      </c>
      <c r="E1165">
        <v>267.95</v>
      </c>
      <c r="F1165">
        <v>116.06</v>
      </c>
      <c r="G1165">
        <v>114.17</v>
      </c>
      <c r="H1165">
        <v>103.23</v>
      </c>
      <c r="I1165">
        <v>109.51</v>
      </c>
      <c r="J1165">
        <v>114.67</v>
      </c>
      <c r="K1165">
        <v>29.56</v>
      </c>
    </row>
    <row r="1166" spans="1:11">
      <c r="A1166">
        <v>155.33000000000001</v>
      </c>
      <c r="B1166">
        <v>268.95</v>
      </c>
      <c r="C1166">
        <v>267.67</v>
      </c>
      <c r="D1166">
        <v>268.39999999999998</v>
      </c>
      <c r="E1166">
        <v>268.45</v>
      </c>
      <c r="F1166">
        <v>116.28</v>
      </c>
      <c r="G1166">
        <v>114.28</v>
      </c>
      <c r="H1166">
        <v>103.51</v>
      </c>
      <c r="I1166">
        <v>109.9</v>
      </c>
      <c r="J1166">
        <v>114.67</v>
      </c>
      <c r="K1166">
        <v>29.62</v>
      </c>
    </row>
    <row r="1167" spans="1:11">
      <c r="A1167">
        <v>155.5</v>
      </c>
      <c r="B1167">
        <v>258.06</v>
      </c>
      <c r="C1167">
        <v>264.39999999999998</v>
      </c>
      <c r="D1167">
        <v>266.95</v>
      </c>
      <c r="E1167">
        <v>268.62</v>
      </c>
      <c r="F1167">
        <v>116.34</v>
      </c>
      <c r="G1167">
        <v>114.34</v>
      </c>
      <c r="H1167">
        <v>103.73</v>
      </c>
      <c r="I1167">
        <v>109.78</v>
      </c>
      <c r="J1167">
        <v>114.78</v>
      </c>
      <c r="K1167">
        <v>29.62</v>
      </c>
    </row>
    <row r="1168" spans="1:11">
      <c r="A1168">
        <v>155.66999999999999</v>
      </c>
      <c r="B1168">
        <v>248.4</v>
      </c>
      <c r="C1168">
        <v>260.06</v>
      </c>
      <c r="D1168">
        <v>262.27999999999997</v>
      </c>
      <c r="E1168">
        <v>268.89999999999998</v>
      </c>
      <c r="F1168">
        <v>116.45</v>
      </c>
      <c r="G1168">
        <v>114.4</v>
      </c>
      <c r="H1168">
        <v>103.4</v>
      </c>
      <c r="I1168">
        <v>109.4</v>
      </c>
      <c r="J1168">
        <v>114.84</v>
      </c>
      <c r="K1168">
        <v>29.62</v>
      </c>
    </row>
    <row r="1169" spans="1:11">
      <c r="A1169">
        <v>155.83000000000001</v>
      </c>
      <c r="B1169">
        <v>241.45</v>
      </c>
      <c r="C1169">
        <v>254.9</v>
      </c>
      <c r="D1169">
        <v>256.06</v>
      </c>
      <c r="E1169">
        <v>268.62</v>
      </c>
      <c r="F1169">
        <v>116.56</v>
      </c>
      <c r="G1169">
        <v>114.51</v>
      </c>
      <c r="H1169">
        <v>102.84</v>
      </c>
      <c r="I1169">
        <v>109.12</v>
      </c>
      <c r="J1169">
        <v>114.84</v>
      </c>
      <c r="K1169">
        <v>29.62</v>
      </c>
    </row>
    <row r="1170" spans="1:11">
      <c r="A1170">
        <v>156</v>
      </c>
      <c r="B1170">
        <v>233.17</v>
      </c>
      <c r="C1170">
        <v>248.9</v>
      </c>
      <c r="D1170">
        <v>248.67</v>
      </c>
      <c r="E1170">
        <v>266.27999999999997</v>
      </c>
      <c r="F1170">
        <v>116.62</v>
      </c>
      <c r="G1170">
        <v>114.62</v>
      </c>
      <c r="H1170">
        <v>102.73</v>
      </c>
      <c r="I1170">
        <v>109.4</v>
      </c>
      <c r="J1170">
        <v>114.9</v>
      </c>
      <c r="K1170">
        <v>29.62</v>
      </c>
    </row>
    <row r="1171" spans="1:11">
      <c r="A1171">
        <v>156.16999999999999</v>
      </c>
      <c r="B1171">
        <v>226.84</v>
      </c>
      <c r="C1171">
        <v>243.67</v>
      </c>
      <c r="D1171">
        <v>243.17</v>
      </c>
      <c r="E1171">
        <v>260.95</v>
      </c>
      <c r="F1171">
        <v>116.01</v>
      </c>
      <c r="G1171">
        <v>114.67</v>
      </c>
      <c r="H1171">
        <v>102.45</v>
      </c>
      <c r="I1171">
        <v>109.4</v>
      </c>
      <c r="J1171">
        <v>114.95</v>
      </c>
      <c r="K1171">
        <v>29.62</v>
      </c>
    </row>
    <row r="1172" spans="1:11">
      <c r="A1172">
        <v>156.33000000000001</v>
      </c>
      <c r="B1172">
        <v>220.95</v>
      </c>
      <c r="C1172">
        <v>239.78</v>
      </c>
      <c r="D1172">
        <v>238.67</v>
      </c>
      <c r="E1172">
        <v>254.12</v>
      </c>
      <c r="F1172">
        <v>115.9</v>
      </c>
      <c r="G1172">
        <v>114.84</v>
      </c>
      <c r="H1172">
        <v>102.12</v>
      </c>
      <c r="I1172">
        <v>110.01</v>
      </c>
      <c r="J1172">
        <v>115.01</v>
      </c>
      <c r="K1172">
        <v>29.62</v>
      </c>
    </row>
    <row r="1173" spans="1:11">
      <c r="A1173">
        <v>156.5</v>
      </c>
      <c r="B1173">
        <v>216.01</v>
      </c>
      <c r="C1173">
        <v>235.9</v>
      </c>
      <c r="D1173">
        <v>234.4</v>
      </c>
      <c r="E1173">
        <v>245.23</v>
      </c>
      <c r="F1173">
        <v>115.95</v>
      </c>
      <c r="G1173">
        <v>114.78</v>
      </c>
      <c r="H1173">
        <v>102.23</v>
      </c>
      <c r="I1173">
        <v>110.56</v>
      </c>
      <c r="J1173">
        <v>115.01</v>
      </c>
      <c r="K1173">
        <v>29.62</v>
      </c>
    </row>
    <row r="1174" spans="1:11">
      <c r="A1174">
        <v>156.66999999999999</v>
      </c>
      <c r="B1174">
        <v>210.17</v>
      </c>
      <c r="C1174">
        <v>232.84</v>
      </c>
      <c r="D1174">
        <v>231.34</v>
      </c>
      <c r="E1174">
        <v>237.01</v>
      </c>
      <c r="F1174">
        <v>115.95</v>
      </c>
      <c r="G1174">
        <v>114.84</v>
      </c>
      <c r="H1174">
        <v>101.9</v>
      </c>
      <c r="I1174">
        <v>111.01</v>
      </c>
      <c r="J1174">
        <v>115.17</v>
      </c>
      <c r="K1174">
        <v>29.62</v>
      </c>
    </row>
    <row r="1175" spans="1:11">
      <c r="A1175">
        <v>156.83000000000001</v>
      </c>
      <c r="B1175">
        <v>203.28</v>
      </c>
      <c r="C1175">
        <v>228.06</v>
      </c>
      <c r="D1175">
        <v>226.73</v>
      </c>
      <c r="E1175">
        <v>231.28</v>
      </c>
      <c r="F1175">
        <v>115.67</v>
      </c>
      <c r="G1175">
        <v>114.78</v>
      </c>
      <c r="H1175">
        <v>101.73</v>
      </c>
      <c r="I1175">
        <v>111.12</v>
      </c>
      <c r="J1175">
        <v>115.17</v>
      </c>
      <c r="K1175">
        <v>29.62</v>
      </c>
    </row>
    <row r="1176" spans="1:11">
      <c r="A1176">
        <v>157</v>
      </c>
      <c r="B1176">
        <v>197.9</v>
      </c>
      <c r="C1176">
        <v>223.78</v>
      </c>
      <c r="D1176">
        <v>221.95</v>
      </c>
      <c r="E1176">
        <v>222.45</v>
      </c>
      <c r="F1176">
        <v>115.56</v>
      </c>
      <c r="G1176">
        <v>114.84</v>
      </c>
      <c r="H1176">
        <v>101.9</v>
      </c>
      <c r="I1176">
        <v>111.17</v>
      </c>
      <c r="J1176">
        <v>115.17</v>
      </c>
      <c r="K1176">
        <v>29.62</v>
      </c>
    </row>
    <row r="1177" spans="1:11">
      <c r="A1177">
        <v>157.16999999999999</v>
      </c>
      <c r="B1177">
        <v>204.06</v>
      </c>
      <c r="C1177">
        <v>218.9</v>
      </c>
      <c r="D1177">
        <v>217.17</v>
      </c>
      <c r="E1177">
        <v>215.67</v>
      </c>
      <c r="F1177">
        <v>115.51</v>
      </c>
      <c r="G1177">
        <v>114.67</v>
      </c>
      <c r="H1177">
        <v>102.28</v>
      </c>
      <c r="I1177">
        <v>111.56</v>
      </c>
      <c r="J1177">
        <v>115.23</v>
      </c>
      <c r="K1177">
        <v>29.62</v>
      </c>
    </row>
    <row r="1178" spans="1:11">
      <c r="A1178">
        <v>157.33000000000001</v>
      </c>
      <c r="B1178">
        <v>206.06</v>
      </c>
      <c r="C1178">
        <v>214.95</v>
      </c>
      <c r="D1178">
        <v>212.95</v>
      </c>
      <c r="E1178">
        <v>211.4</v>
      </c>
      <c r="F1178">
        <v>115.67</v>
      </c>
      <c r="G1178">
        <v>114.62</v>
      </c>
      <c r="H1178">
        <v>102.4</v>
      </c>
      <c r="I1178">
        <v>112.17</v>
      </c>
      <c r="J1178">
        <v>115.28</v>
      </c>
      <c r="K1178">
        <v>29.62</v>
      </c>
    </row>
    <row r="1179" spans="1:11">
      <c r="A1179">
        <v>157.5</v>
      </c>
      <c r="B1179">
        <v>203.95</v>
      </c>
      <c r="C1179">
        <v>211.45</v>
      </c>
      <c r="D1179">
        <v>208.45</v>
      </c>
      <c r="E1179">
        <v>209.62</v>
      </c>
      <c r="F1179">
        <v>115.62</v>
      </c>
      <c r="G1179">
        <v>114.56</v>
      </c>
      <c r="H1179">
        <v>102.51</v>
      </c>
      <c r="I1179">
        <v>112.67</v>
      </c>
      <c r="J1179">
        <v>115.34</v>
      </c>
      <c r="K1179">
        <v>29.62</v>
      </c>
    </row>
    <row r="1180" spans="1:11">
      <c r="A1180">
        <v>157.66999999999999</v>
      </c>
      <c r="B1180">
        <v>202.95</v>
      </c>
      <c r="C1180">
        <v>208.95</v>
      </c>
      <c r="D1180">
        <v>206.28</v>
      </c>
      <c r="E1180">
        <v>212.23</v>
      </c>
      <c r="F1180">
        <v>115.9</v>
      </c>
      <c r="G1180">
        <v>114.56</v>
      </c>
      <c r="H1180">
        <v>102.12</v>
      </c>
      <c r="I1180">
        <v>112.95</v>
      </c>
      <c r="J1180">
        <v>115.34</v>
      </c>
      <c r="K1180">
        <v>29.62</v>
      </c>
    </row>
    <row r="1181" spans="1:11">
      <c r="A1181">
        <v>157.83000000000001</v>
      </c>
      <c r="B1181">
        <v>197.95</v>
      </c>
      <c r="C1181">
        <v>206.4</v>
      </c>
      <c r="D1181">
        <v>205.06</v>
      </c>
      <c r="E1181">
        <v>213.34</v>
      </c>
      <c r="F1181">
        <v>115.9</v>
      </c>
      <c r="G1181">
        <v>114.51</v>
      </c>
      <c r="H1181">
        <v>102.28</v>
      </c>
      <c r="I1181">
        <v>112.95</v>
      </c>
      <c r="J1181">
        <v>115.4</v>
      </c>
      <c r="K1181">
        <v>29.62</v>
      </c>
    </row>
    <row r="1182" spans="1:11">
      <c r="A1182">
        <v>158</v>
      </c>
      <c r="B1182">
        <v>190.28</v>
      </c>
      <c r="C1182">
        <v>207.67</v>
      </c>
      <c r="D1182">
        <v>210.62</v>
      </c>
      <c r="E1182">
        <v>213.17</v>
      </c>
      <c r="F1182">
        <v>115.67</v>
      </c>
      <c r="G1182">
        <v>114.45</v>
      </c>
      <c r="H1182">
        <v>102.45</v>
      </c>
      <c r="I1182">
        <v>113.23</v>
      </c>
      <c r="J1182">
        <v>115.51</v>
      </c>
      <c r="K1182">
        <v>29.62</v>
      </c>
    </row>
    <row r="1183" spans="1:11">
      <c r="A1183">
        <v>158.16999999999999</v>
      </c>
      <c r="B1183">
        <v>182.51</v>
      </c>
      <c r="C1183">
        <v>210.78</v>
      </c>
      <c r="D1183">
        <v>212.28</v>
      </c>
      <c r="E1183">
        <v>212.78</v>
      </c>
      <c r="F1183">
        <v>115.17</v>
      </c>
      <c r="G1183">
        <v>114.4</v>
      </c>
      <c r="H1183">
        <v>102.23</v>
      </c>
      <c r="I1183">
        <v>113.9</v>
      </c>
      <c r="J1183">
        <v>115.51</v>
      </c>
      <c r="K1183">
        <v>29.62</v>
      </c>
    </row>
    <row r="1184" spans="1:11">
      <c r="A1184">
        <v>158.33000000000001</v>
      </c>
      <c r="B1184">
        <v>176.56</v>
      </c>
      <c r="C1184">
        <v>211.78</v>
      </c>
      <c r="D1184">
        <v>211.9</v>
      </c>
      <c r="E1184">
        <v>211.9</v>
      </c>
      <c r="F1184">
        <v>115.01</v>
      </c>
      <c r="G1184">
        <v>114.4</v>
      </c>
      <c r="H1184">
        <v>102.06</v>
      </c>
      <c r="I1184">
        <v>114.51</v>
      </c>
      <c r="J1184">
        <v>115.62</v>
      </c>
      <c r="K1184">
        <v>29.62</v>
      </c>
    </row>
    <row r="1185" spans="1:11">
      <c r="A1185">
        <v>158.5</v>
      </c>
      <c r="B1185">
        <v>170.56</v>
      </c>
      <c r="C1185">
        <v>211.73</v>
      </c>
      <c r="D1185">
        <v>210.78</v>
      </c>
      <c r="E1185">
        <v>211.56</v>
      </c>
      <c r="F1185">
        <v>115.01</v>
      </c>
      <c r="G1185">
        <v>114.34</v>
      </c>
      <c r="H1185">
        <v>102.23</v>
      </c>
      <c r="I1185">
        <v>114.06</v>
      </c>
      <c r="J1185">
        <v>115.56</v>
      </c>
      <c r="K1185">
        <v>29.67</v>
      </c>
    </row>
    <row r="1186" spans="1:11">
      <c r="A1186">
        <v>158.66999999999999</v>
      </c>
      <c r="B1186">
        <v>166.17</v>
      </c>
      <c r="C1186">
        <v>210.73</v>
      </c>
      <c r="D1186">
        <v>209.78</v>
      </c>
      <c r="E1186">
        <v>210.56</v>
      </c>
      <c r="F1186">
        <v>114.84</v>
      </c>
      <c r="G1186">
        <v>114.23</v>
      </c>
      <c r="H1186">
        <v>102.12</v>
      </c>
      <c r="I1186">
        <v>114.23</v>
      </c>
      <c r="J1186">
        <v>115.62</v>
      </c>
      <c r="K1186">
        <v>29.67</v>
      </c>
    </row>
    <row r="1187" spans="1:11">
      <c r="A1187">
        <v>158.83000000000001</v>
      </c>
      <c r="B1187">
        <v>162.44999999999999</v>
      </c>
      <c r="C1187">
        <v>209.12</v>
      </c>
      <c r="D1187">
        <v>208.56</v>
      </c>
      <c r="E1187">
        <v>209.34</v>
      </c>
      <c r="F1187">
        <v>114.67</v>
      </c>
      <c r="G1187">
        <v>114.34</v>
      </c>
      <c r="H1187">
        <v>101.34</v>
      </c>
      <c r="I1187">
        <v>114.67</v>
      </c>
      <c r="J1187">
        <v>115.67</v>
      </c>
      <c r="K1187">
        <v>29.67</v>
      </c>
    </row>
    <row r="1188" spans="1:11">
      <c r="A1188">
        <v>159</v>
      </c>
      <c r="B1188">
        <v>159.16999999999999</v>
      </c>
      <c r="C1188">
        <v>208.78</v>
      </c>
      <c r="D1188">
        <v>208.62</v>
      </c>
      <c r="E1188">
        <v>208.78</v>
      </c>
      <c r="F1188">
        <v>114.62</v>
      </c>
      <c r="G1188">
        <v>114.28</v>
      </c>
      <c r="H1188">
        <v>101.4</v>
      </c>
      <c r="I1188">
        <v>114.73</v>
      </c>
      <c r="J1188">
        <v>115.73</v>
      </c>
      <c r="K1188">
        <v>29.67</v>
      </c>
    </row>
    <row r="1189" spans="1:11">
      <c r="A1189">
        <v>159.16999999999999</v>
      </c>
      <c r="B1189">
        <v>155.62</v>
      </c>
      <c r="C1189">
        <v>210.34</v>
      </c>
      <c r="D1189">
        <v>209.78</v>
      </c>
      <c r="E1189">
        <v>208.95</v>
      </c>
      <c r="F1189">
        <v>114.06</v>
      </c>
      <c r="G1189">
        <v>114.34</v>
      </c>
      <c r="H1189">
        <v>101.56</v>
      </c>
      <c r="I1189">
        <v>115.17</v>
      </c>
      <c r="J1189">
        <v>115.73</v>
      </c>
      <c r="K1189">
        <v>29.67</v>
      </c>
    </row>
    <row r="1190" spans="1:11">
      <c r="A1190">
        <v>159.33000000000001</v>
      </c>
      <c r="B1190">
        <v>152.56</v>
      </c>
      <c r="C1190">
        <v>210.56</v>
      </c>
      <c r="D1190">
        <v>209.62</v>
      </c>
      <c r="E1190">
        <v>209.51</v>
      </c>
      <c r="F1190">
        <v>113.9</v>
      </c>
      <c r="G1190">
        <v>114.34</v>
      </c>
      <c r="H1190">
        <v>101.56</v>
      </c>
      <c r="I1190">
        <v>115.12</v>
      </c>
      <c r="J1190">
        <v>115.84</v>
      </c>
      <c r="K1190">
        <v>29.67</v>
      </c>
    </row>
    <row r="1191" spans="1:11">
      <c r="A1191">
        <v>159.5</v>
      </c>
      <c r="B1191">
        <v>149.94999999999999</v>
      </c>
      <c r="C1191">
        <v>209.9</v>
      </c>
      <c r="D1191">
        <v>209.4</v>
      </c>
      <c r="E1191">
        <v>208.95</v>
      </c>
      <c r="F1191">
        <v>113.95</v>
      </c>
      <c r="G1191">
        <v>114.23</v>
      </c>
      <c r="H1191">
        <v>101.56</v>
      </c>
      <c r="I1191">
        <v>115.4</v>
      </c>
      <c r="J1191">
        <v>115.84</v>
      </c>
      <c r="K1191">
        <v>29.67</v>
      </c>
    </row>
    <row r="1192" spans="1:11">
      <c r="A1192">
        <v>159.66999999999999</v>
      </c>
      <c r="B1192">
        <v>146.78</v>
      </c>
      <c r="C1192">
        <v>208.95</v>
      </c>
      <c r="D1192">
        <v>209.45</v>
      </c>
      <c r="E1192">
        <v>208.9</v>
      </c>
      <c r="F1192">
        <v>114.12</v>
      </c>
      <c r="G1192">
        <v>114.28</v>
      </c>
      <c r="H1192">
        <v>101.73</v>
      </c>
      <c r="I1192">
        <v>115.67</v>
      </c>
      <c r="J1192">
        <v>115.84</v>
      </c>
      <c r="K1192">
        <v>29.67</v>
      </c>
    </row>
    <row r="1193" spans="1:11">
      <c r="A1193">
        <v>159.83000000000001</v>
      </c>
      <c r="B1193">
        <v>143.44999999999999</v>
      </c>
      <c r="C1193">
        <v>205.23</v>
      </c>
      <c r="D1193">
        <v>208.51</v>
      </c>
      <c r="E1193">
        <v>208.23</v>
      </c>
      <c r="F1193">
        <v>114.23</v>
      </c>
      <c r="G1193">
        <v>114.28</v>
      </c>
      <c r="H1193">
        <v>101.95</v>
      </c>
      <c r="I1193">
        <v>115.62</v>
      </c>
      <c r="J1193">
        <v>115.95</v>
      </c>
      <c r="K1193">
        <v>29.67</v>
      </c>
    </row>
    <row r="1194" spans="1:11">
      <c r="A1194">
        <v>160</v>
      </c>
      <c r="B1194">
        <v>139.84</v>
      </c>
      <c r="C1194">
        <v>201.51</v>
      </c>
      <c r="D1194">
        <v>205.67</v>
      </c>
      <c r="E1194">
        <v>207.34</v>
      </c>
      <c r="F1194">
        <v>114.28</v>
      </c>
      <c r="G1194">
        <v>114.23</v>
      </c>
      <c r="H1194">
        <v>101.73</v>
      </c>
      <c r="I1194">
        <v>115.45</v>
      </c>
      <c r="J1194">
        <v>115.95</v>
      </c>
      <c r="K1194">
        <v>29.67</v>
      </c>
    </row>
    <row r="1195" spans="1:11">
      <c r="A1195">
        <v>160.16999999999999</v>
      </c>
      <c r="B1195">
        <v>136.28</v>
      </c>
      <c r="C1195">
        <v>196.95</v>
      </c>
      <c r="D1195">
        <v>199.56</v>
      </c>
      <c r="E1195">
        <v>206.06</v>
      </c>
      <c r="F1195">
        <v>114.4</v>
      </c>
      <c r="G1195">
        <v>114.17</v>
      </c>
      <c r="H1195">
        <v>101.56</v>
      </c>
      <c r="I1195">
        <v>115.34</v>
      </c>
      <c r="J1195">
        <v>115.95</v>
      </c>
      <c r="K1195">
        <v>29.67</v>
      </c>
    </row>
    <row r="1196" spans="1:11">
      <c r="A1196">
        <v>160.33000000000001</v>
      </c>
      <c r="B1196">
        <v>132.72999999999999</v>
      </c>
      <c r="C1196">
        <v>192.56</v>
      </c>
      <c r="D1196">
        <v>193.84</v>
      </c>
      <c r="E1196">
        <v>198.51</v>
      </c>
      <c r="F1196">
        <v>114.56</v>
      </c>
      <c r="G1196">
        <v>114.17</v>
      </c>
      <c r="H1196">
        <v>101.34</v>
      </c>
      <c r="I1196">
        <v>115.34</v>
      </c>
      <c r="J1196">
        <v>116.01</v>
      </c>
      <c r="K1196">
        <v>29.67</v>
      </c>
    </row>
    <row r="1197" spans="1:11">
      <c r="A1197">
        <v>160.5</v>
      </c>
      <c r="B1197">
        <v>128.44999999999999</v>
      </c>
      <c r="C1197">
        <v>189.01</v>
      </c>
      <c r="D1197">
        <v>189.06</v>
      </c>
      <c r="E1197">
        <v>190.67</v>
      </c>
      <c r="F1197">
        <v>114.56</v>
      </c>
      <c r="G1197">
        <v>114.17</v>
      </c>
      <c r="H1197">
        <v>101.28</v>
      </c>
      <c r="I1197">
        <v>115.67</v>
      </c>
      <c r="J1197">
        <v>116.01</v>
      </c>
      <c r="K1197">
        <v>29.67</v>
      </c>
    </row>
    <row r="1198" spans="1:11">
      <c r="A1198">
        <v>160.66999999999999</v>
      </c>
      <c r="B1198">
        <v>124.84</v>
      </c>
      <c r="C1198">
        <v>185.62</v>
      </c>
      <c r="D1198">
        <v>185.51</v>
      </c>
      <c r="E1198">
        <v>184.51</v>
      </c>
      <c r="F1198">
        <v>114.56</v>
      </c>
      <c r="G1198">
        <v>114.17</v>
      </c>
      <c r="H1198">
        <v>101.01</v>
      </c>
      <c r="I1198">
        <v>116.56</v>
      </c>
      <c r="J1198">
        <v>116.12</v>
      </c>
      <c r="K1198">
        <v>29.67</v>
      </c>
    </row>
    <row r="1199" spans="1:11">
      <c r="A1199">
        <v>160.83000000000001</v>
      </c>
      <c r="B1199">
        <v>121.4</v>
      </c>
      <c r="C1199">
        <v>182.51</v>
      </c>
      <c r="D1199">
        <v>182.28</v>
      </c>
      <c r="E1199">
        <v>178.84</v>
      </c>
      <c r="F1199">
        <v>114.51</v>
      </c>
      <c r="G1199">
        <v>114.17</v>
      </c>
      <c r="H1199">
        <v>100.73</v>
      </c>
      <c r="I1199">
        <v>116.56</v>
      </c>
      <c r="J1199">
        <v>116.12</v>
      </c>
      <c r="K1199">
        <v>29.67</v>
      </c>
    </row>
    <row r="1200" spans="1:11">
      <c r="A1200">
        <v>161</v>
      </c>
      <c r="B1200">
        <v>118.4</v>
      </c>
      <c r="C1200">
        <v>179.34</v>
      </c>
      <c r="D1200">
        <v>178.9</v>
      </c>
      <c r="E1200">
        <v>174.01</v>
      </c>
      <c r="F1200">
        <v>114.17</v>
      </c>
      <c r="G1200">
        <v>114.17</v>
      </c>
      <c r="H1200">
        <v>100.67</v>
      </c>
      <c r="I1200">
        <v>116.84</v>
      </c>
      <c r="J1200">
        <v>116.17</v>
      </c>
      <c r="K1200">
        <v>29.67</v>
      </c>
    </row>
    <row r="1201" spans="1:11">
      <c r="A1201">
        <v>161.16999999999999</v>
      </c>
      <c r="B1201">
        <v>115.34</v>
      </c>
      <c r="C1201">
        <v>175.78</v>
      </c>
      <c r="D1201">
        <v>175.28</v>
      </c>
      <c r="E1201">
        <v>168.95</v>
      </c>
      <c r="F1201">
        <v>114.17</v>
      </c>
      <c r="G1201">
        <v>114.28</v>
      </c>
      <c r="H1201">
        <v>101.01</v>
      </c>
      <c r="I1201">
        <v>117.12</v>
      </c>
      <c r="J1201">
        <v>116.17</v>
      </c>
      <c r="K1201">
        <v>29.67</v>
      </c>
    </row>
    <row r="1202" spans="1:11">
      <c r="A1202">
        <v>161.33000000000001</v>
      </c>
      <c r="B1202">
        <v>112.62</v>
      </c>
      <c r="C1202">
        <v>173.45</v>
      </c>
      <c r="D1202">
        <v>172.95</v>
      </c>
      <c r="E1202">
        <v>163.9</v>
      </c>
      <c r="F1202">
        <v>114.01</v>
      </c>
      <c r="G1202">
        <v>114.34</v>
      </c>
      <c r="H1202">
        <v>101.12</v>
      </c>
      <c r="I1202">
        <v>118.01</v>
      </c>
      <c r="J1202">
        <v>116.17</v>
      </c>
      <c r="K1202">
        <v>29.67</v>
      </c>
    </row>
    <row r="1203" spans="1:11">
      <c r="A1203">
        <v>161.5</v>
      </c>
      <c r="B1203">
        <v>110.01</v>
      </c>
      <c r="C1203">
        <v>170.51</v>
      </c>
      <c r="D1203">
        <v>169.84</v>
      </c>
      <c r="E1203">
        <v>158.94999999999999</v>
      </c>
      <c r="F1203">
        <v>114.12</v>
      </c>
      <c r="G1203">
        <v>114.4</v>
      </c>
      <c r="H1203">
        <v>100.78</v>
      </c>
      <c r="I1203">
        <v>118.67</v>
      </c>
      <c r="J1203">
        <v>116.34</v>
      </c>
      <c r="K1203">
        <v>29.67</v>
      </c>
    </row>
    <row r="1204" spans="1:11">
      <c r="A1204">
        <v>161.66999999999999</v>
      </c>
      <c r="B1204">
        <v>107.95</v>
      </c>
      <c r="C1204">
        <v>167.67</v>
      </c>
      <c r="D1204">
        <v>167.12</v>
      </c>
      <c r="E1204">
        <v>155.16999999999999</v>
      </c>
      <c r="F1204">
        <v>114.17</v>
      </c>
      <c r="G1204">
        <v>114.45</v>
      </c>
      <c r="H1204">
        <v>100.62</v>
      </c>
      <c r="I1204">
        <v>118.95</v>
      </c>
      <c r="J1204">
        <v>116.28</v>
      </c>
      <c r="K1204">
        <v>29.73</v>
      </c>
    </row>
    <row r="1205" spans="1:11">
      <c r="A1205">
        <v>161.83000000000001</v>
      </c>
      <c r="B1205">
        <v>105.06</v>
      </c>
      <c r="C1205">
        <v>163.78</v>
      </c>
      <c r="D1205">
        <v>163.4</v>
      </c>
      <c r="E1205">
        <v>152.01</v>
      </c>
      <c r="F1205">
        <v>114.17</v>
      </c>
      <c r="G1205">
        <v>114.62</v>
      </c>
      <c r="H1205">
        <v>100.45</v>
      </c>
      <c r="I1205">
        <v>119.12</v>
      </c>
      <c r="J1205">
        <v>116.45</v>
      </c>
      <c r="K1205">
        <v>29.73</v>
      </c>
    </row>
    <row r="1206" spans="1:11">
      <c r="A1206">
        <v>162</v>
      </c>
      <c r="B1206">
        <v>102.45</v>
      </c>
      <c r="C1206">
        <v>160.84</v>
      </c>
      <c r="D1206">
        <v>160.06</v>
      </c>
      <c r="E1206">
        <v>149.28</v>
      </c>
      <c r="F1206">
        <v>113.95</v>
      </c>
      <c r="G1206">
        <v>114.62</v>
      </c>
      <c r="H1206">
        <v>100.28</v>
      </c>
      <c r="I1206">
        <v>119.34</v>
      </c>
      <c r="J1206">
        <v>116.45</v>
      </c>
      <c r="K1206">
        <v>29.73</v>
      </c>
    </row>
    <row r="1207" spans="1:11">
      <c r="A1207">
        <v>162.16999999999999</v>
      </c>
      <c r="B1207">
        <v>99.4</v>
      </c>
      <c r="C1207">
        <v>157.66999999999999</v>
      </c>
      <c r="D1207">
        <v>157.16999999999999</v>
      </c>
      <c r="E1207">
        <v>144.56</v>
      </c>
      <c r="F1207">
        <v>113.73</v>
      </c>
      <c r="G1207">
        <v>114.62</v>
      </c>
      <c r="H1207">
        <v>100.51</v>
      </c>
      <c r="I1207">
        <v>119.17</v>
      </c>
      <c r="J1207">
        <v>116.45</v>
      </c>
      <c r="K1207">
        <v>29.73</v>
      </c>
    </row>
    <row r="1208" spans="1:11">
      <c r="A1208">
        <v>162.33000000000001</v>
      </c>
      <c r="B1208">
        <v>97.56</v>
      </c>
      <c r="C1208">
        <v>154.22999999999999</v>
      </c>
      <c r="D1208">
        <v>153.22999999999999</v>
      </c>
      <c r="E1208">
        <v>141.34</v>
      </c>
      <c r="F1208">
        <v>113.45</v>
      </c>
      <c r="G1208">
        <v>114.67</v>
      </c>
      <c r="H1208">
        <v>100.62</v>
      </c>
      <c r="I1208">
        <v>119.84</v>
      </c>
      <c r="J1208">
        <v>116.51</v>
      </c>
      <c r="K1208">
        <v>29.73</v>
      </c>
    </row>
    <row r="1209" spans="1:11">
      <c r="A1209">
        <v>162.5</v>
      </c>
      <c r="B1209">
        <v>95.56</v>
      </c>
      <c r="C1209">
        <v>151.94999999999999</v>
      </c>
      <c r="D1209">
        <v>151.06</v>
      </c>
      <c r="E1209">
        <v>137.9</v>
      </c>
      <c r="F1209">
        <v>113.62</v>
      </c>
      <c r="G1209">
        <v>114.73</v>
      </c>
      <c r="H1209">
        <v>100.84</v>
      </c>
      <c r="I1209">
        <v>120.62</v>
      </c>
      <c r="J1209">
        <v>116.62</v>
      </c>
      <c r="K1209">
        <v>29.73</v>
      </c>
    </row>
    <row r="1210" spans="1:11">
      <c r="A1210">
        <v>162.66999999999999</v>
      </c>
      <c r="B1210">
        <v>93.9</v>
      </c>
      <c r="C1210">
        <v>149.56</v>
      </c>
      <c r="D1210">
        <v>148.9</v>
      </c>
      <c r="E1210">
        <v>134.22999999999999</v>
      </c>
      <c r="F1210">
        <v>113.4</v>
      </c>
      <c r="G1210">
        <v>114.84</v>
      </c>
      <c r="H1210">
        <v>100.51</v>
      </c>
      <c r="I1210">
        <v>120.78</v>
      </c>
      <c r="J1210">
        <v>116.73</v>
      </c>
      <c r="K1210">
        <v>29.73</v>
      </c>
    </row>
    <row r="1211" spans="1:11">
      <c r="A1211">
        <v>162.83000000000001</v>
      </c>
      <c r="B1211">
        <v>91.73</v>
      </c>
      <c r="C1211">
        <v>146.84</v>
      </c>
      <c r="D1211">
        <v>146.01</v>
      </c>
      <c r="E1211">
        <v>131.4</v>
      </c>
      <c r="F1211">
        <v>112.95</v>
      </c>
      <c r="G1211">
        <v>114.9</v>
      </c>
      <c r="H1211">
        <v>100.17</v>
      </c>
      <c r="I1211">
        <v>121.45</v>
      </c>
      <c r="J1211">
        <v>116.78</v>
      </c>
      <c r="K1211">
        <v>29.73</v>
      </c>
    </row>
    <row r="1212" spans="1:11">
      <c r="A1212">
        <v>163</v>
      </c>
      <c r="B1212">
        <v>90.06</v>
      </c>
      <c r="C1212">
        <v>144.28</v>
      </c>
      <c r="D1212">
        <v>143.44999999999999</v>
      </c>
      <c r="E1212">
        <v>128.06</v>
      </c>
      <c r="F1212">
        <v>112.95</v>
      </c>
      <c r="G1212">
        <v>115.01</v>
      </c>
      <c r="H1212">
        <v>100.12</v>
      </c>
      <c r="I1212">
        <v>121.4</v>
      </c>
      <c r="J1212">
        <v>116.95</v>
      </c>
      <c r="K1212">
        <v>29.73</v>
      </c>
    </row>
    <row r="1213" spans="1:11">
      <c r="A1213">
        <v>163.16999999999999</v>
      </c>
      <c r="B1213">
        <v>88.17</v>
      </c>
      <c r="C1213">
        <v>141.94999999999999</v>
      </c>
      <c r="D1213">
        <v>141.01</v>
      </c>
      <c r="E1213">
        <v>124.28</v>
      </c>
      <c r="F1213">
        <v>113.12</v>
      </c>
      <c r="G1213">
        <v>114.95</v>
      </c>
      <c r="H1213">
        <v>99.95</v>
      </c>
      <c r="I1213">
        <v>121.95</v>
      </c>
      <c r="J1213">
        <v>117.01</v>
      </c>
      <c r="K1213">
        <v>29.73</v>
      </c>
    </row>
    <row r="1214" spans="1:11">
      <c r="A1214">
        <v>163.33000000000001</v>
      </c>
      <c r="B1214">
        <v>86.28</v>
      </c>
      <c r="C1214">
        <v>139.72999999999999</v>
      </c>
      <c r="D1214">
        <v>139.06</v>
      </c>
      <c r="E1214">
        <v>120.45</v>
      </c>
      <c r="F1214">
        <v>112.9</v>
      </c>
      <c r="G1214">
        <v>115.01</v>
      </c>
      <c r="H1214">
        <v>99.73</v>
      </c>
      <c r="I1214">
        <v>122.67</v>
      </c>
      <c r="J1214">
        <v>117.12</v>
      </c>
      <c r="K1214">
        <v>29.73</v>
      </c>
    </row>
    <row r="1215" spans="1:11">
      <c r="A1215">
        <v>163.5</v>
      </c>
      <c r="B1215">
        <v>84.62</v>
      </c>
      <c r="C1215">
        <v>137.56</v>
      </c>
      <c r="D1215">
        <v>136.66999999999999</v>
      </c>
      <c r="E1215">
        <v>117.28</v>
      </c>
      <c r="F1215">
        <v>112.78</v>
      </c>
      <c r="G1215">
        <v>115.12</v>
      </c>
      <c r="H1215">
        <v>99.73</v>
      </c>
      <c r="I1215">
        <v>123.06</v>
      </c>
      <c r="J1215">
        <v>117.23</v>
      </c>
      <c r="K1215">
        <v>29.73</v>
      </c>
    </row>
    <row r="1216" spans="1:11">
      <c r="A1216">
        <v>163.66999999999999</v>
      </c>
      <c r="B1216">
        <v>82.17</v>
      </c>
      <c r="C1216">
        <v>135.44999999999999</v>
      </c>
      <c r="D1216">
        <v>134.22999999999999</v>
      </c>
      <c r="E1216">
        <v>115.17</v>
      </c>
      <c r="F1216">
        <v>112.78</v>
      </c>
      <c r="G1216">
        <v>115.17</v>
      </c>
      <c r="H1216">
        <v>100.01</v>
      </c>
      <c r="I1216">
        <v>123.01</v>
      </c>
      <c r="J1216">
        <v>117.4</v>
      </c>
      <c r="K1216">
        <v>29.78</v>
      </c>
    </row>
    <row r="1217" spans="1:11">
      <c r="A1217">
        <v>163.83000000000001</v>
      </c>
      <c r="B1217">
        <v>80.28</v>
      </c>
      <c r="C1217">
        <v>134.34</v>
      </c>
      <c r="D1217">
        <v>133.22999999999999</v>
      </c>
      <c r="E1217">
        <v>112.95</v>
      </c>
      <c r="F1217">
        <v>112.45</v>
      </c>
      <c r="G1217">
        <v>115.28</v>
      </c>
      <c r="H1217">
        <v>100.01</v>
      </c>
      <c r="I1217">
        <v>122.56</v>
      </c>
      <c r="J1217">
        <v>117.56</v>
      </c>
      <c r="K1217">
        <v>29.73</v>
      </c>
    </row>
    <row r="1218" spans="1:11">
      <c r="A1218">
        <v>164</v>
      </c>
      <c r="B1218">
        <v>79.17</v>
      </c>
      <c r="C1218">
        <v>133.62</v>
      </c>
      <c r="D1218">
        <v>132.56</v>
      </c>
      <c r="E1218">
        <v>111.01</v>
      </c>
      <c r="F1218">
        <v>112.12</v>
      </c>
      <c r="G1218">
        <v>115.28</v>
      </c>
      <c r="H1218">
        <v>99.51</v>
      </c>
      <c r="I1218">
        <v>123.12</v>
      </c>
      <c r="J1218">
        <v>117.67</v>
      </c>
      <c r="K1218">
        <v>29.78</v>
      </c>
    </row>
    <row r="1219" spans="1:11">
      <c r="A1219">
        <v>164.17</v>
      </c>
      <c r="B1219">
        <v>78.28</v>
      </c>
      <c r="C1219">
        <v>132.4</v>
      </c>
      <c r="D1219">
        <v>131.62</v>
      </c>
      <c r="E1219">
        <v>108.95</v>
      </c>
      <c r="F1219">
        <v>112.17</v>
      </c>
      <c r="G1219">
        <v>115.34</v>
      </c>
      <c r="H1219">
        <v>99.67</v>
      </c>
      <c r="I1219">
        <v>123.23</v>
      </c>
      <c r="J1219">
        <v>117.9</v>
      </c>
      <c r="K1219">
        <v>29.73</v>
      </c>
    </row>
    <row r="1220" spans="1:11">
      <c r="A1220">
        <v>164.33</v>
      </c>
      <c r="B1220">
        <v>77.17</v>
      </c>
      <c r="C1220">
        <v>131.72999999999999</v>
      </c>
      <c r="D1220">
        <v>130.94999999999999</v>
      </c>
      <c r="E1220">
        <v>106.01</v>
      </c>
      <c r="F1220">
        <v>112.01</v>
      </c>
      <c r="G1220">
        <v>115.34</v>
      </c>
      <c r="H1220">
        <v>99.9</v>
      </c>
      <c r="I1220">
        <v>123.56</v>
      </c>
      <c r="J1220">
        <v>118.06</v>
      </c>
      <c r="K1220">
        <v>29.78</v>
      </c>
    </row>
    <row r="1221" spans="1:11">
      <c r="A1221">
        <v>164.5</v>
      </c>
      <c r="B1221">
        <v>76.78</v>
      </c>
      <c r="C1221">
        <v>131.51</v>
      </c>
      <c r="D1221">
        <v>130.84</v>
      </c>
      <c r="E1221">
        <v>104.17</v>
      </c>
      <c r="F1221">
        <v>111.9</v>
      </c>
      <c r="G1221">
        <v>115.34</v>
      </c>
      <c r="H1221">
        <v>99.67</v>
      </c>
      <c r="I1221">
        <v>124.06</v>
      </c>
      <c r="J1221">
        <v>118.23</v>
      </c>
      <c r="K1221">
        <v>29.78</v>
      </c>
    </row>
    <row r="1222" spans="1:11">
      <c r="A1222">
        <v>164.67</v>
      </c>
      <c r="B1222">
        <v>76.12</v>
      </c>
      <c r="C1222">
        <v>129.9</v>
      </c>
      <c r="D1222">
        <v>129.06</v>
      </c>
      <c r="E1222">
        <v>102.9</v>
      </c>
      <c r="F1222">
        <v>111.84</v>
      </c>
      <c r="G1222">
        <v>115.51</v>
      </c>
      <c r="H1222">
        <v>99.4</v>
      </c>
      <c r="I1222">
        <v>124.34</v>
      </c>
      <c r="J1222">
        <v>118.4</v>
      </c>
      <c r="K1222">
        <v>29.78</v>
      </c>
    </row>
    <row r="1223" spans="1:11">
      <c r="A1223">
        <v>164.83</v>
      </c>
      <c r="B1223">
        <v>75.17</v>
      </c>
      <c r="C1223">
        <v>128.4</v>
      </c>
      <c r="D1223">
        <v>127.62</v>
      </c>
      <c r="E1223">
        <v>101.78</v>
      </c>
      <c r="F1223">
        <v>111.78</v>
      </c>
      <c r="G1223">
        <v>115.62</v>
      </c>
      <c r="H1223">
        <v>99.06</v>
      </c>
      <c r="I1223">
        <v>125.51</v>
      </c>
      <c r="J1223">
        <v>118.56</v>
      </c>
      <c r="K1223">
        <v>29.78</v>
      </c>
    </row>
    <row r="1224" spans="1:11">
      <c r="A1224">
        <v>165</v>
      </c>
      <c r="B1224">
        <v>74.45</v>
      </c>
      <c r="C1224">
        <v>126.95</v>
      </c>
      <c r="D1224">
        <v>126.12</v>
      </c>
      <c r="E1224">
        <v>100.62</v>
      </c>
      <c r="F1224">
        <v>111.67</v>
      </c>
      <c r="G1224">
        <v>115.67</v>
      </c>
      <c r="H1224">
        <v>99.17</v>
      </c>
      <c r="I1224">
        <v>126.12</v>
      </c>
      <c r="J1224">
        <v>118.73</v>
      </c>
      <c r="K1224">
        <v>29.78</v>
      </c>
    </row>
    <row r="1225" spans="1:11">
      <c r="A1225">
        <v>165.17</v>
      </c>
      <c r="B1225">
        <v>73.67</v>
      </c>
      <c r="C1225">
        <v>126.12</v>
      </c>
      <c r="D1225">
        <v>125.28</v>
      </c>
      <c r="E1225">
        <v>97.84</v>
      </c>
      <c r="F1225">
        <v>111.45</v>
      </c>
      <c r="G1225">
        <v>115.9</v>
      </c>
      <c r="H1225">
        <v>99.23</v>
      </c>
      <c r="I1225">
        <v>126.23</v>
      </c>
      <c r="J1225">
        <v>118.9</v>
      </c>
      <c r="K1225">
        <v>29.78</v>
      </c>
    </row>
    <row r="1226" spans="1:11">
      <c r="A1226">
        <v>165.33</v>
      </c>
      <c r="B1226">
        <v>72.95</v>
      </c>
      <c r="C1226">
        <v>124.95</v>
      </c>
      <c r="D1226">
        <v>124.28</v>
      </c>
      <c r="E1226">
        <v>95.95</v>
      </c>
      <c r="F1226">
        <v>111.51</v>
      </c>
      <c r="G1226">
        <v>116.01</v>
      </c>
      <c r="H1226">
        <v>99.45</v>
      </c>
      <c r="I1226">
        <v>125.51</v>
      </c>
      <c r="J1226">
        <v>119.23</v>
      </c>
      <c r="K1226">
        <v>29.78</v>
      </c>
    </row>
    <row r="1227" spans="1:11">
      <c r="A1227">
        <v>165.5</v>
      </c>
      <c r="B1227">
        <v>72.06</v>
      </c>
      <c r="C1227">
        <v>124.28</v>
      </c>
      <c r="D1227">
        <v>123.4</v>
      </c>
      <c r="E1227">
        <v>94.4</v>
      </c>
      <c r="F1227">
        <v>111.28</v>
      </c>
      <c r="G1227">
        <v>116.12</v>
      </c>
      <c r="H1227">
        <v>99.51</v>
      </c>
      <c r="I1227">
        <v>125.45</v>
      </c>
      <c r="J1227">
        <v>119.34</v>
      </c>
      <c r="K1227">
        <v>29.78</v>
      </c>
    </row>
    <row r="1228" spans="1:11">
      <c r="A1228">
        <v>165.67</v>
      </c>
      <c r="B1228">
        <v>71.28</v>
      </c>
      <c r="C1228">
        <v>122.9</v>
      </c>
      <c r="D1228">
        <v>122.01</v>
      </c>
      <c r="E1228">
        <v>92.01</v>
      </c>
      <c r="F1228">
        <v>111.34</v>
      </c>
      <c r="G1228">
        <v>116.28</v>
      </c>
      <c r="H1228">
        <v>99.62</v>
      </c>
      <c r="I1228">
        <v>126.4</v>
      </c>
      <c r="J1228">
        <v>119.67</v>
      </c>
      <c r="K1228">
        <v>29.78</v>
      </c>
    </row>
    <row r="1229" spans="1:11">
      <c r="A1229">
        <v>165.83</v>
      </c>
      <c r="B1229">
        <v>70.010000000000005</v>
      </c>
      <c r="C1229">
        <v>120.62</v>
      </c>
      <c r="D1229">
        <v>119.95</v>
      </c>
      <c r="E1229">
        <v>89.84</v>
      </c>
      <c r="F1229">
        <v>111.51</v>
      </c>
      <c r="G1229">
        <v>116.34</v>
      </c>
      <c r="H1229">
        <v>99.73</v>
      </c>
      <c r="I1229">
        <v>127.51</v>
      </c>
      <c r="J1229">
        <v>119.84</v>
      </c>
      <c r="K1229">
        <v>29.78</v>
      </c>
    </row>
    <row r="1230" spans="1:11">
      <c r="A1230">
        <v>166</v>
      </c>
      <c r="B1230">
        <v>68.400000000000006</v>
      </c>
      <c r="C1230">
        <v>119.28</v>
      </c>
      <c r="D1230">
        <v>118.45</v>
      </c>
      <c r="E1230">
        <v>88.28</v>
      </c>
      <c r="F1230">
        <v>111.73</v>
      </c>
      <c r="G1230">
        <v>116.45</v>
      </c>
      <c r="H1230">
        <v>99.9</v>
      </c>
      <c r="I1230">
        <v>127.73</v>
      </c>
      <c r="J1230">
        <v>120.01</v>
      </c>
      <c r="K1230">
        <v>29.78</v>
      </c>
    </row>
    <row r="1231" spans="1:11">
      <c r="A1231">
        <v>166.17</v>
      </c>
      <c r="B1231">
        <v>66.84</v>
      </c>
      <c r="C1231">
        <v>117.67</v>
      </c>
      <c r="D1231">
        <v>116.9</v>
      </c>
      <c r="E1231">
        <v>86.56</v>
      </c>
      <c r="F1231">
        <v>111.62</v>
      </c>
      <c r="G1231">
        <v>116.62</v>
      </c>
      <c r="H1231">
        <v>99.84</v>
      </c>
      <c r="I1231">
        <v>128.4</v>
      </c>
      <c r="J1231">
        <v>120.17</v>
      </c>
      <c r="K1231">
        <v>29.78</v>
      </c>
    </row>
    <row r="1232" spans="1:11">
      <c r="A1232">
        <v>166.33</v>
      </c>
      <c r="B1232">
        <v>65.45</v>
      </c>
      <c r="C1232">
        <v>116.67</v>
      </c>
      <c r="D1232">
        <v>115.84</v>
      </c>
      <c r="E1232">
        <v>84.67</v>
      </c>
      <c r="F1232">
        <v>111.67</v>
      </c>
      <c r="G1232">
        <v>116.73</v>
      </c>
      <c r="H1232">
        <v>99.67</v>
      </c>
      <c r="I1232">
        <v>128.84</v>
      </c>
      <c r="J1232">
        <v>120.45</v>
      </c>
      <c r="K1232">
        <v>29.78</v>
      </c>
    </row>
    <row r="1233" spans="1:11">
      <c r="A1233">
        <v>166.5</v>
      </c>
      <c r="B1233">
        <v>64.34</v>
      </c>
      <c r="C1233">
        <v>115.51</v>
      </c>
      <c r="D1233">
        <v>114.84</v>
      </c>
      <c r="E1233">
        <v>82.95</v>
      </c>
      <c r="F1233">
        <v>111.34</v>
      </c>
      <c r="G1233">
        <v>116.95</v>
      </c>
      <c r="H1233">
        <v>99.9</v>
      </c>
      <c r="I1233">
        <v>129.01</v>
      </c>
      <c r="J1233">
        <v>120.62</v>
      </c>
      <c r="K1233">
        <v>29.78</v>
      </c>
    </row>
    <row r="1234" spans="1:11">
      <c r="A1234">
        <v>166.67</v>
      </c>
      <c r="B1234">
        <v>63.17</v>
      </c>
      <c r="C1234">
        <v>114.12</v>
      </c>
      <c r="D1234">
        <v>113.34</v>
      </c>
      <c r="E1234">
        <v>81.17</v>
      </c>
      <c r="F1234">
        <v>111.67</v>
      </c>
      <c r="G1234">
        <v>117.23</v>
      </c>
      <c r="H1234">
        <v>99.84</v>
      </c>
      <c r="I1234">
        <v>129.12</v>
      </c>
      <c r="J1234">
        <v>120.78</v>
      </c>
      <c r="K1234">
        <v>29.78</v>
      </c>
    </row>
    <row r="1235" spans="1:11">
      <c r="A1235">
        <v>166.83</v>
      </c>
      <c r="B1235">
        <v>61.95</v>
      </c>
      <c r="C1235">
        <v>113.12</v>
      </c>
      <c r="D1235">
        <v>112.4</v>
      </c>
      <c r="E1235">
        <v>80.23</v>
      </c>
      <c r="F1235">
        <v>111.4</v>
      </c>
      <c r="G1235">
        <v>117.34</v>
      </c>
      <c r="H1235">
        <v>99.28</v>
      </c>
      <c r="I1235">
        <v>129.4</v>
      </c>
      <c r="J1235">
        <v>121.01</v>
      </c>
      <c r="K1235">
        <v>29.78</v>
      </c>
    </row>
    <row r="1236" spans="1:11">
      <c r="A1236">
        <v>167</v>
      </c>
      <c r="B1236">
        <v>61.4</v>
      </c>
      <c r="C1236">
        <v>111.84</v>
      </c>
      <c r="D1236">
        <v>111.17</v>
      </c>
      <c r="E1236">
        <v>79.010000000000005</v>
      </c>
      <c r="F1236">
        <v>111.45</v>
      </c>
      <c r="G1236">
        <v>117.56</v>
      </c>
      <c r="H1236">
        <v>99.34</v>
      </c>
      <c r="I1236">
        <v>129.34</v>
      </c>
      <c r="J1236">
        <v>121.23</v>
      </c>
      <c r="K1236">
        <v>29.78</v>
      </c>
    </row>
    <row r="1237" spans="1:11">
      <c r="A1237">
        <v>167.17</v>
      </c>
      <c r="B1237">
        <v>60.17</v>
      </c>
      <c r="C1237">
        <v>110.67</v>
      </c>
      <c r="D1237">
        <v>109.73</v>
      </c>
      <c r="E1237">
        <v>77.400000000000006</v>
      </c>
      <c r="F1237">
        <v>111.23</v>
      </c>
      <c r="G1237">
        <v>117.78</v>
      </c>
      <c r="H1237">
        <v>99.12</v>
      </c>
      <c r="I1237">
        <v>129.62</v>
      </c>
      <c r="J1237">
        <v>121.45</v>
      </c>
      <c r="K1237">
        <v>29.78</v>
      </c>
    </row>
    <row r="1238" spans="1:11">
      <c r="A1238">
        <v>167.33</v>
      </c>
      <c r="B1238">
        <v>59.28</v>
      </c>
      <c r="C1238">
        <v>109.78</v>
      </c>
      <c r="D1238">
        <v>108.9</v>
      </c>
      <c r="E1238">
        <v>76.73</v>
      </c>
      <c r="F1238">
        <v>111.06</v>
      </c>
      <c r="G1238">
        <v>117.9</v>
      </c>
      <c r="H1238">
        <v>99.06</v>
      </c>
      <c r="I1238">
        <v>130.12</v>
      </c>
      <c r="J1238">
        <v>121.62</v>
      </c>
      <c r="K1238">
        <v>29.78</v>
      </c>
    </row>
    <row r="1239" spans="1:11">
      <c r="A1239">
        <v>167.5</v>
      </c>
      <c r="B1239">
        <v>58.17</v>
      </c>
      <c r="C1239">
        <v>108.78</v>
      </c>
      <c r="D1239">
        <v>108.12</v>
      </c>
      <c r="E1239">
        <v>76.23</v>
      </c>
      <c r="F1239">
        <v>111.28</v>
      </c>
      <c r="G1239">
        <v>118.23</v>
      </c>
      <c r="H1239">
        <v>98.78</v>
      </c>
      <c r="I1239">
        <v>130.28</v>
      </c>
      <c r="J1239">
        <v>121.9</v>
      </c>
      <c r="K1239">
        <v>29.84</v>
      </c>
    </row>
    <row r="1240" spans="1:11">
      <c r="A1240">
        <v>167.67</v>
      </c>
      <c r="B1240">
        <v>57.28</v>
      </c>
      <c r="C1240">
        <v>106.95</v>
      </c>
      <c r="D1240">
        <v>106.45</v>
      </c>
      <c r="E1240">
        <v>75.62</v>
      </c>
      <c r="F1240">
        <v>111.51</v>
      </c>
      <c r="G1240">
        <v>118.28</v>
      </c>
      <c r="H1240">
        <v>98.62</v>
      </c>
      <c r="I1240">
        <v>130.94999999999999</v>
      </c>
      <c r="J1240">
        <v>122.17</v>
      </c>
      <c r="K1240">
        <v>29.78</v>
      </c>
    </row>
    <row r="1241" spans="1:11">
      <c r="A1241">
        <v>167.83</v>
      </c>
      <c r="B1241">
        <v>56.78</v>
      </c>
      <c r="C1241">
        <v>106.06</v>
      </c>
      <c r="D1241">
        <v>105.28</v>
      </c>
      <c r="E1241">
        <v>75.010000000000005</v>
      </c>
      <c r="F1241">
        <v>111.73</v>
      </c>
      <c r="G1241">
        <v>118.45</v>
      </c>
      <c r="H1241">
        <v>98.84</v>
      </c>
      <c r="I1241">
        <v>131.44999999999999</v>
      </c>
      <c r="J1241">
        <v>122.4</v>
      </c>
      <c r="K1241">
        <v>29.84</v>
      </c>
    </row>
    <row r="1242" spans="1:11">
      <c r="A1242">
        <v>168</v>
      </c>
      <c r="B1242">
        <v>55.78</v>
      </c>
      <c r="C1242">
        <v>105.45</v>
      </c>
      <c r="D1242">
        <v>104.78</v>
      </c>
      <c r="E1242">
        <v>74.17</v>
      </c>
      <c r="F1242">
        <v>111.84</v>
      </c>
      <c r="G1242">
        <v>118.67</v>
      </c>
      <c r="H1242">
        <v>99.01</v>
      </c>
      <c r="I1242">
        <v>131.12</v>
      </c>
      <c r="J1242">
        <v>122.67</v>
      </c>
      <c r="K1242">
        <v>29.84</v>
      </c>
    </row>
    <row r="1243" spans="1:11">
      <c r="A1243">
        <v>168.17</v>
      </c>
      <c r="B1243">
        <v>54.51</v>
      </c>
      <c r="C1243">
        <v>103.73</v>
      </c>
      <c r="D1243">
        <v>103.23</v>
      </c>
      <c r="E1243">
        <v>73.510000000000005</v>
      </c>
      <c r="F1243">
        <v>111.84</v>
      </c>
      <c r="G1243">
        <v>118.84</v>
      </c>
      <c r="H1243">
        <v>99.23</v>
      </c>
      <c r="I1243">
        <v>131.4</v>
      </c>
      <c r="J1243">
        <v>122.78</v>
      </c>
      <c r="K1243">
        <v>29.84</v>
      </c>
    </row>
    <row r="1244" spans="1:11">
      <c r="A1244">
        <v>168.33</v>
      </c>
      <c r="B1244">
        <v>54.34</v>
      </c>
      <c r="C1244">
        <v>102.4</v>
      </c>
      <c r="D1244">
        <v>101.62</v>
      </c>
      <c r="E1244">
        <v>72.45</v>
      </c>
      <c r="F1244">
        <v>111.67</v>
      </c>
      <c r="G1244">
        <v>119.01</v>
      </c>
      <c r="H1244">
        <v>99.51</v>
      </c>
      <c r="I1244">
        <v>132.4</v>
      </c>
      <c r="J1244">
        <v>123.06</v>
      </c>
      <c r="K1244">
        <v>29.84</v>
      </c>
    </row>
    <row r="1245" spans="1:11">
      <c r="A1245">
        <v>168.5</v>
      </c>
      <c r="B1245">
        <v>53.9</v>
      </c>
      <c r="C1245">
        <v>101.28</v>
      </c>
      <c r="D1245">
        <v>100.34</v>
      </c>
      <c r="E1245">
        <v>72.06</v>
      </c>
      <c r="F1245">
        <v>111.4</v>
      </c>
      <c r="G1245">
        <v>119.17</v>
      </c>
      <c r="H1245">
        <v>99.62</v>
      </c>
      <c r="I1245">
        <v>132.56</v>
      </c>
      <c r="J1245">
        <v>123.34</v>
      </c>
      <c r="K1245">
        <v>29.84</v>
      </c>
    </row>
    <row r="1246" spans="1:11">
      <c r="A1246">
        <v>168.67</v>
      </c>
      <c r="B1246">
        <v>53.9</v>
      </c>
      <c r="C1246">
        <v>101.01</v>
      </c>
      <c r="D1246">
        <v>100.28</v>
      </c>
      <c r="E1246">
        <v>71.28</v>
      </c>
      <c r="F1246">
        <v>111.34</v>
      </c>
      <c r="G1246">
        <v>119.34</v>
      </c>
      <c r="H1246">
        <v>99.01</v>
      </c>
      <c r="I1246">
        <v>132.16999999999999</v>
      </c>
      <c r="J1246">
        <v>123.56</v>
      </c>
      <c r="K1246">
        <v>29.84</v>
      </c>
    </row>
    <row r="1247" spans="1:11">
      <c r="A1247">
        <v>168.83</v>
      </c>
      <c r="B1247">
        <v>53.62</v>
      </c>
      <c r="C1247">
        <v>100.78</v>
      </c>
      <c r="D1247">
        <v>100.12</v>
      </c>
      <c r="E1247">
        <v>70.56</v>
      </c>
      <c r="F1247">
        <v>111.4</v>
      </c>
      <c r="G1247">
        <v>119.56</v>
      </c>
      <c r="H1247">
        <v>99.06</v>
      </c>
      <c r="I1247">
        <v>131.9</v>
      </c>
      <c r="J1247">
        <v>123.9</v>
      </c>
      <c r="K1247">
        <v>29.84</v>
      </c>
    </row>
    <row r="1248" spans="1:11">
      <c r="A1248">
        <v>169</v>
      </c>
      <c r="B1248">
        <v>52.78</v>
      </c>
      <c r="C1248">
        <v>99.51</v>
      </c>
      <c r="D1248">
        <v>98.9</v>
      </c>
      <c r="E1248">
        <v>69.34</v>
      </c>
      <c r="F1248">
        <v>111.51</v>
      </c>
      <c r="G1248">
        <v>119.67</v>
      </c>
      <c r="H1248">
        <v>98.95</v>
      </c>
      <c r="I1248">
        <v>132.66999999999999</v>
      </c>
      <c r="J1248">
        <v>124.17</v>
      </c>
      <c r="K1248">
        <v>29.84</v>
      </c>
    </row>
    <row r="1249" spans="1:11">
      <c r="A1249">
        <v>169.17</v>
      </c>
      <c r="B1249">
        <v>51.9</v>
      </c>
      <c r="C1249">
        <v>98.67</v>
      </c>
      <c r="D1249">
        <v>98.17</v>
      </c>
      <c r="E1249">
        <v>68.510000000000005</v>
      </c>
      <c r="F1249">
        <v>111.23</v>
      </c>
      <c r="G1249">
        <v>119.84</v>
      </c>
      <c r="H1249">
        <v>99.34</v>
      </c>
      <c r="I1249">
        <v>133.12</v>
      </c>
      <c r="J1249">
        <v>124.45</v>
      </c>
      <c r="K1249">
        <v>29.84</v>
      </c>
    </row>
    <row r="1250" spans="1:11">
      <c r="A1250">
        <v>169.33</v>
      </c>
      <c r="B1250">
        <v>51.28</v>
      </c>
      <c r="C1250">
        <v>98.12</v>
      </c>
      <c r="D1250">
        <v>97.51</v>
      </c>
      <c r="E1250">
        <v>68.510000000000005</v>
      </c>
      <c r="F1250">
        <v>110.95</v>
      </c>
      <c r="G1250">
        <v>120.06</v>
      </c>
      <c r="H1250">
        <v>99.23</v>
      </c>
      <c r="I1250">
        <v>132.44999999999999</v>
      </c>
      <c r="J1250">
        <v>124.73</v>
      </c>
      <c r="K1250">
        <v>29.84</v>
      </c>
    </row>
    <row r="1251" spans="1:11">
      <c r="A1251">
        <v>169.5</v>
      </c>
      <c r="B1251">
        <v>50.67</v>
      </c>
      <c r="C1251">
        <v>97.67</v>
      </c>
      <c r="D1251">
        <v>97.06</v>
      </c>
      <c r="E1251">
        <v>68.12</v>
      </c>
      <c r="F1251">
        <v>111.23</v>
      </c>
      <c r="G1251">
        <v>120.28</v>
      </c>
      <c r="H1251">
        <v>99.12</v>
      </c>
      <c r="I1251">
        <v>132.06</v>
      </c>
      <c r="J1251">
        <v>125.17</v>
      </c>
      <c r="K1251">
        <v>29.84</v>
      </c>
    </row>
    <row r="1252" spans="1:11">
      <c r="A1252">
        <v>169.67</v>
      </c>
      <c r="B1252">
        <v>49.9</v>
      </c>
      <c r="C1252">
        <v>96.95</v>
      </c>
      <c r="D1252">
        <v>96.23</v>
      </c>
      <c r="E1252">
        <v>68.56</v>
      </c>
      <c r="F1252">
        <v>111.51</v>
      </c>
      <c r="G1252">
        <v>120.45</v>
      </c>
      <c r="H1252">
        <v>98.9</v>
      </c>
      <c r="I1252">
        <v>132.16999999999999</v>
      </c>
      <c r="J1252">
        <v>125.62</v>
      </c>
      <c r="K1252">
        <v>29.84</v>
      </c>
    </row>
    <row r="1253" spans="1:11">
      <c r="A1253">
        <v>169.83</v>
      </c>
      <c r="B1253">
        <v>49.34</v>
      </c>
      <c r="C1253">
        <v>96.62</v>
      </c>
      <c r="D1253">
        <v>95.9</v>
      </c>
      <c r="E1253">
        <v>68.34</v>
      </c>
      <c r="F1253">
        <v>111.56</v>
      </c>
      <c r="G1253">
        <v>120.62</v>
      </c>
      <c r="H1253">
        <v>98.95</v>
      </c>
      <c r="I1253">
        <v>132.4</v>
      </c>
      <c r="J1253">
        <v>125.84</v>
      </c>
      <c r="K1253">
        <v>29.84</v>
      </c>
    </row>
    <row r="1254" spans="1:11">
      <c r="A1254">
        <v>170</v>
      </c>
      <c r="B1254">
        <v>48.56</v>
      </c>
      <c r="C1254">
        <v>95.56</v>
      </c>
      <c r="D1254">
        <v>95.01</v>
      </c>
      <c r="E1254">
        <v>67.78</v>
      </c>
      <c r="F1254">
        <v>111.56</v>
      </c>
      <c r="G1254">
        <v>120.67</v>
      </c>
      <c r="H1254">
        <v>99.12</v>
      </c>
      <c r="I1254">
        <v>133.34</v>
      </c>
      <c r="J1254">
        <v>126.12</v>
      </c>
      <c r="K1254">
        <v>29.9</v>
      </c>
    </row>
    <row r="1255" spans="1:11">
      <c r="A1255">
        <v>170.17</v>
      </c>
      <c r="B1255">
        <v>47.78</v>
      </c>
      <c r="C1255">
        <v>94.01</v>
      </c>
      <c r="D1255">
        <v>93.62</v>
      </c>
      <c r="E1255">
        <v>67.34</v>
      </c>
      <c r="F1255">
        <v>111.56</v>
      </c>
      <c r="G1255">
        <v>120.84</v>
      </c>
      <c r="H1255">
        <v>98.78</v>
      </c>
      <c r="I1255">
        <v>133.16999999999999</v>
      </c>
      <c r="J1255">
        <v>126.51</v>
      </c>
      <c r="K1255">
        <v>29.9</v>
      </c>
    </row>
    <row r="1256" spans="1:11">
      <c r="A1256">
        <v>170.33</v>
      </c>
      <c r="B1256">
        <v>46.95</v>
      </c>
      <c r="C1256">
        <v>92.78</v>
      </c>
      <c r="D1256">
        <v>92.23</v>
      </c>
      <c r="E1256">
        <v>67.23</v>
      </c>
      <c r="F1256">
        <v>111.56</v>
      </c>
      <c r="G1256">
        <v>121.01</v>
      </c>
      <c r="H1256">
        <v>99.01</v>
      </c>
      <c r="I1256">
        <v>132.56</v>
      </c>
      <c r="J1256">
        <v>126.84</v>
      </c>
      <c r="K1256">
        <v>29.9</v>
      </c>
    </row>
    <row r="1257" spans="1:11">
      <c r="A1257">
        <v>170.5</v>
      </c>
      <c r="B1257">
        <v>46.56</v>
      </c>
      <c r="C1257">
        <v>91.9</v>
      </c>
      <c r="D1257">
        <v>91.17</v>
      </c>
      <c r="E1257">
        <v>66.510000000000005</v>
      </c>
      <c r="F1257">
        <v>111.45</v>
      </c>
      <c r="G1257">
        <v>121.06</v>
      </c>
      <c r="H1257">
        <v>98.56</v>
      </c>
      <c r="I1257">
        <v>132.4</v>
      </c>
      <c r="J1257">
        <v>127.06</v>
      </c>
      <c r="K1257">
        <v>29.9</v>
      </c>
    </row>
    <row r="1258" spans="1:11">
      <c r="A1258">
        <v>170.67</v>
      </c>
      <c r="B1258">
        <v>46.06</v>
      </c>
      <c r="C1258">
        <v>91.23</v>
      </c>
      <c r="D1258">
        <v>90.4</v>
      </c>
      <c r="E1258">
        <v>65.84</v>
      </c>
      <c r="F1258">
        <v>111.67</v>
      </c>
      <c r="G1258">
        <v>121.23</v>
      </c>
      <c r="H1258">
        <v>98.62</v>
      </c>
      <c r="I1258">
        <v>132.66999999999999</v>
      </c>
      <c r="J1258">
        <v>127.45</v>
      </c>
      <c r="K1258">
        <v>29.9</v>
      </c>
    </row>
    <row r="1259" spans="1:11">
      <c r="A1259">
        <v>170.83</v>
      </c>
      <c r="B1259">
        <v>45.78</v>
      </c>
      <c r="C1259">
        <v>89.84</v>
      </c>
      <c r="D1259">
        <v>89.28</v>
      </c>
      <c r="E1259">
        <v>64.34</v>
      </c>
      <c r="F1259">
        <v>111.84</v>
      </c>
      <c r="G1259">
        <v>121.4</v>
      </c>
      <c r="H1259">
        <v>98.56</v>
      </c>
      <c r="I1259">
        <v>132.62</v>
      </c>
      <c r="J1259">
        <v>127.84</v>
      </c>
      <c r="K1259">
        <v>29.9</v>
      </c>
    </row>
    <row r="1260" spans="1:11">
      <c r="A1260">
        <v>171</v>
      </c>
      <c r="B1260">
        <v>45.45</v>
      </c>
      <c r="C1260">
        <v>90.01</v>
      </c>
      <c r="D1260">
        <v>89.28</v>
      </c>
      <c r="E1260">
        <v>62.67</v>
      </c>
      <c r="F1260">
        <v>112.12</v>
      </c>
      <c r="G1260">
        <v>121.45</v>
      </c>
      <c r="H1260">
        <v>98.45</v>
      </c>
      <c r="I1260">
        <v>132.78</v>
      </c>
      <c r="J1260">
        <v>128.16999999999999</v>
      </c>
      <c r="K1260">
        <v>29.9</v>
      </c>
    </row>
    <row r="1261" spans="1:11">
      <c r="A1261">
        <v>171.17</v>
      </c>
      <c r="B1261">
        <v>44.9</v>
      </c>
      <c r="C1261">
        <v>90.28</v>
      </c>
      <c r="D1261">
        <v>89.62</v>
      </c>
      <c r="E1261">
        <v>61.95</v>
      </c>
      <c r="F1261">
        <v>112.23</v>
      </c>
      <c r="G1261">
        <v>121.56</v>
      </c>
      <c r="H1261">
        <v>98.12</v>
      </c>
      <c r="I1261">
        <v>133.01</v>
      </c>
      <c r="J1261">
        <v>128.56</v>
      </c>
      <c r="K1261">
        <v>29.9</v>
      </c>
    </row>
    <row r="1262" spans="1:11">
      <c r="A1262">
        <v>171.33</v>
      </c>
      <c r="B1262">
        <v>44.45</v>
      </c>
      <c r="C1262">
        <v>90.23</v>
      </c>
      <c r="D1262">
        <v>89.62</v>
      </c>
      <c r="E1262">
        <v>61.4</v>
      </c>
      <c r="F1262">
        <v>112.45</v>
      </c>
      <c r="G1262">
        <v>121.73</v>
      </c>
      <c r="H1262">
        <v>98.01</v>
      </c>
      <c r="I1262">
        <v>133.9</v>
      </c>
      <c r="J1262">
        <v>128.94999999999999</v>
      </c>
      <c r="K1262">
        <v>29.9</v>
      </c>
    </row>
    <row r="1263" spans="1:11">
      <c r="A1263">
        <v>171.5</v>
      </c>
      <c r="B1263">
        <v>43.9</v>
      </c>
      <c r="C1263">
        <v>89.06</v>
      </c>
      <c r="D1263">
        <v>88.62</v>
      </c>
      <c r="E1263">
        <v>60.78</v>
      </c>
      <c r="F1263">
        <v>112.23</v>
      </c>
      <c r="G1263">
        <v>121.78</v>
      </c>
      <c r="H1263">
        <v>98.23</v>
      </c>
      <c r="I1263">
        <v>134.84</v>
      </c>
      <c r="J1263">
        <v>129.28</v>
      </c>
      <c r="K1263">
        <v>29.9</v>
      </c>
    </row>
    <row r="1264" spans="1:11">
      <c r="A1264">
        <v>171.67</v>
      </c>
      <c r="B1264">
        <v>43.51</v>
      </c>
      <c r="C1264">
        <v>88.01</v>
      </c>
      <c r="D1264">
        <v>87.45</v>
      </c>
      <c r="E1264">
        <v>60.01</v>
      </c>
      <c r="F1264">
        <v>112.23</v>
      </c>
      <c r="G1264">
        <v>121.95</v>
      </c>
      <c r="H1264">
        <v>98.34</v>
      </c>
      <c r="I1264">
        <v>135.16999999999999</v>
      </c>
      <c r="J1264">
        <v>129.72999999999999</v>
      </c>
      <c r="K1264">
        <v>29.9</v>
      </c>
    </row>
    <row r="1265" spans="1:11">
      <c r="A1265">
        <v>171.83</v>
      </c>
      <c r="B1265">
        <v>43.34</v>
      </c>
      <c r="C1265">
        <v>87.56</v>
      </c>
      <c r="D1265">
        <v>86.95</v>
      </c>
      <c r="E1265">
        <v>59.51</v>
      </c>
      <c r="F1265">
        <v>112.4</v>
      </c>
      <c r="G1265">
        <v>122.12</v>
      </c>
      <c r="H1265">
        <v>98.56</v>
      </c>
      <c r="I1265">
        <v>135.44999999999999</v>
      </c>
      <c r="J1265">
        <v>130.12</v>
      </c>
      <c r="K1265">
        <v>29.9</v>
      </c>
    </row>
    <row r="1266" spans="1:11">
      <c r="A1266">
        <v>172</v>
      </c>
      <c r="B1266">
        <v>42.95</v>
      </c>
      <c r="C1266">
        <v>86.67</v>
      </c>
      <c r="D1266">
        <v>86.12</v>
      </c>
      <c r="E1266">
        <v>58.78</v>
      </c>
      <c r="F1266">
        <v>112.17</v>
      </c>
      <c r="G1266">
        <v>122.17</v>
      </c>
      <c r="H1266">
        <v>98.62</v>
      </c>
      <c r="I1266">
        <v>135.16999999999999</v>
      </c>
      <c r="J1266">
        <v>130.44999999999999</v>
      </c>
      <c r="K1266">
        <v>29.9</v>
      </c>
    </row>
    <row r="1267" spans="1:11">
      <c r="A1267">
        <v>172.17</v>
      </c>
      <c r="B1267">
        <v>42.62</v>
      </c>
      <c r="C1267">
        <v>85.84</v>
      </c>
      <c r="D1267">
        <v>85.17</v>
      </c>
      <c r="E1267">
        <v>57.67</v>
      </c>
      <c r="F1267">
        <v>112.4</v>
      </c>
      <c r="G1267">
        <v>122.23</v>
      </c>
      <c r="H1267">
        <v>98.62</v>
      </c>
      <c r="I1267">
        <v>135.62</v>
      </c>
      <c r="J1267">
        <v>130.84</v>
      </c>
      <c r="K1267">
        <v>29.9</v>
      </c>
    </row>
    <row r="1268" spans="1:11">
      <c r="A1268">
        <v>172.33</v>
      </c>
      <c r="B1268">
        <v>42.45</v>
      </c>
      <c r="C1268">
        <v>85.62</v>
      </c>
      <c r="D1268">
        <v>85.01</v>
      </c>
      <c r="E1268">
        <v>56.9</v>
      </c>
      <c r="F1268">
        <v>112.45</v>
      </c>
      <c r="G1268">
        <v>122.51</v>
      </c>
      <c r="H1268">
        <v>98.78</v>
      </c>
      <c r="I1268">
        <v>136.06</v>
      </c>
      <c r="J1268">
        <v>131.28</v>
      </c>
      <c r="K1268">
        <v>29.9</v>
      </c>
    </row>
    <row r="1269" spans="1:11">
      <c r="A1269">
        <v>172.5</v>
      </c>
      <c r="B1269">
        <v>41.9</v>
      </c>
      <c r="C1269">
        <v>84.9</v>
      </c>
      <c r="D1269">
        <v>84.34</v>
      </c>
      <c r="E1269">
        <v>56.4</v>
      </c>
      <c r="F1269">
        <v>112.4</v>
      </c>
      <c r="G1269">
        <v>122.56</v>
      </c>
      <c r="H1269">
        <v>98.73</v>
      </c>
      <c r="I1269">
        <v>135.62</v>
      </c>
      <c r="J1269">
        <v>131.62</v>
      </c>
      <c r="K1269">
        <v>29.9</v>
      </c>
    </row>
    <row r="1270" spans="1:11">
      <c r="A1270">
        <v>172.67</v>
      </c>
      <c r="B1270">
        <v>41.4</v>
      </c>
      <c r="C1270">
        <v>84.01</v>
      </c>
      <c r="D1270">
        <v>83.51</v>
      </c>
      <c r="E1270">
        <v>55.78</v>
      </c>
      <c r="F1270">
        <v>112.78</v>
      </c>
      <c r="G1270">
        <v>122.73</v>
      </c>
      <c r="H1270">
        <v>98.78</v>
      </c>
      <c r="I1270">
        <v>136.16999999999999</v>
      </c>
      <c r="J1270">
        <v>132.12</v>
      </c>
      <c r="K1270">
        <v>29.9</v>
      </c>
    </row>
    <row r="1271" spans="1:11">
      <c r="A1271">
        <v>172.83</v>
      </c>
      <c r="B1271">
        <v>41.06</v>
      </c>
      <c r="C1271">
        <v>83.17</v>
      </c>
      <c r="D1271">
        <v>82.56</v>
      </c>
      <c r="E1271">
        <v>55.23</v>
      </c>
      <c r="F1271">
        <v>112.62</v>
      </c>
      <c r="G1271">
        <v>122.9</v>
      </c>
      <c r="H1271">
        <v>99.12</v>
      </c>
      <c r="I1271">
        <v>136.28</v>
      </c>
      <c r="J1271">
        <v>132.4</v>
      </c>
      <c r="K1271">
        <v>29.95</v>
      </c>
    </row>
    <row r="1272" spans="1:11">
      <c r="A1272">
        <v>173</v>
      </c>
      <c r="B1272">
        <v>40.51</v>
      </c>
      <c r="C1272">
        <v>81.73</v>
      </c>
      <c r="D1272">
        <v>81.17</v>
      </c>
      <c r="E1272">
        <v>54.56</v>
      </c>
      <c r="F1272">
        <v>112.95</v>
      </c>
      <c r="G1272">
        <v>122.95</v>
      </c>
      <c r="H1272">
        <v>99.06</v>
      </c>
      <c r="I1272">
        <v>136.51</v>
      </c>
      <c r="J1272">
        <v>132.78</v>
      </c>
      <c r="K1272">
        <v>29.9</v>
      </c>
    </row>
    <row r="1273" spans="1:11">
      <c r="A1273">
        <v>173.17</v>
      </c>
      <c r="B1273">
        <v>39.950000000000003</v>
      </c>
      <c r="C1273">
        <v>81.12</v>
      </c>
      <c r="D1273">
        <v>80.34</v>
      </c>
      <c r="E1273">
        <v>53.84</v>
      </c>
      <c r="F1273">
        <v>112.95</v>
      </c>
      <c r="G1273">
        <v>123.06</v>
      </c>
      <c r="H1273">
        <v>98.9</v>
      </c>
      <c r="I1273">
        <v>136.9</v>
      </c>
      <c r="J1273">
        <v>133.22999999999999</v>
      </c>
      <c r="K1273">
        <v>29.95</v>
      </c>
    </row>
    <row r="1274" spans="1:11">
      <c r="A1274">
        <v>173.33</v>
      </c>
      <c r="B1274">
        <v>39.450000000000003</v>
      </c>
      <c r="C1274">
        <v>81.12</v>
      </c>
      <c r="D1274">
        <v>80.510000000000005</v>
      </c>
      <c r="E1274">
        <v>53.51</v>
      </c>
      <c r="F1274">
        <v>113.12</v>
      </c>
      <c r="G1274">
        <v>123.17</v>
      </c>
      <c r="H1274">
        <v>98.45</v>
      </c>
      <c r="I1274">
        <v>136.28</v>
      </c>
      <c r="J1274">
        <v>133.56</v>
      </c>
      <c r="K1274">
        <v>29.95</v>
      </c>
    </row>
    <row r="1275" spans="1:11">
      <c r="A1275">
        <v>173.5</v>
      </c>
      <c r="B1275">
        <v>39.729999999999997</v>
      </c>
      <c r="C1275">
        <v>80.56</v>
      </c>
      <c r="D1275">
        <v>80.06</v>
      </c>
      <c r="E1275">
        <v>53.23</v>
      </c>
      <c r="F1275">
        <v>113.4</v>
      </c>
      <c r="G1275">
        <v>123.23</v>
      </c>
      <c r="H1275">
        <v>98.28</v>
      </c>
      <c r="I1275">
        <v>136.84</v>
      </c>
      <c r="J1275">
        <v>133.9</v>
      </c>
      <c r="K1275">
        <v>29.95</v>
      </c>
    </row>
    <row r="1276" spans="1:11">
      <c r="A1276">
        <v>173.67</v>
      </c>
      <c r="B1276">
        <v>39.840000000000003</v>
      </c>
      <c r="C1276">
        <v>80.17</v>
      </c>
      <c r="D1276">
        <v>79.56</v>
      </c>
      <c r="E1276">
        <v>52.56</v>
      </c>
      <c r="F1276">
        <v>113.67</v>
      </c>
      <c r="G1276">
        <v>123.34</v>
      </c>
      <c r="H1276">
        <v>98.9</v>
      </c>
      <c r="I1276">
        <v>137.62</v>
      </c>
      <c r="J1276">
        <v>134.34</v>
      </c>
      <c r="K1276">
        <v>29.95</v>
      </c>
    </row>
    <row r="1277" spans="1:11">
      <c r="A1277">
        <v>173.83</v>
      </c>
      <c r="B1277">
        <v>39.67</v>
      </c>
      <c r="C1277">
        <v>79.56</v>
      </c>
      <c r="D1277">
        <v>78.900000000000006</v>
      </c>
      <c r="E1277">
        <v>52.17</v>
      </c>
      <c r="F1277">
        <v>113.78</v>
      </c>
      <c r="G1277">
        <v>123.34</v>
      </c>
      <c r="H1277">
        <v>99.12</v>
      </c>
      <c r="I1277">
        <v>137.62</v>
      </c>
      <c r="J1277">
        <v>134.66999999999999</v>
      </c>
      <c r="K1277">
        <v>29.95</v>
      </c>
    </row>
    <row r="1278" spans="1:11">
      <c r="A1278">
        <v>174</v>
      </c>
      <c r="B1278">
        <v>39.229999999999997</v>
      </c>
      <c r="C1278">
        <v>78.78</v>
      </c>
      <c r="D1278">
        <v>78.17</v>
      </c>
      <c r="E1278">
        <v>51.84</v>
      </c>
      <c r="F1278">
        <v>113.78</v>
      </c>
      <c r="G1278">
        <v>123.56</v>
      </c>
      <c r="H1278">
        <v>99.62</v>
      </c>
      <c r="I1278">
        <v>137.34</v>
      </c>
      <c r="J1278">
        <v>135.16999999999999</v>
      </c>
      <c r="K1278">
        <v>29.95</v>
      </c>
    </row>
    <row r="1279" spans="1:11">
      <c r="A1279">
        <v>174.17</v>
      </c>
      <c r="B1279">
        <v>38.9</v>
      </c>
      <c r="C1279">
        <v>78.010000000000005</v>
      </c>
      <c r="D1279">
        <v>77.34</v>
      </c>
      <c r="E1279">
        <v>51.73</v>
      </c>
      <c r="F1279">
        <v>113.9</v>
      </c>
      <c r="G1279">
        <v>123.62</v>
      </c>
      <c r="H1279">
        <v>99.67</v>
      </c>
      <c r="I1279">
        <v>137.56</v>
      </c>
      <c r="J1279">
        <v>135.44999999999999</v>
      </c>
      <c r="K1279">
        <v>29.95</v>
      </c>
    </row>
    <row r="1280" spans="1:11">
      <c r="A1280">
        <v>174.33</v>
      </c>
      <c r="B1280">
        <v>38.450000000000003</v>
      </c>
      <c r="C1280">
        <v>77.17</v>
      </c>
      <c r="D1280">
        <v>76.67</v>
      </c>
      <c r="E1280">
        <v>51.67</v>
      </c>
      <c r="F1280">
        <v>114.23</v>
      </c>
      <c r="G1280">
        <v>123.67</v>
      </c>
      <c r="H1280">
        <v>99.73</v>
      </c>
      <c r="I1280">
        <v>137.12</v>
      </c>
      <c r="J1280">
        <v>135.94999999999999</v>
      </c>
      <c r="K1280">
        <v>29.95</v>
      </c>
    </row>
    <row r="1281" spans="1:11">
      <c r="A1281">
        <v>174.5</v>
      </c>
      <c r="B1281">
        <v>37.840000000000003</v>
      </c>
      <c r="C1281">
        <v>75.95</v>
      </c>
      <c r="D1281">
        <v>75.45</v>
      </c>
      <c r="E1281">
        <v>51.4</v>
      </c>
      <c r="F1281">
        <v>114.17</v>
      </c>
      <c r="G1281">
        <v>123.73</v>
      </c>
      <c r="H1281">
        <v>99.51</v>
      </c>
      <c r="I1281">
        <v>136.34</v>
      </c>
      <c r="J1281">
        <v>136.28</v>
      </c>
      <c r="K1281">
        <v>29.95</v>
      </c>
    </row>
    <row r="1282" spans="1:11">
      <c r="A1282">
        <v>174.67</v>
      </c>
      <c r="B1282">
        <v>37.56</v>
      </c>
      <c r="C1282">
        <v>75.28</v>
      </c>
      <c r="D1282">
        <v>74.73</v>
      </c>
      <c r="E1282">
        <v>50.84</v>
      </c>
      <c r="F1282">
        <v>114.23</v>
      </c>
      <c r="G1282">
        <v>123.9</v>
      </c>
      <c r="H1282">
        <v>99.4</v>
      </c>
      <c r="I1282">
        <v>136.06</v>
      </c>
      <c r="J1282">
        <v>136.72999999999999</v>
      </c>
      <c r="K1282">
        <v>29.95</v>
      </c>
    </row>
    <row r="1283" spans="1:11">
      <c r="A1283">
        <v>174.83</v>
      </c>
      <c r="B1283">
        <v>37.229999999999997</v>
      </c>
      <c r="C1283">
        <v>74.45</v>
      </c>
      <c r="D1283">
        <v>73.73</v>
      </c>
      <c r="E1283">
        <v>50.56</v>
      </c>
      <c r="F1283">
        <v>114.67</v>
      </c>
      <c r="G1283">
        <v>123.9</v>
      </c>
      <c r="H1283">
        <v>99.73</v>
      </c>
      <c r="I1283">
        <v>136.01</v>
      </c>
      <c r="J1283">
        <v>137.12</v>
      </c>
      <c r="K1283">
        <v>29.95</v>
      </c>
    </row>
    <row r="1284" spans="1:11">
      <c r="A1284">
        <v>175</v>
      </c>
      <c r="B1284">
        <v>37.119999999999997</v>
      </c>
      <c r="C1284">
        <v>73.78</v>
      </c>
      <c r="D1284">
        <v>73.06</v>
      </c>
      <c r="E1284">
        <v>50.17</v>
      </c>
      <c r="F1284">
        <v>114.4</v>
      </c>
      <c r="G1284">
        <v>123.9</v>
      </c>
      <c r="H1284">
        <v>100.01</v>
      </c>
      <c r="I1284">
        <v>136.06</v>
      </c>
      <c r="J1284">
        <v>137.51</v>
      </c>
      <c r="K1284">
        <v>29.95</v>
      </c>
    </row>
    <row r="1285" spans="1:11">
      <c r="A1285">
        <v>175.17</v>
      </c>
      <c r="B1285">
        <v>36.9</v>
      </c>
      <c r="C1285">
        <v>72.62</v>
      </c>
      <c r="D1285">
        <v>72.06</v>
      </c>
      <c r="E1285">
        <v>50.12</v>
      </c>
      <c r="F1285">
        <v>114.28</v>
      </c>
      <c r="G1285">
        <v>124.01</v>
      </c>
      <c r="H1285">
        <v>100.17</v>
      </c>
      <c r="I1285">
        <v>136.12</v>
      </c>
      <c r="J1285">
        <v>137.9</v>
      </c>
      <c r="K1285">
        <v>29.95</v>
      </c>
    </row>
    <row r="1286" spans="1:11">
      <c r="A1286">
        <v>175.33</v>
      </c>
      <c r="B1286">
        <v>36.619999999999997</v>
      </c>
      <c r="C1286">
        <v>71.56</v>
      </c>
      <c r="D1286">
        <v>71.12</v>
      </c>
      <c r="E1286">
        <v>49.62</v>
      </c>
      <c r="F1286">
        <v>114.51</v>
      </c>
      <c r="G1286">
        <v>123.95</v>
      </c>
      <c r="H1286">
        <v>100.62</v>
      </c>
      <c r="I1286">
        <v>135.94999999999999</v>
      </c>
      <c r="J1286">
        <v>138.22999999999999</v>
      </c>
      <c r="K1286">
        <v>30.01</v>
      </c>
    </row>
    <row r="1287" spans="1:11">
      <c r="A1287">
        <v>175.5</v>
      </c>
      <c r="B1287">
        <v>36.78</v>
      </c>
      <c r="C1287">
        <v>71.34</v>
      </c>
      <c r="D1287">
        <v>70.73</v>
      </c>
      <c r="E1287">
        <v>49.12</v>
      </c>
      <c r="F1287">
        <v>114.84</v>
      </c>
      <c r="G1287">
        <v>124.17</v>
      </c>
      <c r="H1287">
        <v>100.73</v>
      </c>
      <c r="I1287">
        <v>136.12</v>
      </c>
      <c r="J1287">
        <v>138.66999999999999</v>
      </c>
      <c r="K1287">
        <v>30.01</v>
      </c>
    </row>
    <row r="1288" spans="1:11">
      <c r="A1288">
        <v>175.67</v>
      </c>
      <c r="B1288">
        <v>36.619999999999997</v>
      </c>
      <c r="C1288">
        <v>71.34</v>
      </c>
      <c r="D1288">
        <v>70.62</v>
      </c>
      <c r="E1288">
        <v>48.9</v>
      </c>
      <c r="F1288">
        <v>115.17</v>
      </c>
      <c r="G1288">
        <v>124.28</v>
      </c>
      <c r="H1288">
        <v>100.51</v>
      </c>
      <c r="I1288">
        <v>136.34</v>
      </c>
      <c r="J1288">
        <v>139.01</v>
      </c>
      <c r="K1288">
        <v>30.01</v>
      </c>
    </row>
    <row r="1289" spans="1:11">
      <c r="A1289">
        <v>175.83</v>
      </c>
      <c r="B1289">
        <v>36.340000000000003</v>
      </c>
      <c r="C1289">
        <v>71.010000000000005</v>
      </c>
      <c r="D1289">
        <v>70.34</v>
      </c>
      <c r="E1289">
        <v>48.78</v>
      </c>
      <c r="F1289">
        <v>115.28</v>
      </c>
      <c r="G1289">
        <v>124.34</v>
      </c>
      <c r="H1289">
        <v>100.51</v>
      </c>
      <c r="I1289">
        <v>136.06</v>
      </c>
      <c r="J1289">
        <v>139.4</v>
      </c>
      <c r="K1289">
        <v>30.01</v>
      </c>
    </row>
    <row r="1290" spans="1:11">
      <c r="A1290">
        <v>176</v>
      </c>
      <c r="B1290">
        <v>36.119999999999997</v>
      </c>
      <c r="C1290">
        <v>70.17</v>
      </c>
      <c r="D1290">
        <v>69.62</v>
      </c>
      <c r="E1290">
        <v>48.4</v>
      </c>
      <c r="F1290">
        <v>115.67</v>
      </c>
      <c r="G1290">
        <v>124.45</v>
      </c>
      <c r="H1290">
        <v>101.01</v>
      </c>
      <c r="I1290">
        <v>136.9</v>
      </c>
      <c r="J1290">
        <v>139.78</v>
      </c>
      <c r="K1290">
        <v>30.01</v>
      </c>
    </row>
    <row r="1291" spans="1:11">
      <c r="A1291">
        <v>176.17</v>
      </c>
      <c r="B1291">
        <v>35.78</v>
      </c>
      <c r="C1291">
        <v>69.28</v>
      </c>
      <c r="D1291">
        <v>68.78</v>
      </c>
      <c r="E1291">
        <v>48.4</v>
      </c>
      <c r="F1291">
        <v>115.84</v>
      </c>
      <c r="G1291">
        <v>124.62</v>
      </c>
      <c r="H1291">
        <v>101.28</v>
      </c>
      <c r="I1291">
        <v>136.94999999999999</v>
      </c>
      <c r="J1291">
        <v>140.06</v>
      </c>
      <c r="K1291">
        <v>30.01</v>
      </c>
    </row>
    <row r="1292" spans="1:11">
      <c r="A1292">
        <v>176.33</v>
      </c>
      <c r="B1292">
        <v>35.450000000000003</v>
      </c>
      <c r="C1292">
        <v>68.400000000000006</v>
      </c>
      <c r="D1292">
        <v>67.78</v>
      </c>
      <c r="E1292">
        <v>48.28</v>
      </c>
      <c r="F1292">
        <v>116.01</v>
      </c>
      <c r="G1292">
        <v>124.67</v>
      </c>
      <c r="H1292">
        <v>101.12</v>
      </c>
      <c r="I1292">
        <v>136.62</v>
      </c>
      <c r="J1292">
        <v>140.56</v>
      </c>
      <c r="K1292">
        <v>30.01</v>
      </c>
    </row>
    <row r="1293" spans="1:11">
      <c r="A1293">
        <v>176.5</v>
      </c>
      <c r="B1293">
        <v>35.51</v>
      </c>
      <c r="C1293">
        <v>67.95</v>
      </c>
      <c r="D1293">
        <v>67.12</v>
      </c>
      <c r="E1293">
        <v>48.01</v>
      </c>
      <c r="F1293">
        <v>115.9</v>
      </c>
      <c r="G1293">
        <v>124.67</v>
      </c>
      <c r="H1293">
        <v>100.28</v>
      </c>
      <c r="I1293">
        <v>135.94999999999999</v>
      </c>
      <c r="J1293">
        <v>140.84</v>
      </c>
      <c r="K1293">
        <v>30.01</v>
      </c>
    </row>
    <row r="1294" spans="1:11">
      <c r="A1294">
        <v>176.67</v>
      </c>
      <c r="B1294">
        <v>35.9</v>
      </c>
      <c r="C1294">
        <v>67.78</v>
      </c>
      <c r="D1294">
        <v>67.06</v>
      </c>
      <c r="E1294">
        <v>47.56</v>
      </c>
      <c r="F1294">
        <v>115.84</v>
      </c>
      <c r="G1294">
        <v>124.78</v>
      </c>
      <c r="H1294">
        <v>100.34</v>
      </c>
      <c r="I1294">
        <v>135.44999999999999</v>
      </c>
      <c r="J1294">
        <v>141.28</v>
      </c>
      <c r="K1294">
        <v>30.01</v>
      </c>
    </row>
    <row r="1295" spans="1:11">
      <c r="A1295">
        <v>176.83</v>
      </c>
      <c r="B1295">
        <v>35.619999999999997</v>
      </c>
      <c r="C1295">
        <v>66.95</v>
      </c>
      <c r="D1295">
        <v>66.510000000000005</v>
      </c>
      <c r="E1295">
        <v>47.17</v>
      </c>
      <c r="F1295">
        <v>116.23</v>
      </c>
      <c r="G1295">
        <v>124.9</v>
      </c>
      <c r="H1295">
        <v>100.78</v>
      </c>
      <c r="I1295">
        <v>136.28</v>
      </c>
      <c r="J1295">
        <v>141.62</v>
      </c>
      <c r="K1295">
        <v>30.01</v>
      </c>
    </row>
    <row r="1296" spans="1:11">
      <c r="A1296">
        <v>177</v>
      </c>
      <c r="B1296">
        <v>35.450000000000003</v>
      </c>
      <c r="C1296">
        <v>66.400000000000006</v>
      </c>
      <c r="D1296">
        <v>65.78</v>
      </c>
      <c r="E1296">
        <v>47.12</v>
      </c>
      <c r="F1296">
        <v>116.45</v>
      </c>
      <c r="G1296">
        <v>125.06</v>
      </c>
      <c r="H1296">
        <v>101.01</v>
      </c>
      <c r="I1296">
        <v>136.62</v>
      </c>
      <c r="J1296">
        <v>141.94999999999999</v>
      </c>
      <c r="K1296">
        <v>30.01</v>
      </c>
    </row>
    <row r="1297" spans="1:11">
      <c r="A1297">
        <v>177.17</v>
      </c>
      <c r="B1297">
        <v>35.229999999999997</v>
      </c>
      <c r="C1297">
        <v>65.84</v>
      </c>
      <c r="D1297">
        <v>65.23</v>
      </c>
      <c r="E1297">
        <v>47.01</v>
      </c>
      <c r="F1297">
        <v>116.84</v>
      </c>
      <c r="G1297">
        <v>125.23</v>
      </c>
      <c r="H1297">
        <v>100.67</v>
      </c>
      <c r="I1297">
        <v>136.01</v>
      </c>
      <c r="J1297">
        <v>142.34</v>
      </c>
      <c r="K1297">
        <v>30.01</v>
      </c>
    </row>
    <row r="1298" spans="1:11">
      <c r="A1298">
        <v>177.33</v>
      </c>
      <c r="B1298">
        <v>35.450000000000003</v>
      </c>
      <c r="C1298">
        <v>65.510000000000005</v>
      </c>
      <c r="D1298">
        <v>64.84</v>
      </c>
      <c r="E1298">
        <v>47.12</v>
      </c>
      <c r="F1298">
        <v>116.73</v>
      </c>
      <c r="G1298">
        <v>125.28</v>
      </c>
      <c r="H1298">
        <v>100.51</v>
      </c>
      <c r="I1298">
        <v>136.28</v>
      </c>
      <c r="J1298">
        <v>142.66999999999999</v>
      </c>
      <c r="K1298">
        <v>30.01</v>
      </c>
    </row>
    <row r="1299" spans="1:11">
      <c r="A1299">
        <v>177.5</v>
      </c>
      <c r="B1299">
        <v>35.619999999999997</v>
      </c>
      <c r="C1299">
        <v>65.23</v>
      </c>
      <c r="D1299">
        <v>64.510000000000005</v>
      </c>
      <c r="E1299">
        <v>47.17</v>
      </c>
      <c r="F1299">
        <v>116.95</v>
      </c>
      <c r="G1299">
        <v>125.45</v>
      </c>
      <c r="H1299">
        <v>100.78</v>
      </c>
      <c r="I1299">
        <v>136.56</v>
      </c>
      <c r="J1299">
        <v>143.12</v>
      </c>
      <c r="K1299">
        <v>30.01</v>
      </c>
    </row>
    <row r="1300" spans="1:11">
      <c r="A1300">
        <v>177.67</v>
      </c>
      <c r="B1300">
        <v>35.28</v>
      </c>
      <c r="C1300">
        <v>64.56</v>
      </c>
      <c r="D1300">
        <v>63.95</v>
      </c>
      <c r="E1300">
        <v>46.84</v>
      </c>
      <c r="F1300">
        <v>117.06</v>
      </c>
      <c r="G1300">
        <v>125.62</v>
      </c>
      <c r="H1300">
        <v>100.95</v>
      </c>
      <c r="I1300">
        <v>136.62</v>
      </c>
      <c r="J1300">
        <v>143.44999999999999</v>
      </c>
      <c r="K1300">
        <v>30.01</v>
      </c>
    </row>
    <row r="1301" spans="1:11">
      <c r="A1301">
        <v>177.83</v>
      </c>
      <c r="B1301">
        <v>34.950000000000003</v>
      </c>
      <c r="C1301">
        <v>64.06</v>
      </c>
      <c r="D1301">
        <v>63.4</v>
      </c>
      <c r="E1301">
        <v>46.4</v>
      </c>
      <c r="F1301">
        <v>117.4</v>
      </c>
      <c r="G1301">
        <v>125.62</v>
      </c>
      <c r="H1301">
        <v>101.01</v>
      </c>
      <c r="I1301">
        <v>136.06</v>
      </c>
      <c r="J1301">
        <v>143.78</v>
      </c>
      <c r="K1301">
        <v>30.06</v>
      </c>
    </row>
    <row r="1302" spans="1:11">
      <c r="A1302">
        <v>178</v>
      </c>
      <c r="B1302">
        <v>34.78</v>
      </c>
      <c r="C1302">
        <v>63.78</v>
      </c>
      <c r="D1302">
        <v>63.12</v>
      </c>
      <c r="E1302">
        <v>46.17</v>
      </c>
      <c r="F1302">
        <v>117.4</v>
      </c>
      <c r="G1302">
        <v>125.73</v>
      </c>
      <c r="H1302">
        <v>100.78</v>
      </c>
      <c r="I1302">
        <v>135.84</v>
      </c>
      <c r="J1302">
        <v>144.06</v>
      </c>
      <c r="K1302">
        <v>30.06</v>
      </c>
    </row>
    <row r="1303" spans="1:11">
      <c r="A1303">
        <v>178.17</v>
      </c>
      <c r="B1303">
        <v>34.56</v>
      </c>
      <c r="C1303">
        <v>63.28</v>
      </c>
      <c r="D1303">
        <v>62.56</v>
      </c>
      <c r="E1303">
        <v>46.51</v>
      </c>
      <c r="F1303">
        <v>117.73</v>
      </c>
      <c r="G1303">
        <v>125.9</v>
      </c>
      <c r="H1303">
        <v>100.78</v>
      </c>
      <c r="I1303">
        <v>136.01</v>
      </c>
      <c r="J1303">
        <v>144.4</v>
      </c>
      <c r="K1303">
        <v>30.06</v>
      </c>
    </row>
    <row r="1304" spans="1:11">
      <c r="A1304">
        <v>178.33</v>
      </c>
      <c r="B1304">
        <v>34.619999999999997</v>
      </c>
      <c r="C1304">
        <v>63.17</v>
      </c>
      <c r="D1304">
        <v>62.45</v>
      </c>
      <c r="E1304">
        <v>46.45</v>
      </c>
      <c r="F1304">
        <v>117.78</v>
      </c>
      <c r="G1304">
        <v>125.95</v>
      </c>
      <c r="H1304">
        <v>100.9</v>
      </c>
      <c r="I1304">
        <v>135.84</v>
      </c>
      <c r="J1304">
        <v>144.72999999999999</v>
      </c>
      <c r="K1304">
        <v>30.06</v>
      </c>
    </row>
    <row r="1305" spans="1:11">
      <c r="A1305">
        <v>178.5</v>
      </c>
      <c r="B1305">
        <v>34.56</v>
      </c>
      <c r="C1305">
        <v>62.84</v>
      </c>
      <c r="D1305">
        <v>62.12</v>
      </c>
      <c r="E1305">
        <v>46.51</v>
      </c>
      <c r="F1305">
        <v>117.9</v>
      </c>
      <c r="G1305">
        <v>126.12</v>
      </c>
      <c r="H1305">
        <v>100.95</v>
      </c>
      <c r="I1305">
        <v>136.44999999999999</v>
      </c>
      <c r="J1305">
        <v>145.01</v>
      </c>
      <c r="K1305">
        <v>30.06</v>
      </c>
    </row>
    <row r="1306" spans="1:11">
      <c r="A1306">
        <v>178.67</v>
      </c>
      <c r="B1306">
        <v>34.450000000000003</v>
      </c>
      <c r="C1306">
        <v>62.4</v>
      </c>
      <c r="D1306">
        <v>61.84</v>
      </c>
      <c r="E1306">
        <v>46.45</v>
      </c>
      <c r="F1306">
        <v>118.23</v>
      </c>
      <c r="G1306">
        <v>126.28</v>
      </c>
      <c r="H1306">
        <v>101.56</v>
      </c>
      <c r="I1306">
        <v>136.16999999999999</v>
      </c>
      <c r="J1306">
        <v>145.34</v>
      </c>
      <c r="K1306">
        <v>30.06</v>
      </c>
    </row>
    <row r="1307" spans="1:11">
      <c r="A1307">
        <v>178.83</v>
      </c>
      <c r="B1307">
        <v>34.119999999999997</v>
      </c>
      <c r="C1307">
        <v>61.84</v>
      </c>
      <c r="D1307">
        <v>61.28</v>
      </c>
      <c r="E1307">
        <v>45.9</v>
      </c>
      <c r="F1307">
        <v>118.23</v>
      </c>
      <c r="G1307">
        <v>126.4</v>
      </c>
      <c r="H1307">
        <v>101.62</v>
      </c>
      <c r="I1307">
        <v>136.16999999999999</v>
      </c>
      <c r="J1307">
        <v>145.56</v>
      </c>
      <c r="K1307">
        <v>30.06</v>
      </c>
    </row>
    <row r="1308" spans="1:11">
      <c r="A1308">
        <v>179</v>
      </c>
      <c r="B1308">
        <v>33.78</v>
      </c>
      <c r="C1308">
        <v>61.56</v>
      </c>
      <c r="D1308">
        <v>60.9</v>
      </c>
      <c r="E1308">
        <v>45.51</v>
      </c>
      <c r="F1308">
        <v>118.17</v>
      </c>
      <c r="G1308">
        <v>126.62</v>
      </c>
      <c r="H1308">
        <v>101.67</v>
      </c>
      <c r="I1308">
        <v>135.44999999999999</v>
      </c>
      <c r="J1308">
        <v>145.9</v>
      </c>
      <c r="K1308">
        <v>30.06</v>
      </c>
    </row>
    <row r="1309" spans="1:11">
      <c r="A1309">
        <v>179.17</v>
      </c>
      <c r="B1309">
        <v>33.340000000000003</v>
      </c>
      <c r="C1309">
        <v>61.34</v>
      </c>
      <c r="D1309">
        <v>60.73</v>
      </c>
      <c r="E1309">
        <v>45.4</v>
      </c>
      <c r="F1309">
        <v>118.17</v>
      </c>
      <c r="G1309">
        <v>126.73</v>
      </c>
      <c r="H1309">
        <v>101.45</v>
      </c>
      <c r="I1309">
        <v>135.66999999999999</v>
      </c>
      <c r="J1309">
        <v>146.16999999999999</v>
      </c>
      <c r="K1309">
        <v>30.06</v>
      </c>
    </row>
    <row r="1310" spans="1:11">
      <c r="A1310">
        <v>179.33</v>
      </c>
      <c r="B1310">
        <v>33.28</v>
      </c>
      <c r="C1310">
        <v>61.12</v>
      </c>
      <c r="D1310">
        <v>60.51</v>
      </c>
      <c r="E1310">
        <v>45.34</v>
      </c>
      <c r="F1310">
        <v>118.06</v>
      </c>
      <c r="G1310">
        <v>126.84</v>
      </c>
      <c r="H1310">
        <v>101.62</v>
      </c>
      <c r="I1310">
        <v>135.22999999999999</v>
      </c>
      <c r="J1310">
        <v>146.51</v>
      </c>
      <c r="K1310">
        <v>30.06</v>
      </c>
    </row>
    <row r="1311" spans="1:11">
      <c r="A1311">
        <v>179.5</v>
      </c>
      <c r="B1311">
        <v>33.06</v>
      </c>
      <c r="C1311">
        <v>60.95</v>
      </c>
      <c r="D1311">
        <v>60.28</v>
      </c>
      <c r="E1311">
        <v>45.01</v>
      </c>
      <c r="F1311">
        <v>117.9</v>
      </c>
      <c r="G1311">
        <v>126.9</v>
      </c>
      <c r="H1311">
        <v>101.95</v>
      </c>
      <c r="I1311">
        <v>135.4</v>
      </c>
      <c r="J1311">
        <v>146.78</v>
      </c>
      <c r="K1311">
        <v>30.06</v>
      </c>
    </row>
    <row r="1312" spans="1:11">
      <c r="A1312">
        <v>179.67</v>
      </c>
      <c r="B1312">
        <v>32.78</v>
      </c>
      <c r="C1312">
        <v>60.67</v>
      </c>
      <c r="D1312">
        <v>59.9</v>
      </c>
      <c r="E1312">
        <v>44.67</v>
      </c>
      <c r="F1312">
        <v>118.06</v>
      </c>
      <c r="G1312">
        <v>126.9</v>
      </c>
      <c r="H1312">
        <v>101.9</v>
      </c>
      <c r="I1312">
        <v>135.62</v>
      </c>
      <c r="J1312">
        <v>147.01</v>
      </c>
      <c r="K1312">
        <v>30.06</v>
      </c>
    </row>
    <row r="1313" spans="1:11">
      <c r="A1313">
        <v>179.83</v>
      </c>
      <c r="B1313">
        <v>32.840000000000003</v>
      </c>
      <c r="C1313">
        <v>60.45</v>
      </c>
      <c r="D1313">
        <v>59.78</v>
      </c>
      <c r="E1313">
        <v>44.34</v>
      </c>
      <c r="F1313">
        <v>118.06</v>
      </c>
      <c r="G1313">
        <v>127.01</v>
      </c>
      <c r="H1313">
        <v>101.95</v>
      </c>
      <c r="I1313">
        <v>136.01</v>
      </c>
      <c r="J1313">
        <v>147.34</v>
      </c>
      <c r="K1313">
        <v>30.06</v>
      </c>
    </row>
    <row r="1314" spans="1:11">
      <c r="A1314">
        <v>180</v>
      </c>
      <c r="B1314">
        <v>32.950000000000003</v>
      </c>
      <c r="C1314">
        <v>60.01</v>
      </c>
      <c r="D1314">
        <v>59.34</v>
      </c>
      <c r="E1314">
        <v>44.17</v>
      </c>
      <c r="F1314">
        <v>118.06</v>
      </c>
      <c r="G1314">
        <v>127.01</v>
      </c>
      <c r="H1314">
        <v>101.9</v>
      </c>
      <c r="I1314">
        <v>136.22999999999999</v>
      </c>
      <c r="J1314">
        <v>147.56</v>
      </c>
      <c r="K1314">
        <v>30.06</v>
      </c>
    </row>
    <row r="1315" spans="1:11">
      <c r="A1315">
        <v>180.17</v>
      </c>
      <c r="B1315">
        <v>33.28</v>
      </c>
      <c r="C1315">
        <v>59.51</v>
      </c>
      <c r="D1315">
        <v>59.01</v>
      </c>
      <c r="E1315">
        <v>44.62</v>
      </c>
      <c r="F1315">
        <v>117.73</v>
      </c>
      <c r="G1315">
        <v>126.95</v>
      </c>
      <c r="H1315">
        <v>101.78</v>
      </c>
      <c r="I1315">
        <v>136.4</v>
      </c>
      <c r="J1315">
        <v>147.84</v>
      </c>
      <c r="K1315">
        <v>30.06</v>
      </c>
    </row>
    <row r="1316" spans="1:11">
      <c r="A1316">
        <v>180.33</v>
      </c>
      <c r="B1316">
        <v>33.340000000000003</v>
      </c>
      <c r="C1316">
        <v>59.34</v>
      </c>
      <c r="D1316">
        <v>58.9</v>
      </c>
      <c r="E1316">
        <v>44.73</v>
      </c>
      <c r="F1316">
        <v>117.84</v>
      </c>
      <c r="G1316">
        <v>127.06</v>
      </c>
      <c r="H1316">
        <v>102.12</v>
      </c>
      <c r="I1316">
        <v>136.66999999999999</v>
      </c>
      <c r="J1316">
        <v>148.16999999999999</v>
      </c>
      <c r="K1316">
        <v>30.06</v>
      </c>
    </row>
    <row r="1317" spans="1:11">
      <c r="A1317">
        <v>180.5</v>
      </c>
      <c r="B1317">
        <v>33.56</v>
      </c>
      <c r="C1317">
        <v>59.17</v>
      </c>
      <c r="D1317">
        <v>58.51</v>
      </c>
      <c r="E1317">
        <v>45.01</v>
      </c>
      <c r="F1317">
        <v>117.9</v>
      </c>
      <c r="G1317">
        <v>127.17</v>
      </c>
      <c r="H1317">
        <v>102.12</v>
      </c>
      <c r="I1317">
        <v>137.12</v>
      </c>
      <c r="J1317">
        <v>148.4</v>
      </c>
      <c r="K1317">
        <v>30.12</v>
      </c>
    </row>
    <row r="1318" spans="1:11">
      <c r="A1318">
        <v>180.67</v>
      </c>
      <c r="B1318">
        <v>33.950000000000003</v>
      </c>
      <c r="C1318">
        <v>59.17</v>
      </c>
      <c r="D1318">
        <v>58.56</v>
      </c>
      <c r="E1318">
        <v>44.84</v>
      </c>
      <c r="F1318">
        <v>118.23</v>
      </c>
      <c r="G1318">
        <v>127.17</v>
      </c>
      <c r="H1318">
        <v>102.06</v>
      </c>
      <c r="I1318">
        <v>137.78</v>
      </c>
      <c r="J1318">
        <v>148.66999999999999</v>
      </c>
      <c r="K1318">
        <v>30.12</v>
      </c>
    </row>
    <row r="1319" spans="1:11">
      <c r="A1319">
        <v>180.83</v>
      </c>
      <c r="B1319">
        <v>33.950000000000003</v>
      </c>
      <c r="C1319">
        <v>59.12</v>
      </c>
      <c r="D1319">
        <v>58.45</v>
      </c>
      <c r="E1319">
        <v>44.73</v>
      </c>
      <c r="F1319">
        <v>118.67</v>
      </c>
      <c r="G1319">
        <v>127.23</v>
      </c>
      <c r="H1319">
        <v>101.95</v>
      </c>
      <c r="I1319">
        <v>138.22999999999999</v>
      </c>
      <c r="J1319">
        <v>148.94999999999999</v>
      </c>
      <c r="K1319">
        <v>30.12</v>
      </c>
    </row>
    <row r="1320" spans="1:11">
      <c r="A1320">
        <v>181</v>
      </c>
      <c r="B1320">
        <v>33.67</v>
      </c>
      <c r="C1320">
        <v>59.12</v>
      </c>
      <c r="D1320">
        <v>58.51</v>
      </c>
      <c r="E1320">
        <v>44.45</v>
      </c>
      <c r="F1320">
        <v>118.95</v>
      </c>
      <c r="G1320">
        <v>127.28</v>
      </c>
      <c r="H1320">
        <v>102.28</v>
      </c>
      <c r="I1320">
        <v>138.4</v>
      </c>
      <c r="J1320">
        <v>149.16999999999999</v>
      </c>
      <c r="K1320">
        <v>30.12</v>
      </c>
    </row>
    <row r="1321" spans="1:11">
      <c r="A1321">
        <v>181.17</v>
      </c>
      <c r="B1321">
        <v>34.229999999999997</v>
      </c>
      <c r="C1321">
        <v>59.17</v>
      </c>
      <c r="D1321">
        <v>58.73</v>
      </c>
      <c r="E1321">
        <v>44.78</v>
      </c>
      <c r="F1321">
        <v>119.12</v>
      </c>
      <c r="G1321">
        <v>127.34</v>
      </c>
      <c r="H1321">
        <v>102.45</v>
      </c>
      <c r="I1321">
        <v>138.9</v>
      </c>
      <c r="J1321">
        <v>149.44999999999999</v>
      </c>
      <c r="K1321">
        <v>30.12</v>
      </c>
    </row>
    <row r="1322" spans="1:11">
      <c r="A1322">
        <v>181.33</v>
      </c>
      <c r="B1322">
        <v>34.4</v>
      </c>
      <c r="C1322">
        <v>59.12</v>
      </c>
      <c r="D1322">
        <v>58.51</v>
      </c>
      <c r="E1322">
        <v>45.4</v>
      </c>
      <c r="F1322">
        <v>119.34</v>
      </c>
      <c r="G1322">
        <v>127.4</v>
      </c>
      <c r="H1322">
        <v>102.9</v>
      </c>
      <c r="I1322">
        <v>139.12</v>
      </c>
      <c r="J1322">
        <v>149.66999999999999</v>
      </c>
      <c r="K1322">
        <v>30.12</v>
      </c>
    </row>
    <row r="1323" spans="1:11">
      <c r="A1323">
        <v>181.5</v>
      </c>
      <c r="B1323">
        <v>35.450000000000003</v>
      </c>
      <c r="C1323">
        <v>59.23</v>
      </c>
      <c r="D1323">
        <v>58.62</v>
      </c>
      <c r="E1323">
        <v>45.78</v>
      </c>
      <c r="F1323">
        <v>119.51</v>
      </c>
      <c r="G1323">
        <v>127.4</v>
      </c>
      <c r="H1323">
        <v>103.01</v>
      </c>
      <c r="I1323">
        <v>138.01</v>
      </c>
      <c r="J1323">
        <v>149.84</v>
      </c>
      <c r="K1323">
        <v>30.12</v>
      </c>
    </row>
    <row r="1324" spans="1:11">
      <c r="A1324">
        <v>181.67</v>
      </c>
      <c r="B1324">
        <v>37.06</v>
      </c>
      <c r="C1324">
        <v>59.51</v>
      </c>
      <c r="D1324">
        <v>58.95</v>
      </c>
      <c r="E1324">
        <v>45.9</v>
      </c>
      <c r="F1324">
        <v>119.34</v>
      </c>
      <c r="G1324">
        <v>127.51</v>
      </c>
      <c r="H1324">
        <v>102.9</v>
      </c>
      <c r="I1324">
        <v>138.22999999999999</v>
      </c>
      <c r="J1324">
        <v>150.12</v>
      </c>
      <c r="K1324">
        <v>30.12</v>
      </c>
    </row>
    <row r="1325" spans="1:11">
      <c r="A1325">
        <v>181.83</v>
      </c>
      <c r="B1325">
        <v>37.229999999999997</v>
      </c>
      <c r="C1325">
        <v>59.9</v>
      </c>
      <c r="D1325">
        <v>59.34</v>
      </c>
      <c r="E1325">
        <v>45.23</v>
      </c>
      <c r="F1325">
        <v>119.51</v>
      </c>
      <c r="G1325">
        <v>127.45</v>
      </c>
      <c r="H1325">
        <v>103.01</v>
      </c>
      <c r="I1325">
        <v>138.51</v>
      </c>
      <c r="J1325">
        <v>150.28</v>
      </c>
      <c r="K1325">
        <v>30.12</v>
      </c>
    </row>
    <row r="1326" spans="1:11">
      <c r="A1326">
        <v>182</v>
      </c>
      <c r="B1326">
        <v>37.56</v>
      </c>
      <c r="C1326">
        <v>60.51</v>
      </c>
      <c r="D1326">
        <v>60.01</v>
      </c>
      <c r="E1326">
        <v>45.4</v>
      </c>
      <c r="F1326">
        <v>119.78</v>
      </c>
      <c r="G1326">
        <v>127.56</v>
      </c>
      <c r="H1326">
        <v>103.23</v>
      </c>
      <c r="I1326">
        <v>139.12</v>
      </c>
      <c r="J1326">
        <v>150.51</v>
      </c>
      <c r="K1326">
        <v>30.12</v>
      </c>
    </row>
    <row r="1327" spans="1:11">
      <c r="A1327">
        <v>182.17</v>
      </c>
      <c r="B1327">
        <v>37.56</v>
      </c>
      <c r="C1327">
        <v>61.06</v>
      </c>
      <c r="D1327">
        <v>60.62</v>
      </c>
      <c r="E1327">
        <v>45.4</v>
      </c>
      <c r="F1327">
        <v>119.78</v>
      </c>
      <c r="G1327">
        <v>127.51</v>
      </c>
      <c r="H1327">
        <v>103.62</v>
      </c>
      <c r="I1327">
        <v>139.66999999999999</v>
      </c>
      <c r="J1327">
        <v>150.78</v>
      </c>
      <c r="K1327">
        <v>30.12</v>
      </c>
    </row>
    <row r="1328" spans="1:11">
      <c r="A1328">
        <v>182.33</v>
      </c>
      <c r="B1328">
        <v>37.619999999999997</v>
      </c>
      <c r="C1328">
        <v>61.95</v>
      </c>
      <c r="D1328">
        <v>61.51</v>
      </c>
      <c r="E1328">
        <v>45.4</v>
      </c>
      <c r="F1328">
        <v>119.95</v>
      </c>
      <c r="G1328">
        <v>127.67</v>
      </c>
      <c r="H1328">
        <v>104.34</v>
      </c>
      <c r="I1328">
        <v>139.34</v>
      </c>
      <c r="J1328">
        <v>150.94999999999999</v>
      </c>
      <c r="K1328">
        <v>30.12</v>
      </c>
    </row>
    <row r="1329" spans="1:11">
      <c r="A1329">
        <v>182.5</v>
      </c>
      <c r="B1329">
        <v>37.56</v>
      </c>
      <c r="C1329">
        <v>62.4</v>
      </c>
      <c r="D1329">
        <v>61.84</v>
      </c>
      <c r="E1329">
        <v>44.95</v>
      </c>
      <c r="F1329">
        <v>119.67</v>
      </c>
      <c r="G1329">
        <v>127.62</v>
      </c>
      <c r="H1329">
        <v>104.78</v>
      </c>
      <c r="I1329">
        <v>139.06</v>
      </c>
      <c r="J1329">
        <v>151.12</v>
      </c>
      <c r="K1329">
        <v>30.12</v>
      </c>
    </row>
    <row r="1330" spans="1:11">
      <c r="A1330">
        <v>182.67</v>
      </c>
      <c r="B1330">
        <v>37.4</v>
      </c>
      <c r="C1330">
        <v>63.01</v>
      </c>
      <c r="D1330">
        <v>62.34</v>
      </c>
      <c r="E1330">
        <v>44.62</v>
      </c>
      <c r="F1330">
        <v>119.84</v>
      </c>
      <c r="G1330">
        <v>127.73</v>
      </c>
      <c r="H1330">
        <v>104.95</v>
      </c>
      <c r="I1330">
        <v>139.44999999999999</v>
      </c>
      <c r="J1330">
        <v>151.34</v>
      </c>
      <c r="K1330">
        <v>30.17</v>
      </c>
    </row>
    <row r="1331" spans="1:11">
      <c r="A1331">
        <v>182.83</v>
      </c>
      <c r="B1331">
        <v>37.01</v>
      </c>
      <c r="C1331">
        <v>62.95</v>
      </c>
      <c r="D1331">
        <v>62.17</v>
      </c>
      <c r="E1331">
        <v>44.34</v>
      </c>
      <c r="F1331">
        <v>120.01</v>
      </c>
      <c r="G1331">
        <v>127.73</v>
      </c>
      <c r="H1331">
        <v>104.28</v>
      </c>
      <c r="I1331">
        <v>138.9</v>
      </c>
      <c r="J1331">
        <v>151.44999999999999</v>
      </c>
      <c r="K1331">
        <v>30.12</v>
      </c>
    </row>
    <row r="1332" spans="1:11">
      <c r="A1332">
        <v>183</v>
      </c>
      <c r="B1332">
        <v>36.78</v>
      </c>
      <c r="C1332">
        <v>62.67</v>
      </c>
      <c r="D1332">
        <v>62.06</v>
      </c>
      <c r="E1332">
        <v>44.12</v>
      </c>
      <c r="F1332">
        <v>120.28</v>
      </c>
      <c r="G1332">
        <v>127.78</v>
      </c>
      <c r="H1332">
        <v>104.84</v>
      </c>
      <c r="I1332">
        <v>139.06</v>
      </c>
      <c r="J1332">
        <v>151.78</v>
      </c>
      <c r="K1332">
        <v>30.12</v>
      </c>
    </row>
    <row r="1333" spans="1:11">
      <c r="A1333">
        <v>183.17</v>
      </c>
      <c r="B1333">
        <v>37.28</v>
      </c>
      <c r="C1333">
        <v>62.56</v>
      </c>
      <c r="D1333">
        <v>61.84</v>
      </c>
      <c r="E1333">
        <v>43.95</v>
      </c>
      <c r="F1333">
        <v>120.28</v>
      </c>
      <c r="G1333">
        <v>127.9</v>
      </c>
      <c r="H1333">
        <v>105.45</v>
      </c>
      <c r="I1333">
        <v>139.34</v>
      </c>
      <c r="J1333">
        <v>151.94999999999999</v>
      </c>
      <c r="K1333">
        <v>30.17</v>
      </c>
    </row>
    <row r="1334" spans="1:11">
      <c r="A1334">
        <v>183.33</v>
      </c>
      <c r="B1334">
        <v>37.9</v>
      </c>
      <c r="C1334">
        <v>62.28</v>
      </c>
      <c r="D1334">
        <v>61.73</v>
      </c>
      <c r="E1334">
        <v>43.56</v>
      </c>
      <c r="F1334">
        <v>119.78</v>
      </c>
      <c r="G1334">
        <v>127.84</v>
      </c>
      <c r="H1334">
        <v>105.62</v>
      </c>
      <c r="I1334">
        <v>139.12</v>
      </c>
      <c r="J1334">
        <v>152.01</v>
      </c>
      <c r="K1334">
        <v>30.17</v>
      </c>
    </row>
    <row r="1335" spans="1:11">
      <c r="A1335">
        <v>183.5</v>
      </c>
      <c r="B1335">
        <v>37.67</v>
      </c>
      <c r="C1335">
        <v>62.4</v>
      </c>
      <c r="D1335">
        <v>61.73</v>
      </c>
      <c r="E1335">
        <v>43.45</v>
      </c>
      <c r="F1335">
        <v>119.78</v>
      </c>
      <c r="G1335">
        <v>127.84</v>
      </c>
      <c r="H1335">
        <v>105.45</v>
      </c>
      <c r="I1335">
        <v>138.84</v>
      </c>
      <c r="J1335">
        <v>152.22999999999999</v>
      </c>
      <c r="K1335">
        <v>30.17</v>
      </c>
    </row>
    <row r="1336" spans="1:11">
      <c r="A1336">
        <v>183.67</v>
      </c>
      <c r="B1336">
        <v>37.17</v>
      </c>
      <c r="C1336">
        <v>62.12</v>
      </c>
      <c r="D1336">
        <v>61.73</v>
      </c>
      <c r="E1336">
        <v>43.12</v>
      </c>
      <c r="F1336">
        <v>119.62</v>
      </c>
      <c r="G1336">
        <v>127.95</v>
      </c>
      <c r="H1336">
        <v>105.28</v>
      </c>
      <c r="I1336">
        <v>138.4</v>
      </c>
      <c r="J1336">
        <v>152.44999999999999</v>
      </c>
      <c r="K1336">
        <v>30.17</v>
      </c>
    </row>
    <row r="1337" spans="1:11">
      <c r="A1337">
        <v>183.83</v>
      </c>
      <c r="B1337">
        <v>36.729999999999997</v>
      </c>
      <c r="C1337">
        <v>61.9</v>
      </c>
      <c r="D1337">
        <v>61.34</v>
      </c>
      <c r="E1337">
        <v>43.06</v>
      </c>
      <c r="F1337">
        <v>119.4</v>
      </c>
      <c r="G1337">
        <v>127.9</v>
      </c>
      <c r="H1337">
        <v>104.67</v>
      </c>
      <c r="I1337">
        <v>138.16999999999999</v>
      </c>
      <c r="J1337">
        <v>152.51</v>
      </c>
      <c r="K1337">
        <v>30.17</v>
      </c>
    </row>
    <row r="1338" spans="1:11">
      <c r="A1338">
        <v>184</v>
      </c>
      <c r="B1338">
        <v>36.78</v>
      </c>
      <c r="C1338">
        <v>62.06</v>
      </c>
      <c r="D1338">
        <v>61.51</v>
      </c>
      <c r="E1338">
        <v>42.9</v>
      </c>
      <c r="F1338">
        <v>119.67</v>
      </c>
      <c r="G1338">
        <v>127.9</v>
      </c>
      <c r="H1338">
        <v>104.84</v>
      </c>
      <c r="I1338">
        <v>137.72999999999999</v>
      </c>
      <c r="J1338">
        <v>152.78</v>
      </c>
      <c r="K1338">
        <v>30.17</v>
      </c>
    </row>
    <row r="1339" spans="1:11">
      <c r="A1339">
        <v>184.17</v>
      </c>
      <c r="B1339">
        <v>37.17</v>
      </c>
      <c r="C1339">
        <v>61.9</v>
      </c>
      <c r="D1339">
        <v>61.28</v>
      </c>
      <c r="E1339">
        <v>42.84</v>
      </c>
      <c r="F1339">
        <v>120.12</v>
      </c>
      <c r="G1339">
        <v>127.95</v>
      </c>
      <c r="H1339">
        <v>104.84</v>
      </c>
      <c r="I1339">
        <v>137.94999999999999</v>
      </c>
      <c r="J1339">
        <v>152.9</v>
      </c>
      <c r="K1339">
        <v>30.17</v>
      </c>
    </row>
    <row r="1340" spans="1:11">
      <c r="A1340">
        <v>184.33</v>
      </c>
      <c r="B1340">
        <v>36.950000000000003</v>
      </c>
      <c r="C1340">
        <v>61.78</v>
      </c>
      <c r="D1340">
        <v>61.28</v>
      </c>
      <c r="E1340">
        <v>42.78</v>
      </c>
      <c r="F1340">
        <v>120.28</v>
      </c>
      <c r="G1340">
        <v>127.9</v>
      </c>
      <c r="H1340">
        <v>105.12</v>
      </c>
      <c r="I1340">
        <v>137.44999999999999</v>
      </c>
      <c r="J1340">
        <v>153.01</v>
      </c>
      <c r="K1340">
        <v>30.17</v>
      </c>
    </row>
    <row r="1341" spans="1:11">
      <c r="A1341">
        <v>184.5</v>
      </c>
      <c r="B1341">
        <v>36.67</v>
      </c>
      <c r="C1341">
        <v>61.95</v>
      </c>
      <c r="D1341">
        <v>61.34</v>
      </c>
      <c r="E1341">
        <v>42.62</v>
      </c>
      <c r="F1341">
        <v>120.28</v>
      </c>
      <c r="G1341">
        <v>127.95</v>
      </c>
      <c r="H1341">
        <v>105.12</v>
      </c>
      <c r="I1341">
        <v>136.84</v>
      </c>
      <c r="J1341">
        <v>153.12</v>
      </c>
      <c r="K1341">
        <v>30.17</v>
      </c>
    </row>
    <row r="1342" spans="1:11">
      <c r="A1342">
        <v>184.67</v>
      </c>
      <c r="B1342">
        <v>37.17</v>
      </c>
      <c r="C1342">
        <v>61.9</v>
      </c>
      <c r="D1342">
        <v>61.34</v>
      </c>
      <c r="E1342">
        <v>42.67</v>
      </c>
      <c r="F1342">
        <v>120.17</v>
      </c>
      <c r="G1342">
        <v>127.95</v>
      </c>
      <c r="H1342">
        <v>104.95</v>
      </c>
      <c r="I1342">
        <v>136.62</v>
      </c>
      <c r="J1342">
        <v>153.28</v>
      </c>
      <c r="K1342">
        <v>30.17</v>
      </c>
    </row>
    <row r="1343" spans="1:11">
      <c r="A1343">
        <v>184.83</v>
      </c>
      <c r="B1343">
        <v>37.119999999999997</v>
      </c>
      <c r="C1343">
        <v>61.84</v>
      </c>
      <c r="D1343">
        <v>61.17</v>
      </c>
      <c r="E1343">
        <v>42.62</v>
      </c>
      <c r="F1343">
        <v>120.28</v>
      </c>
      <c r="G1343">
        <v>128.01</v>
      </c>
      <c r="H1343">
        <v>105.12</v>
      </c>
      <c r="I1343">
        <v>137.01</v>
      </c>
      <c r="J1343">
        <v>153.44999999999999</v>
      </c>
      <c r="K1343">
        <v>30.17</v>
      </c>
    </row>
    <row r="1344" spans="1:11">
      <c r="A1344">
        <v>185</v>
      </c>
      <c r="B1344">
        <v>37.119999999999997</v>
      </c>
      <c r="C1344">
        <v>61.73</v>
      </c>
      <c r="D1344">
        <v>61.12</v>
      </c>
      <c r="E1344">
        <v>42.45</v>
      </c>
      <c r="F1344">
        <v>120.28</v>
      </c>
      <c r="G1344">
        <v>127.9</v>
      </c>
      <c r="H1344">
        <v>105.45</v>
      </c>
      <c r="I1344">
        <v>137.06</v>
      </c>
      <c r="J1344">
        <v>153.62</v>
      </c>
      <c r="K1344">
        <v>30.17</v>
      </c>
    </row>
    <row r="1345" spans="1:11">
      <c r="A1345">
        <v>185.17</v>
      </c>
      <c r="B1345">
        <v>36.78</v>
      </c>
      <c r="C1345">
        <v>61.56</v>
      </c>
      <c r="D1345">
        <v>61.01</v>
      </c>
      <c r="E1345">
        <v>42.23</v>
      </c>
      <c r="F1345">
        <v>120.17</v>
      </c>
      <c r="G1345">
        <v>127.9</v>
      </c>
      <c r="H1345">
        <v>105.34</v>
      </c>
      <c r="I1345">
        <v>137.12</v>
      </c>
      <c r="J1345">
        <v>153.72999999999999</v>
      </c>
      <c r="K1345">
        <v>30.17</v>
      </c>
    </row>
    <row r="1346" spans="1:11">
      <c r="A1346">
        <v>185.33</v>
      </c>
      <c r="B1346">
        <v>37.56</v>
      </c>
      <c r="C1346">
        <v>61.62</v>
      </c>
      <c r="D1346">
        <v>61.12</v>
      </c>
      <c r="E1346">
        <v>42.34</v>
      </c>
      <c r="F1346">
        <v>120.23</v>
      </c>
      <c r="G1346">
        <v>127.95</v>
      </c>
      <c r="H1346">
        <v>105.78</v>
      </c>
      <c r="I1346">
        <v>137.9</v>
      </c>
      <c r="J1346">
        <v>153.9</v>
      </c>
      <c r="K1346">
        <v>30.17</v>
      </c>
    </row>
    <row r="1347" spans="1:11">
      <c r="A1347">
        <v>185.5</v>
      </c>
      <c r="B1347">
        <v>37.9</v>
      </c>
      <c r="C1347">
        <v>62.23</v>
      </c>
      <c r="D1347">
        <v>61.84</v>
      </c>
      <c r="E1347">
        <v>42.4</v>
      </c>
      <c r="F1347">
        <v>120.23</v>
      </c>
      <c r="G1347">
        <v>127.95</v>
      </c>
      <c r="H1347">
        <v>106.28</v>
      </c>
      <c r="I1347">
        <v>137.9</v>
      </c>
      <c r="J1347">
        <v>154.01</v>
      </c>
      <c r="K1347">
        <v>30.17</v>
      </c>
    </row>
    <row r="1348" spans="1:11">
      <c r="A1348">
        <v>185.67</v>
      </c>
      <c r="B1348">
        <v>37.729999999999997</v>
      </c>
      <c r="C1348">
        <v>62.45</v>
      </c>
      <c r="D1348">
        <v>61.95</v>
      </c>
      <c r="E1348">
        <v>42.28</v>
      </c>
      <c r="F1348">
        <v>120.23</v>
      </c>
      <c r="G1348">
        <v>127.9</v>
      </c>
      <c r="H1348">
        <v>105.84</v>
      </c>
      <c r="I1348">
        <v>138.22999999999999</v>
      </c>
      <c r="J1348">
        <v>154.12</v>
      </c>
      <c r="K1348">
        <v>30.23</v>
      </c>
    </row>
    <row r="1349" spans="1:11">
      <c r="A1349">
        <v>185.83</v>
      </c>
      <c r="B1349">
        <v>37.729999999999997</v>
      </c>
      <c r="C1349">
        <v>62.23</v>
      </c>
      <c r="D1349">
        <v>61.67</v>
      </c>
      <c r="E1349">
        <v>42.4</v>
      </c>
      <c r="F1349">
        <v>120.12</v>
      </c>
      <c r="G1349">
        <v>128.01</v>
      </c>
      <c r="H1349">
        <v>105.9</v>
      </c>
      <c r="I1349">
        <v>138.9</v>
      </c>
      <c r="J1349">
        <v>154.22999999999999</v>
      </c>
      <c r="K1349">
        <v>30.23</v>
      </c>
    </row>
    <row r="1350" spans="1:11">
      <c r="A1350">
        <v>186</v>
      </c>
      <c r="B1350">
        <v>37.840000000000003</v>
      </c>
      <c r="C1350">
        <v>62.28</v>
      </c>
      <c r="D1350">
        <v>61.73</v>
      </c>
      <c r="E1350">
        <v>42.67</v>
      </c>
      <c r="F1350">
        <v>120.45</v>
      </c>
      <c r="G1350">
        <v>128.06</v>
      </c>
      <c r="H1350">
        <v>106.17</v>
      </c>
      <c r="I1350">
        <v>138.22999999999999</v>
      </c>
      <c r="J1350">
        <v>154.4</v>
      </c>
      <c r="K1350">
        <v>30.23</v>
      </c>
    </row>
    <row r="1351" spans="1:11">
      <c r="A1351">
        <v>186.17</v>
      </c>
      <c r="B1351">
        <v>38.06</v>
      </c>
      <c r="C1351">
        <v>62.51</v>
      </c>
      <c r="D1351">
        <v>61.95</v>
      </c>
      <c r="E1351">
        <v>42.95</v>
      </c>
      <c r="F1351">
        <v>120.34</v>
      </c>
      <c r="G1351">
        <v>128.12</v>
      </c>
      <c r="H1351">
        <v>105.78</v>
      </c>
      <c r="I1351">
        <v>138.4</v>
      </c>
      <c r="J1351">
        <v>154.51</v>
      </c>
      <c r="K1351">
        <v>30.23</v>
      </c>
    </row>
    <row r="1352" spans="1:11">
      <c r="A1352">
        <v>186.33</v>
      </c>
      <c r="B1352">
        <v>38.28</v>
      </c>
      <c r="C1352">
        <v>62.56</v>
      </c>
      <c r="D1352">
        <v>62.12</v>
      </c>
      <c r="E1352">
        <v>43.51</v>
      </c>
      <c r="F1352">
        <v>120.73</v>
      </c>
      <c r="G1352">
        <v>128.06</v>
      </c>
      <c r="H1352">
        <v>106.45</v>
      </c>
      <c r="I1352">
        <v>138.51</v>
      </c>
      <c r="J1352">
        <v>154.66999999999999</v>
      </c>
      <c r="K1352">
        <v>30.23</v>
      </c>
    </row>
    <row r="1353" spans="1:11">
      <c r="A1353">
        <v>186.5</v>
      </c>
      <c r="B1353">
        <v>38.340000000000003</v>
      </c>
      <c r="C1353">
        <v>62.62</v>
      </c>
      <c r="D1353">
        <v>62.12</v>
      </c>
      <c r="E1353">
        <v>43.95</v>
      </c>
      <c r="F1353">
        <v>120.84</v>
      </c>
      <c r="G1353">
        <v>128.16999999999999</v>
      </c>
      <c r="H1353">
        <v>106.9</v>
      </c>
      <c r="I1353">
        <v>138.56</v>
      </c>
      <c r="J1353">
        <v>154.72999999999999</v>
      </c>
      <c r="K1353">
        <v>30.23</v>
      </c>
    </row>
    <row r="1354" spans="1:11">
      <c r="A1354">
        <v>186.67</v>
      </c>
      <c r="B1354">
        <v>38.51</v>
      </c>
      <c r="C1354">
        <v>62.78</v>
      </c>
      <c r="D1354">
        <v>62.28</v>
      </c>
      <c r="E1354">
        <v>44.06</v>
      </c>
      <c r="F1354">
        <v>120.95</v>
      </c>
      <c r="G1354">
        <v>128.16999999999999</v>
      </c>
      <c r="H1354">
        <v>106.73</v>
      </c>
      <c r="I1354">
        <v>138.44999999999999</v>
      </c>
      <c r="J1354">
        <v>154.84</v>
      </c>
      <c r="K1354">
        <v>30.23</v>
      </c>
    </row>
    <row r="1355" spans="1:11">
      <c r="A1355">
        <v>186.83</v>
      </c>
      <c r="B1355">
        <v>38.340000000000003</v>
      </c>
      <c r="C1355">
        <v>63.17</v>
      </c>
      <c r="D1355">
        <v>62.51</v>
      </c>
      <c r="E1355">
        <v>44.17</v>
      </c>
      <c r="F1355">
        <v>120.84</v>
      </c>
      <c r="G1355">
        <v>128.4</v>
      </c>
      <c r="H1355">
        <v>107.34</v>
      </c>
      <c r="I1355">
        <v>138.4</v>
      </c>
      <c r="J1355">
        <v>154.9</v>
      </c>
      <c r="K1355">
        <v>30.23</v>
      </c>
    </row>
    <row r="1356" spans="1:11">
      <c r="A1356">
        <v>187</v>
      </c>
      <c r="B1356">
        <v>38.9</v>
      </c>
      <c r="C1356">
        <v>63.34</v>
      </c>
      <c r="D1356">
        <v>62.78</v>
      </c>
      <c r="E1356">
        <v>44.28</v>
      </c>
      <c r="F1356">
        <v>121.12</v>
      </c>
      <c r="G1356">
        <v>128.4</v>
      </c>
      <c r="H1356">
        <v>106.84</v>
      </c>
      <c r="I1356">
        <v>138.72999999999999</v>
      </c>
      <c r="J1356">
        <v>155.12</v>
      </c>
      <c r="K1356">
        <v>30.23</v>
      </c>
    </row>
    <row r="1357" spans="1:11">
      <c r="A1357">
        <v>187.17</v>
      </c>
      <c r="B1357">
        <v>38.950000000000003</v>
      </c>
      <c r="C1357">
        <v>63.06</v>
      </c>
      <c r="D1357">
        <v>62.45</v>
      </c>
      <c r="E1357">
        <v>44.4</v>
      </c>
      <c r="F1357">
        <v>121.01</v>
      </c>
      <c r="G1357">
        <v>128.51</v>
      </c>
      <c r="H1357">
        <v>107.34</v>
      </c>
      <c r="I1357">
        <v>139.34</v>
      </c>
      <c r="J1357">
        <v>155.12</v>
      </c>
      <c r="K1357">
        <v>30.23</v>
      </c>
    </row>
    <row r="1358" spans="1:11">
      <c r="A1358">
        <v>187.33</v>
      </c>
      <c r="B1358">
        <v>39.06</v>
      </c>
      <c r="C1358">
        <v>63.01</v>
      </c>
      <c r="D1358">
        <v>62.4</v>
      </c>
      <c r="E1358">
        <v>44.73</v>
      </c>
      <c r="F1358">
        <v>121.17</v>
      </c>
      <c r="G1358">
        <v>128.66999999999999</v>
      </c>
      <c r="H1358">
        <v>107.01</v>
      </c>
      <c r="I1358">
        <v>139.12</v>
      </c>
      <c r="J1358">
        <v>155.34</v>
      </c>
      <c r="K1358">
        <v>30.23</v>
      </c>
    </row>
    <row r="1359" spans="1:11">
      <c r="A1359">
        <v>187.5</v>
      </c>
      <c r="B1359">
        <v>39.06</v>
      </c>
      <c r="C1359">
        <v>62.73</v>
      </c>
      <c r="D1359">
        <v>62.12</v>
      </c>
      <c r="E1359">
        <v>45.17</v>
      </c>
      <c r="F1359">
        <v>121.01</v>
      </c>
      <c r="G1359">
        <v>128.72999999999999</v>
      </c>
      <c r="H1359">
        <v>107.12</v>
      </c>
      <c r="I1359">
        <v>138.28</v>
      </c>
      <c r="J1359">
        <v>155.34</v>
      </c>
      <c r="K1359">
        <v>30.28</v>
      </c>
    </row>
    <row r="1360" spans="1:11">
      <c r="A1360">
        <v>187.67</v>
      </c>
      <c r="B1360">
        <v>38.67</v>
      </c>
      <c r="C1360">
        <v>62.45</v>
      </c>
      <c r="D1360">
        <v>61.9</v>
      </c>
      <c r="E1360">
        <v>45.4</v>
      </c>
      <c r="F1360">
        <v>120.95</v>
      </c>
      <c r="G1360">
        <v>128.72999999999999</v>
      </c>
      <c r="H1360">
        <v>106.95</v>
      </c>
      <c r="I1360">
        <v>136.4</v>
      </c>
      <c r="J1360">
        <v>155.44999999999999</v>
      </c>
      <c r="K1360">
        <v>30.28</v>
      </c>
    </row>
    <row r="1361" spans="1:11">
      <c r="A1361">
        <v>187.83</v>
      </c>
      <c r="B1361">
        <v>38.01</v>
      </c>
      <c r="C1361">
        <v>62.67</v>
      </c>
      <c r="D1361">
        <v>62.06</v>
      </c>
      <c r="E1361">
        <v>45.62</v>
      </c>
      <c r="F1361">
        <v>120.95</v>
      </c>
      <c r="G1361">
        <v>128.66999999999999</v>
      </c>
      <c r="H1361">
        <v>107.01</v>
      </c>
      <c r="I1361">
        <v>136.34</v>
      </c>
      <c r="J1361">
        <v>155.51</v>
      </c>
      <c r="K1361">
        <v>30.28</v>
      </c>
    </row>
    <row r="1362" spans="1:11">
      <c r="A1362">
        <v>188</v>
      </c>
      <c r="B1362">
        <v>37.619999999999997</v>
      </c>
      <c r="C1362">
        <v>62.95</v>
      </c>
      <c r="D1362">
        <v>62.34</v>
      </c>
      <c r="E1362">
        <v>45.84</v>
      </c>
      <c r="F1362">
        <v>121.06</v>
      </c>
      <c r="G1362">
        <v>128.66999999999999</v>
      </c>
      <c r="H1362">
        <v>106.34</v>
      </c>
      <c r="I1362">
        <v>136.34</v>
      </c>
      <c r="J1362">
        <v>155.62</v>
      </c>
      <c r="K1362">
        <v>30.28</v>
      </c>
    </row>
    <row r="1363" spans="1:11">
      <c r="A1363">
        <v>188.17</v>
      </c>
      <c r="B1363">
        <v>37.28</v>
      </c>
      <c r="C1363">
        <v>63.23</v>
      </c>
      <c r="D1363">
        <v>62.67</v>
      </c>
      <c r="E1363">
        <v>45.17</v>
      </c>
      <c r="F1363">
        <v>120.95</v>
      </c>
      <c r="G1363">
        <v>128.72999999999999</v>
      </c>
      <c r="H1363">
        <v>106.73</v>
      </c>
      <c r="I1363">
        <v>136.72999999999999</v>
      </c>
      <c r="J1363">
        <v>155.72999999999999</v>
      </c>
      <c r="K1363">
        <v>30.28</v>
      </c>
    </row>
    <row r="1364" spans="1:11">
      <c r="A1364">
        <v>188.33</v>
      </c>
      <c r="B1364">
        <v>36.78</v>
      </c>
      <c r="C1364">
        <v>62.45</v>
      </c>
      <c r="D1364">
        <v>62.12</v>
      </c>
      <c r="E1364">
        <v>44.51</v>
      </c>
      <c r="F1364">
        <v>120.84</v>
      </c>
      <c r="G1364">
        <v>128.66999999999999</v>
      </c>
      <c r="H1364">
        <v>106.9</v>
      </c>
      <c r="I1364">
        <v>137.28</v>
      </c>
      <c r="J1364">
        <v>155.78</v>
      </c>
      <c r="K1364">
        <v>30.28</v>
      </c>
    </row>
    <row r="1365" spans="1:11">
      <c r="A1365">
        <v>188.5</v>
      </c>
      <c r="B1365">
        <v>36.4</v>
      </c>
      <c r="C1365">
        <v>61.67</v>
      </c>
      <c r="D1365">
        <v>61.17</v>
      </c>
      <c r="E1365">
        <v>44.4</v>
      </c>
      <c r="F1365">
        <v>120.84</v>
      </c>
      <c r="G1365">
        <v>128.62</v>
      </c>
      <c r="H1365">
        <v>106.84</v>
      </c>
      <c r="I1365">
        <v>137.84</v>
      </c>
      <c r="J1365">
        <v>155.84</v>
      </c>
      <c r="K1365">
        <v>30.28</v>
      </c>
    </row>
    <row r="1366" spans="1:11">
      <c r="A1366">
        <v>188.67</v>
      </c>
      <c r="B1366">
        <v>36.06</v>
      </c>
      <c r="C1366">
        <v>60.73</v>
      </c>
      <c r="D1366">
        <v>60.28</v>
      </c>
      <c r="E1366">
        <v>44.01</v>
      </c>
      <c r="F1366">
        <v>121.06</v>
      </c>
      <c r="G1366">
        <v>128.66999999999999</v>
      </c>
      <c r="H1366">
        <v>107.67</v>
      </c>
      <c r="I1366">
        <v>137.78</v>
      </c>
      <c r="J1366">
        <v>156.01</v>
      </c>
      <c r="K1366">
        <v>30.28</v>
      </c>
    </row>
    <row r="1367" spans="1:11">
      <c r="A1367">
        <v>188.83</v>
      </c>
      <c r="B1367">
        <v>35.56</v>
      </c>
      <c r="C1367">
        <v>60.06</v>
      </c>
      <c r="D1367">
        <v>59.51</v>
      </c>
      <c r="E1367">
        <v>43.67</v>
      </c>
      <c r="F1367">
        <v>121.01</v>
      </c>
      <c r="G1367">
        <v>128.72999999999999</v>
      </c>
      <c r="H1367">
        <v>107.67</v>
      </c>
      <c r="I1367">
        <v>137.01</v>
      </c>
      <c r="J1367">
        <v>156.01</v>
      </c>
      <c r="K1367">
        <v>30.28</v>
      </c>
    </row>
    <row r="1368" spans="1:11">
      <c r="A1368">
        <v>189</v>
      </c>
      <c r="B1368">
        <v>35.17</v>
      </c>
      <c r="C1368">
        <v>59.56</v>
      </c>
      <c r="D1368">
        <v>58.95</v>
      </c>
      <c r="E1368">
        <v>43.4</v>
      </c>
      <c r="F1368">
        <v>120.51</v>
      </c>
      <c r="G1368">
        <v>128.72999999999999</v>
      </c>
      <c r="H1368">
        <v>107.78</v>
      </c>
      <c r="I1368">
        <v>136.62</v>
      </c>
      <c r="J1368">
        <v>156.12</v>
      </c>
      <c r="K1368">
        <v>30.28</v>
      </c>
    </row>
    <row r="1369" spans="1:11">
      <c r="A1369">
        <v>189.17</v>
      </c>
      <c r="B1369">
        <v>34.9</v>
      </c>
      <c r="C1369">
        <v>59.34</v>
      </c>
      <c r="D1369">
        <v>58.62</v>
      </c>
      <c r="E1369">
        <v>43.28</v>
      </c>
      <c r="F1369">
        <v>120.45</v>
      </c>
      <c r="G1369">
        <v>128.84</v>
      </c>
      <c r="H1369">
        <v>107.51</v>
      </c>
      <c r="I1369">
        <v>135.84</v>
      </c>
      <c r="J1369">
        <v>156.16999999999999</v>
      </c>
      <c r="K1369">
        <v>30.28</v>
      </c>
    </row>
    <row r="1370" spans="1:11">
      <c r="A1370">
        <v>189.33</v>
      </c>
      <c r="B1370">
        <v>34.729999999999997</v>
      </c>
      <c r="C1370">
        <v>59.12</v>
      </c>
      <c r="D1370">
        <v>58.51</v>
      </c>
      <c r="E1370">
        <v>43.06</v>
      </c>
      <c r="F1370">
        <v>120.51</v>
      </c>
      <c r="G1370">
        <v>128.9</v>
      </c>
      <c r="H1370">
        <v>107.01</v>
      </c>
      <c r="I1370">
        <v>136.4</v>
      </c>
      <c r="J1370">
        <v>156.16999999999999</v>
      </c>
      <c r="K1370">
        <v>30.28</v>
      </c>
    </row>
    <row r="1371" spans="1:11">
      <c r="A1371">
        <v>189.5</v>
      </c>
      <c r="B1371">
        <v>34.729999999999997</v>
      </c>
      <c r="C1371">
        <v>58.73</v>
      </c>
      <c r="D1371">
        <v>58.17</v>
      </c>
      <c r="E1371">
        <v>43.06</v>
      </c>
      <c r="F1371">
        <v>120.73</v>
      </c>
      <c r="G1371">
        <v>129.01</v>
      </c>
      <c r="H1371">
        <v>106.73</v>
      </c>
      <c r="I1371">
        <v>136.44999999999999</v>
      </c>
      <c r="J1371">
        <v>156.28</v>
      </c>
      <c r="K1371">
        <v>30.28</v>
      </c>
    </row>
    <row r="1372" spans="1:11">
      <c r="A1372">
        <v>189.67</v>
      </c>
      <c r="B1372">
        <v>34.4</v>
      </c>
      <c r="C1372">
        <v>58.17</v>
      </c>
      <c r="D1372">
        <v>57.62</v>
      </c>
      <c r="E1372">
        <v>42.84</v>
      </c>
      <c r="F1372">
        <v>120.9</v>
      </c>
      <c r="G1372">
        <v>129.06</v>
      </c>
      <c r="H1372">
        <v>106.67</v>
      </c>
      <c r="I1372">
        <v>136.9</v>
      </c>
      <c r="J1372">
        <v>156.34</v>
      </c>
      <c r="K1372">
        <v>30.28</v>
      </c>
    </row>
    <row r="1373" spans="1:11">
      <c r="A1373">
        <v>189.83</v>
      </c>
      <c r="B1373">
        <v>34.340000000000003</v>
      </c>
      <c r="C1373">
        <v>57.84</v>
      </c>
      <c r="D1373">
        <v>57.28</v>
      </c>
      <c r="E1373">
        <v>42.84</v>
      </c>
      <c r="F1373">
        <v>120.78</v>
      </c>
      <c r="G1373">
        <v>129.06</v>
      </c>
      <c r="H1373">
        <v>107.01</v>
      </c>
      <c r="I1373">
        <v>137.12</v>
      </c>
      <c r="J1373">
        <v>156.34</v>
      </c>
      <c r="K1373">
        <v>30.28</v>
      </c>
    </row>
    <row r="1374" spans="1:11">
      <c r="A1374">
        <v>190</v>
      </c>
      <c r="B1374">
        <v>34.119999999999997</v>
      </c>
      <c r="C1374">
        <v>57.62</v>
      </c>
      <c r="D1374">
        <v>57.01</v>
      </c>
      <c r="E1374">
        <v>42.67</v>
      </c>
      <c r="F1374">
        <v>120.9</v>
      </c>
      <c r="G1374">
        <v>129.06</v>
      </c>
      <c r="H1374">
        <v>107.06</v>
      </c>
      <c r="I1374">
        <v>137.4</v>
      </c>
      <c r="J1374">
        <v>156.51</v>
      </c>
      <c r="K1374">
        <v>30.34</v>
      </c>
    </row>
    <row r="1375" spans="1:11">
      <c r="A1375">
        <v>190.17</v>
      </c>
      <c r="B1375">
        <v>33.78</v>
      </c>
      <c r="C1375">
        <v>57.34</v>
      </c>
      <c r="D1375">
        <v>56.73</v>
      </c>
      <c r="E1375">
        <v>42.34</v>
      </c>
      <c r="F1375">
        <v>120.67</v>
      </c>
      <c r="G1375">
        <v>129.06</v>
      </c>
      <c r="H1375">
        <v>106.23</v>
      </c>
      <c r="I1375">
        <v>137.66999999999999</v>
      </c>
      <c r="J1375">
        <v>156.51</v>
      </c>
      <c r="K1375">
        <v>30.28</v>
      </c>
    </row>
    <row r="1376" spans="1:11">
      <c r="A1376">
        <v>190.33</v>
      </c>
      <c r="B1376">
        <v>33.56</v>
      </c>
      <c r="C1376">
        <v>56.78</v>
      </c>
      <c r="D1376">
        <v>56.23</v>
      </c>
      <c r="E1376">
        <v>42.17</v>
      </c>
      <c r="F1376">
        <v>120.62</v>
      </c>
      <c r="G1376">
        <v>129.06</v>
      </c>
      <c r="H1376">
        <v>106.73</v>
      </c>
      <c r="I1376">
        <v>137.9</v>
      </c>
      <c r="J1376">
        <v>156.62</v>
      </c>
      <c r="K1376">
        <v>30.34</v>
      </c>
    </row>
    <row r="1377" spans="1:11">
      <c r="A1377">
        <v>190.5</v>
      </c>
      <c r="B1377">
        <v>33.28</v>
      </c>
      <c r="C1377">
        <v>56.4</v>
      </c>
      <c r="D1377">
        <v>55.9</v>
      </c>
      <c r="E1377">
        <v>41.95</v>
      </c>
      <c r="F1377">
        <v>120.95</v>
      </c>
      <c r="G1377">
        <v>129.06</v>
      </c>
      <c r="H1377">
        <v>106.73</v>
      </c>
      <c r="I1377">
        <v>137.72999999999999</v>
      </c>
      <c r="J1377">
        <v>156.66999999999999</v>
      </c>
      <c r="K1377">
        <v>30.34</v>
      </c>
    </row>
    <row r="1378" spans="1:11">
      <c r="A1378">
        <v>190.67</v>
      </c>
      <c r="B1378">
        <v>32.950000000000003</v>
      </c>
      <c r="C1378">
        <v>55.95</v>
      </c>
      <c r="D1378">
        <v>55.4</v>
      </c>
      <c r="E1378">
        <v>42.01</v>
      </c>
      <c r="F1378">
        <v>121.28</v>
      </c>
      <c r="G1378">
        <v>129.06</v>
      </c>
      <c r="H1378">
        <v>106.78</v>
      </c>
      <c r="I1378">
        <v>136.84</v>
      </c>
      <c r="J1378">
        <v>156.72999999999999</v>
      </c>
      <c r="K1378">
        <v>30.34</v>
      </c>
    </row>
    <row r="1379" spans="1:11">
      <c r="A1379">
        <v>190.83</v>
      </c>
      <c r="B1379">
        <v>32.78</v>
      </c>
      <c r="C1379">
        <v>55.56</v>
      </c>
      <c r="D1379">
        <v>55.01</v>
      </c>
      <c r="E1379">
        <v>42.23</v>
      </c>
      <c r="F1379">
        <v>121.56</v>
      </c>
      <c r="G1379">
        <v>129.01</v>
      </c>
      <c r="H1379">
        <v>106.84</v>
      </c>
      <c r="I1379">
        <v>136.84</v>
      </c>
      <c r="J1379">
        <v>156.72999999999999</v>
      </c>
      <c r="K1379">
        <v>30.34</v>
      </c>
    </row>
    <row r="1380" spans="1:11">
      <c r="A1380">
        <v>191</v>
      </c>
      <c r="B1380">
        <v>32.51</v>
      </c>
      <c r="C1380">
        <v>55.62</v>
      </c>
      <c r="D1380">
        <v>55.01</v>
      </c>
      <c r="E1380">
        <v>42.62</v>
      </c>
      <c r="F1380">
        <v>121.45</v>
      </c>
      <c r="G1380">
        <v>129.01</v>
      </c>
      <c r="H1380">
        <v>107.28</v>
      </c>
      <c r="I1380">
        <v>136.51</v>
      </c>
      <c r="J1380">
        <v>156.78</v>
      </c>
      <c r="K1380">
        <v>30.34</v>
      </c>
    </row>
    <row r="1381" spans="1:11">
      <c r="A1381">
        <v>191.17</v>
      </c>
      <c r="B1381">
        <v>32.4</v>
      </c>
      <c r="C1381">
        <v>55.17</v>
      </c>
      <c r="D1381">
        <v>54.56</v>
      </c>
      <c r="E1381">
        <v>42.62</v>
      </c>
      <c r="F1381">
        <v>121.45</v>
      </c>
      <c r="G1381">
        <v>128.9</v>
      </c>
      <c r="H1381">
        <v>107.12</v>
      </c>
      <c r="I1381">
        <v>136.66999999999999</v>
      </c>
      <c r="J1381">
        <v>156.84</v>
      </c>
      <c r="K1381">
        <v>30.34</v>
      </c>
    </row>
    <row r="1382" spans="1:11">
      <c r="A1382">
        <v>191.33</v>
      </c>
      <c r="B1382">
        <v>32.51</v>
      </c>
      <c r="C1382">
        <v>55.01</v>
      </c>
      <c r="D1382">
        <v>54.45</v>
      </c>
      <c r="E1382">
        <v>42.56</v>
      </c>
      <c r="F1382">
        <v>120.67</v>
      </c>
      <c r="G1382">
        <v>129.01</v>
      </c>
      <c r="H1382">
        <v>106.84</v>
      </c>
      <c r="I1382">
        <v>137.28</v>
      </c>
      <c r="J1382">
        <v>156.94999999999999</v>
      </c>
      <c r="K1382">
        <v>30.34</v>
      </c>
    </row>
    <row r="1383" spans="1:11">
      <c r="A1383">
        <v>191.5</v>
      </c>
      <c r="B1383">
        <v>32.51</v>
      </c>
      <c r="C1383">
        <v>54.73</v>
      </c>
      <c r="D1383">
        <v>54.12</v>
      </c>
      <c r="E1383">
        <v>42.28</v>
      </c>
      <c r="F1383">
        <v>120.51</v>
      </c>
      <c r="G1383">
        <v>128.9</v>
      </c>
      <c r="H1383">
        <v>107.23</v>
      </c>
      <c r="I1383">
        <v>137.72999999999999</v>
      </c>
      <c r="J1383">
        <v>156.94999999999999</v>
      </c>
      <c r="K1383">
        <v>30.34</v>
      </c>
    </row>
    <row r="1384" spans="1:11">
      <c r="A1384">
        <v>191.67</v>
      </c>
      <c r="B1384">
        <v>32.28</v>
      </c>
      <c r="C1384">
        <v>54.28</v>
      </c>
      <c r="D1384">
        <v>53.73</v>
      </c>
      <c r="E1384">
        <v>42.17</v>
      </c>
      <c r="F1384">
        <v>120.28</v>
      </c>
      <c r="G1384">
        <v>128.9</v>
      </c>
      <c r="H1384">
        <v>107.23</v>
      </c>
      <c r="I1384">
        <v>137.12</v>
      </c>
      <c r="J1384">
        <v>157.01</v>
      </c>
      <c r="K1384">
        <v>30.34</v>
      </c>
    </row>
    <row r="1385" spans="1:11">
      <c r="A1385">
        <v>191.83</v>
      </c>
      <c r="B1385">
        <v>32.28</v>
      </c>
      <c r="C1385">
        <v>53.95</v>
      </c>
      <c r="D1385">
        <v>53.4</v>
      </c>
      <c r="E1385">
        <v>42.06</v>
      </c>
      <c r="F1385">
        <v>120.51</v>
      </c>
      <c r="G1385">
        <v>128.84</v>
      </c>
      <c r="H1385">
        <v>107.51</v>
      </c>
      <c r="I1385">
        <v>136.28</v>
      </c>
      <c r="J1385">
        <v>157.01</v>
      </c>
      <c r="K1385">
        <v>30.34</v>
      </c>
    </row>
    <row r="1386" spans="1:11">
      <c r="A1386">
        <v>192</v>
      </c>
      <c r="B1386">
        <v>32.17</v>
      </c>
      <c r="C1386">
        <v>53.73</v>
      </c>
      <c r="D1386">
        <v>53.12</v>
      </c>
      <c r="E1386">
        <v>41.9</v>
      </c>
      <c r="F1386">
        <v>120.67</v>
      </c>
      <c r="G1386">
        <v>128.72999999999999</v>
      </c>
      <c r="H1386">
        <v>107.51</v>
      </c>
      <c r="I1386">
        <v>136.44999999999999</v>
      </c>
      <c r="J1386">
        <v>157.06</v>
      </c>
      <c r="K1386">
        <v>30.4</v>
      </c>
    </row>
    <row r="1387" spans="1:11">
      <c r="A1387">
        <v>192.17</v>
      </c>
      <c r="B1387">
        <v>31.9</v>
      </c>
      <c r="C1387">
        <v>53.62</v>
      </c>
      <c r="D1387">
        <v>53.06</v>
      </c>
      <c r="E1387">
        <v>41.84</v>
      </c>
      <c r="F1387">
        <v>120.62</v>
      </c>
      <c r="G1387">
        <v>128.72999999999999</v>
      </c>
      <c r="H1387">
        <v>107.45</v>
      </c>
      <c r="I1387">
        <v>136.01</v>
      </c>
      <c r="J1387">
        <v>157.12</v>
      </c>
      <c r="K1387">
        <v>30.4</v>
      </c>
    </row>
    <row r="1388" spans="1:11">
      <c r="A1388">
        <v>192.33</v>
      </c>
      <c r="B1388">
        <v>31.67</v>
      </c>
      <c r="C1388">
        <v>53.51</v>
      </c>
      <c r="D1388">
        <v>52.9</v>
      </c>
      <c r="E1388">
        <v>41.51</v>
      </c>
      <c r="F1388">
        <v>120.62</v>
      </c>
      <c r="G1388">
        <v>128.72999999999999</v>
      </c>
      <c r="H1388">
        <v>107.45</v>
      </c>
      <c r="I1388">
        <v>135.44999999999999</v>
      </c>
      <c r="J1388">
        <v>157.12</v>
      </c>
      <c r="K1388">
        <v>30.4</v>
      </c>
    </row>
    <row r="1389" spans="1:11">
      <c r="A1389">
        <v>192.5</v>
      </c>
      <c r="B1389">
        <v>31.67</v>
      </c>
      <c r="C1389">
        <v>53.12</v>
      </c>
      <c r="D1389">
        <v>52.56</v>
      </c>
      <c r="E1389">
        <v>41.23</v>
      </c>
      <c r="F1389">
        <v>120.84</v>
      </c>
      <c r="G1389">
        <v>128.78</v>
      </c>
      <c r="H1389">
        <v>107.95</v>
      </c>
      <c r="I1389">
        <v>135.44999999999999</v>
      </c>
      <c r="J1389">
        <v>157.22999999999999</v>
      </c>
      <c r="K1389">
        <v>30.4</v>
      </c>
    </row>
    <row r="1390" spans="1:11">
      <c r="A1390">
        <v>192.67</v>
      </c>
      <c r="B1390">
        <v>31.51</v>
      </c>
      <c r="C1390">
        <v>52.78</v>
      </c>
      <c r="D1390">
        <v>52.23</v>
      </c>
      <c r="E1390">
        <v>41.06</v>
      </c>
      <c r="F1390">
        <v>121.06</v>
      </c>
      <c r="G1390">
        <v>128.84</v>
      </c>
      <c r="H1390">
        <v>108.28</v>
      </c>
      <c r="I1390">
        <v>136.12</v>
      </c>
      <c r="J1390">
        <v>157.22999999999999</v>
      </c>
      <c r="K1390">
        <v>30.4</v>
      </c>
    </row>
    <row r="1391" spans="1:11">
      <c r="A1391">
        <v>192.83</v>
      </c>
      <c r="B1391">
        <v>31.56</v>
      </c>
      <c r="C1391">
        <v>52.51</v>
      </c>
      <c r="D1391">
        <v>51.95</v>
      </c>
      <c r="E1391">
        <v>41.06</v>
      </c>
      <c r="F1391">
        <v>120.67</v>
      </c>
      <c r="G1391">
        <v>128.84</v>
      </c>
      <c r="H1391">
        <v>108.9</v>
      </c>
      <c r="I1391">
        <v>136.16999999999999</v>
      </c>
      <c r="J1391">
        <v>157.22999999999999</v>
      </c>
      <c r="K1391">
        <v>30.4</v>
      </c>
    </row>
    <row r="1392" spans="1:11">
      <c r="A1392">
        <v>193</v>
      </c>
      <c r="B1392">
        <v>31.51</v>
      </c>
      <c r="C1392">
        <v>52.28</v>
      </c>
      <c r="D1392">
        <v>51.67</v>
      </c>
      <c r="E1392">
        <v>40.840000000000003</v>
      </c>
      <c r="F1392">
        <v>120.62</v>
      </c>
      <c r="G1392">
        <v>128.84</v>
      </c>
      <c r="H1392">
        <v>109.12</v>
      </c>
      <c r="I1392">
        <v>136.44999999999999</v>
      </c>
      <c r="J1392">
        <v>157.28</v>
      </c>
      <c r="K1392">
        <v>30.4</v>
      </c>
    </row>
    <row r="1393" spans="1:11">
      <c r="A1393">
        <v>193.17</v>
      </c>
      <c r="B1393">
        <v>31.9</v>
      </c>
      <c r="C1393">
        <v>52.12</v>
      </c>
      <c r="D1393">
        <v>51.45</v>
      </c>
      <c r="E1393">
        <v>40.51</v>
      </c>
      <c r="F1393">
        <v>120.9</v>
      </c>
      <c r="G1393">
        <v>128.72999999999999</v>
      </c>
      <c r="H1393">
        <v>109.4</v>
      </c>
      <c r="I1393">
        <v>136.9</v>
      </c>
      <c r="J1393">
        <v>157.28</v>
      </c>
      <c r="K1393">
        <v>30.4</v>
      </c>
    </row>
    <row r="1394" spans="1:11">
      <c r="A1394">
        <v>193.33</v>
      </c>
      <c r="B1394">
        <v>32.28</v>
      </c>
      <c r="C1394">
        <v>52.12</v>
      </c>
      <c r="D1394">
        <v>51.56</v>
      </c>
      <c r="E1394">
        <v>40.4</v>
      </c>
      <c r="F1394">
        <v>121.01</v>
      </c>
      <c r="G1394">
        <v>128.9</v>
      </c>
      <c r="H1394">
        <v>109.62</v>
      </c>
      <c r="I1394">
        <v>136.78</v>
      </c>
      <c r="J1394">
        <v>157.34</v>
      </c>
      <c r="K1394">
        <v>30.4</v>
      </c>
    </row>
    <row r="1395" spans="1:11">
      <c r="A1395">
        <v>193.5</v>
      </c>
      <c r="B1395">
        <v>32.229999999999997</v>
      </c>
      <c r="C1395">
        <v>52.01</v>
      </c>
      <c r="D1395">
        <v>51.4</v>
      </c>
      <c r="E1395">
        <v>40.450000000000003</v>
      </c>
      <c r="F1395">
        <v>121.06</v>
      </c>
      <c r="G1395">
        <v>129.01</v>
      </c>
      <c r="H1395">
        <v>109.78</v>
      </c>
      <c r="I1395">
        <v>136.12</v>
      </c>
      <c r="J1395">
        <v>157.34</v>
      </c>
      <c r="K1395">
        <v>30.4</v>
      </c>
    </row>
    <row r="1396" spans="1:11">
      <c r="A1396">
        <v>193.67</v>
      </c>
      <c r="B1396">
        <v>32.17</v>
      </c>
      <c r="C1396">
        <v>51.67</v>
      </c>
      <c r="D1396">
        <v>50.9</v>
      </c>
      <c r="E1396">
        <v>40.4</v>
      </c>
      <c r="F1396">
        <v>121.28</v>
      </c>
      <c r="G1396">
        <v>128.84</v>
      </c>
      <c r="H1396">
        <v>109.9</v>
      </c>
      <c r="I1396">
        <v>136.22999999999999</v>
      </c>
      <c r="J1396">
        <v>157.34</v>
      </c>
      <c r="K1396">
        <v>30.4</v>
      </c>
    </row>
    <row r="1397" spans="1:11">
      <c r="A1397">
        <v>193.83</v>
      </c>
      <c r="B1397">
        <v>32.229999999999997</v>
      </c>
      <c r="C1397">
        <v>51.4</v>
      </c>
      <c r="D1397">
        <v>50.73</v>
      </c>
      <c r="E1397">
        <v>40.17</v>
      </c>
      <c r="F1397">
        <v>121.45</v>
      </c>
      <c r="G1397">
        <v>129.01</v>
      </c>
      <c r="H1397">
        <v>109.78</v>
      </c>
      <c r="I1397">
        <v>136.72999999999999</v>
      </c>
      <c r="J1397">
        <v>157.44999999999999</v>
      </c>
      <c r="K1397">
        <v>30.4</v>
      </c>
    </row>
    <row r="1398" spans="1:11">
      <c r="A1398">
        <v>194</v>
      </c>
      <c r="B1398">
        <v>31.95</v>
      </c>
      <c r="C1398">
        <v>50.95</v>
      </c>
      <c r="D1398">
        <v>50.45</v>
      </c>
      <c r="E1398">
        <v>40.119999999999997</v>
      </c>
      <c r="F1398">
        <v>121.45</v>
      </c>
      <c r="G1398">
        <v>129.01</v>
      </c>
      <c r="H1398">
        <v>109.95</v>
      </c>
      <c r="I1398">
        <v>137.34</v>
      </c>
      <c r="J1398">
        <v>157.51</v>
      </c>
      <c r="K1398">
        <v>30.4</v>
      </c>
    </row>
    <row r="1399" spans="1:11">
      <c r="A1399">
        <v>194.17</v>
      </c>
      <c r="B1399">
        <v>31.73</v>
      </c>
      <c r="C1399">
        <v>50.67</v>
      </c>
      <c r="D1399">
        <v>50.12</v>
      </c>
      <c r="E1399">
        <v>40.119999999999997</v>
      </c>
      <c r="F1399">
        <v>121.78</v>
      </c>
      <c r="G1399">
        <v>128.9</v>
      </c>
      <c r="H1399">
        <v>110.34</v>
      </c>
      <c r="I1399">
        <v>136.9</v>
      </c>
      <c r="J1399">
        <v>157.4</v>
      </c>
      <c r="K1399">
        <v>30.4</v>
      </c>
    </row>
    <row r="1400" spans="1:11">
      <c r="A1400">
        <v>194.33</v>
      </c>
      <c r="B1400">
        <v>31.45</v>
      </c>
      <c r="C1400">
        <v>50.28</v>
      </c>
      <c r="D1400">
        <v>49.9</v>
      </c>
      <c r="E1400">
        <v>39.950000000000003</v>
      </c>
      <c r="F1400">
        <v>121.78</v>
      </c>
      <c r="G1400">
        <v>129.01</v>
      </c>
      <c r="H1400">
        <v>109.9</v>
      </c>
      <c r="I1400">
        <v>136.84</v>
      </c>
      <c r="J1400">
        <v>157.51</v>
      </c>
      <c r="K1400">
        <v>30.4</v>
      </c>
    </row>
    <row r="1401" spans="1:11">
      <c r="A1401">
        <v>194.5</v>
      </c>
      <c r="B1401">
        <v>31.23</v>
      </c>
      <c r="C1401">
        <v>50.17</v>
      </c>
      <c r="D1401">
        <v>49.62</v>
      </c>
      <c r="E1401">
        <v>39.729999999999997</v>
      </c>
      <c r="F1401">
        <v>121.9</v>
      </c>
      <c r="G1401">
        <v>128.9</v>
      </c>
      <c r="H1401">
        <v>109.34</v>
      </c>
      <c r="I1401">
        <v>136.28</v>
      </c>
      <c r="J1401">
        <v>157.56</v>
      </c>
      <c r="K1401">
        <v>30.4</v>
      </c>
    </row>
    <row r="1402" spans="1:11">
      <c r="A1402">
        <v>194.67</v>
      </c>
      <c r="B1402">
        <v>31.17</v>
      </c>
      <c r="C1402">
        <v>49.78</v>
      </c>
      <c r="D1402">
        <v>49.4</v>
      </c>
      <c r="E1402">
        <v>39.4</v>
      </c>
      <c r="F1402">
        <v>121.78</v>
      </c>
      <c r="G1402">
        <v>128.84</v>
      </c>
      <c r="H1402">
        <v>109.73</v>
      </c>
      <c r="I1402">
        <v>136.01</v>
      </c>
      <c r="J1402">
        <v>157.51</v>
      </c>
      <c r="K1402">
        <v>30.4</v>
      </c>
    </row>
    <row r="1403" spans="1:11">
      <c r="A1403">
        <v>194.83</v>
      </c>
      <c r="B1403">
        <v>30.9</v>
      </c>
      <c r="C1403">
        <v>49.45</v>
      </c>
      <c r="D1403">
        <v>49.01</v>
      </c>
      <c r="E1403">
        <v>39.119999999999997</v>
      </c>
      <c r="F1403">
        <v>121.56</v>
      </c>
      <c r="G1403">
        <v>128.72999999999999</v>
      </c>
      <c r="H1403">
        <v>110.17</v>
      </c>
      <c r="I1403">
        <v>135.94999999999999</v>
      </c>
      <c r="J1403">
        <v>157.62</v>
      </c>
      <c r="K1403">
        <v>30.4</v>
      </c>
    </row>
    <row r="1404" spans="1:11">
      <c r="A1404">
        <v>195</v>
      </c>
      <c r="B1404">
        <v>30.67</v>
      </c>
      <c r="C1404">
        <v>49.12</v>
      </c>
      <c r="D1404">
        <v>48.62</v>
      </c>
      <c r="E1404">
        <v>39.01</v>
      </c>
      <c r="F1404">
        <v>121.12</v>
      </c>
      <c r="G1404">
        <v>128.72999999999999</v>
      </c>
      <c r="H1404">
        <v>110.06</v>
      </c>
      <c r="I1404">
        <v>136.56</v>
      </c>
      <c r="J1404">
        <v>157.62</v>
      </c>
      <c r="K1404">
        <v>30.45</v>
      </c>
    </row>
    <row r="1405" spans="1:11">
      <c r="A1405">
        <v>195.17</v>
      </c>
      <c r="B1405">
        <v>30.51</v>
      </c>
      <c r="C1405">
        <v>48.84</v>
      </c>
      <c r="D1405">
        <v>48.34</v>
      </c>
      <c r="E1405">
        <v>38.78</v>
      </c>
      <c r="F1405">
        <v>121.23</v>
      </c>
      <c r="G1405">
        <v>128.72999999999999</v>
      </c>
      <c r="H1405">
        <v>110.67</v>
      </c>
      <c r="I1405">
        <v>136.44999999999999</v>
      </c>
      <c r="J1405">
        <v>157.66999999999999</v>
      </c>
      <c r="K1405">
        <v>30.45</v>
      </c>
    </row>
    <row r="1406" spans="1:11">
      <c r="A1406">
        <v>195.33</v>
      </c>
      <c r="B1406">
        <v>30.4</v>
      </c>
      <c r="C1406">
        <v>48.56</v>
      </c>
      <c r="D1406">
        <v>48.06</v>
      </c>
      <c r="E1406">
        <v>39.119999999999997</v>
      </c>
      <c r="F1406">
        <v>121.28</v>
      </c>
      <c r="G1406">
        <v>128.72999999999999</v>
      </c>
      <c r="H1406">
        <v>110.84</v>
      </c>
      <c r="I1406">
        <v>136.44999999999999</v>
      </c>
      <c r="J1406">
        <v>157.62</v>
      </c>
      <c r="K1406">
        <v>30.45</v>
      </c>
    </row>
    <row r="1407" spans="1:11">
      <c r="A1407">
        <v>195.5</v>
      </c>
      <c r="B1407">
        <v>30.28</v>
      </c>
      <c r="C1407">
        <v>48.12</v>
      </c>
      <c r="D1407">
        <v>47.62</v>
      </c>
      <c r="E1407">
        <v>39.51</v>
      </c>
      <c r="F1407">
        <v>121.62</v>
      </c>
      <c r="G1407">
        <v>128.62</v>
      </c>
      <c r="H1407">
        <v>111.4</v>
      </c>
      <c r="I1407">
        <v>136.9</v>
      </c>
      <c r="J1407">
        <v>157.62</v>
      </c>
      <c r="K1407">
        <v>30.45</v>
      </c>
    </row>
    <row r="1408" spans="1:11">
      <c r="A1408">
        <v>195.67</v>
      </c>
      <c r="B1408">
        <v>30.17</v>
      </c>
      <c r="C1408">
        <v>48.01</v>
      </c>
      <c r="D1408">
        <v>47.51</v>
      </c>
      <c r="E1408">
        <v>39.450000000000003</v>
      </c>
      <c r="F1408">
        <v>122.06</v>
      </c>
      <c r="G1408">
        <v>128.66999999999999</v>
      </c>
      <c r="H1408">
        <v>111.84</v>
      </c>
      <c r="I1408">
        <v>136.44999999999999</v>
      </c>
      <c r="J1408">
        <v>157.66999999999999</v>
      </c>
      <c r="K1408">
        <v>30.45</v>
      </c>
    </row>
    <row r="1409" spans="1:11">
      <c r="A1409">
        <v>195.83</v>
      </c>
      <c r="B1409">
        <v>29.9</v>
      </c>
      <c r="C1409">
        <v>47.78</v>
      </c>
      <c r="D1409">
        <v>47.23</v>
      </c>
      <c r="E1409">
        <v>39.119999999999997</v>
      </c>
      <c r="F1409">
        <v>121.95</v>
      </c>
      <c r="G1409">
        <v>128.62</v>
      </c>
      <c r="H1409">
        <v>111.17</v>
      </c>
      <c r="I1409">
        <v>135.62</v>
      </c>
      <c r="J1409">
        <v>157.66999999999999</v>
      </c>
      <c r="K1409">
        <v>30.45</v>
      </c>
    </row>
    <row r="1410" spans="1:11">
      <c r="A1410">
        <v>196</v>
      </c>
      <c r="B1410">
        <v>29.67</v>
      </c>
      <c r="C1410">
        <v>47.4</v>
      </c>
      <c r="D1410">
        <v>46.84</v>
      </c>
      <c r="E1410">
        <v>38.9</v>
      </c>
      <c r="F1410">
        <v>121.78</v>
      </c>
      <c r="G1410">
        <v>128.56</v>
      </c>
      <c r="H1410">
        <v>110.9</v>
      </c>
      <c r="I1410">
        <v>135.84</v>
      </c>
      <c r="J1410">
        <v>157.66999999999999</v>
      </c>
      <c r="K1410">
        <v>30.45</v>
      </c>
    </row>
    <row r="1411" spans="1:11">
      <c r="A1411">
        <v>196.17</v>
      </c>
      <c r="B1411">
        <v>29.62</v>
      </c>
      <c r="C1411">
        <v>46.95</v>
      </c>
      <c r="D1411">
        <v>46.56</v>
      </c>
      <c r="E1411">
        <v>38.729999999999997</v>
      </c>
      <c r="F1411">
        <v>121.67</v>
      </c>
      <c r="G1411">
        <v>128.56</v>
      </c>
      <c r="H1411">
        <v>109.78</v>
      </c>
      <c r="I1411">
        <v>136.28</v>
      </c>
      <c r="J1411">
        <v>157.72999999999999</v>
      </c>
      <c r="K1411">
        <v>30.45</v>
      </c>
    </row>
    <row r="1412" spans="1:11">
      <c r="A1412">
        <v>196.33</v>
      </c>
      <c r="B1412">
        <v>29.4</v>
      </c>
      <c r="C1412">
        <v>46.56</v>
      </c>
      <c r="D1412">
        <v>46.01</v>
      </c>
      <c r="E1412">
        <v>38.9</v>
      </c>
      <c r="F1412">
        <v>121.78</v>
      </c>
      <c r="G1412">
        <v>128.56</v>
      </c>
      <c r="H1412">
        <v>109.9</v>
      </c>
      <c r="I1412">
        <v>135.72999999999999</v>
      </c>
      <c r="J1412">
        <v>157.66999999999999</v>
      </c>
      <c r="K1412">
        <v>30.45</v>
      </c>
    </row>
    <row r="1413" spans="1:11">
      <c r="A1413">
        <v>196.5</v>
      </c>
      <c r="B1413">
        <v>29.34</v>
      </c>
      <c r="C1413">
        <v>46.34</v>
      </c>
      <c r="D1413">
        <v>45.73</v>
      </c>
      <c r="E1413">
        <v>38.67</v>
      </c>
      <c r="F1413">
        <v>121.23</v>
      </c>
      <c r="G1413">
        <v>128.44999999999999</v>
      </c>
      <c r="H1413">
        <v>110.28</v>
      </c>
      <c r="I1413">
        <v>134.94999999999999</v>
      </c>
      <c r="J1413">
        <v>157.66999999999999</v>
      </c>
      <c r="K1413">
        <v>30.45</v>
      </c>
    </row>
    <row r="1414" spans="1:11">
      <c r="A1414">
        <v>196.67</v>
      </c>
      <c r="B1414">
        <v>29.28</v>
      </c>
      <c r="C1414">
        <v>46.17</v>
      </c>
      <c r="D1414">
        <v>45.51</v>
      </c>
      <c r="E1414">
        <v>38.56</v>
      </c>
      <c r="F1414">
        <v>121.23</v>
      </c>
      <c r="G1414">
        <v>128.44999999999999</v>
      </c>
      <c r="H1414">
        <v>109.9</v>
      </c>
      <c r="I1414">
        <v>135.06</v>
      </c>
      <c r="J1414">
        <v>157.66999999999999</v>
      </c>
      <c r="K1414">
        <v>30.51</v>
      </c>
    </row>
    <row r="1415" spans="1:11">
      <c r="A1415">
        <v>196.83</v>
      </c>
      <c r="B1415">
        <v>29.17</v>
      </c>
      <c r="C1415">
        <v>45.84</v>
      </c>
      <c r="D1415">
        <v>45.28</v>
      </c>
      <c r="E1415">
        <v>38.4</v>
      </c>
      <c r="F1415">
        <v>121.28</v>
      </c>
      <c r="G1415">
        <v>128.44999999999999</v>
      </c>
      <c r="H1415">
        <v>109.62</v>
      </c>
      <c r="I1415">
        <v>134.84</v>
      </c>
      <c r="J1415">
        <v>157.66999999999999</v>
      </c>
      <c r="K1415">
        <v>30.51</v>
      </c>
    </row>
    <row r="1416" spans="1:11">
      <c r="A1416">
        <v>197</v>
      </c>
      <c r="B1416">
        <v>29.23</v>
      </c>
      <c r="C1416">
        <v>45.84</v>
      </c>
      <c r="D1416">
        <v>45.17</v>
      </c>
      <c r="E1416">
        <v>38.229999999999997</v>
      </c>
      <c r="F1416">
        <v>121.45</v>
      </c>
      <c r="G1416">
        <v>128.4</v>
      </c>
      <c r="H1416">
        <v>109.73</v>
      </c>
      <c r="I1416">
        <v>135.16999999999999</v>
      </c>
      <c r="J1416">
        <v>157.78</v>
      </c>
      <c r="K1416">
        <v>30.51</v>
      </c>
    </row>
    <row r="1417" spans="1:11">
      <c r="A1417">
        <v>197.17</v>
      </c>
      <c r="B1417">
        <v>29.12</v>
      </c>
      <c r="C1417">
        <v>45.45</v>
      </c>
      <c r="D1417">
        <v>44.9</v>
      </c>
      <c r="E1417">
        <v>37.840000000000003</v>
      </c>
      <c r="F1417">
        <v>121.62</v>
      </c>
      <c r="G1417">
        <v>128.4</v>
      </c>
      <c r="H1417">
        <v>109.45</v>
      </c>
      <c r="I1417">
        <v>135.62</v>
      </c>
      <c r="J1417">
        <v>157.72999999999999</v>
      </c>
      <c r="K1417">
        <v>30.51</v>
      </c>
    </row>
    <row r="1418" spans="1:11">
      <c r="A1418">
        <v>197.33</v>
      </c>
      <c r="B1418">
        <v>29.12</v>
      </c>
      <c r="C1418">
        <v>45.17</v>
      </c>
      <c r="D1418">
        <v>44.73</v>
      </c>
      <c r="E1418">
        <v>38.17</v>
      </c>
      <c r="F1418">
        <v>121.56</v>
      </c>
      <c r="G1418">
        <v>128.4</v>
      </c>
      <c r="H1418">
        <v>109.73</v>
      </c>
      <c r="I1418">
        <v>135.34</v>
      </c>
      <c r="J1418">
        <v>157.72999999999999</v>
      </c>
      <c r="K1418">
        <v>30.51</v>
      </c>
    </row>
    <row r="1419" spans="1:11">
      <c r="A1419">
        <v>197.5</v>
      </c>
      <c r="B1419">
        <v>28.95</v>
      </c>
      <c r="C1419">
        <v>45.01</v>
      </c>
      <c r="D1419">
        <v>44.51</v>
      </c>
      <c r="E1419">
        <v>38.28</v>
      </c>
      <c r="F1419">
        <v>121.34</v>
      </c>
      <c r="G1419">
        <v>128.51</v>
      </c>
      <c r="H1419">
        <v>110.34</v>
      </c>
      <c r="I1419">
        <v>134.72999999999999</v>
      </c>
      <c r="J1419">
        <v>157.78</v>
      </c>
      <c r="K1419">
        <v>30.51</v>
      </c>
    </row>
    <row r="1420" spans="1:11">
      <c r="A1420">
        <v>197.67</v>
      </c>
      <c r="B1420">
        <v>29.01</v>
      </c>
      <c r="C1420">
        <v>44.56</v>
      </c>
      <c r="D1420">
        <v>44.17</v>
      </c>
      <c r="E1420">
        <v>38.17</v>
      </c>
      <c r="F1420">
        <v>120.95</v>
      </c>
      <c r="G1420">
        <v>128.4</v>
      </c>
      <c r="H1420">
        <v>110.28</v>
      </c>
      <c r="I1420">
        <v>135.51</v>
      </c>
      <c r="J1420">
        <v>157.72999999999999</v>
      </c>
      <c r="K1420">
        <v>30.51</v>
      </c>
    </row>
    <row r="1421" spans="1:11">
      <c r="A1421">
        <v>197.83</v>
      </c>
      <c r="B1421">
        <v>28.9</v>
      </c>
      <c r="C1421">
        <v>44.51</v>
      </c>
      <c r="D1421">
        <v>43.95</v>
      </c>
      <c r="E1421">
        <v>38.01</v>
      </c>
      <c r="F1421">
        <v>121.28</v>
      </c>
      <c r="G1421">
        <v>128.4</v>
      </c>
      <c r="H1421">
        <v>109.95</v>
      </c>
      <c r="I1421">
        <v>134.84</v>
      </c>
      <c r="J1421">
        <v>157.72999999999999</v>
      </c>
      <c r="K1421">
        <v>30.51</v>
      </c>
    </row>
    <row r="1422" spans="1:11">
      <c r="A1422">
        <v>198</v>
      </c>
      <c r="B1422">
        <v>28.84</v>
      </c>
      <c r="C1422">
        <v>44.45</v>
      </c>
      <c r="D1422">
        <v>43.84</v>
      </c>
      <c r="E1422">
        <v>37.729999999999997</v>
      </c>
      <c r="F1422">
        <v>120.95</v>
      </c>
      <c r="G1422">
        <v>128.51</v>
      </c>
      <c r="H1422">
        <v>109.62</v>
      </c>
      <c r="I1422">
        <v>134.22999999999999</v>
      </c>
      <c r="J1422">
        <v>157.84</v>
      </c>
      <c r="K1422">
        <v>30.51</v>
      </c>
    </row>
    <row r="1423" spans="1:11">
      <c r="A1423">
        <v>198.17</v>
      </c>
      <c r="B1423">
        <v>28.9</v>
      </c>
      <c r="C1423">
        <v>44.4</v>
      </c>
      <c r="D1423">
        <v>43.84</v>
      </c>
      <c r="E1423">
        <v>37.56</v>
      </c>
      <c r="F1423">
        <v>120.95</v>
      </c>
      <c r="G1423">
        <v>128.51</v>
      </c>
      <c r="H1423">
        <v>110.23</v>
      </c>
      <c r="I1423">
        <v>134.9</v>
      </c>
      <c r="J1423">
        <v>157.78</v>
      </c>
      <c r="K1423">
        <v>30.51</v>
      </c>
    </row>
    <row r="1424" spans="1:11">
      <c r="A1424">
        <v>198.33</v>
      </c>
      <c r="B1424">
        <v>28.78</v>
      </c>
      <c r="C1424">
        <v>44.34</v>
      </c>
      <c r="D1424">
        <v>43.84</v>
      </c>
      <c r="E1424">
        <v>37.229999999999997</v>
      </c>
      <c r="F1424">
        <v>120.9</v>
      </c>
      <c r="G1424">
        <v>128.62</v>
      </c>
      <c r="H1424">
        <v>110.84</v>
      </c>
      <c r="I1424">
        <v>135.01</v>
      </c>
      <c r="J1424">
        <v>157.84</v>
      </c>
      <c r="K1424">
        <v>30.51</v>
      </c>
    </row>
    <row r="1425" spans="1:11">
      <c r="A1425">
        <v>198.5</v>
      </c>
      <c r="B1425">
        <v>29.06</v>
      </c>
      <c r="C1425">
        <v>44.17</v>
      </c>
      <c r="D1425">
        <v>43.62</v>
      </c>
      <c r="E1425">
        <v>37.01</v>
      </c>
      <c r="F1425">
        <v>121.4</v>
      </c>
      <c r="G1425">
        <v>128.62</v>
      </c>
      <c r="H1425">
        <v>110.9</v>
      </c>
      <c r="I1425">
        <v>134.51</v>
      </c>
      <c r="J1425">
        <v>157.78</v>
      </c>
      <c r="K1425">
        <v>30.51</v>
      </c>
    </row>
    <row r="1426" spans="1:11">
      <c r="A1426">
        <v>198.67</v>
      </c>
      <c r="B1426">
        <v>29.12</v>
      </c>
      <c r="C1426">
        <v>43.95</v>
      </c>
      <c r="D1426">
        <v>43.45</v>
      </c>
      <c r="E1426">
        <v>37.01</v>
      </c>
      <c r="F1426">
        <v>121.78</v>
      </c>
      <c r="G1426">
        <v>128.66999999999999</v>
      </c>
      <c r="H1426">
        <v>110.9</v>
      </c>
      <c r="I1426">
        <v>135.16999999999999</v>
      </c>
      <c r="J1426">
        <v>157.78</v>
      </c>
      <c r="K1426">
        <v>30.51</v>
      </c>
    </row>
    <row r="1427" spans="1:11">
      <c r="A1427">
        <v>198.83</v>
      </c>
      <c r="B1427">
        <v>29.06</v>
      </c>
      <c r="C1427">
        <v>43.73</v>
      </c>
      <c r="D1427">
        <v>43.23</v>
      </c>
      <c r="E1427">
        <v>37.4</v>
      </c>
      <c r="F1427">
        <v>121.95</v>
      </c>
      <c r="G1427">
        <v>128.84</v>
      </c>
      <c r="H1427">
        <v>111.06</v>
      </c>
      <c r="I1427">
        <v>135.34</v>
      </c>
      <c r="J1427">
        <v>157.84</v>
      </c>
      <c r="K1427">
        <v>30.51</v>
      </c>
    </row>
    <row r="1428" spans="1:11">
      <c r="A1428">
        <v>199</v>
      </c>
      <c r="B1428">
        <v>29.06</v>
      </c>
      <c r="C1428">
        <v>43.78</v>
      </c>
      <c r="D1428">
        <v>43.28</v>
      </c>
      <c r="E1428">
        <v>37.51</v>
      </c>
      <c r="F1428">
        <v>121.73</v>
      </c>
      <c r="G1428">
        <v>128.84</v>
      </c>
      <c r="H1428">
        <v>111.4</v>
      </c>
      <c r="I1428">
        <v>134.62</v>
      </c>
      <c r="J1428">
        <v>157.84</v>
      </c>
      <c r="K1428">
        <v>30.51</v>
      </c>
    </row>
    <row r="1429" spans="1:11">
      <c r="A1429">
        <v>199.17</v>
      </c>
      <c r="B1429">
        <v>28.95</v>
      </c>
      <c r="C1429">
        <v>43.84</v>
      </c>
      <c r="D1429">
        <v>43.34</v>
      </c>
      <c r="E1429">
        <v>37.67</v>
      </c>
      <c r="F1429">
        <v>121.56</v>
      </c>
      <c r="G1429">
        <v>128.84</v>
      </c>
      <c r="H1429">
        <v>111.51</v>
      </c>
      <c r="I1429">
        <v>134.06</v>
      </c>
      <c r="J1429">
        <v>157.78</v>
      </c>
      <c r="K1429">
        <v>30.51</v>
      </c>
    </row>
    <row r="1430" spans="1:11">
      <c r="A1430">
        <v>199.33</v>
      </c>
      <c r="B1430">
        <v>28.95</v>
      </c>
      <c r="C1430">
        <v>44.06</v>
      </c>
      <c r="D1430">
        <v>43.56</v>
      </c>
      <c r="E1430">
        <v>37.729999999999997</v>
      </c>
      <c r="F1430">
        <v>120.95</v>
      </c>
      <c r="G1430">
        <v>128.9</v>
      </c>
      <c r="H1430">
        <v>110.51</v>
      </c>
      <c r="I1430">
        <v>134.56</v>
      </c>
      <c r="J1430">
        <v>157.78</v>
      </c>
      <c r="K1430">
        <v>30.56</v>
      </c>
    </row>
    <row r="1431" spans="1:11">
      <c r="A1431">
        <v>199.5</v>
      </c>
      <c r="B1431">
        <v>28.78</v>
      </c>
      <c r="C1431">
        <v>44.17</v>
      </c>
      <c r="D1431">
        <v>43.67</v>
      </c>
      <c r="E1431">
        <v>38.340000000000003</v>
      </c>
      <c r="F1431">
        <v>121.12</v>
      </c>
      <c r="G1431">
        <v>128.9</v>
      </c>
      <c r="H1431">
        <v>111.01</v>
      </c>
      <c r="I1431">
        <v>134.78</v>
      </c>
      <c r="J1431">
        <v>157.78</v>
      </c>
      <c r="K1431">
        <v>30.56</v>
      </c>
    </row>
    <row r="1432" spans="1:11">
      <c r="A1432">
        <v>199.67</v>
      </c>
      <c r="B1432">
        <v>28.78</v>
      </c>
      <c r="C1432">
        <v>43.95</v>
      </c>
      <c r="D1432">
        <v>43.62</v>
      </c>
      <c r="E1432">
        <v>38.78</v>
      </c>
      <c r="F1432">
        <v>121.34</v>
      </c>
      <c r="G1432">
        <v>128.94999999999999</v>
      </c>
      <c r="H1432">
        <v>111.4</v>
      </c>
      <c r="I1432">
        <v>134.78</v>
      </c>
      <c r="J1432">
        <v>157.78</v>
      </c>
      <c r="K1432">
        <v>30.56</v>
      </c>
    </row>
    <row r="1433" spans="1:11">
      <c r="A1433">
        <v>199.83</v>
      </c>
      <c r="B1433">
        <v>28.78</v>
      </c>
      <c r="C1433">
        <v>43.78</v>
      </c>
      <c r="D1433">
        <v>43.34</v>
      </c>
      <c r="E1433">
        <v>38.619999999999997</v>
      </c>
      <c r="F1433">
        <v>121.23</v>
      </c>
      <c r="G1433">
        <v>129.06</v>
      </c>
      <c r="H1433">
        <v>110.67</v>
      </c>
      <c r="I1433">
        <v>134.34</v>
      </c>
      <c r="J1433">
        <v>157.9</v>
      </c>
      <c r="K1433">
        <v>30.56</v>
      </c>
    </row>
    <row r="1434" spans="1:11">
      <c r="A1434">
        <v>200</v>
      </c>
      <c r="B1434">
        <v>28.62</v>
      </c>
      <c r="C1434">
        <v>43.9</v>
      </c>
      <c r="D1434">
        <v>43.4</v>
      </c>
      <c r="E1434">
        <v>38.78</v>
      </c>
      <c r="F1434">
        <v>120.95</v>
      </c>
      <c r="G1434">
        <v>129.06</v>
      </c>
      <c r="H1434">
        <v>110.4</v>
      </c>
      <c r="I1434">
        <v>134.22999999999999</v>
      </c>
      <c r="J1434">
        <v>157.84</v>
      </c>
      <c r="K1434">
        <v>30.56</v>
      </c>
    </row>
    <row r="1435" spans="1:11">
      <c r="A1435">
        <v>200.17</v>
      </c>
      <c r="B1435">
        <v>28.4</v>
      </c>
      <c r="C1435">
        <v>43.67</v>
      </c>
      <c r="D1435">
        <v>43.12</v>
      </c>
      <c r="E1435">
        <v>38.840000000000003</v>
      </c>
      <c r="F1435">
        <v>121.12</v>
      </c>
      <c r="G1435">
        <v>129.06</v>
      </c>
      <c r="H1435">
        <v>110.56</v>
      </c>
      <c r="I1435">
        <v>134.51</v>
      </c>
      <c r="J1435">
        <v>157.72999999999999</v>
      </c>
      <c r="K1435">
        <v>30.56</v>
      </c>
    </row>
    <row r="1436" spans="1:11">
      <c r="A1436">
        <v>200.33</v>
      </c>
      <c r="B1436">
        <v>28.34</v>
      </c>
      <c r="C1436">
        <v>43.51</v>
      </c>
      <c r="D1436">
        <v>43.06</v>
      </c>
      <c r="E1436">
        <v>39.06</v>
      </c>
      <c r="F1436">
        <v>121.12</v>
      </c>
      <c r="G1436">
        <v>129.06</v>
      </c>
      <c r="H1436">
        <v>110.4</v>
      </c>
      <c r="I1436">
        <v>134.44999999999999</v>
      </c>
      <c r="J1436">
        <v>157.78</v>
      </c>
      <c r="K1436">
        <v>30.56</v>
      </c>
    </row>
    <row r="1437" spans="1:11">
      <c r="A1437">
        <v>200.5</v>
      </c>
      <c r="B1437">
        <v>28.28</v>
      </c>
      <c r="C1437">
        <v>43.67</v>
      </c>
      <c r="D1437">
        <v>43.12</v>
      </c>
      <c r="E1437">
        <v>39.67</v>
      </c>
      <c r="F1437">
        <v>121.34</v>
      </c>
      <c r="G1437">
        <v>129.22999999999999</v>
      </c>
      <c r="H1437">
        <v>110.62</v>
      </c>
      <c r="I1437">
        <v>134.22999999999999</v>
      </c>
      <c r="J1437">
        <v>157.78</v>
      </c>
      <c r="K1437">
        <v>30.56</v>
      </c>
    </row>
    <row r="1438" spans="1:11">
      <c r="A1438">
        <v>200.67</v>
      </c>
      <c r="B1438">
        <v>28.17</v>
      </c>
      <c r="C1438">
        <v>43.34</v>
      </c>
      <c r="D1438">
        <v>42.9</v>
      </c>
      <c r="E1438">
        <v>39.56</v>
      </c>
      <c r="F1438">
        <v>121.28</v>
      </c>
      <c r="G1438">
        <v>129.12</v>
      </c>
      <c r="H1438">
        <v>110.9</v>
      </c>
      <c r="I1438">
        <v>134.84</v>
      </c>
      <c r="J1438">
        <v>157.78</v>
      </c>
      <c r="K1438">
        <v>30.56</v>
      </c>
    </row>
    <row r="1439" spans="1:11">
      <c r="A1439">
        <v>200.83</v>
      </c>
      <c r="B1439">
        <v>28.23</v>
      </c>
      <c r="C1439">
        <v>43.34</v>
      </c>
      <c r="D1439">
        <v>42.84</v>
      </c>
      <c r="E1439">
        <v>39.840000000000003</v>
      </c>
      <c r="F1439">
        <v>120.73</v>
      </c>
      <c r="G1439">
        <v>129.22999999999999</v>
      </c>
      <c r="H1439">
        <v>110.9</v>
      </c>
      <c r="I1439">
        <v>135.22999999999999</v>
      </c>
      <c r="J1439">
        <v>157.84</v>
      </c>
      <c r="K1439">
        <v>30.56</v>
      </c>
    </row>
    <row r="1440" spans="1:11">
      <c r="A1440">
        <v>201</v>
      </c>
      <c r="B1440">
        <v>28.06</v>
      </c>
      <c r="C1440">
        <v>43.28</v>
      </c>
      <c r="D1440">
        <v>42.84</v>
      </c>
      <c r="E1440">
        <v>39.950000000000003</v>
      </c>
      <c r="F1440">
        <v>120.56</v>
      </c>
      <c r="G1440">
        <v>129.06</v>
      </c>
      <c r="H1440">
        <v>111.06</v>
      </c>
      <c r="I1440">
        <v>135.34</v>
      </c>
      <c r="J1440">
        <v>157.78</v>
      </c>
      <c r="K1440">
        <v>30.62</v>
      </c>
    </row>
    <row r="1441" spans="1:11">
      <c r="A1441">
        <v>201.17</v>
      </c>
      <c r="B1441">
        <v>28.06</v>
      </c>
      <c r="C1441">
        <v>43.34</v>
      </c>
      <c r="D1441">
        <v>42.84</v>
      </c>
      <c r="E1441">
        <v>40.4</v>
      </c>
      <c r="F1441">
        <v>120.95</v>
      </c>
      <c r="G1441">
        <v>129.12</v>
      </c>
      <c r="H1441">
        <v>110.67</v>
      </c>
      <c r="I1441">
        <v>134.34</v>
      </c>
      <c r="J1441">
        <v>157.78</v>
      </c>
      <c r="K1441">
        <v>30.62</v>
      </c>
    </row>
    <row r="1442" spans="1:11">
      <c r="A1442">
        <v>201.33</v>
      </c>
      <c r="B1442">
        <v>27.95</v>
      </c>
      <c r="C1442">
        <v>43.34</v>
      </c>
      <c r="D1442">
        <v>42.78</v>
      </c>
      <c r="E1442">
        <v>40.51</v>
      </c>
      <c r="F1442">
        <v>120.78</v>
      </c>
      <c r="G1442">
        <v>129.12</v>
      </c>
      <c r="H1442">
        <v>110.4</v>
      </c>
      <c r="I1442">
        <v>134.34</v>
      </c>
      <c r="J1442">
        <v>157.78</v>
      </c>
      <c r="K1442">
        <v>30.62</v>
      </c>
    </row>
    <row r="1443" spans="1:11">
      <c r="A1443">
        <v>201.5</v>
      </c>
      <c r="B1443">
        <v>28.01</v>
      </c>
      <c r="C1443">
        <v>43.4</v>
      </c>
      <c r="D1443">
        <v>42.95</v>
      </c>
      <c r="E1443">
        <v>40.729999999999997</v>
      </c>
      <c r="F1443">
        <v>120.84</v>
      </c>
      <c r="G1443">
        <v>129.16999999999999</v>
      </c>
      <c r="H1443">
        <v>110.73</v>
      </c>
      <c r="I1443">
        <v>134.28</v>
      </c>
      <c r="J1443">
        <v>157.78</v>
      </c>
      <c r="K1443">
        <v>30.62</v>
      </c>
    </row>
    <row r="1444" spans="1:11">
      <c r="A1444">
        <v>201.67</v>
      </c>
      <c r="B1444">
        <v>27.95</v>
      </c>
      <c r="C1444">
        <v>43.17</v>
      </c>
      <c r="D1444">
        <v>42.73</v>
      </c>
      <c r="E1444">
        <v>40.950000000000003</v>
      </c>
      <c r="F1444">
        <v>120.56</v>
      </c>
      <c r="G1444">
        <v>129.16999999999999</v>
      </c>
      <c r="H1444">
        <v>110.23</v>
      </c>
      <c r="I1444">
        <v>133.9</v>
      </c>
      <c r="J1444">
        <v>157.78</v>
      </c>
      <c r="K1444">
        <v>30.62</v>
      </c>
    </row>
    <row r="1445" spans="1:11">
      <c r="A1445">
        <v>201.83</v>
      </c>
      <c r="B1445">
        <v>27.9</v>
      </c>
      <c r="C1445">
        <v>43.12</v>
      </c>
      <c r="D1445">
        <v>42.67</v>
      </c>
      <c r="E1445">
        <v>41.23</v>
      </c>
      <c r="F1445">
        <v>120.28</v>
      </c>
      <c r="G1445">
        <v>129.22999999999999</v>
      </c>
      <c r="H1445">
        <v>110.78</v>
      </c>
      <c r="I1445">
        <v>133.56</v>
      </c>
      <c r="J1445">
        <v>157.78</v>
      </c>
      <c r="K1445">
        <v>30.62</v>
      </c>
    </row>
    <row r="1446" spans="1:11">
      <c r="A1446">
        <v>202</v>
      </c>
      <c r="B1446">
        <v>27.84</v>
      </c>
      <c r="C1446">
        <v>42.84</v>
      </c>
      <c r="D1446">
        <v>42.4</v>
      </c>
      <c r="E1446">
        <v>41.62</v>
      </c>
      <c r="F1446">
        <v>120.17</v>
      </c>
      <c r="G1446">
        <v>129.12</v>
      </c>
      <c r="H1446">
        <v>110.17</v>
      </c>
      <c r="I1446">
        <v>133.84</v>
      </c>
      <c r="J1446">
        <v>157.78</v>
      </c>
      <c r="K1446">
        <v>30.62</v>
      </c>
    </row>
    <row r="1447" spans="1:11">
      <c r="A1447">
        <v>202.17</v>
      </c>
      <c r="B1447">
        <v>27.78</v>
      </c>
      <c r="C1447">
        <v>42.67</v>
      </c>
      <c r="D1447">
        <v>42.17</v>
      </c>
      <c r="E1447">
        <v>41.95</v>
      </c>
      <c r="F1447">
        <v>120.12</v>
      </c>
      <c r="G1447">
        <v>129.12</v>
      </c>
      <c r="H1447">
        <v>110.45</v>
      </c>
      <c r="I1447">
        <v>133.44999999999999</v>
      </c>
      <c r="J1447">
        <v>157.78</v>
      </c>
      <c r="K1447">
        <v>30.62</v>
      </c>
    </row>
    <row r="1448" spans="1:11">
      <c r="A1448">
        <v>202.33</v>
      </c>
      <c r="B1448">
        <v>27.73</v>
      </c>
      <c r="C1448">
        <v>42.51</v>
      </c>
      <c r="D1448">
        <v>42.01</v>
      </c>
      <c r="E1448">
        <v>42.56</v>
      </c>
      <c r="F1448">
        <v>120.28</v>
      </c>
      <c r="G1448">
        <v>129.16999999999999</v>
      </c>
      <c r="H1448">
        <v>110.73</v>
      </c>
      <c r="I1448">
        <v>132.9</v>
      </c>
      <c r="J1448">
        <v>157.78</v>
      </c>
      <c r="K1448">
        <v>30.62</v>
      </c>
    </row>
    <row r="1449" spans="1:11">
      <c r="A1449">
        <v>202.5</v>
      </c>
      <c r="B1449">
        <v>27.73</v>
      </c>
      <c r="C1449">
        <v>42.12</v>
      </c>
      <c r="D1449">
        <v>41.73</v>
      </c>
      <c r="E1449">
        <v>42.84</v>
      </c>
      <c r="F1449">
        <v>120.34</v>
      </c>
      <c r="G1449">
        <v>129.16999999999999</v>
      </c>
      <c r="H1449">
        <v>111.28</v>
      </c>
      <c r="I1449">
        <v>132.9</v>
      </c>
      <c r="J1449">
        <v>157.78</v>
      </c>
      <c r="K1449">
        <v>30.62</v>
      </c>
    </row>
    <row r="1450" spans="1:11">
      <c r="A1450">
        <v>202.67</v>
      </c>
      <c r="B1450">
        <v>27.73</v>
      </c>
      <c r="C1450">
        <v>42.17</v>
      </c>
      <c r="D1450">
        <v>41.73</v>
      </c>
      <c r="E1450">
        <v>43.06</v>
      </c>
      <c r="F1450">
        <v>120.73</v>
      </c>
      <c r="G1450">
        <v>129.16999999999999</v>
      </c>
      <c r="H1450">
        <v>110.9</v>
      </c>
      <c r="I1450">
        <v>132.72999999999999</v>
      </c>
      <c r="J1450">
        <v>157.72999999999999</v>
      </c>
      <c r="K1450">
        <v>30.62</v>
      </c>
    </row>
    <row r="1451" spans="1:11">
      <c r="A1451">
        <v>202.83</v>
      </c>
      <c r="B1451">
        <v>27.78</v>
      </c>
      <c r="C1451">
        <v>41.9</v>
      </c>
      <c r="D1451">
        <v>41.4</v>
      </c>
      <c r="E1451">
        <v>42.78</v>
      </c>
      <c r="F1451">
        <v>120.34</v>
      </c>
      <c r="G1451">
        <v>129.12</v>
      </c>
      <c r="H1451">
        <v>110.17</v>
      </c>
      <c r="I1451">
        <v>132.51</v>
      </c>
      <c r="J1451">
        <v>157.72999999999999</v>
      </c>
      <c r="K1451">
        <v>30.62</v>
      </c>
    </row>
    <row r="1452" spans="1:11">
      <c r="A1452">
        <v>203</v>
      </c>
      <c r="B1452">
        <v>27.78</v>
      </c>
      <c r="C1452">
        <v>41.51</v>
      </c>
      <c r="D1452">
        <v>41.06</v>
      </c>
      <c r="E1452">
        <v>42.23</v>
      </c>
      <c r="F1452">
        <v>120.51</v>
      </c>
      <c r="G1452">
        <v>129.06</v>
      </c>
      <c r="H1452">
        <v>110.51</v>
      </c>
      <c r="I1452">
        <v>132.94999999999999</v>
      </c>
      <c r="J1452">
        <v>157.72999999999999</v>
      </c>
      <c r="K1452">
        <v>30.62</v>
      </c>
    </row>
    <row r="1453" spans="1:11">
      <c r="A1453">
        <v>203.17</v>
      </c>
      <c r="B1453">
        <v>27.9</v>
      </c>
      <c r="C1453">
        <v>41.23</v>
      </c>
      <c r="D1453">
        <v>40.9</v>
      </c>
      <c r="E1453">
        <v>41.9</v>
      </c>
      <c r="F1453">
        <v>120.51</v>
      </c>
      <c r="G1453">
        <v>129.16999999999999</v>
      </c>
      <c r="H1453">
        <v>111.06</v>
      </c>
      <c r="I1453">
        <v>133.4</v>
      </c>
      <c r="J1453">
        <v>157.72999999999999</v>
      </c>
      <c r="K1453">
        <v>30.62</v>
      </c>
    </row>
    <row r="1454" spans="1:11">
      <c r="A1454">
        <v>203.33</v>
      </c>
      <c r="B1454">
        <v>27.78</v>
      </c>
      <c r="C1454">
        <v>40.950000000000003</v>
      </c>
      <c r="D1454">
        <v>40.450000000000003</v>
      </c>
      <c r="E1454">
        <v>41.23</v>
      </c>
      <c r="F1454">
        <v>120.78</v>
      </c>
      <c r="G1454">
        <v>128.94999999999999</v>
      </c>
      <c r="H1454">
        <v>110.78</v>
      </c>
      <c r="I1454">
        <v>133.22999999999999</v>
      </c>
      <c r="J1454">
        <v>157.66999999999999</v>
      </c>
      <c r="K1454">
        <v>30.67</v>
      </c>
    </row>
    <row r="1455" spans="1:11">
      <c r="A1455">
        <v>203.5</v>
      </c>
      <c r="B1455">
        <v>27.9</v>
      </c>
      <c r="C1455">
        <v>40.51</v>
      </c>
      <c r="D1455">
        <v>39.950000000000003</v>
      </c>
      <c r="E1455">
        <v>40.950000000000003</v>
      </c>
      <c r="F1455">
        <v>120.84</v>
      </c>
      <c r="G1455">
        <v>128.9</v>
      </c>
      <c r="H1455">
        <v>110.56</v>
      </c>
      <c r="I1455">
        <v>133.51</v>
      </c>
      <c r="J1455">
        <v>157.66999999999999</v>
      </c>
      <c r="K1455">
        <v>30.67</v>
      </c>
    </row>
    <row r="1456" spans="1:11">
      <c r="A1456">
        <v>203.67</v>
      </c>
      <c r="B1456">
        <v>27.95</v>
      </c>
      <c r="C1456">
        <v>39.950000000000003</v>
      </c>
      <c r="D1456">
        <v>39.56</v>
      </c>
      <c r="E1456">
        <v>40.229999999999997</v>
      </c>
      <c r="F1456">
        <v>120.9</v>
      </c>
      <c r="G1456">
        <v>128.9</v>
      </c>
      <c r="H1456">
        <v>110.4</v>
      </c>
      <c r="I1456">
        <v>133.84</v>
      </c>
      <c r="J1456">
        <v>157.66999999999999</v>
      </c>
      <c r="K1456">
        <v>30.67</v>
      </c>
    </row>
    <row r="1457" spans="1:11">
      <c r="A1457">
        <v>203.83</v>
      </c>
      <c r="B1457">
        <v>27.84</v>
      </c>
      <c r="C1457">
        <v>39.56</v>
      </c>
      <c r="D1457">
        <v>39.229999999999997</v>
      </c>
      <c r="E1457">
        <v>39.450000000000003</v>
      </c>
      <c r="F1457">
        <v>121.4</v>
      </c>
      <c r="G1457">
        <v>128.84</v>
      </c>
      <c r="H1457">
        <v>110.56</v>
      </c>
      <c r="I1457">
        <v>134.22999999999999</v>
      </c>
      <c r="J1457">
        <v>157.66999999999999</v>
      </c>
      <c r="K1457">
        <v>30.67</v>
      </c>
    </row>
    <row r="1458" spans="1:11">
      <c r="A1458">
        <v>204</v>
      </c>
      <c r="B1458">
        <v>28.06</v>
      </c>
      <c r="C1458">
        <v>39.229999999999997</v>
      </c>
      <c r="D1458">
        <v>39.01</v>
      </c>
      <c r="E1458">
        <v>38.950000000000003</v>
      </c>
      <c r="F1458">
        <v>121.67</v>
      </c>
      <c r="G1458">
        <v>128.84</v>
      </c>
      <c r="H1458">
        <v>110.84</v>
      </c>
      <c r="I1458">
        <v>133.78</v>
      </c>
      <c r="J1458">
        <v>157.66999999999999</v>
      </c>
      <c r="K1458">
        <v>30.67</v>
      </c>
    </row>
    <row r="1459" spans="1:11">
      <c r="A1459">
        <v>204.17</v>
      </c>
      <c r="B1459">
        <v>27.9</v>
      </c>
      <c r="C1459">
        <v>39.01</v>
      </c>
      <c r="D1459">
        <v>38.67</v>
      </c>
      <c r="E1459">
        <v>38.28</v>
      </c>
      <c r="F1459">
        <v>121.78</v>
      </c>
      <c r="G1459">
        <v>128.84</v>
      </c>
      <c r="H1459">
        <v>111.06</v>
      </c>
      <c r="I1459">
        <v>133.66999999999999</v>
      </c>
      <c r="J1459">
        <v>157.66999999999999</v>
      </c>
      <c r="K1459">
        <v>30.67</v>
      </c>
    </row>
    <row r="1460" spans="1:11">
      <c r="A1460">
        <v>204.33</v>
      </c>
      <c r="B1460">
        <v>27.78</v>
      </c>
      <c r="C1460">
        <v>38.840000000000003</v>
      </c>
      <c r="D1460">
        <v>38.450000000000003</v>
      </c>
      <c r="E1460">
        <v>37.56</v>
      </c>
      <c r="F1460">
        <v>121.51</v>
      </c>
      <c r="G1460">
        <v>128.84</v>
      </c>
      <c r="H1460">
        <v>111.73</v>
      </c>
      <c r="I1460">
        <v>133.56</v>
      </c>
      <c r="J1460">
        <v>157.66999999999999</v>
      </c>
      <c r="K1460">
        <v>30.67</v>
      </c>
    </row>
    <row r="1461" spans="1:11">
      <c r="A1461">
        <v>204.5</v>
      </c>
      <c r="B1461">
        <v>27.9</v>
      </c>
      <c r="C1461">
        <v>38.4</v>
      </c>
      <c r="D1461">
        <v>38.17</v>
      </c>
      <c r="E1461">
        <v>37.119999999999997</v>
      </c>
      <c r="F1461">
        <v>121.06</v>
      </c>
      <c r="G1461">
        <v>128.84</v>
      </c>
      <c r="H1461">
        <v>111.95</v>
      </c>
      <c r="I1461">
        <v>134.01</v>
      </c>
      <c r="J1461">
        <v>157.62</v>
      </c>
      <c r="K1461">
        <v>30.67</v>
      </c>
    </row>
    <row r="1462" spans="1:11">
      <c r="A1462">
        <v>204.67</v>
      </c>
      <c r="B1462">
        <v>28.01</v>
      </c>
      <c r="C1462">
        <v>38.06</v>
      </c>
      <c r="D1462">
        <v>37.9</v>
      </c>
      <c r="E1462">
        <v>36.78</v>
      </c>
      <c r="F1462">
        <v>120.56</v>
      </c>
      <c r="G1462">
        <v>128.84</v>
      </c>
      <c r="H1462">
        <v>111.95</v>
      </c>
      <c r="I1462">
        <v>134.34</v>
      </c>
      <c r="J1462">
        <v>157.66999999999999</v>
      </c>
      <c r="K1462">
        <v>30.67</v>
      </c>
    </row>
    <row r="1463" spans="1:11">
      <c r="A1463">
        <v>204.83</v>
      </c>
      <c r="B1463">
        <v>28.06</v>
      </c>
      <c r="C1463">
        <v>37.840000000000003</v>
      </c>
      <c r="D1463">
        <v>37.67</v>
      </c>
      <c r="E1463">
        <v>36.51</v>
      </c>
      <c r="F1463">
        <v>120.17</v>
      </c>
      <c r="G1463">
        <v>128.84</v>
      </c>
      <c r="H1463">
        <v>111.95</v>
      </c>
      <c r="I1463">
        <v>134.56</v>
      </c>
      <c r="J1463">
        <v>157.62</v>
      </c>
      <c r="K1463">
        <v>30.67</v>
      </c>
    </row>
    <row r="1464" spans="1:11">
      <c r="A1464">
        <v>205</v>
      </c>
      <c r="B1464">
        <v>28.23</v>
      </c>
      <c r="C1464">
        <v>37.56</v>
      </c>
      <c r="D1464">
        <v>37.450000000000003</v>
      </c>
      <c r="E1464">
        <v>36.229999999999997</v>
      </c>
      <c r="F1464">
        <v>120.45</v>
      </c>
      <c r="G1464">
        <v>128.9</v>
      </c>
      <c r="H1464">
        <v>112.28</v>
      </c>
      <c r="I1464">
        <v>135.01</v>
      </c>
      <c r="J1464">
        <v>157.66999999999999</v>
      </c>
      <c r="K1464">
        <v>30.67</v>
      </c>
    </row>
    <row r="1465" spans="1:11">
      <c r="A1465">
        <v>205.17</v>
      </c>
      <c r="B1465">
        <v>28.12</v>
      </c>
      <c r="C1465">
        <v>37.28</v>
      </c>
      <c r="D1465">
        <v>37.119999999999997</v>
      </c>
      <c r="E1465">
        <v>35.9</v>
      </c>
      <c r="F1465">
        <v>119.9</v>
      </c>
      <c r="G1465">
        <v>128.9</v>
      </c>
      <c r="H1465">
        <v>112.56</v>
      </c>
      <c r="I1465">
        <v>135.34</v>
      </c>
      <c r="J1465">
        <v>157.56</v>
      </c>
      <c r="K1465">
        <v>30.67</v>
      </c>
    </row>
    <row r="1466" spans="1:11">
      <c r="A1466">
        <v>205.33</v>
      </c>
      <c r="B1466">
        <v>28.23</v>
      </c>
      <c r="C1466">
        <v>37.229999999999997</v>
      </c>
      <c r="D1466">
        <v>37.01</v>
      </c>
      <c r="E1466">
        <v>35.619999999999997</v>
      </c>
      <c r="F1466">
        <v>119.78</v>
      </c>
      <c r="G1466">
        <v>128.9</v>
      </c>
      <c r="H1466">
        <v>112.95</v>
      </c>
      <c r="I1466">
        <v>134.94999999999999</v>
      </c>
      <c r="J1466">
        <v>157.56</v>
      </c>
      <c r="K1466">
        <v>30.67</v>
      </c>
    </row>
    <row r="1467" spans="1:11">
      <c r="A1467">
        <v>205.5</v>
      </c>
      <c r="B1467">
        <v>28.01</v>
      </c>
      <c r="C1467">
        <v>36.78</v>
      </c>
      <c r="D1467">
        <v>36.78</v>
      </c>
      <c r="E1467">
        <v>35.17</v>
      </c>
      <c r="F1467">
        <v>120.12</v>
      </c>
      <c r="G1467">
        <v>128.9</v>
      </c>
      <c r="H1467">
        <v>113.51</v>
      </c>
      <c r="I1467">
        <v>135.28</v>
      </c>
      <c r="J1467">
        <v>157.62</v>
      </c>
      <c r="K1467">
        <v>30.67</v>
      </c>
    </row>
    <row r="1468" spans="1:11">
      <c r="A1468">
        <v>205.67</v>
      </c>
      <c r="B1468">
        <v>27.84</v>
      </c>
      <c r="C1468">
        <v>36.729999999999997</v>
      </c>
      <c r="D1468">
        <v>36.619999999999997</v>
      </c>
      <c r="E1468">
        <v>34.729999999999997</v>
      </c>
      <c r="F1468">
        <v>120.56</v>
      </c>
      <c r="G1468">
        <v>128.9</v>
      </c>
      <c r="H1468">
        <v>113.95</v>
      </c>
      <c r="I1468">
        <v>135.78</v>
      </c>
      <c r="J1468">
        <v>157.62</v>
      </c>
      <c r="K1468">
        <v>30.73</v>
      </c>
    </row>
    <row r="1469" spans="1:11">
      <c r="A1469">
        <v>205.83</v>
      </c>
      <c r="B1469">
        <v>27.62</v>
      </c>
      <c r="C1469">
        <v>36.56</v>
      </c>
      <c r="D1469">
        <v>36.340000000000003</v>
      </c>
      <c r="E1469">
        <v>34.229999999999997</v>
      </c>
      <c r="F1469">
        <v>120.62</v>
      </c>
      <c r="G1469">
        <v>128.84</v>
      </c>
      <c r="H1469">
        <v>113.78</v>
      </c>
      <c r="I1469">
        <v>135.56</v>
      </c>
      <c r="J1469">
        <v>157.51</v>
      </c>
      <c r="K1469">
        <v>30.73</v>
      </c>
    </row>
    <row r="1470" spans="1:11">
      <c r="A1470">
        <v>206</v>
      </c>
      <c r="B1470">
        <v>27.62</v>
      </c>
      <c r="C1470">
        <v>36.4</v>
      </c>
      <c r="D1470">
        <v>36.229999999999997</v>
      </c>
      <c r="E1470">
        <v>33.950000000000003</v>
      </c>
      <c r="F1470">
        <v>121.01</v>
      </c>
      <c r="G1470">
        <v>128.9</v>
      </c>
      <c r="H1470">
        <v>114.12</v>
      </c>
      <c r="I1470">
        <v>135.56</v>
      </c>
      <c r="J1470">
        <v>157.51</v>
      </c>
      <c r="K1470">
        <v>30.73</v>
      </c>
    </row>
    <row r="1471" spans="1:11">
      <c r="A1471">
        <v>206.17</v>
      </c>
      <c r="B1471">
        <v>27.45</v>
      </c>
      <c r="C1471">
        <v>36.17</v>
      </c>
      <c r="D1471">
        <v>36.06</v>
      </c>
      <c r="E1471">
        <v>33.56</v>
      </c>
      <c r="F1471">
        <v>121.34</v>
      </c>
      <c r="G1471">
        <v>129.01</v>
      </c>
      <c r="H1471">
        <v>114.23</v>
      </c>
      <c r="I1471">
        <v>135.28</v>
      </c>
      <c r="J1471">
        <v>157.51</v>
      </c>
      <c r="K1471">
        <v>30.73</v>
      </c>
    </row>
    <row r="1472" spans="1:11">
      <c r="A1472">
        <v>206.33</v>
      </c>
      <c r="B1472">
        <v>27.4</v>
      </c>
      <c r="C1472">
        <v>35.950000000000003</v>
      </c>
      <c r="D1472">
        <v>35.9</v>
      </c>
      <c r="E1472">
        <v>33.229999999999997</v>
      </c>
      <c r="F1472">
        <v>121.67</v>
      </c>
      <c r="G1472">
        <v>129.01</v>
      </c>
      <c r="H1472">
        <v>114.84</v>
      </c>
      <c r="I1472">
        <v>135.16999999999999</v>
      </c>
      <c r="J1472">
        <v>157.51</v>
      </c>
      <c r="K1472">
        <v>30.73</v>
      </c>
    </row>
    <row r="1473" spans="1:11">
      <c r="A1473">
        <v>206.5</v>
      </c>
      <c r="B1473">
        <v>27.4</v>
      </c>
      <c r="C1473">
        <v>35.78</v>
      </c>
      <c r="D1473">
        <v>35.67</v>
      </c>
      <c r="E1473">
        <v>33.06</v>
      </c>
      <c r="F1473">
        <v>121.01</v>
      </c>
      <c r="G1473">
        <v>129.06</v>
      </c>
      <c r="H1473">
        <v>115.23</v>
      </c>
      <c r="I1473">
        <v>135.34</v>
      </c>
      <c r="J1473">
        <v>157.44999999999999</v>
      </c>
      <c r="K1473">
        <v>30.73</v>
      </c>
    </row>
    <row r="1474" spans="1:11">
      <c r="A1474">
        <v>206.67</v>
      </c>
      <c r="B1474">
        <v>27.34</v>
      </c>
      <c r="C1474">
        <v>35.619999999999997</v>
      </c>
      <c r="D1474">
        <v>35.450000000000003</v>
      </c>
      <c r="E1474">
        <v>32.729999999999997</v>
      </c>
      <c r="F1474">
        <v>121.06</v>
      </c>
      <c r="G1474">
        <v>129.06</v>
      </c>
      <c r="H1474">
        <v>115.56</v>
      </c>
      <c r="I1474">
        <v>135.44999999999999</v>
      </c>
      <c r="J1474">
        <v>157.44999999999999</v>
      </c>
      <c r="K1474">
        <v>30.73</v>
      </c>
    </row>
    <row r="1475" spans="1:11">
      <c r="A1475">
        <v>206.83</v>
      </c>
      <c r="B1475">
        <v>27.28</v>
      </c>
      <c r="C1475">
        <v>35.340000000000003</v>
      </c>
      <c r="D1475">
        <v>35.229999999999997</v>
      </c>
      <c r="E1475">
        <v>32.4</v>
      </c>
      <c r="F1475">
        <v>120.95</v>
      </c>
      <c r="G1475">
        <v>129.01</v>
      </c>
      <c r="H1475">
        <v>115.45</v>
      </c>
      <c r="I1475">
        <v>135.51</v>
      </c>
      <c r="J1475">
        <v>157.4</v>
      </c>
      <c r="K1475">
        <v>30.73</v>
      </c>
    </row>
    <row r="1476" spans="1:11">
      <c r="A1476">
        <v>207</v>
      </c>
      <c r="B1476">
        <v>27.34</v>
      </c>
      <c r="C1476">
        <v>35.340000000000003</v>
      </c>
      <c r="D1476">
        <v>35.17</v>
      </c>
      <c r="E1476">
        <v>32.28</v>
      </c>
      <c r="F1476">
        <v>120.9</v>
      </c>
      <c r="G1476">
        <v>129.06</v>
      </c>
      <c r="H1476">
        <v>115.67</v>
      </c>
      <c r="I1476">
        <v>136.12</v>
      </c>
      <c r="J1476">
        <v>157.44999999999999</v>
      </c>
      <c r="K1476">
        <v>30.73</v>
      </c>
    </row>
    <row r="1477" spans="1:11">
      <c r="A1477">
        <v>207.17</v>
      </c>
      <c r="B1477">
        <v>27.28</v>
      </c>
      <c r="C1477">
        <v>35.119999999999997</v>
      </c>
      <c r="D1477">
        <v>35.01</v>
      </c>
      <c r="E1477">
        <v>32.06</v>
      </c>
      <c r="F1477">
        <v>120.84</v>
      </c>
      <c r="G1477">
        <v>129.06</v>
      </c>
      <c r="H1477">
        <v>115.56</v>
      </c>
      <c r="I1477">
        <v>136.22999999999999</v>
      </c>
      <c r="J1477">
        <v>157.51</v>
      </c>
      <c r="K1477">
        <v>30.73</v>
      </c>
    </row>
    <row r="1478" spans="1:11">
      <c r="A1478">
        <v>207.33</v>
      </c>
      <c r="B1478">
        <v>27.28</v>
      </c>
      <c r="C1478">
        <v>34.840000000000003</v>
      </c>
      <c r="D1478">
        <v>34.729999999999997</v>
      </c>
      <c r="E1478">
        <v>31.84</v>
      </c>
      <c r="F1478">
        <v>120.51</v>
      </c>
      <c r="G1478">
        <v>129.12</v>
      </c>
      <c r="H1478">
        <v>115.67</v>
      </c>
      <c r="I1478">
        <v>136.34</v>
      </c>
      <c r="J1478">
        <v>157.44999999999999</v>
      </c>
      <c r="K1478">
        <v>30.78</v>
      </c>
    </row>
    <row r="1479" spans="1:11">
      <c r="A1479">
        <v>207.5</v>
      </c>
      <c r="B1479">
        <v>27.28</v>
      </c>
      <c r="C1479">
        <v>34.729999999999997</v>
      </c>
      <c r="D1479">
        <v>34.56</v>
      </c>
      <c r="E1479">
        <v>31.73</v>
      </c>
      <c r="F1479">
        <v>120.12</v>
      </c>
      <c r="G1479">
        <v>129.16999999999999</v>
      </c>
      <c r="H1479">
        <v>115.95</v>
      </c>
      <c r="I1479">
        <v>136.78</v>
      </c>
      <c r="J1479">
        <v>157.4</v>
      </c>
      <c r="K1479">
        <v>30.78</v>
      </c>
    </row>
    <row r="1480" spans="1:11">
      <c r="A1480">
        <v>207.67</v>
      </c>
      <c r="B1480">
        <v>27.28</v>
      </c>
      <c r="C1480">
        <v>34.51</v>
      </c>
      <c r="D1480">
        <v>34.229999999999997</v>
      </c>
      <c r="E1480">
        <v>31.56</v>
      </c>
      <c r="F1480">
        <v>119.67</v>
      </c>
      <c r="G1480">
        <v>129.12</v>
      </c>
      <c r="H1480">
        <v>116.06</v>
      </c>
      <c r="I1480">
        <v>136.62</v>
      </c>
      <c r="J1480">
        <v>157.34</v>
      </c>
      <c r="K1480">
        <v>30.78</v>
      </c>
    </row>
    <row r="1481" spans="1:11">
      <c r="A1481">
        <v>207.83</v>
      </c>
      <c r="B1481">
        <v>27.34</v>
      </c>
      <c r="C1481">
        <v>34.28</v>
      </c>
      <c r="D1481">
        <v>34.119999999999997</v>
      </c>
      <c r="E1481">
        <v>31.51</v>
      </c>
      <c r="F1481">
        <v>119.9</v>
      </c>
      <c r="G1481">
        <v>129.12</v>
      </c>
      <c r="H1481">
        <v>116.28</v>
      </c>
      <c r="I1481">
        <v>137.12</v>
      </c>
      <c r="J1481">
        <v>157.34</v>
      </c>
      <c r="K1481">
        <v>30.78</v>
      </c>
    </row>
    <row r="1482" spans="1:11">
      <c r="A1482">
        <v>208</v>
      </c>
      <c r="B1482">
        <v>27.4</v>
      </c>
      <c r="C1482">
        <v>34.17</v>
      </c>
      <c r="D1482">
        <v>33.950000000000003</v>
      </c>
      <c r="E1482">
        <v>31.28</v>
      </c>
      <c r="F1482">
        <v>120.12</v>
      </c>
      <c r="G1482">
        <v>129.16999999999999</v>
      </c>
      <c r="H1482">
        <v>116.45</v>
      </c>
      <c r="I1482">
        <v>137.34</v>
      </c>
      <c r="J1482">
        <v>157.34</v>
      </c>
      <c r="K1482">
        <v>30.78</v>
      </c>
    </row>
    <row r="1483" spans="1:11">
      <c r="A1483">
        <v>208.17</v>
      </c>
      <c r="B1483">
        <v>27.4</v>
      </c>
      <c r="C1483">
        <v>34.06</v>
      </c>
      <c r="D1483">
        <v>33.78</v>
      </c>
      <c r="E1483">
        <v>31.12</v>
      </c>
      <c r="F1483">
        <v>120.01</v>
      </c>
      <c r="G1483">
        <v>129.06</v>
      </c>
      <c r="H1483">
        <v>116.17</v>
      </c>
      <c r="I1483">
        <v>137.4</v>
      </c>
      <c r="J1483">
        <v>157.28</v>
      </c>
      <c r="K1483">
        <v>30.78</v>
      </c>
    </row>
    <row r="1484" spans="1:11">
      <c r="A1484">
        <v>208.33</v>
      </c>
      <c r="B1484">
        <v>27.62</v>
      </c>
      <c r="C1484">
        <v>33.950000000000003</v>
      </c>
      <c r="D1484">
        <v>33.729999999999997</v>
      </c>
      <c r="E1484">
        <v>31.06</v>
      </c>
      <c r="F1484">
        <v>119.9</v>
      </c>
      <c r="G1484">
        <v>129.12</v>
      </c>
      <c r="H1484">
        <v>116.34</v>
      </c>
      <c r="I1484">
        <v>138.06</v>
      </c>
      <c r="J1484">
        <v>157.34</v>
      </c>
      <c r="K1484">
        <v>30.78</v>
      </c>
    </row>
    <row r="1485" spans="1:11">
      <c r="A1485">
        <v>208.5</v>
      </c>
      <c r="B1485">
        <v>27.73</v>
      </c>
      <c r="C1485">
        <v>33.78</v>
      </c>
      <c r="D1485">
        <v>33.56</v>
      </c>
      <c r="E1485">
        <v>31.01</v>
      </c>
      <c r="F1485">
        <v>119.34</v>
      </c>
      <c r="G1485">
        <v>129.12</v>
      </c>
      <c r="H1485">
        <v>116.12</v>
      </c>
      <c r="I1485">
        <v>138.4</v>
      </c>
      <c r="J1485">
        <v>157.34</v>
      </c>
      <c r="K1485">
        <v>30.78</v>
      </c>
    </row>
    <row r="1486" spans="1:11">
      <c r="A1486">
        <v>208.67</v>
      </c>
      <c r="B1486">
        <v>27.84</v>
      </c>
      <c r="C1486">
        <v>33.67</v>
      </c>
      <c r="D1486">
        <v>33.4</v>
      </c>
      <c r="E1486">
        <v>30.9</v>
      </c>
      <c r="F1486">
        <v>119.01</v>
      </c>
      <c r="G1486">
        <v>129.01</v>
      </c>
      <c r="H1486">
        <v>116.17</v>
      </c>
      <c r="I1486">
        <v>138.44999999999999</v>
      </c>
      <c r="J1486">
        <v>157.28</v>
      </c>
      <c r="K1486">
        <v>30.78</v>
      </c>
    </row>
    <row r="1487" spans="1:11">
      <c r="A1487">
        <v>208.83</v>
      </c>
      <c r="B1487">
        <v>27.9</v>
      </c>
      <c r="C1487">
        <v>33.51</v>
      </c>
      <c r="D1487">
        <v>33.229999999999997</v>
      </c>
      <c r="E1487">
        <v>30.73</v>
      </c>
      <c r="F1487">
        <v>119.34</v>
      </c>
      <c r="G1487">
        <v>129.01</v>
      </c>
      <c r="H1487">
        <v>116.06</v>
      </c>
      <c r="I1487">
        <v>138.56</v>
      </c>
      <c r="J1487">
        <v>157.28</v>
      </c>
      <c r="K1487">
        <v>30.78</v>
      </c>
    </row>
    <row r="1488" spans="1:11">
      <c r="A1488">
        <v>209</v>
      </c>
      <c r="B1488">
        <v>27.95</v>
      </c>
      <c r="C1488">
        <v>33.340000000000003</v>
      </c>
      <c r="D1488">
        <v>33.119999999999997</v>
      </c>
      <c r="E1488">
        <v>30.62</v>
      </c>
      <c r="F1488">
        <v>119.34</v>
      </c>
      <c r="G1488">
        <v>128.9</v>
      </c>
      <c r="H1488">
        <v>116.34</v>
      </c>
      <c r="I1488">
        <v>138.72999999999999</v>
      </c>
      <c r="J1488">
        <v>157.28</v>
      </c>
      <c r="K1488">
        <v>30.78</v>
      </c>
    </row>
    <row r="1489" spans="1:11">
      <c r="A1489">
        <v>209.17</v>
      </c>
      <c r="B1489">
        <v>28.17</v>
      </c>
      <c r="C1489">
        <v>33.229999999999997</v>
      </c>
      <c r="D1489">
        <v>32.950000000000003</v>
      </c>
      <c r="E1489">
        <v>30.51</v>
      </c>
      <c r="F1489">
        <v>119.67</v>
      </c>
      <c r="G1489">
        <v>128.84</v>
      </c>
      <c r="H1489">
        <v>116.67</v>
      </c>
      <c r="I1489">
        <v>138.9</v>
      </c>
      <c r="J1489">
        <v>157.22999999999999</v>
      </c>
      <c r="K1489">
        <v>30.78</v>
      </c>
    </row>
    <row r="1490" spans="1:11">
      <c r="A1490">
        <v>209.33</v>
      </c>
      <c r="B1490">
        <v>28.06</v>
      </c>
      <c r="C1490">
        <v>32.950000000000003</v>
      </c>
      <c r="D1490">
        <v>32.729999999999997</v>
      </c>
      <c r="E1490">
        <v>30.28</v>
      </c>
      <c r="F1490">
        <v>119.84</v>
      </c>
      <c r="G1490">
        <v>128.72999999999999</v>
      </c>
      <c r="H1490">
        <v>116.62</v>
      </c>
      <c r="I1490">
        <v>139.01</v>
      </c>
      <c r="J1490">
        <v>157.16999999999999</v>
      </c>
      <c r="K1490">
        <v>30.78</v>
      </c>
    </row>
    <row r="1491" spans="1:11">
      <c r="A1491">
        <v>209.5</v>
      </c>
      <c r="B1491">
        <v>28.34</v>
      </c>
      <c r="C1491">
        <v>32.950000000000003</v>
      </c>
      <c r="D1491">
        <v>32.729999999999997</v>
      </c>
      <c r="E1491">
        <v>30.23</v>
      </c>
      <c r="F1491">
        <v>120.28</v>
      </c>
      <c r="G1491">
        <v>128.84</v>
      </c>
      <c r="H1491">
        <v>116.78</v>
      </c>
      <c r="I1491">
        <v>138.51</v>
      </c>
      <c r="J1491">
        <v>157.28</v>
      </c>
      <c r="K1491">
        <v>30.84</v>
      </c>
    </row>
    <row r="1492" spans="1:11">
      <c r="A1492">
        <v>209.67</v>
      </c>
      <c r="B1492">
        <v>28.34</v>
      </c>
      <c r="C1492">
        <v>32.78</v>
      </c>
      <c r="D1492">
        <v>32.619999999999997</v>
      </c>
      <c r="E1492">
        <v>30.17</v>
      </c>
      <c r="F1492">
        <v>120.45</v>
      </c>
      <c r="G1492">
        <v>128.84</v>
      </c>
      <c r="H1492">
        <v>116.95</v>
      </c>
      <c r="I1492">
        <v>138.44999999999999</v>
      </c>
      <c r="J1492">
        <v>157.16999999999999</v>
      </c>
      <c r="K1492">
        <v>30.84</v>
      </c>
    </row>
    <row r="1493" spans="1:11">
      <c r="A1493">
        <v>209.83</v>
      </c>
      <c r="B1493">
        <v>28.4</v>
      </c>
      <c r="C1493">
        <v>32.729999999999997</v>
      </c>
      <c r="D1493">
        <v>32.51</v>
      </c>
      <c r="E1493">
        <v>30.01</v>
      </c>
      <c r="F1493">
        <v>120.56</v>
      </c>
      <c r="G1493">
        <v>128.84</v>
      </c>
      <c r="H1493">
        <v>117.28</v>
      </c>
      <c r="I1493">
        <v>138.72999999999999</v>
      </c>
      <c r="J1493">
        <v>157.16999999999999</v>
      </c>
      <c r="K1493">
        <v>30.84</v>
      </c>
    </row>
    <row r="1494" spans="1:11">
      <c r="A1494">
        <v>210</v>
      </c>
      <c r="B1494">
        <v>28.51</v>
      </c>
      <c r="C1494">
        <v>32.67</v>
      </c>
      <c r="D1494">
        <v>32.51</v>
      </c>
      <c r="E1494">
        <v>30.01</v>
      </c>
      <c r="F1494">
        <v>120.67</v>
      </c>
      <c r="G1494">
        <v>129.01</v>
      </c>
      <c r="H1494">
        <v>117.62</v>
      </c>
      <c r="I1494">
        <v>138.84</v>
      </c>
      <c r="J1494">
        <v>157.16999999999999</v>
      </c>
      <c r="K1494">
        <v>30.84</v>
      </c>
    </row>
    <row r="1495" spans="1:11">
      <c r="A1495">
        <v>210.17</v>
      </c>
      <c r="B1495">
        <v>28.51</v>
      </c>
      <c r="C1495">
        <v>32.51</v>
      </c>
      <c r="D1495">
        <v>32.28</v>
      </c>
      <c r="E1495">
        <v>29.9</v>
      </c>
      <c r="F1495">
        <v>120.51</v>
      </c>
      <c r="G1495">
        <v>129.12</v>
      </c>
      <c r="H1495">
        <v>117.95</v>
      </c>
      <c r="I1495">
        <v>138.9</v>
      </c>
      <c r="J1495">
        <v>157.16999999999999</v>
      </c>
      <c r="K1495">
        <v>30.84</v>
      </c>
    </row>
    <row r="1496" spans="1:11">
      <c r="A1496">
        <v>210.33</v>
      </c>
      <c r="B1496">
        <v>28.34</v>
      </c>
      <c r="C1496">
        <v>32.28</v>
      </c>
      <c r="D1496">
        <v>32.229999999999997</v>
      </c>
      <c r="E1496">
        <v>29.9</v>
      </c>
      <c r="F1496">
        <v>120.67</v>
      </c>
      <c r="G1496">
        <v>129.16999999999999</v>
      </c>
      <c r="H1496">
        <v>118.28</v>
      </c>
      <c r="I1496">
        <v>138.66999999999999</v>
      </c>
      <c r="J1496">
        <v>157.06</v>
      </c>
      <c r="K1496">
        <v>30.84</v>
      </c>
    </row>
    <row r="1497" spans="1:11">
      <c r="A1497">
        <v>210.5</v>
      </c>
      <c r="B1497">
        <v>28.4</v>
      </c>
      <c r="C1497">
        <v>32.119999999999997</v>
      </c>
      <c r="D1497">
        <v>32.01</v>
      </c>
      <c r="E1497">
        <v>29.78</v>
      </c>
      <c r="F1497">
        <v>121.12</v>
      </c>
      <c r="G1497">
        <v>129.16999999999999</v>
      </c>
      <c r="H1497">
        <v>118.51</v>
      </c>
      <c r="I1497">
        <v>137.94999999999999</v>
      </c>
      <c r="J1497">
        <v>157.12</v>
      </c>
      <c r="K1497">
        <v>30.84</v>
      </c>
    </row>
    <row r="1498" spans="1:11">
      <c r="A1498">
        <v>210.67</v>
      </c>
      <c r="B1498">
        <v>28.34</v>
      </c>
      <c r="C1498">
        <v>32.06</v>
      </c>
      <c r="D1498">
        <v>31.9</v>
      </c>
      <c r="E1498">
        <v>29.73</v>
      </c>
      <c r="F1498">
        <v>121.06</v>
      </c>
      <c r="G1498">
        <v>129.16999999999999</v>
      </c>
      <c r="H1498">
        <v>118.73</v>
      </c>
      <c r="I1498">
        <v>138.34</v>
      </c>
      <c r="J1498">
        <v>157.16999999999999</v>
      </c>
      <c r="K1498">
        <v>30.84</v>
      </c>
    </row>
    <row r="1499" spans="1:11">
      <c r="A1499">
        <v>210.83</v>
      </c>
      <c r="B1499">
        <v>28.51</v>
      </c>
      <c r="C1499">
        <v>31.95</v>
      </c>
      <c r="D1499">
        <v>31.73</v>
      </c>
      <c r="E1499">
        <v>29.67</v>
      </c>
      <c r="F1499">
        <v>120.95</v>
      </c>
      <c r="G1499">
        <v>129.12</v>
      </c>
      <c r="H1499">
        <v>118.84</v>
      </c>
      <c r="I1499">
        <v>138.66999999999999</v>
      </c>
      <c r="J1499">
        <v>157.06</v>
      </c>
      <c r="K1499">
        <v>30.84</v>
      </c>
    </row>
    <row r="1500" spans="1:11">
      <c r="A1500">
        <v>211</v>
      </c>
      <c r="B1500">
        <v>28.62</v>
      </c>
      <c r="C1500">
        <v>31.9</v>
      </c>
      <c r="D1500">
        <v>31.62</v>
      </c>
      <c r="E1500">
        <v>29.62</v>
      </c>
      <c r="F1500">
        <v>121.23</v>
      </c>
      <c r="G1500">
        <v>129.16999999999999</v>
      </c>
      <c r="H1500">
        <v>118.73</v>
      </c>
      <c r="I1500">
        <v>138.84</v>
      </c>
      <c r="J1500">
        <v>157.12</v>
      </c>
      <c r="K1500">
        <v>30.84</v>
      </c>
    </row>
    <row r="1501" spans="1:11">
      <c r="A1501">
        <v>211.17</v>
      </c>
      <c r="B1501">
        <v>28.67</v>
      </c>
      <c r="C1501">
        <v>31.67</v>
      </c>
      <c r="D1501">
        <v>31.51</v>
      </c>
      <c r="E1501">
        <v>29.45</v>
      </c>
      <c r="F1501">
        <v>120.78</v>
      </c>
      <c r="G1501">
        <v>129.16999999999999</v>
      </c>
      <c r="H1501">
        <v>119.12</v>
      </c>
      <c r="I1501">
        <v>139.22999999999999</v>
      </c>
      <c r="J1501">
        <v>157.01</v>
      </c>
      <c r="K1501">
        <v>30.84</v>
      </c>
    </row>
    <row r="1502" spans="1:11">
      <c r="A1502">
        <v>211.33</v>
      </c>
      <c r="B1502">
        <v>28.73</v>
      </c>
      <c r="C1502">
        <v>31.67</v>
      </c>
      <c r="D1502">
        <v>31.45</v>
      </c>
      <c r="E1502">
        <v>29.34</v>
      </c>
      <c r="F1502">
        <v>120.84</v>
      </c>
      <c r="G1502">
        <v>129.16999999999999</v>
      </c>
      <c r="H1502">
        <v>119.34</v>
      </c>
      <c r="I1502">
        <v>139.34</v>
      </c>
      <c r="J1502">
        <v>157.01</v>
      </c>
      <c r="K1502">
        <v>30.84</v>
      </c>
    </row>
    <row r="1503" spans="1:11">
      <c r="A1503">
        <v>211.5</v>
      </c>
      <c r="B1503">
        <v>28.67</v>
      </c>
      <c r="C1503">
        <v>31.56</v>
      </c>
      <c r="D1503">
        <v>31.34</v>
      </c>
      <c r="E1503">
        <v>29.28</v>
      </c>
      <c r="F1503">
        <v>120.95</v>
      </c>
      <c r="G1503">
        <v>129.28</v>
      </c>
      <c r="H1503">
        <v>119.17</v>
      </c>
      <c r="I1503">
        <v>139.06</v>
      </c>
      <c r="J1503">
        <v>156.94999999999999</v>
      </c>
      <c r="K1503">
        <v>30.9</v>
      </c>
    </row>
    <row r="1504" spans="1:11">
      <c r="A1504">
        <v>211.67</v>
      </c>
      <c r="B1504">
        <v>28.73</v>
      </c>
      <c r="C1504">
        <v>31.51</v>
      </c>
      <c r="D1504">
        <v>31.28</v>
      </c>
      <c r="E1504">
        <v>29.23</v>
      </c>
      <c r="F1504">
        <v>121.23</v>
      </c>
      <c r="G1504">
        <v>129.34</v>
      </c>
      <c r="H1504">
        <v>119.62</v>
      </c>
      <c r="I1504">
        <v>138.94999999999999</v>
      </c>
      <c r="J1504">
        <v>156.94999999999999</v>
      </c>
      <c r="K1504">
        <v>30.9</v>
      </c>
    </row>
    <row r="1505" spans="1:11">
      <c r="A1505">
        <v>211.83</v>
      </c>
      <c r="B1505">
        <v>28.73</v>
      </c>
      <c r="C1505">
        <v>31.28</v>
      </c>
      <c r="D1505">
        <v>31.12</v>
      </c>
      <c r="E1505">
        <v>29.12</v>
      </c>
      <c r="F1505">
        <v>121.56</v>
      </c>
      <c r="G1505">
        <v>129.34</v>
      </c>
      <c r="H1505">
        <v>119.95</v>
      </c>
      <c r="I1505">
        <v>139.01</v>
      </c>
      <c r="J1505">
        <v>157.01</v>
      </c>
      <c r="K1505">
        <v>30.9</v>
      </c>
    </row>
    <row r="1506" spans="1:11">
      <c r="A1506">
        <v>212</v>
      </c>
      <c r="B1506">
        <v>28.78</v>
      </c>
      <c r="C1506">
        <v>31.23</v>
      </c>
      <c r="D1506">
        <v>31.06</v>
      </c>
      <c r="E1506">
        <v>29.17</v>
      </c>
      <c r="F1506">
        <v>121.45</v>
      </c>
      <c r="G1506">
        <v>129.44999999999999</v>
      </c>
      <c r="H1506">
        <v>120.34</v>
      </c>
      <c r="I1506">
        <v>139.34</v>
      </c>
      <c r="J1506">
        <v>157.01</v>
      </c>
      <c r="K1506">
        <v>30.9</v>
      </c>
    </row>
    <row r="1507" spans="1:11">
      <c r="A1507">
        <v>212.17</v>
      </c>
      <c r="B1507">
        <v>28.67</v>
      </c>
      <c r="C1507">
        <v>31.12</v>
      </c>
      <c r="D1507">
        <v>31.01</v>
      </c>
      <c r="E1507">
        <v>29.12</v>
      </c>
      <c r="F1507">
        <v>121.73</v>
      </c>
      <c r="G1507">
        <v>129.51</v>
      </c>
      <c r="H1507">
        <v>120.56</v>
      </c>
      <c r="I1507">
        <v>139.34</v>
      </c>
      <c r="J1507">
        <v>156.9</v>
      </c>
      <c r="K1507">
        <v>30.9</v>
      </c>
    </row>
    <row r="1508" spans="1:11">
      <c r="A1508">
        <v>212.33</v>
      </c>
      <c r="B1508">
        <v>28.78</v>
      </c>
      <c r="C1508">
        <v>31.06</v>
      </c>
      <c r="D1508">
        <v>30.9</v>
      </c>
      <c r="E1508">
        <v>28.95</v>
      </c>
      <c r="F1508">
        <v>121.95</v>
      </c>
      <c r="G1508">
        <v>129.66999999999999</v>
      </c>
      <c r="H1508">
        <v>120.9</v>
      </c>
      <c r="I1508">
        <v>139.34</v>
      </c>
      <c r="J1508">
        <v>156.9</v>
      </c>
      <c r="K1508">
        <v>30.9</v>
      </c>
    </row>
    <row r="1509" spans="1:11">
      <c r="A1509">
        <v>212.5</v>
      </c>
      <c r="B1509">
        <v>28.78</v>
      </c>
      <c r="C1509">
        <v>31.01</v>
      </c>
      <c r="D1509">
        <v>30.78</v>
      </c>
      <c r="E1509">
        <v>28.84</v>
      </c>
      <c r="F1509">
        <v>122.23</v>
      </c>
      <c r="G1509">
        <v>129.72999999999999</v>
      </c>
      <c r="H1509">
        <v>121.06</v>
      </c>
      <c r="I1509">
        <v>139.34</v>
      </c>
      <c r="J1509">
        <v>156.84</v>
      </c>
      <c r="K1509">
        <v>30.9</v>
      </c>
    </row>
    <row r="1510" spans="1:11">
      <c r="A1510">
        <v>212.67</v>
      </c>
      <c r="B1510">
        <v>28.73</v>
      </c>
      <c r="C1510">
        <v>30.9</v>
      </c>
      <c r="D1510">
        <v>30.67</v>
      </c>
      <c r="E1510">
        <v>28.84</v>
      </c>
      <c r="F1510">
        <v>122.56</v>
      </c>
      <c r="G1510">
        <v>129.84</v>
      </c>
      <c r="H1510">
        <v>121.4</v>
      </c>
      <c r="I1510">
        <v>139.34</v>
      </c>
      <c r="J1510">
        <v>156.84</v>
      </c>
      <c r="K1510">
        <v>30.9</v>
      </c>
    </row>
    <row r="1511" spans="1:11">
      <c r="A1511">
        <v>212.83</v>
      </c>
      <c r="B1511">
        <v>28.78</v>
      </c>
      <c r="C1511">
        <v>30.84</v>
      </c>
      <c r="D1511">
        <v>30.67</v>
      </c>
      <c r="E1511">
        <v>28.95</v>
      </c>
      <c r="F1511">
        <v>122.9</v>
      </c>
      <c r="G1511">
        <v>130.01</v>
      </c>
      <c r="H1511">
        <v>121.73</v>
      </c>
      <c r="I1511">
        <v>139.51</v>
      </c>
      <c r="J1511">
        <v>156.9</v>
      </c>
      <c r="K1511">
        <v>30.9</v>
      </c>
    </row>
    <row r="1512" spans="1:11">
      <c r="A1512">
        <v>213</v>
      </c>
      <c r="B1512">
        <v>28.73</v>
      </c>
      <c r="C1512">
        <v>30.73</v>
      </c>
      <c r="D1512">
        <v>30.62</v>
      </c>
      <c r="E1512">
        <v>28.78</v>
      </c>
      <c r="F1512">
        <v>123.12</v>
      </c>
      <c r="G1512">
        <v>130.12</v>
      </c>
      <c r="H1512">
        <v>121.62</v>
      </c>
      <c r="I1512">
        <v>139.66999999999999</v>
      </c>
      <c r="J1512">
        <v>156.78</v>
      </c>
      <c r="K1512">
        <v>30.9</v>
      </c>
    </row>
    <row r="1513" spans="1:11">
      <c r="A1513">
        <v>213.17</v>
      </c>
      <c r="B1513">
        <v>28.73</v>
      </c>
      <c r="C1513">
        <v>30.62</v>
      </c>
      <c r="D1513">
        <v>30.45</v>
      </c>
      <c r="E1513">
        <v>28.67</v>
      </c>
      <c r="F1513">
        <v>123.28</v>
      </c>
      <c r="G1513">
        <v>130.16999999999999</v>
      </c>
      <c r="H1513">
        <v>121.73</v>
      </c>
      <c r="I1513">
        <v>139.84</v>
      </c>
      <c r="J1513">
        <v>156.72999999999999</v>
      </c>
      <c r="K1513">
        <v>30.9</v>
      </c>
    </row>
    <row r="1514" spans="1:11">
      <c r="A1514">
        <v>213.33</v>
      </c>
      <c r="B1514">
        <v>28.78</v>
      </c>
      <c r="C1514">
        <v>30.56</v>
      </c>
      <c r="D1514">
        <v>30.4</v>
      </c>
      <c r="E1514">
        <v>28.67</v>
      </c>
      <c r="F1514">
        <v>123.73</v>
      </c>
      <c r="G1514">
        <v>130.4</v>
      </c>
      <c r="H1514">
        <v>121.78</v>
      </c>
      <c r="I1514">
        <v>140.12</v>
      </c>
      <c r="J1514">
        <v>156.84</v>
      </c>
      <c r="K1514">
        <v>30.9</v>
      </c>
    </row>
    <row r="1515" spans="1:11">
      <c r="A1515">
        <v>213.5</v>
      </c>
      <c r="B1515">
        <v>28.73</v>
      </c>
      <c r="C1515">
        <v>30.34</v>
      </c>
      <c r="D1515">
        <v>30.23</v>
      </c>
      <c r="E1515">
        <v>28.62</v>
      </c>
      <c r="F1515">
        <v>123.9</v>
      </c>
      <c r="G1515">
        <v>130.44999999999999</v>
      </c>
      <c r="H1515">
        <v>121.95</v>
      </c>
      <c r="I1515">
        <v>140.01</v>
      </c>
      <c r="J1515">
        <v>156.72999999999999</v>
      </c>
      <c r="K1515">
        <v>30.9</v>
      </c>
    </row>
    <row r="1516" spans="1:11">
      <c r="A1516">
        <v>213.67</v>
      </c>
      <c r="B1516">
        <v>28.78</v>
      </c>
      <c r="C1516">
        <v>30.45</v>
      </c>
      <c r="D1516">
        <v>30.28</v>
      </c>
      <c r="E1516">
        <v>28.62</v>
      </c>
      <c r="F1516">
        <v>123.84</v>
      </c>
      <c r="G1516">
        <v>130.62</v>
      </c>
      <c r="H1516">
        <v>122.06</v>
      </c>
      <c r="I1516">
        <v>140.06</v>
      </c>
      <c r="J1516">
        <v>156.72999999999999</v>
      </c>
      <c r="K1516">
        <v>30.95</v>
      </c>
    </row>
    <row r="1517" spans="1:11">
      <c r="A1517">
        <v>213.83</v>
      </c>
      <c r="B1517">
        <v>28.67</v>
      </c>
      <c r="C1517">
        <v>30.51</v>
      </c>
      <c r="D1517">
        <v>30.28</v>
      </c>
      <c r="E1517">
        <v>28.62</v>
      </c>
      <c r="F1517">
        <v>124.06</v>
      </c>
      <c r="G1517">
        <v>130.78</v>
      </c>
      <c r="H1517">
        <v>122.23</v>
      </c>
      <c r="I1517">
        <v>140.01</v>
      </c>
      <c r="J1517">
        <v>156.72999999999999</v>
      </c>
      <c r="K1517">
        <v>30.95</v>
      </c>
    </row>
    <row r="1518" spans="1:11">
      <c r="A1518">
        <v>214</v>
      </c>
      <c r="B1518">
        <v>28.62</v>
      </c>
      <c r="C1518">
        <v>30.45</v>
      </c>
      <c r="D1518">
        <v>30.28</v>
      </c>
      <c r="E1518">
        <v>28.56</v>
      </c>
      <c r="F1518">
        <v>124.28</v>
      </c>
      <c r="G1518">
        <v>130.84</v>
      </c>
      <c r="H1518">
        <v>122.4</v>
      </c>
      <c r="I1518">
        <v>139.66999999999999</v>
      </c>
      <c r="J1518">
        <v>156.72999999999999</v>
      </c>
      <c r="K1518">
        <v>30.95</v>
      </c>
    </row>
    <row r="1519" spans="1:11">
      <c r="A1519">
        <v>214.17</v>
      </c>
      <c r="B1519">
        <v>28.51</v>
      </c>
      <c r="C1519">
        <v>30.28</v>
      </c>
      <c r="D1519">
        <v>30.12</v>
      </c>
      <c r="E1519">
        <v>28.51</v>
      </c>
      <c r="F1519">
        <v>124.51</v>
      </c>
      <c r="G1519">
        <v>130.94999999999999</v>
      </c>
      <c r="H1519">
        <v>122.56</v>
      </c>
      <c r="I1519">
        <v>139.51</v>
      </c>
      <c r="J1519">
        <v>156.66999999999999</v>
      </c>
      <c r="K1519">
        <v>30.95</v>
      </c>
    </row>
    <row r="1520" spans="1:11">
      <c r="A1520">
        <v>214.33</v>
      </c>
      <c r="B1520">
        <v>28.51</v>
      </c>
      <c r="C1520">
        <v>30.17</v>
      </c>
      <c r="D1520">
        <v>30.06</v>
      </c>
      <c r="E1520">
        <v>28.51</v>
      </c>
      <c r="F1520">
        <v>124.51</v>
      </c>
      <c r="G1520">
        <v>131.12</v>
      </c>
      <c r="H1520">
        <v>122.73</v>
      </c>
      <c r="I1520">
        <v>139.51</v>
      </c>
      <c r="J1520">
        <v>156.62</v>
      </c>
      <c r="K1520">
        <v>30.95</v>
      </c>
    </row>
    <row r="1521" spans="1:11">
      <c r="A1521">
        <v>214.5</v>
      </c>
      <c r="B1521">
        <v>28.4</v>
      </c>
      <c r="C1521">
        <v>30.12</v>
      </c>
      <c r="D1521">
        <v>29.9</v>
      </c>
      <c r="E1521">
        <v>28.4</v>
      </c>
      <c r="F1521">
        <v>124.62</v>
      </c>
      <c r="G1521">
        <v>131.16999999999999</v>
      </c>
      <c r="H1521">
        <v>122.34</v>
      </c>
      <c r="I1521">
        <v>139.56</v>
      </c>
      <c r="J1521">
        <v>156.62</v>
      </c>
      <c r="K1521">
        <v>30.95</v>
      </c>
    </row>
    <row r="1522" spans="1:11">
      <c r="A1522">
        <v>214.67</v>
      </c>
      <c r="B1522">
        <v>28.45</v>
      </c>
      <c r="C1522">
        <v>30.06</v>
      </c>
      <c r="D1522">
        <v>29.9</v>
      </c>
      <c r="E1522">
        <v>28.34</v>
      </c>
      <c r="F1522">
        <v>124.78</v>
      </c>
      <c r="G1522">
        <v>131.28</v>
      </c>
      <c r="H1522">
        <v>122.17</v>
      </c>
      <c r="I1522">
        <v>139.62</v>
      </c>
      <c r="J1522">
        <v>156.62</v>
      </c>
      <c r="K1522">
        <v>30.95</v>
      </c>
    </row>
    <row r="1523" spans="1:11">
      <c r="A1523">
        <v>214.83</v>
      </c>
      <c r="B1523">
        <v>28.51</v>
      </c>
      <c r="C1523">
        <v>30.06</v>
      </c>
      <c r="D1523">
        <v>29.9</v>
      </c>
      <c r="E1523">
        <v>28.34</v>
      </c>
      <c r="F1523">
        <v>124.51</v>
      </c>
      <c r="G1523">
        <v>131.4</v>
      </c>
      <c r="H1523">
        <v>121.73</v>
      </c>
      <c r="I1523">
        <v>139.62</v>
      </c>
      <c r="J1523">
        <v>156.56</v>
      </c>
      <c r="K1523">
        <v>30.95</v>
      </c>
    </row>
    <row r="1524" spans="1:11">
      <c r="A1524">
        <v>215</v>
      </c>
      <c r="B1524">
        <v>28.45</v>
      </c>
      <c r="C1524">
        <v>30.06</v>
      </c>
      <c r="D1524">
        <v>29.9</v>
      </c>
      <c r="E1524">
        <v>28.34</v>
      </c>
      <c r="F1524">
        <v>124.78</v>
      </c>
      <c r="G1524">
        <v>131.51</v>
      </c>
      <c r="H1524">
        <v>121.73</v>
      </c>
      <c r="I1524">
        <v>139.16999999999999</v>
      </c>
      <c r="J1524">
        <v>156.62</v>
      </c>
      <c r="K1524">
        <v>30.95</v>
      </c>
    </row>
    <row r="1525" spans="1:11">
      <c r="A1525">
        <v>215.17</v>
      </c>
      <c r="B1525">
        <v>28.45</v>
      </c>
      <c r="C1525">
        <v>30.06</v>
      </c>
      <c r="D1525">
        <v>29.9</v>
      </c>
      <c r="E1525">
        <v>28.23</v>
      </c>
      <c r="F1525">
        <v>124.51</v>
      </c>
      <c r="G1525">
        <v>131.51</v>
      </c>
      <c r="H1525">
        <v>122.06</v>
      </c>
      <c r="I1525">
        <v>139.28</v>
      </c>
      <c r="J1525">
        <v>156.62</v>
      </c>
      <c r="K1525">
        <v>30.95</v>
      </c>
    </row>
    <row r="1526" spans="1:11">
      <c r="A1526">
        <v>215.33</v>
      </c>
      <c r="B1526">
        <v>28.45</v>
      </c>
      <c r="C1526">
        <v>30.01</v>
      </c>
      <c r="D1526">
        <v>29.84</v>
      </c>
      <c r="E1526">
        <v>28.28</v>
      </c>
      <c r="F1526">
        <v>124.34</v>
      </c>
      <c r="G1526">
        <v>131.62</v>
      </c>
      <c r="H1526">
        <v>121.28</v>
      </c>
      <c r="I1526">
        <v>138.94999999999999</v>
      </c>
      <c r="J1526">
        <v>156.51</v>
      </c>
      <c r="K1526">
        <v>31.01</v>
      </c>
    </row>
    <row r="1527" spans="1:11">
      <c r="A1527">
        <v>215.5</v>
      </c>
      <c r="B1527">
        <v>28.51</v>
      </c>
      <c r="C1527">
        <v>29.95</v>
      </c>
      <c r="D1527">
        <v>29.78</v>
      </c>
      <c r="E1527">
        <v>28.34</v>
      </c>
      <c r="F1527">
        <v>124.62</v>
      </c>
      <c r="G1527">
        <v>131.62</v>
      </c>
      <c r="H1527">
        <v>119.34</v>
      </c>
      <c r="I1527">
        <v>138.66999999999999</v>
      </c>
      <c r="J1527">
        <v>156.51</v>
      </c>
      <c r="K1527">
        <v>31.01</v>
      </c>
    </row>
    <row r="1528" spans="1:11">
      <c r="A1528">
        <v>215.67</v>
      </c>
      <c r="B1528">
        <v>28.4</v>
      </c>
      <c r="C1528">
        <v>29.9</v>
      </c>
      <c r="D1528">
        <v>29.62</v>
      </c>
      <c r="E1528">
        <v>28.23</v>
      </c>
      <c r="F1528">
        <v>124.56</v>
      </c>
      <c r="G1528">
        <v>131.78</v>
      </c>
      <c r="H1528">
        <v>118.67</v>
      </c>
      <c r="I1528">
        <v>138.4</v>
      </c>
      <c r="J1528">
        <v>156.51</v>
      </c>
      <c r="K1528">
        <v>31.01</v>
      </c>
    </row>
    <row r="1529" spans="1:11">
      <c r="A1529">
        <v>215.83</v>
      </c>
      <c r="B1529">
        <v>28.34</v>
      </c>
      <c r="C1529">
        <v>29.9</v>
      </c>
      <c r="D1529">
        <v>29.73</v>
      </c>
      <c r="E1529">
        <v>28.23</v>
      </c>
      <c r="F1529">
        <v>124.67</v>
      </c>
      <c r="G1529">
        <v>131.84</v>
      </c>
      <c r="H1529">
        <v>118.84</v>
      </c>
      <c r="I1529">
        <v>138.06</v>
      </c>
      <c r="J1529">
        <v>156.51</v>
      </c>
      <c r="K1529">
        <v>31.01</v>
      </c>
    </row>
    <row r="1530" spans="1:11">
      <c r="A1530">
        <v>216</v>
      </c>
      <c r="B1530">
        <v>28.34</v>
      </c>
      <c r="C1530">
        <v>29.84</v>
      </c>
      <c r="D1530">
        <v>29.62</v>
      </c>
      <c r="E1530">
        <v>28.23</v>
      </c>
      <c r="F1530">
        <v>124.9</v>
      </c>
      <c r="G1530">
        <v>131.94999999999999</v>
      </c>
      <c r="H1530">
        <v>119.17</v>
      </c>
      <c r="I1530">
        <v>137.4</v>
      </c>
      <c r="J1530">
        <v>156.44999999999999</v>
      </c>
      <c r="K1530">
        <v>31.01</v>
      </c>
    </row>
    <row r="1531" spans="1:11">
      <c r="A1531">
        <v>216.17</v>
      </c>
      <c r="B1531">
        <v>28.34</v>
      </c>
      <c r="C1531">
        <v>29.78</v>
      </c>
      <c r="D1531">
        <v>29.67</v>
      </c>
      <c r="E1531">
        <v>28.12</v>
      </c>
      <c r="F1531">
        <v>125.06</v>
      </c>
      <c r="G1531">
        <v>131.9</v>
      </c>
      <c r="H1531">
        <v>119.9</v>
      </c>
      <c r="I1531">
        <v>137.12</v>
      </c>
      <c r="J1531">
        <v>156.4</v>
      </c>
      <c r="K1531">
        <v>31.01</v>
      </c>
    </row>
    <row r="1532" spans="1:11">
      <c r="A1532">
        <v>216.33</v>
      </c>
      <c r="B1532">
        <v>28.4</v>
      </c>
      <c r="C1532">
        <v>29.73</v>
      </c>
      <c r="D1532">
        <v>29.51</v>
      </c>
      <c r="E1532">
        <v>28.06</v>
      </c>
      <c r="F1532">
        <v>125.23</v>
      </c>
      <c r="G1532">
        <v>131.84</v>
      </c>
      <c r="H1532">
        <v>120.17</v>
      </c>
      <c r="I1532">
        <v>136.66999999999999</v>
      </c>
      <c r="J1532">
        <v>156.34</v>
      </c>
      <c r="K1532">
        <v>31.01</v>
      </c>
    </row>
    <row r="1533" spans="1:11">
      <c r="A1533">
        <v>216.5</v>
      </c>
      <c r="B1533">
        <v>28.34</v>
      </c>
      <c r="C1533">
        <v>29.62</v>
      </c>
      <c r="D1533">
        <v>29.45</v>
      </c>
      <c r="E1533">
        <v>28.06</v>
      </c>
      <c r="F1533">
        <v>125.34</v>
      </c>
      <c r="G1533">
        <v>131.9</v>
      </c>
      <c r="H1533">
        <v>120.51</v>
      </c>
      <c r="I1533">
        <v>136.62</v>
      </c>
      <c r="J1533">
        <v>156.34</v>
      </c>
      <c r="K1533">
        <v>31.01</v>
      </c>
    </row>
    <row r="1534" spans="1:11">
      <c r="A1534">
        <v>216.67</v>
      </c>
      <c r="B1534">
        <v>28.4</v>
      </c>
      <c r="C1534">
        <v>29.56</v>
      </c>
      <c r="D1534">
        <v>29.34</v>
      </c>
      <c r="E1534">
        <v>28.01</v>
      </c>
      <c r="F1534">
        <v>125.45</v>
      </c>
      <c r="G1534">
        <v>131.78</v>
      </c>
      <c r="H1534">
        <v>120.62</v>
      </c>
      <c r="I1534">
        <v>136.72999999999999</v>
      </c>
      <c r="J1534">
        <v>156.28</v>
      </c>
      <c r="K1534">
        <v>31.01</v>
      </c>
    </row>
    <row r="1535" spans="1:11">
      <c r="A1535">
        <v>216.83</v>
      </c>
      <c r="B1535">
        <v>28.4</v>
      </c>
      <c r="C1535">
        <v>29.56</v>
      </c>
      <c r="D1535">
        <v>29.34</v>
      </c>
      <c r="E1535">
        <v>28.06</v>
      </c>
      <c r="F1535">
        <v>125.51</v>
      </c>
      <c r="G1535">
        <v>131.94999999999999</v>
      </c>
      <c r="H1535">
        <v>120.73</v>
      </c>
      <c r="I1535">
        <v>136.44999999999999</v>
      </c>
      <c r="J1535">
        <v>156.34</v>
      </c>
      <c r="K1535">
        <v>31.01</v>
      </c>
    </row>
    <row r="1536" spans="1:11">
      <c r="A1536">
        <v>217</v>
      </c>
      <c r="B1536">
        <v>28.4</v>
      </c>
      <c r="C1536">
        <v>29.45</v>
      </c>
      <c r="D1536">
        <v>29.34</v>
      </c>
      <c r="E1536">
        <v>28.06</v>
      </c>
      <c r="F1536">
        <v>125.62</v>
      </c>
      <c r="G1536">
        <v>131.9</v>
      </c>
      <c r="H1536">
        <v>121.12</v>
      </c>
      <c r="I1536">
        <v>135.84</v>
      </c>
      <c r="J1536">
        <v>156.28</v>
      </c>
      <c r="K1536">
        <v>31.06</v>
      </c>
    </row>
    <row r="1537" spans="1:11">
      <c r="A1537">
        <v>217.17</v>
      </c>
      <c r="B1537">
        <v>28.51</v>
      </c>
      <c r="C1537">
        <v>29.45</v>
      </c>
      <c r="D1537">
        <v>29.23</v>
      </c>
      <c r="E1537">
        <v>28.17</v>
      </c>
      <c r="F1537">
        <v>125.84</v>
      </c>
      <c r="G1537">
        <v>131.94999999999999</v>
      </c>
      <c r="H1537">
        <v>121.28</v>
      </c>
      <c r="I1537">
        <v>134.51</v>
      </c>
      <c r="J1537">
        <v>156.28</v>
      </c>
      <c r="K1537">
        <v>31.06</v>
      </c>
    </row>
    <row r="1538" spans="1:11">
      <c r="A1538">
        <v>217.33</v>
      </c>
      <c r="B1538">
        <v>28.45</v>
      </c>
      <c r="C1538">
        <v>29.34</v>
      </c>
      <c r="D1538">
        <v>29.23</v>
      </c>
      <c r="E1538">
        <v>28.06</v>
      </c>
      <c r="F1538">
        <v>126.23</v>
      </c>
      <c r="G1538">
        <v>132.01</v>
      </c>
      <c r="H1538">
        <v>121.62</v>
      </c>
      <c r="I1538">
        <v>134.06</v>
      </c>
      <c r="J1538">
        <v>156.28</v>
      </c>
      <c r="K1538">
        <v>31.06</v>
      </c>
    </row>
    <row r="1539" spans="1:11">
      <c r="A1539">
        <v>217.5</v>
      </c>
      <c r="B1539">
        <v>28.51</v>
      </c>
      <c r="C1539">
        <v>29.34</v>
      </c>
      <c r="D1539">
        <v>29.17</v>
      </c>
      <c r="E1539">
        <v>28.06</v>
      </c>
      <c r="F1539">
        <v>125.17</v>
      </c>
      <c r="G1539">
        <v>131.94999999999999</v>
      </c>
      <c r="H1539">
        <v>122.06</v>
      </c>
      <c r="I1539">
        <v>133.94999999999999</v>
      </c>
      <c r="J1539">
        <v>156.16999999999999</v>
      </c>
      <c r="K1539">
        <v>31.06</v>
      </c>
    </row>
    <row r="1540" spans="1:11">
      <c r="A1540">
        <v>217.67</v>
      </c>
      <c r="B1540">
        <v>28.34</v>
      </c>
      <c r="C1540">
        <v>29.23</v>
      </c>
      <c r="D1540">
        <v>29.06</v>
      </c>
      <c r="E1540">
        <v>28.06</v>
      </c>
      <c r="F1540">
        <v>124.84</v>
      </c>
      <c r="G1540">
        <v>131.9</v>
      </c>
      <c r="H1540">
        <v>121.45</v>
      </c>
      <c r="I1540">
        <v>133.16999999999999</v>
      </c>
      <c r="J1540">
        <v>156.16999999999999</v>
      </c>
      <c r="K1540">
        <v>31.06</v>
      </c>
    </row>
    <row r="1541" spans="1:11">
      <c r="A1541">
        <v>217.83</v>
      </c>
      <c r="B1541">
        <v>28.45</v>
      </c>
      <c r="C1541">
        <v>29.23</v>
      </c>
      <c r="D1541">
        <v>29.01</v>
      </c>
      <c r="E1541">
        <v>28.06</v>
      </c>
      <c r="F1541">
        <v>124.9</v>
      </c>
      <c r="G1541">
        <v>131.78</v>
      </c>
      <c r="H1541">
        <v>119.9</v>
      </c>
      <c r="I1541">
        <v>132.22999999999999</v>
      </c>
      <c r="J1541">
        <v>156.12</v>
      </c>
      <c r="K1541">
        <v>31.06</v>
      </c>
    </row>
    <row r="1542" spans="1:11">
      <c r="A1542">
        <v>218</v>
      </c>
      <c r="B1542">
        <v>28.51</v>
      </c>
      <c r="C1542">
        <v>29.23</v>
      </c>
      <c r="D1542">
        <v>28.95</v>
      </c>
      <c r="E1542">
        <v>28.06</v>
      </c>
      <c r="F1542">
        <v>125.06</v>
      </c>
      <c r="G1542">
        <v>131.78</v>
      </c>
      <c r="H1542">
        <v>119.51</v>
      </c>
      <c r="I1542">
        <v>131.94999999999999</v>
      </c>
      <c r="J1542">
        <v>156.06</v>
      </c>
      <c r="K1542">
        <v>31.06</v>
      </c>
    </row>
    <row r="1543" spans="1:11">
      <c r="A1543">
        <v>218.17</v>
      </c>
      <c r="B1543">
        <v>28.51</v>
      </c>
      <c r="C1543">
        <v>29.23</v>
      </c>
      <c r="D1543">
        <v>28.95</v>
      </c>
      <c r="E1543">
        <v>28.06</v>
      </c>
      <c r="F1543">
        <v>124.34</v>
      </c>
      <c r="G1543">
        <v>131.72999999999999</v>
      </c>
      <c r="H1543">
        <v>118.84</v>
      </c>
      <c r="I1543">
        <v>132.22999999999999</v>
      </c>
      <c r="J1543">
        <v>155.9</v>
      </c>
      <c r="K1543">
        <v>31.06</v>
      </c>
    </row>
    <row r="1544" spans="1:11">
      <c r="A1544">
        <v>218.33</v>
      </c>
      <c r="B1544">
        <v>28.56</v>
      </c>
      <c r="C1544">
        <v>29.28</v>
      </c>
      <c r="D1544">
        <v>29.17</v>
      </c>
      <c r="E1544">
        <v>28.06</v>
      </c>
      <c r="F1544">
        <v>124.34</v>
      </c>
      <c r="G1544">
        <v>131.66999999999999</v>
      </c>
      <c r="H1544">
        <v>117.12</v>
      </c>
      <c r="I1544">
        <v>132.06</v>
      </c>
      <c r="J1544">
        <v>155.94999999999999</v>
      </c>
      <c r="K1544">
        <v>31.12</v>
      </c>
    </row>
    <row r="1545" spans="1:11">
      <c r="A1545">
        <v>218.5</v>
      </c>
      <c r="B1545">
        <v>28.51</v>
      </c>
      <c r="C1545">
        <v>29.34</v>
      </c>
      <c r="D1545">
        <v>29.23</v>
      </c>
      <c r="E1545">
        <v>28.06</v>
      </c>
      <c r="F1545">
        <v>124.01</v>
      </c>
      <c r="G1545">
        <v>131.56</v>
      </c>
      <c r="H1545">
        <v>115.9</v>
      </c>
      <c r="I1545">
        <v>131.94999999999999</v>
      </c>
      <c r="J1545">
        <v>155.84</v>
      </c>
      <c r="K1545">
        <v>31.12</v>
      </c>
    </row>
    <row r="1546" spans="1:11">
      <c r="A1546">
        <v>218.67</v>
      </c>
      <c r="B1546">
        <v>28.51</v>
      </c>
      <c r="C1546">
        <v>29.34</v>
      </c>
      <c r="D1546">
        <v>29.23</v>
      </c>
      <c r="E1546">
        <v>28.06</v>
      </c>
      <c r="F1546">
        <v>123.34</v>
      </c>
      <c r="G1546">
        <v>131.44999999999999</v>
      </c>
      <c r="H1546">
        <v>115.51</v>
      </c>
      <c r="I1546">
        <v>131.16999999999999</v>
      </c>
      <c r="J1546">
        <v>155.84</v>
      </c>
      <c r="K1546">
        <v>31.12</v>
      </c>
    </row>
    <row r="1547" spans="1:11">
      <c r="A1547">
        <v>218.83</v>
      </c>
      <c r="B1547">
        <v>28.67</v>
      </c>
      <c r="C1547">
        <v>29.28</v>
      </c>
      <c r="D1547">
        <v>29.12</v>
      </c>
      <c r="E1547">
        <v>28.12</v>
      </c>
      <c r="F1547">
        <v>122.84</v>
      </c>
      <c r="G1547">
        <v>131.4</v>
      </c>
      <c r="H1547">
        <v>114.34</v>
      </c>
      <c r="I1547">
        <v>130.28</v>
      </c>
      <c r="J1547">
        <v>155.84</v>
      </c>
      <c r="K1547">
        <v>31.12</v>
      </c>
    </row>
    <row r="1548" spans="1:11">
      <c r="A1548">
        <v>219</v>
      </c>
      <c r="B1548">
        <v>28.51</v>
      </c>
      <c r="C1548">
        <v>29.17</v>
      </c>
      <c r="D1548">
        <v>29.01</v>
      </c>
      <c r="E1548">
        <v>28.06</v>
      </c>
      <c r="F1548">
        <v>122.45</v>
      </c>
      <c r="G1548">
        <v>131.28</v>
      </c>
      <c r="H1548">
        <v>113.56</v>
      </c>
      <c r="I1548">
        <v>130.22999999999999</v>
      </c>
      <c r="J1548">
        <v>155.78</v>
      </c>
      <c r="K1548">
        <v>31.12</v>
      </c>
    </row>
    <row r="1549" spans="1:11">
      <c r="A1549">
        <v>219.17</v>
      </c>
      <c r="B1549">
        <v>28.56</v>
      </c>
      <c r="C1549">
        <v>29.23</v>
      </c>
      <c r="D1549">
        <v>29.01</v>
      </c>
      <c r="E1549">
        <v>28.12</v>
      </c>
      <c r="F1549">
        <v>122.73</v>
      </c>
      <c r="G1549">
        <v>131.16999999999999</v>
      </c>
      <c r="H1549">
        <v>113.56</v>
      </c>
      <c r="I1549">
        <v>130.34</v>
      </c>
      <c r="J1549">
        <v>155.66999999999999</v>
      </c>
      <c r="K1549">
        <v>31.12</v>
      </c>
    </row>
    <row r="1550" spans="1:11">
      <c r="A1550">
        <v>219.33</v>
      </c>
      <c r="B1550">
        <v>28.51</v>
      </c>
      <c r="C1550">
        <v>29.23</v>
      </c>
      <c r="D1550">
        <v>28.95</v>
      </c>
      <c r="E1550">
        <v>28.06</v>
      </c>
      <c r="F1550">
        <v>122.73</v>
      </c>
      <c r="G1550">
        <v>131.01</v>
      </c>
      <c r="H1550">
        <v>113.28</v>
      </c>
      <c r="I1550">
        <v>128.22999999999999</v>
      </c>
      <c r="J1550">
        <v>155.62</v>
      </c>
      <c r="K1550">
        <v>31.12</v>
      </c>
    </row>
    <row r="1551" spans="1:11">
      <c r="A1551">
        <v>219.5</v>
      </c>
      <c r="B1551">
        <v>28.4</v>
      </c>
      <c r="C1551">
        <v>29.12</v>
      </c>
      <c r="D1551">
        <v>28.95</v>
      </c>
      <c r="E1551">
        <v>28.06</v>
      </c>
      <c r="F1551">
        <v>121.9</v>
      </c>
      <c r="G1551">
        <v>130.78</v>
      </c>
      <c r="H1551">
        <v>113.12</v>
      </c>
      <c r="I1551">
        <v>126.56</v>
      </c>
      <c r="J1551">
        <v>155.62</v>
      </c>
      <c r="K1551">
        <v>31.12</v>
      </c>
    </row>
    <row r="1552" spans="1:11">
      <c r="A1552">
        <v>219.67</v>
      </c>
      <c r="B1552">
        <v>28.51</v>
      </c>
      <c r="C1552">
        <v>29.23</v>
      </c>
      <c r="D1552">
        <v>28.95</v>
      </c>
      <c r="E1552">
        <v>28.06</v>
      </c>
      <c r="F1552">
        <v>122.23</v>
      </c>
      <c r="G1552">
        <v>130.62</v>
      </c>
      <c r="H1552">
        <v>112.51</v>
      </c>
      <c r="I1552">
        <v>126.06</v>
      </c>
      <c r="J1552">
        <v>155.51</v>
      </c>
      <c r="K1552">
        <v>31.12</v>
      </c>
    </row>
    <row r="1553" spans="1:11">
      <c r="A1553">
        <v>219.83</v>
      </c>
      <c r="B1553">
        <v>28.51</v>
      </c>
      <c r="C1553">
        <v>29.23</v>
      </c>
      <c r="D1553">
        <v>28.95</v>
      </c>
      <c r="E1553">
        <v>28.06</v>
      </c>
      <c r="F1553">
        <v>122.28</v>
      </c>
      <c r="G1553">
        <v>130.4</v>
      </c>
      <c r="H1553">
        <v>112.17</v>
      </c>
      <c r="I1553">
        <v>125.9</v>
      </c>
      <c r="J1553">
        <v>155.34</v>
      </c>
      <c r="K1553">
        <v>31.12</v>
      </c>
    </row>
    <row r="1554" spans="1:11">
      <c r="A1554">
        <v>220</v>
      </c>
      <c r="B1554">
        <v>28.67</v>
      </c>
      <c r="C1554">
        <v>29.17</v>
      </c>
      <c r="D1554">
        <v>28.95</v>
      </c>
      <c r="E1554">
        <v>28.06</v>
      </c>
      <c r="F1554">
        <v>121.78</v>
      </c>
      <c r="G1554">
        <v>130.22999999999999</v>
      </c>
      <c r="H1554">
        <v>111.84</v>
      </c>
      <c r="I1554">
        <v>125.73</v>
      </c>
      <c r="J1554">
        <v>155.34</v>
      </c>
      <c r="K1554">
        <v>31.12</v>
      </c>
    </row>
    <row r="1555" spans="1:11">
      <c r="A1555">
        <v>220.17</v>
      </c>
      <c r="B1555">
        <v>28.73</v>
      </c>
      <c r="C1555">
        <v>29.17</v>
      </c>
      <c r="D1555">
        <v>29.01</v>
      </c>
      <c r="E1555">
        <v>28.06</v>
      </c>
      <c r="F1555">
        <v>121.78</v>
      </c>
      <c r="G1555">
        <v>130.06</v>
      </c>
      <c r="H1555">
        <v>111.67</v>
      </c>
      <c r="I1555">
        <v>126.01</v>
      </c>
      <c r="J1555">
        <v>155.34</v>
      </c>
      <c r="K1555">
        <v>31.12</v>
      </c>
    </row>
    <row r="1556" spans="1:11">
      <c r="A1556">
        <v>220.33</v>
      </c>
      <c r="B1556">
        <v>28.73</v>
      </c>
      <c r="C1556">
        <v>29.17</v>
      </c>
      <c r="D1556">
        <v>28.9</v>
      </c>
      <c r="E1556">
        <v>28.01</v>
      </c>
      <c r="F1556">
        <v>121.62</v>
      </c>
      <c r="G1556">
        <v>129.84</v>
      </c>
      <c r="H1556">
        <v>110.78</v>
      </c>
      <c r="I1556">
        <v>125.78</v>
      </c>
      <c r="J1556">
        <v>155.22999999999999</v>
      </c>
      <c r="K1556">
        <v>31.12</v>
      </c>
    </row>
    <row r="1557" spans="1:11">
      <c r="A1557">
        <v>220.5</v>
      </c>
      <c r="B1557">
        <v>28.78</v>
      </c>
      <c r="C1557">
        <v>29.17</v>
      </c>
      <c r="D1557">
        <v>29.06</v>
      </c>
      <c r="E1557">
        <v>28.06</v>
      </c>
      <c r="F1557">
        <v>121.45</v>
      </c>
      <c r="G1557">
        <v>129.66999999999999</v>
      </c>
      <c r="H1557">
        <v>111.01</v>
      </c>
      <c r="I1557">
        <v>126.45</v>
      </c>
      <c r="J1557">
        <v>155.12</v>
      </c>
      <c r="K1557">
        <v>31.17</v>
      </c>
    </row>
    <row r="1558" spans="1:11">
      <c r="A1558">
        <v>220.67</v>
      </c>
      <c r="B1558">
        <v>28.9</v>
      </c>
      <c r="C1558">
        <v>29.28</v>
      </c>
      <c r="D1558">
        <v>29.06</v>
      </c>
      <c r="E1558">
        <v>28.23</v>
      </c>
      <c r="F1558">
        <v>120.51</v>
      </c>
      <c r="G1558">
        <v>129.51</v>
      </c>
      <c r="H1558">
        <v>111.56</v>
      </c>
      <c r="I1558">
        <v>126.56</v>
      </c>
      <c r="J1558">
        <v>155.12</v>
      </c>
      <c r="K1558">
        <v>31.12</v>
      </c>
    </row>
    <row r="1559" spans="1:11">
      <c r="A1559">
        <v>220.83</v>
      </c>
      <c r="B1559">
        <v>29.23</v>
      </c>
      <c r="C1559">
        <v>29.51</v>
      </c>
      <c r="D1559">
        <v>29.28</v>
      </c>
      <c r="E1559">
        <v>28.23</v>
      </c>
      <c r="F1559">
        <v>119.45</v>
      </c>
      <c r="G1559">
        <v>129.34</v>
      </c>
      <c r="H1559">
        <v>112.17</v>
      </c>
      <c r="I1559">
        <v>126.06</v>
      </c>
      <c r="J1559">
        <v>155.06</v>
      </c>
      <c r="K1559">
        <v>31.17</v>
      </c>
    </row>
    <row r="1560" spans="1:11">
      <c r="A1560">
        <v>221</v>
      </c>
      <c r="B1560">
        <v>29.45</v>
      </c>
      <c r="C1560">
        <v>29.78</v>
      </c>
      <c r="D1560">
        <v>29.62</v>
      </c>
      <c r="E1560">
        <v>28.23</v>
      </c>
      <c r="F1560">
        <v>119.34</v>
      </c>
      <c r="G1560">
        <v>129.16999999999999</v>
      </c>
      <c r="H1560">
        <v>112.23</v>
      </c>
      <c r="I1560">
        <v>125.95</v>
      </c>
      <c r="J1560">
        <v>155.06</v>
      </c>
      <c r="K1560">
        <v>31.17</v>
      </c>
    </row>
    <row r="1561" spans="1:11">
      <c r="A1561">
        <v>221.17</v>
      </c>
      <c r="B1561">
        <v>29.45</v>
      </c>
      <c r="C1561">
        <v>29.78</v>
      </c>
      <c r="D1561">
        <v>29.73</v>
      </c>
      <c r="E1561">
        <v>28.28</v>
      </c>
      <c r="F1561">
        <v>119.51</v>
      </c>
      <c r="G1561">
        <v>129.01</v>
      </c>
      <c r="H1561">
        <v>111.73</v>
      </c>
      <c r="I1561">
        <v>125.28</v>
      </c>
      <c r="J1561">
        <v>155.01</v>
      </c>
      <c r="K1561">
        <v>31.17</v>
      </c>
    </row>
    <row r="1562" spans="1:11">
      <c r="A1562">
        <v>221.33</v>
      </c>
      <c r="B1562">
        <v>29.73</v>
      </c>
      <c r="C1562">
        <v>30.17</v>
      </c>
      <c r="D1562">
        <v>29.95</v>
      </c>
      <c r="E1562">
        <v>28.51</v>
      </c>
      <c r="F1562">
        <v>119.67</v>
      </c>
      <c r="G1562">
        <v>128.84</v>
      </c>
      <c r="H1562">
        <v>111.34</v>
      </c>
      <c r="I1562">
        <v>124.84</v>
      </c>
      <c r="J1562">
        <v>154.9</v>
      </c>
      <c r="K1562">
        <v>31.17</v>
      </c>
    </row>
    <row r="1563" spans="1:11">
      <c r="A1563">
        <v>221.5</v>
      </c>
      <c r="B1563">
        <v>29.78</v>
      </c>
      <c r="C1563">
        <v>30.23</v>
      </c>
      <c r="D1563">
        <v>30.12</v>
      </c>
      <c r="E1563">
        <v>28.67</v>
      </c>
      <c r="F1563">
        <v>119.78</v>
      </c>
      <c r="G1563">
        <v>128.56</v>
      </c>
      <c r="H1563">
        <v>110.56</v>
      </c>
      <c r="I1563">
        <v>124.62</v>
      </c>
      <c r="J1563">
        <v>154.9</v>
      </c>
      <c r="K1563">
        <v>31.17</v>
      </c>
    </row>
    <row r="1564" spans="1:11">
      <c r="A1564">
        <v>221.67</v>
      </c>
      <c r="B1564">
        <v>29.9</v>
      </c>
      <c r="C1564">
        <v>30.17</v>
      </c>
      <c r="D1564">
        <v>30.06</v>
      </c>
      <c r="E1564">
        <v>28.78</v>
      </c>
      <c r="F1564">
        <v>120.01</v>
      </c>
      <c r="G1564">
        <v>128.4</v>
      </c>
      <c r="H1564">
        <v>110.06</v>
      </c>
      <c r="I1564">
        <v>124.34</v>
      </c>
      <c r="J1564">
        <v>154.9</v>
      </c>
      <c r="K1564">
        <v>31.17</v>
      </c>
    </row>
    <row r="1565" spans="1:11">
      <c r="A1565">
        <v>221.83</v>
      </c>
      <c r="B1565">
        <v>29.9</v>
      </c>
      <c r="C1565">
        <v>30.23</v>
      </c>
      <c r="D1565">
        <v>30.06</v>
      </c>
      <c r="E1565">
        <v>29.06</v>
      </c>
      <c r="F1565">
        <v>119.67</v>
      </c>
      <c r="G1565">
        <v>128.34</v>
      </c>
      <c r="H1565">
        <v>109.78</v>
      </c>
      <c r="I1565">
        <v>124.51</v>
      </c>
      <c r="J1565">
        <v>154.84</v>
      </c>
      <c r="K1565">
        <v>31.17</v>
      </c>
    </row>
    <row r="1566" spans="1:11">
      <c r="A1566">
        <v>222</v>
      </c>
      <c r="B1566">
        <v>29.9</v>
      </c>
      <c r="C1566">
        <v>30.34</v>
      </c>
      <c r="D1566">
        <v>30.06</v>
      </c>
      <c r="E1566">
        <v>30.01</v>
      </c>
      <c r="F1566">
        <v>119.51</v>
      </c>
      <c r="G1566">
        <v>128.06</v>
      </c>
      <c r="H1566">
        <v>108.9</v>
      </c>
      <c r="I1566">
        <v>124.17</v>
      </c>
      <c r="J1566">
        <v>154.78</v>
      </c>
      <c r="K1566">
        <v>31.17</v>
      </c>
    </row>
    <row r="1567" spans="1:11">
      <c r="A1567">
        <v>222.17</v>
      </c>
      <c r="B1567">
        <v>29.84</v>
      </c>
      <c r="C1567">
        <v>30.23</v>
      </c>
      <c r="D1567">
        <v>30.01</v>
      </c>
      <c r="E1567">
        <v>30.28</v>
      </c>
      <c r="F1567">
        <v>119.67</v>
      </c>
      <c r="G1567">
        <v>127.9</v>
      </c>
      <c r="H1567">
        <v>107.95</v>
      </c>
      <c r="I1567">
        <v>124.51</v>
      </c>
      <c r="J1567">
        <v>154.78</v>
      </c>
      <c r="K1567">
        <v>31.17</v>
      </c>
    </row>
    <row r="1568" spans="1:11">
      <c r="A1568">
        <v>222.33</v>
      </c>
      <c r="B1568">
        <v>29.9</v>
      </c>
      <c r="C1568">
        <v>30.28</v>
      </c>
      <c r="D1568">
        <v>30.12</v>
      </c>
      <c r="E1568">
        <v>30.9</v>
      </c>
      <c r="F1568">
        <v>120.12</v>
      </c>
      <c r="G1568">
        <v>127.84</v>
      </c>
      <c r="H1568">
        <v>108.28</v>
      </c>
      <c r="I1568">
        <v>124.56</v>
      </c>
      <c r="J1568">
        <v>154.66999999999999</v>
      </c>
      <c r="K1568">
        <v>31.17</v>
      </c>
    </row>
    <row r="1569" spans="1:11">
      <c r="A1569">
        <v>222.5</v>
      </c>
      <c r="B1569">
        <v>30.01</v>
      </c>
      <c r="C1569">
        <v>30.34</v>
      </c>
      <c r="D1569">
        <v>30.17</v>
      </c>
      <c r="E1569">
        <v>31.73</v>
      </c>
      <c r="F1569">
        <v>119.84</v>
      </c>
      <c r="G1569">
        <v>127.73</v>
      </c>
      <c r="H1569">
        <v>108.17</v>
      </c>
      <c r="I1569">
        <v>122.73</v>
      </c>
      <c r="J1569">
        <v>154.66999999999999</v>
      </c>
      <c r="K1569">
        <v>31.23</v>
      </c>
    </row>
    <row r="1570" spans="1:11">
      <c r="A1570">
        <v>222.67</v>
      </c>
      <c r="B1570">
        <v>30.06</v>
      </c>
      <c r="C1570">
        <v>30.45</v>
      </c>
      <c r="D1570">
        <v>30.23</v>
      </c>
      <c r="E1570">
        <v>32.78</v>
      </c>
      <c r="F1570">
        <v>119.95</v>
      </c>
      <c r="G1570">
        <v>127.73</v>
      </c>
      <c r="H1570">
        <v>108.45</v>
      </c>
      <c r="I1570">
        <v>122.23</v>
      </c>
      <c r="J1570">
        <v>154.66999999999999</v>
      </c>
      <c r="K1570">
        <v>31.17</v>
      </c>
    </row>
    <row r="1571" spans="1:11">
      <c r="A1571">
        <v>222.83</v>
      </c>
      <c r="B1571">
        <v>30.06</v>
      </c>
      <c r="C1571">
        <v>30.51</v>
      </c>
      <c r="D1571">
        <v>30.28</v>
      </c>
      <c r="E1571">
        <v>33.950000000000003</v>
      </c>
      <c r="F1571">
        <v>119.67</v>
      </c>
      <c r="G1571">
        <v>127.62</v>
      </c>
      <c r="H1571">
        <v>109.73</v>
      </c>
      <c r="I1571">
        <v>122.01</v>
      </c>
      <c r="J1571">
        <v>154.56</v>
      </c>
      <c r="K1571">
        <v>31.23</v>
      </c>
    </row>
    <row r="1572" spans="1:11">
      <c r="A1572">
        <v>223</v>
      </c>
      <c r="B1572">
        <v>30.23</v>
      </c>
      <c r="C1572">
        <v>30.67</v>
      </c>
      <c r="D1572">
        <v>30.34</v>
      </c>
      <c r="E1572">
        <v>35.01</v>
      </c>
      <c r="F1572">
        <v>119.73</v>
      </c>
      <c r="G1572">
        <v>127.62</v>
      </c>
      <c r="H1572">
        <v>110.62</v>
      </c>
      <c r="I1572">
        <v>122.56</v>
      </c>
      <c r="J1572">
        <v>154.56</v>
      </c>
      <c r="K1572">
        <v>31.23</v>
      </c>
    </row>
    <row r="1573" spans="1:11">
      <c r="A1573">
        <v>223.17</v>
      </c>
      <c r="B1573">
        <v>30.28</v>
      </c>
      <c r="C1573">
        <v>30.67</v>
      </c>
      <c r="D1573">
        <v>30.51</v>
      </c>
      <c r="E1573">
        <v>36.06</v>
      </c>
      <c r="F1573">
        <v>119.23</v>
      </c>
      <c r="G1573">
        <v>127.51</v>
      </c>
      <c r="H1573">
        <v>111.01</v>
      </c>
      <c r="I1573">
        <v>122.56</v>
      </c>
      <c r="J1573">
        <v>154.56</v>
      </c>
      <c r="K1573">
        <v>31.23</v>
      </c>
    </row>
    <row r="1574" spans="1:11">
      <c r="A1574">
        <v>223.33</v>
      </c>
      <c r="B1574">
        <v>30.4</v>
      </c>
      <c r="C1574">
        <v>30.78</v>
      </c>
      <c r="D1574">
        <v>30.56</v>
      </c>
      <c r="E1574">
        <v>37.06</v>
      </c>
      <c r="F1574">
        <v>119.01</v>
      </c>
      <c r="G1574">
        <v>127.28</v>
      </c>
      <c r="H1574">
        <v>111.17</v>
      </c>
      <c r="I1574">
        <v>122.4</v>
      </c>
      <c r="J1574">
        <v>154.51</v>
      </c>
      <c r="K1574">
        <v>31.23</v>
      </c>
    </row>
    <row r="1575" spans="1:11">
      <c r="A1575">
        <v>223.5</v>
      </c>
      <c r="B1575">
        <v>30.51</v>
      </c>
      <c r="C1575">
        <v>30.9</v>
      </c>
      <c r="D1575">
        <v>30.67</v>
      </c>
      <c r="E1575">
        <v>38.01</v>
      </c>
      <c r="F1575">
        <v>118.84</v>
      </c>
      <c r="G1575">
        <v>127.23</v>
      </c>
      <c r="H1575">
        <v>110.95</v>
      </c>
      <c r="I1575">
        <v>121.9</v>
      </c>
      <c r="J1575">
        <v>154.44999999999999</v>
      </c>
      <c r="K1575">
        <v>31.23</v>
      </c>
    </row>
    <row r="1576" spans="1:11">
      <c r="A1576">
        <v>223.67</v>
      </c>
      <c r="B1576">
        <v>30.62</v>
      </c>
      <c r="C1576">
        <v>31.01</v>
      </c>
      <c r="D1576">
        <v>30.73</v>
      </c>
      <c r="E1576">
        <v>39.06</v>
      </c>
      <c r="F1576">
        <v>118.9</v>
      </c>
      <c r="G1576">
        <v>127.12</v>
      </c>
      <c r="H1576">
        <v>110.28</v>
      </c>
      <c r="I1576">
        <v>121.06</v>
      </c>
      <c r="J1576">
        <v>154.44999999999999</v>
      </c>
      <c r="K1576">
        <v>31.23</v>
      </c>
    </row>
    <row r="1577" spans="1:11">
      <c r="A1577">
        <v>223.83</v>
      </c>
      <c r="B1577">
        <v>30.84</v>
      </c>
      <c r="C1577">
        <v>31.12</v>
      </c>
      <c r="D1577">
        <v>30.9</v>
      </c>
      <c r="E1577">
        <v>39.840000000000003</v>
      </c>
      <c r="F1577">
        <v>118.78</v>
      </c>
      <c r="G1577">
        <v>127.06</v>
      </c>
      <c r="H1577">
        <v>110.12</v>
      </c>
      <c r="I1577">
        <v>119.51</v>
      </c>
      <c r="J1577">
        <v>154.44999999999999</v>
      </c>
      <c r="K1577">
        <v>31.23</v>
      </c>
    </row>
    <row r="1578" spans="1:11">
      <c r="A1578">
        <v>224</v>
      </c>
      <c r="B1578">
        <v>30.9</v>
      </c>
      <c r="C1578">
        <v>31.06</v>
      </c>
      <c r="D1578">
        <v>30.9</v>
      </c>
      <c r="E1578">
        <v>40.840000000000003</v>
      </c>
      <c r="F1578">
        <v>118.9</v>
      </c>
      <c r="G1578">
        <v>126.95</v>
      </c>
      <c r="H1578">
        <v>109.9</v>
      </c>
      <c r="I1578">
        <v>119.01</v>
      </c>
      <c r="J1578">
        <v>154.4</v>
      </c>
      <c r="K1578">
        <v>31.23</v>
      </c>
    </row>
    <row r="1579" spans="1:11">
      <c r="A1579">
        <v>224.17</v>
      </c>
      <c r="B1579">
        <v>31.01</v>
      </c>
      <c r="C1579">
        <v>31.4</v>
      </c>
      <c r="D1579">
        <v>31.06</v>
      </c>
      <c r="E1579">
        <v>41.51</v>
      </c>
      <c r="F1579">
        <v>118.62</v>
      </c>
      <c r="G1579">
        <v>126.9</v>
      </c>
      <c r="H1579">
        <v>109.12</v>
      </c>
      <c r="I1579">
        <v>119.45</v>
      </c>
      <c r="J1579">
        <v>154.22999999999999</v>
      </c>
      <c r="K1579">
        <v>31.23</v>
      </c>
    </row>
    <row r="1580" spans="1:11">
      <c r="A1580">
        <v>224.33</v>
      </c>
      <c r="B1580">
        <v>31.06</v>
      </c>
      <c r="C1580">
        <v>31.28</v>
      </c>
      <c r="D1580">
        <v>31.01</v>
      </c>
      <c r="E1580">
        <v>42.4</v>
      </c>
      <c r="F1580">
        <v>118.23</v>
      </c>
      <c r="G1580">
        <v>126.73</v>
      </c>
      <c r="H1580">
        <v>108.28</v>
      </c>
      <c r="I1580">
        <v>118.62</v>
      </c>
      <c r="J1580">
        <v>154.22999999999999</v>
      </c>
      <c r="K1580">
        <v>31.23</v>
      </c>
    </row>
    <row r="1581" spans="1:11">
      <c r="A1581">
        <v>224.5</v>
      </c>
      <c r="B1581">
        <v>31.28</v>
      </c>
      <c r="C1581">
        <v>31.62</v>
      </c>
      <c r="D1581">
        <v>31.17</v>
      </c>
      <c r="E1581">
        <v>43.12</v>
      </c>
      <c r="F1581">
        <v>117.45</v>
      </c>
      <c r="G1581">
        <v>126.67</v>
      </c>
      <c r="H1581">
        <v>108.12</v>
      </c>
      <c r="I1581">
        <v>117.84</v>
      </c>
      <c r="J1581">
        <v>154.22999999999999</v>
      </c>
      <c r="K1581">
        <v>31.28</v>
      </c>
    </row>
    <row r="1582" spans="1:11">
      <c r="A1582">
        <v>224.67</v>
      </c>
      <c r="B1582">
        <v>31.34</v>
      </c>
      <c r="C1582">
        <v>31.62</v>
      </c>
      <c r="D1582">
        <v>31.17</v>
      </c>
      <c r="E1582">
        <v>44.4</v>
      </c>
      <c r="F1582">
        <v>117.4</v>
      </c>
      <c r="G1582">
        <v>126.45</v>
      </c>
      <c r="H1582">
        <v>108.01</v>
      </c>
      <c r="I1582">
        <v>118.23</v>
      </c>
      <c r="J1582">
        <v>154.16999999999999</v>
      </c>
      <c r="K1582">
        <v>31.28</v>
      </c>
    </row>
    <row r="1583" spans="1:11">
      <c r="A1583">
        <v>224.83</v>
      </c>
      <c r="B1583">
        <v>31.51</v>
      </c>
      <c r="C1583">
        <v>31.73</v>
      </c>
      <c r="D1583">
        <v>31.28</v>
      </c>
      <c r="E1583">
        <v>45.06</v>
      </c>
      <c r="F1583">
        <v>117.56</v>
      </c>
      <c r="G1583">
        <v>126.4</v>
      </c>
      <c r="H1583">
        <v>107.78</v>
      </c>
      <c r="I1583">
        <v>118.4</v>
      </c>
      <c r="J1583">
        <v>154.16999999999999</v>
      </c>
      <c r="K1583">
        <v>31.28</v>
      </c>
    </row>
    <row r="1584" spans="1:11">
      <c r="A1584">
        <v>225</v>
      </c>
      <c r="B1584">
        <v>31.51</v>
      </c>
      <c r="C1584">
        <v>31.73</v>
      </c>
      <c r="D1584">
        <v>31.4</v>
      </c>
      <c r="E1584">
        <v>45.9</v>
      </c>
      <c r="F1584">
        <v>116.9</v>
      </c>
      <c r="G1584">
        <v>126.23</v>
      </c>
      <c r="H1584">
        <v>107.67</v>
      </c>
      <c r="I1584">
        <v>118.01</v>
      </c>
      <c r="J1584">
        <v>154.06</v>
      </c>
      <c r="K1584">
        <v>31.28</v>
      </c>
    </row>
    <row r="1585" spans="1:11">
      <c r="A1585">
        <v>225.17</v>
      </c>
      <c r="B1585">
        <v>31.67</v>
      </c>
      <c r="C1585">
        <v>31.84</v>
      </c>
      <c r="D1585">
        <v>31.51</v>
      </c>
      <c r="E1585">
        <v>46.45</v>
      </c>
      <c r="F1585">
        <v>116.62</v>
      </c>
      <c r="G1585">
        <v>126.23</v>
      </c>
      <c r="H1585">
        <v>107.4</v>
      </c>
      <c r="I1585">
        <v>118.06</v>
      </c>
      <c r="J1585">
        <v>154.06</v>
      </c>
      <c r="K1585">
        <v>31.28</v>
      </c>
    </row>
    <row r="1586" spans="1:11">
      <c r="A1586">
        <v>225.33</v>
      </c>
      <c r="B1586">
        <v>31.73</v>
      </c>
      <c r="C1586">
        <v>31.9</v>
      </c>
      <c r="D1586">
        <v>31.56</v>
      </c>
      <c r="E1586">
        <v>47.12</v>
      </c>
      <c r="F1586">
        <v>116.28</v>
      </c>
      <c r="G1586">
        <v>126.12</v>
      </c>
      <c r="H1586">
        <v>106.73</v>
      </c>
      <c r="I1586">
        <v>117.84</v>
      </c>
      <c r="J1586">
        <v>154.06</v>
      </c>
      <c r="K1586">
        <v>31.28</v>
      </c>
    </row>
    <row r="1587" spans="1:11">
      <c r="A1587">
        <v>225.5</v>
      </c>
      <c r="B1587">
        <v>31.84</v>
      </c>
      <c r="C1587">
        <v>32.06</v>
      </c>
      <c r="D1587">
        <v>31.67</v>
      </c>
      <c r="E1587">
        <v>47.78</v>
      </c>
      <c r="F1587">
        <v>116.28</v>
      </c>
      <c r="G1587">
        <v>125.95</v>
      </c>
      <c r="H1587">
        <v>106.73</v>
      </c>
      <c r="I1587">
        <v>117.51</v>
      </c>
      <c r="J1587">
        <v>154.01</v>
      </c>
      <c r="K1587">
        <v>31.28</v>
      </c>
    </row>
    <row r="1588" spans="1:11">
      <c r="A1588">
        <v>225.67</v>
      </c>
      <c r="B1588">
        <v>32.06</v>
      </c>
      <c r="C1588">
        <v>32.119999999999997</v>
      </c>
      <c r="D1588">
        <v>31.73</v>
      </c>
      <c r="E1588">
        <v>48.34</v>
      </c>
      <c r="F1588">
        <v>115.67</v>
      </c>
      <c r="G1588">
        <v>125.95</v>
      </c>
      <c r="H1588">
        <v>106.4</v>
      </c>
      <c r="I1588">
        <v>117.06</v>
      </c>
      <c r="J1588">
        <v>154.01</v>
      </c>
      <c r="K1588">
        <v>31.28</v>
      </c>
    </row>
    <row r="1589" spans="1:11">
      <c r="A1589">
        <v>225.83</v>
      </c>
      <c r="B1589">
        <v>32.229999999999997</v>
      </c>
      <c r="C1589">
        <v>32.340000000000003</v>
      </c>
      <c r="D1589">
        <v>31.9</v>
      </c>
      <c r="E1589">
        <v>48.56</v>
      </c>
      <c r="F1589">
        <v>115.28</v>
      </c>
      <c r="G1589">
        <v>126.01</v>
      </c>
      <c r="H1589">
        <v>106.01</v>
      </c>
      <c r="I1589">
        <v>117.28</v>
      </c>
      <c r="J1589">
        <v>153.9</v>
      </c>
      <c r="K1589">
        <v>31.28</v>
      </c>
    </row>
    <row r="1590" spans="1:11">
      <c r="A1590">
        <v>226</v>
      </c>
      <c r="B1590">
        <v>32.28</v>
      </c>
      <c r="C1590">
        <v>32.340000000000003</v>
      </c>
      <c r="D1590">
        <v>31.9</v>
      </c>
      <c r="E1590">
        <v>49.23</v>
      </c>
      <c r="F1590">
        <v>115.34</v>
      </c>
      <c r="G1590">
        <v>125.9</v>
      </c>
      <c r="H1590">
        <v>105.45</v>
      </c>
      <c r="I1590">
        <v>115.17</v>
      </c>
      <c r="J1590">
        <v>153.9</v>
      </c>
      <c r="K1590">
        <v>31.28</v>
      </c>
    </row>
    <row r="1591" spans="1:11">
      <c r="A1591">
        <v>226.17</v>
      </c>
      <c r="B1591">
        <v>32.51</v>
      </c>
      <c r="C1591">
        <v>32.450000000000003</v>
      </c>
      <c r="D1591">
        <v>31.95</v>
      </c>
      <c r="E1591">
        <v>49.62</v>
      </c>
      <c r="F1591">
        <v>114.9</v>
      </c>
      <c r="G1591">
        <v>125.9</v>
      </c>
      <c r="H1591">
        <v>104.73</v>
      </c>
      <c r="I1591">
        <v>114.4</v>
      </c>
      <c r="J1591">
        <v>153.84</v>
      </c>
      <c r="K1591">
        <v>31.28</v>
      </c>
    </row>
    <row r="1592" spans="1:11">
      <c r="A1592">
        <v>226.33</v>
      </c>
      <c r="B1592">
        <v>32.51</v>
      </c>
      <c r="C1592">
        <v>32.450000000000003</v>
      </c>
      <c r="D1592">
        <v>32.01</v>
      </c>
      <c r="E1592">
        <v>49.84</v>
      </c>
      <c r="F1592">
        <v>114.4</v>
      </c>
      <c r="G1592">
        <v>125.73</v>
      </c>
      <c r="H1592">
        <v>103.51</v>
      </c>
      <c r="I1592">
        <v>114.84</v>
      </c>
      <c r="J1592">
        <v>153.72999999999999</v>
      </c>
      <c r="K1592">
        <v>31.28</v>
      </c>
    </row>
    <row r="1593" spans="1:11">
      <c r="A1593">
        <v>226.5</v>
      </c>
      <c r="B1593">
        <v>32.729999999999997</v>
      </c>
      <c r="C1593">
        <v>32.78</v>
      </c>
      <c r="D1593">
        <v>32.229999999999997</v>
      </c>
      <c r="E1593">
        <v>50.12</v>
      </c>
      <c r="F1593">
        <v>113.84</v>
      </c>
      <c r="G1593">
        <v>125.78</v>
      </c>
      <c r="H1593">
        <v>102.9</v>
      </c>
      <c r="I1593">
        <v>113.95</v>
      </c>
      <c r="J1593">
        <v>153.78</v>
      </c>
      <c r="K1593">
        <v>31.34</v>
      </c>
    </row>
    <row r="1594" spans="1:11">
      <c r="A1594">
        <v>226.67</v>
      </c>
      <c r="B1594">
        <v>32.729999999999997</v>
      </c>
      <c r="C1594">
        <v>32.67</v>
      </c>
      <c r="D1594">
        <v>32.229999999999997</v>
      </c>
      <c r="E1594">
        <v>50.51</v>
      </c>
      <c r="F1594">
        <v>114.06</v>
      </c>
      <c r="G1594">
        <v>125.73</v>
      </c>
      <c r="H1594">
        <v>102.23</v>
      </c>
      <c r="I1594">
        <v>113.73</v>
      </c>
      <c r="J1594">
        <v>153.72999999999999</v>
      </c>
      <c r="K1594">
        <v>31.34</v>
      </c>
    </row>
    <row r="1595" spans="1:11">
      <c r="A1595">
        <v>226.83</v>
      </c>
      <c r="B1595">
        <v>32.840000000000003</v>
      </c>
      <c r="C1595">
        <v>32.950000000000003</v>
      </c>
      <c r="D1595">
        <v>32.340000000000003</v>
      </c>
      <c r="E1595">
        <v>50.84</v>
      </c>
      <c r="F1595">
        <v>114.06</v>
      </c>
      <c r="G1595">
        <v>125.73</v>
      </c>
      <c r="H1595">
        <v>102.23</v>
      </c>
      <c r="I1595">
        <v>114.45</v>
      </c>
      <c r="J1595">
        <v>153.84</v>
      </c>
      <c r="K1595">
        <v>31.34</v>
      </c>
    </row>
    <row r="1596" spans="1:11">
      <c r="A1596">
        <v>227</v>
      </c>
      <c r="B1596">
        <v>32.950000000000003</v>
      </c>
      <c r="C1596">
        <v>32.950000000000003</v>
      </c>
      <c r="D1596">
        <v>32.51</v>
      </c>
      <c r="E1596">
        <v>51.12</v>
      </c>
      <c r="F1596">
        <v>113.67</v>
      </c>
      <c r="G1596">
        <v>125.73</v>
      </c>
      <c r="H1596">
        <v>102.12</v>
      </c>
      <c r="I1596">
        <v>115.01</v>
      </c>
      <c r="J1596">
        <v>153.78</v>
      </c>
      <c r="K1596">
        <v>31.34</v>
      </c>
    </row>
    <row r="1597" spans="1:11">
      <c r="A1597">
        <v>227.17</v>
      </c>
      <c r="B1597">
        <v>33.119999999999997</v>
      </c>
      <c r="C1597">
        <v>33.06</v>
      </c>
      <c r="D1597">
        <v>32.51</v>
      </c>
      <c r="E1597">
        <v>51.4</v>
      </c>
      <c r="F1597">
        <v>113.51</v>
      </c>
      <c r="G1597">
        <v>125.62</v>
      </c>
      <c r="H1597">
        <v>101.9</v>
      </c>
      <c r="I1597">
        <v>114.73</v>
      </c>
      <c r="J1597">
        <v>153.66999999999999</v>
      </c>
      <c r="K1597">
        <v>31.34</v>
      </c>
    </row>
    <row r="1598" spans="1:11">
      <c r="A1598">
        <v>227.33</v>
      </c>
      <c r="B1598">
        <v>33.229999999999997</v>
      </c>
      <c r="C1598">
        <v>33.17</v>
      </c>
      <c r="D1598">
        <v>32.67</v>
      </c>
      <c r="E1598">
        <v>51.67</v>
      </c>
      <c r="F1598">
        <v>112.78</v>
      </c>
      <c r="G1598">
        <v>125.62</v>
      </c>
      <c r="H1598">
        <v>101.95</v>
      </c>
      <c r="I1598">
        <v>114.23</v>
      </c>
      <c r="J1598">
        <v>153.66999999999999</v>
      </c>
      <c r="K1598">
        <v>31.34</v>
      </c>
    </row>
    <row r="1599" spans="1:11">
      <c r="A1599">
        <v>227.5</v>
      </c>
      <c r="B1599">
        <v>33.340000000000003</v>
      </c>
      <c r="C1599">
        <v>33.340000000000003</v>
      </c>
      <c r="D1599">
        <v>32.78</v>
      </c>
      <c r="E1599">
        <v>51.67</v>
      </c>
      <c r="F1599">
        <v>112.78</v>
      </c>
      <c r="G1599">
        <v>125.62</v>
      </c>
      <c r="H1599">
        <v>102.9</v>
      </c>
      <c r="I1599">
        <v>113.12</v>
      </c>
      <c r="J1599">
        <v>153.66999999999999</v>
      </c>
      <c r="K1599">
        <v>31.34</v>
      </c>
    </row>
    <row r="1600" spans="1:11">
      <c r="A1600">
        <v>227.67</v>
      </c>
      <c r="B1600">
        <v>33.340000000000003</v>
      </c>
      <c r="C1600">
        <v>33.340000000000003</v>
      </c>
      <c r="D1600">
        <v>32.9</v>
      </c>
      <c r="E1600">
        <v>52.01</v>
      </c>
      <c r="F1600">
        <v>112.67</v>
      </c>
      <c r="G1600">
        <v>125.56</v>
      </c>
      <c r="H1600">
        <v>102.4</v>
      </c>
      <c r="I1600">
        <v>112.01</v>
      </c>
      <c r="J1600">
        <v>153.62</v>
      </c>
      <c r="K1600">
        <v>31.34</v>
      </c>
    </row>
    <row r="1601" spans="1:11">
      <c r="A1601">
        <v>227.83</v>
      </c>
      <c r="B1601">
        <v>33.51</v>
      </c>
      <c r="C1601">
        <v>33.4</v>
      </c>
      <c r="D1601">
        <v>32.840000000000003</v>
      </c>
      <c r="E1601">
        <v>51.95</v>
      </c>
      <c r="F1601">
        <v>112.78</v>
      </c>
      <c r="G1601">
        <v>125.45</v>
      </c>
      <c r="H1601">
        <v>101.73</v>
      </c>
      <c r="I1601">
        <v>110.73</v>
      </c>
      <c r="J1601">
        <v>153.56</v>
      </c>
      <c r="K1601">
        <v>31.34</v>
      </c>
    </row>
    <row r="1602" spans="1:11">
      <c r="A1602">
        <v>228</v>
      </c>
      <c r="B1602">
        <v>33.51</v>
      </c>
      <c r="C1602">
        <v>33.56</v>
      </c>
      <c r="D1602">
        <v>32.950000000000003</v>
      </c>
      <c r="E1602">
        <v>52.34</v>
      </c>
      <c r="F1602">
        <v>112.78</v>
      </c>
      <c r="G1602">
        <v>125.17</v>
      </c>
      <c r="H1602">
        <v>101.23</v>
      </c>
      <c r="I1602">
        <v>110.56</v>
      </c>
      <c r="J1602">
        <v>153.56</v>
      </c>
      <c r="K1602">
        <v>31.34</v>
      </c>
    </row>
    <row r="1603" spans="1:11">
      <c r="A1603">
        <v>228.17</v>
      </c>
      <c r="B1603">
        <v>33.56</v>
      </c>
      <c r="C1603">
        <v>33.619999999999997</v>
      </c>
      <c r="D1603">
        <v>33.06</v>
      </c>
      <c r="E1603">
        <v>52.4</v>
      </c>
      <c r="F1603">
        <v>112.56</v>
      </c>
      <c r="G1603">
        <v>125.34</v>
      </c>
      <c r="H1603">
        <v>101.01</v>
      </c>
      <c r="I1603">
        <v>109.12</v>
      </c>
      <c r="J1603">
        <v>153.51</v>
      </c>
      <c r="K1603">
        <v>31.4</v>
      </c>
    </row>
    <row r="1604" spans="1:11">
      <c r="A1604">
        <v>228.33</v>
      </c>
      <c r="B1604">
        <v>33.56</v>
      </c>
      <c r="C1604">
        <v>33.78</v>
      </c>
      <c r="D1604">
        <v>33.229999999999997</v>
      </c>
      <c r="E1604">
        <v>52.56</v>
      </c>
      <c r="F1604">
        <v>112.34</v>
      </c>
      <c r="G1604">
        <v>125.34</v>
      </c>
      <c r="H1604">
        <v>101.12</v>
      </c>
      <c r="I1604">
        <v>109.17</v>
      </c>
      <c r="J1604">
        <v>153.56</v>
      </c>
      <c r="K1604">
        <v>31.4</v>
      </c>
    </row>
    <row r="1605" spans="1:11">
      <c r="A1605">
        <v>228.5</v>
      </c>
      <c r="B1605">
        <v>33.729999999999997</v>
      </c>
      <c r="C1605">
        <v>33.9</v>
      </c>
      <c r="D1605">
        <v>33.340000000000003</v>
      </c>
      <c r="E1605">
        <v>52.73</v>
      </c>
      <c r="F1605">
        <v>112.17</v>
      </c>
      <c r="G1605">
        <v>125.28</v>
      </c>
      <c r="H1605">
        <v>101.4</v>
      </c>
      <c r="I1605">
        <v>108.34</v>
      </c>
      <c r="J1605">
        <v>153.56</v>
      </c>
      <c r="K1605">
        <v>31.4</v>
      </c>
    </row>
    <row r="1606" spans="1:11">
      <c r="A1606">
        <v>228.67</v>
      </c>
      <c r="B1606">
        <v>33.78</v>
      </c>
      <c r="C1606">
        <v>33.950000000000003</v>
      </c>
      <c r="D1606">
        <v>33.56</v>
      </c>
      <c r="E1606">
        <v>52.84</v>
      </c>
      <c r="F1606">
        <v>112.17</v>
      </c>
      <c r="G1606">
        <v>125.28</v>
      </c>
      <c r="H1606">
        <v>101.01</v>
      </c>
      <c r="I1606">
        <v>108.45</v>
      </c>
      <c r="J1606">
        <v>153.44999999999999</v>
      </c>
      <c r="K1606">
        <v>31.4</v>
      </c>
    </row>
    <row r="1607" spans="1:11">
      <c r="A1607">
        <v>228.83</v>
      </c>
      <c r="B1607">
        <v>33.78</v>
      </c>
      <c r="C1607">
        <v>34.119999999999997</v>
      </c>
      <c r="D1607">
        <v>33.619999999999997</v>
      </c>
      <c r="E1607">
        <v>53.12</v>
      </c>
      <c r="F1607">
        <v>111.84</v>
      </c>
      <c r="G1607">
        <v>125.28</v>
      </c>
      <c r="H1607">
        <v>100.51</v>
      </c>
      <c r="I1607">
        <v>108.84</v>
      </c>
      <c r="J1607">
        <v>153.51</v>
      </c>
      <c r="K1607">
        <v>31.4</v>
      </c>
    </row>
    <row r="1608" spans="1:11">
      <c r="A1608">
        <v>229</v>
      </c>
      <c r="B1608">
        <v>33.78</v>
      </c>
      <c r="C1608">
        <v>34.119999999999997</v>
      </c>
      <c r="D1608">
        <v>33.619999999999997</v>
      </c>
      <c r="E1608">
        <v>53.34</v>
      </c>
      <c r="F1608">
        <v>111.4</v>
      </c>
      <c r="G1608">
        <v>125.28</v>
      </c>
      <c r="H1608">
        <v>100.67</v>
      </c>
      <c r="I1608">
        <v>108.84</v>
      </c>
      <c r="J1608">
        <v>153.4</v>
      </c>
      <c r="K1608">
        <v>31.4</v>
      </c>
    </row>
    <row r="1609" spans="1:11">
      <c r="A1609">
        <v>229.17</v>
      </c>
      <c r="B1609">
        <v>33.950000000000003</v>
      </c>
      <c r="C1609">
        <v>34.229999999999997</v>
      </c>
      <c r="D1609">
        <v>33.840000000000003</v>
      </c>
      <c r="E1609">
        <v>53.45</v>
      </c>
      <c r="F1609">
        <v>111.17</v>
      </c>
      <c r="G1609">
        <v>125.23</v>
      </c>
      <c r="H1609">
        <v>100.28</v>
      </c>
      <c r="I1609">
        <v>107.67</v>
      </c>
      <c r="J1609">
        <v>153.34</v>
      </c>
      <c r="K1609">
        <v>31.4</v>
      </c>
    </row>
    <row r="1610" spans="1:11">
      <c r="A1610">
        <v>229.33</v>
      </c>
      <c r="B1610">
        <v>33.950000000000003</v>
      </c>
      <c r="C1610">
        <v>34.340000000000003</v>
      </c>
      <c r="D1610">
        <v>33.840000000000003</v>
      </c>
      <c r="E1610">
        <v>53.51</v>
      </c>
      <c r="F1610">
        <v>111.17</v>
      </c>
      <c r="G1610">
        <v>125.12</v>
      </c>
      <c r="H1610">
        <v>99.51</v>
      </c>
      <c r="I1610">
        <v>107.4</v>
      </c>
      <c r="J1610">
        <v>153.34</v>
      </c>
      <c r="K1610">
        <v>31.4</v>
      </c>
    </row>
    <row r="1611" spans="1:11">
      <c r="A1611">
        <v>229.5</v>
      </c>
      <c r="B1611">
        <v>34.01</v>
      </c>
      <c r="C1611">
        <v>34.340000000000003</v>
      </c>
      <c r="D1611">
        <v>33.950000000000003</v>
      </c>
      <c r="E1611">
        <v>53.67</v>
      </c>
      <c r="F1611">
        <v>110.73</v>
      </c>
      <c r="G1611">
        <v>125.17</v>
      </c>
      <c r="H1611">
        <v>99.28</v>
      </c>
      <c r="I1611">
        <v>108.56</v>
      </c>
      <c r="J1611">
        <v>153.28</v>
      </c>
      <c r="K1611">
        <v>31.4</v>
      </c>
    </row>
    <row r="1612" spans="1:11">
      <c r="A1612">
        <v>229.67</v>
      </c>
      <c r="B1612">
        <v>34.17</v>
      </c>
      <c r="C1612">
        <v>34.450000000000003</v>
      </c>
      <c r="D1612">
        <v>33.950000000000003</v>
      </c>
      <c r="E1612">
        <v>53.78</v>
      </c>
      <c r="F1612">
        <v>110.34</v>
      </c>
      <c r="G1612">
        <v>125.06</v>
      </c>
      <c r="H1612">
        <v>99.4</v>
      </c>
      <c r="I1612">
        <v>107.73</v>
      </c>
      <c r="J1612">
        <v>153.22999999999999</v>
      </c>
      <c r="K1612">
        <v>31.4</v>
      </c>
    </row>
    <row r="1613" spans="1:11">
      <c r="A1613">
        <v>229.83</v>
      </c>
      <c r="B1613">
        <v>34.229999999999997</v>
      </c>
      <c r="C1613">
        <v>34.56</v>
      </c>
      <c r="D1613">
        <v>34.06</v>
      </c>
      <c r="E1613">
        <v>53.73</v>
      </c>
      <c r="F1613">
        <v>110.23</v>
      </c>
      <c r="G1613">
        <v>125.06</v>
      </c>
      <c r="H1613">
        <v>98.9</v>
      </c>
      <c r="I1613">
        <v>107.62</v>
      </c>
      <c r="J1613">
        <v>153.16999999999999</v>
      </c>
      <c r="K1613">
        <v>31.4</v>
      </c>
    </row>
    <row r="1614" spans="1:11">
      <c r="A1614">
        <v>230</v>
      </c>
      <c r="B1614">
        <v>34.229999999999997</v>
      </c>
      <c r="C1614">
        <v>34.619999999999997</v>
      </c>
      <c r="D1614">
        <v>34.17</v>
      </c>
      <c r="E1614">
        <v>53.84</v>
      </c>
      <c r="F1614">
        <v>110.4</v>
      </c>
      <c r="G1614">
        <v>124.95</v>
      </c>
      <c r="H1614">
        <v>99.45</v>
      </c>
      <c r="I1614">
        <v>107.67</v>
      </c>
      <c r="J1614">
        <v>153.12</v>
      </c>
      <c r="K1614">
        <v>31.4</v>
      </c>
    </row>
    <row r="1615" spans="1:11">
      <c r="A1615">
        <v>230.17</v>
      </c>
      <c r="B1615">
        <v>34.28</v>
      </c>
      <c r="C1615">
        <v>34.729999999999997</v>
      </c>
      <c r="D1615">
        <v>34.229999999999997</v>
      </c>
      <c r="E1615">
        <v>53.78</v>
      </c>
      <c r="F1615">
        <v>109.9</v>
      </c>
      <c r="G1615">
        <v>124.9</v>
      </c>
      <c r="H1615">
        <v>99.51</v>
      </c>
      <c r="I1615">
        <v>106.9</v>
      </c>
      <c r="J1615">
        <v>153.12</v>
      </c>
      <c r="K1615">
        <v>31.4</v>
      </c>
    </row>
    <row r="1616" spans="1:11">
      <c r="A1616">
        <v>230.33</v>
      </c>
      <c r="B1616">
        <v>34.28</v>
      </c>
      <c r="C1616">
        <v>34.729999999999997</v>
      </c>
      <c r="D1616">
        <v>34.340000000000003</v>
      </c>
      <c r="E1616">
        <v>53.95</v>
      </c>
      <c r="F1616">
        <v>110.17</v>
      </c>
      <c r="G1616">
        <v>124.95</v>
      </c>
      <c r="H1616">
        <v>99.67</v>
      </c>
      <c r="I1616">
        <v>105.67</v>
      </c>
      <c r="J1616">
        <v>153.06</v>
      </c>
      <c r="K1616">
        <v>31.4</v>
      </c>
    </row>
    <row r="1617" spans="1:11">
      <c r="A1617">
        <v>230.5</v>
      </c>
      <c r="B1617">
        <v>34.340000000000003</v>
      </c>
      <c r="C1617">
        <v>35.01</v>
      </c>
      <c r="D1617">
        <v>34.4</v>
      </c>
      <c r="E1617">
        <v>53.95</v>
      </c>
      <c r="F1617">
        <v>110.28</v>
      </c>
      <c r="G1617">
        <v>124.84</v>
      </c>
      <c r="H1617">
        <v>99.51</v>
      </c>
      <c r="I1617">
        <v>104.95</v>
      </c>
      <c r="J1617">
        <v>153.01</v>
      </c>
      <c r="K1617">
        <v>31.45</v>
      </c>
    </row>
    <row r="1618" spans="1:11">
      <c r="A1618">
        <v>230.67</v>
      </c>
      <c r="B1618">
        <v>34.340000000000003</v>
      </c>
      <c r="C1618">
        <v>34.840000000000003</v>
      </c>
      <c r="D1618">
        <v>34.56</v>
      </c>
      <c r="E1618">
        <v>54.23</v>
      </c>
      <c r="F1618">
        <v>110.12</v>
      </c>
      <c r="G1618">
        <v>124.9</v>
      </c>
      <c r="H1618">
        <v>99.12</v>
      </c>
      <c r="I1618">
        <v>105.01</v>
      </c>
      <c r="J1618">
        <v>152.94999999999999</v>
      </c>
      <c r="K1618">
        <v>31.45</v>
      </c>
    </row>
    <row r="1619" spans="1:11">
      <c r="A1619">
        <v>230.83</v>
      </c>
      <c r="B1619">
        <v>34.4</v>
      </c>
      <c r="C1619">
        <v>35.17</v>
      </c>
      <c r="D1619">
        <v>34.729999999999997</v>
      </c>
      <c r="E1619">
        <v>54.17</v>
      </c>
      <c r="F1619">
        <v>109.56</v>
      </c>
      <c r="G1619">
        <v>124.78</v>
      </c>
      <c r="H1619">
        <v>99.78</v>
      </c>
      <c r="I1619">
        <v>105.06</v>
      </c>
      <c r="J1619">
        <v>152.84</v>
      </c>
      <c r="K1619">
        <v>31.45</v>
      </c>
    </row>
    <row r="1620" spans="1:11">
      <c r="A1620">
        <v>231</v>
      </c>
      <c r="B1620">
        <v>34.4</v>
      </c>
      <c r="C1620">
        <v>35.28</v>
      </c>
      <c r="D1620">
        <v>34.78</v>
      </c>
      <c r="E1620">
        <v>54.34</v>
      </c>
      <c r="F1620">
        <v>109.51</v>
      </c>
      <c r="G1620">
        <v>124.78</v>
      </c>
      <c r="H1620">
        <v>99.45</v>
      </c>
      <c r="I1620">
        <v>104.4</v>
      </c>
      <c r="J1620">
        <v>152.9</v>
      </c>
      <c r="K1620">
        <v>31.45</v>
      </c>
    </row>
    <row r="1621" spans="1:11">
      <c r="A1621">
        <v>231.17</v>
      </c>
      <c r="B1621">
        <v>34.4</v>
      </c>
      <c r="C1621">
        <v>35.340000000000003</v>
      </c>
      <c r="D1621">
        <v>34.840000000000003</v>
      </c>
      <c r="E1621">
        <v>54.51</v>
      </c>
      <c r="F1621">
        <v>109.23</v>
      </c>
      <c r="G1621">
        <v>124.67</v>
      </c>
      <c r="H1621">
        <v>98.78</v>
      </c>
      <c r="I1621">
        <v>104.62</v>
      </c>
      <c r="J1621">
        <v>152.72999999999999</v>
      </c>
      <c r="K1621">
        <v>31.45</v>
      </c>
    </row>
    <row r="1622" spans="1:11">
      <c r="A1622">
        <v>231.33</v>
      </c>
      <c r="B1622">
        <v>34.450000000000003</v>
      </c>
      <c r="C1622">
        <v>35.450000000000003</v>
      </c>
      <c r="D1622">
        <v>35.01</v>
      </c>
      <c r="E1622">
        <v>54.45</v>
      </c>
      <c r="F1622">
        <v>109.62</v>
      </c>
      <c r="G1622">
        <v>124.62</v>
      </c>
      <c r="H1622">
        <v>98.56</v>
      </c>
      <c r="I1622">
        <v>103.4</v>
      </c>
      <c r="J1622">
        <v>152.78</v>
      </c>
      <c r="K1622">
        <v>31.45</v>
      </c>
    </row>
    <row r="1623" spans="1:11">
      <c r="A1623">
        <v>231.5</v>
      </c>
      <c r="B1623">
        <v>34.56</v>
      </c>
      <c r="C1623">
        <v>35.729999999999997</v>
      </c>
      <c r="D1623">
        <v>35.17</v>
      </c>
      <c r="E1623">
        <v>54.45</v>
      </c>
      <c r="F1623">
        <v>108.9</v>
      </c>
      <c r="G1623">
        <v>124.62</v>
      </c>
      <c r="H1623">
        <v>98.62</v>
      </c>
      <c r="I1623">
        <v>103.56</v>
      </c>
      <c r="J1623">
        <v>152.62</v>
      </c>
      <c r="K1623">
        <v>31.45</v>
      </c>
    </row>
    <row r="1624" spans="1:11">
      <c r="A1624">
        <v>231.67</v>
      </c>
      <c r="B1624">
        <v>34.56</v>
      </c>
      <c r="C1624">
        <v>35.619999999999997</v>
      </c>
      <c r="D1624">
        <v>35.17</v>
      </c>
      <c r="E1624">
        <v>54.34</v>
      </c>
      <c r="F1624">
        <v>108.45</v>
      </c>
      <c r="G1624">
        <v>124.51</v>
      </c>
      <c r="H1624">
        <v>98.78</v>
      </c>
      <c r="I1624">
        <v>103.73</v>
      </c>
      <c r="J1624">
        <v>152.66999999999999</v>
      </c>
      <c r="K1624">
        <v>31.45</v>
      </c>
    </row>
    <row r="1625" spans="1:11">
      <c r="A1625">
        <v>231.83</v>
      </c>
      <c r="B1625">
        <v>34.56</v>
      </c>
      <c r="C1625">
        <v>35.78</v>
      </c>
      <c r="D1625">
        <v>35.340000000000003</v>
      </c>
      <c r="E1625">
        <v>54.23</v>
      </c>
      <c r="F1625">
        <v>108.34</v>
      </c>
      <c r="G1625">
        <v>124.45</v>
      </c>
      <c r="H1625">
        <v>98.4</v>
      </c>
      <c r="I1625">
        <v>103.67</v>
      </c>
      <c r="J1625">
        <v>152.56</v>
      </c>
      <c r="K1625">
        <v>31.45</v>
      </c>
    </row>
    <row r="1626" spans="1:11">
      <c r="A1626">
        <v>232</v>
      </c>
      <c r="B1626">
        <v>34.56</v>
      </c>
      <c r="C1626">
        <v>35.729999999999997</v>
      </c>
      <c r="D1626">
        <v>35.340000000000003</v>
      </c>
      <c r="E1626">
        <v>54.12</v>
      </c>
      <c r="F1626">
        <v>108.34</v>
      </c>
      <c r="G1626">
        <v>124.17</v>
      </c>
      <c r="H1626">
        <v>97.56</v>
      </c>
      <c r="I1626">
        <v>102.56</v>
      </c>
      <c r="J1626">
        <v>152.51</v>
      </c>
      <c r="K1626">
        <v>31.45</v>
      </c>
    </row>
    <row r="1627" spans="1:11">
      <c r="A1627">
        <v>232.17</v>
      </c>
      <c r="B1627">
        <v>34.56</v>
      </c>
      <c r="C1627">
        <v>35.9</v>
      </c>
      <c r="D1627">
        <v>35.450000000000003</v>
      </c>
      <c r="E1627">
        <v>54.17</v>
      </c>
      <c r="F1627">
        <v>108.34</v>
      </c>
      <c r="G1627">
        <v>124.28</v>
      </c>
      <c r="H1627">
        <v>97.28</v>
      </c>
      <c r="I1627">
        <v>102.23</v>
      </c>
      <c r="J1627">
        <v>152.51</v>
      </c>
      <c r="K1627">
        <v>31.51</v>
      </c>
    </row>
    <row r="1628" spans="1:11">
      <c r="A1628">
        <v>232.33</v>
      </c>
      <c r="B1628">
        <v>34.729999999999997</v>
      </c>
      <c r="C1628">
        <v>36.01</v>
      </c>
      <c r="D1628">
        <v>35.67</v>
      </c>
      <c r="E1628">
        <v>54.34</v>
      </c>
      <c r="F1628">
        <v>107.9</v>
      </c>
      <c r="G1628">
        <v>124.34</v>
      </c>
      <c r="H1628">
        <v>97.01</v>
      </c>
      <c r="I1628">
        <v>101.73</v>
      </c>
      <c r="J1628">
        <v>152.51</v>
      </c>
      <c r="K1628">
        <v>31.51</v>
      </c>
    </row>
    <row r="1629" spans="1:11">
      <c r="A1629">
        <v>232.5</v>
      </c>
      <c r="B1629">
        <v>34.619999999999997</v>
      </c>
      <c r="C1629">
        <v>35.9</v>
      </c>
      <c r="D1629">
        <v>35.619999999999997</v>
      </c>
      <c r="E1629">
        <v>54.01</v>
      </c>
      <c r="F1629">
        <v>107.45</v>
      </c>
      <c r="G1629">
        <v>124.17</v>
      </c>
      <c r="H1629">
        <v>96.9</v>
      </c>
      <c r="I1629">
        <v>102.62</v>
      </c>
      <c r="J1629">
        <v>152.4</v>
      </c>
      <c r="K1629">
        <v>31.51</v>
      </c>
    </row>
    <row r="1630" spans="1:11">
      <c r="A1630">
        <v>232.67</v>
      </c>
      <c r="B1630">
        <v>34.67</v>
      </c>
      <c r="C1630">
        <v>36.06</v>
      </c>
      <c r="D1630">
        <v>35.840000000000003</v>
      </c>
      <c r="E1630">
        <v>52.78</v>
      </c>
      <c r="F1630">
        <v>107.17</v>
      </c>
      <c r="G1630">
        <v>124.17</v>
      </c>
      <c r="H1630">
        <v>96.51</v>
      </c>
      <c r="I1630">
        <v>102.28</v>
      </c>
      <c r="J1630">
        <v>152.4</v>
      </c>
      <c r="K1630">
        <v>31.51</v>
      </c>
    </row>
    <row r="1631" spans="1:11">
      <c r="A1631">
        <v>232.83</v>
      </c>
      <c r="B1631">
        <v>34.56</v>
      </c>
      <c r="C1631">
        <v>35.950000000000003</v>
      </c>
      <c r="D1631">
        <v>35.729999999999997</v>
      </c>
      <c r="E1631">
        <v>51.4</v>
      </c>
      <c r="F1631">
        <v>107.34</v>
      </c>
      <c r="G1631">
        <v>124.12</v>
      </c>
      <c r="H1631">
        <v>96.62</v>
      </c>
      <c r="I1631">
        <v>101.78</v>
      </c>
      <c r="J1631">
        <v>152.4</v>
      </c>
      <c r="K1631">
        <v>31.51</v>
      </c>
    </row>
    <row r="1632" spans="1:11">
      <c r="A1632">
        <v>233</v>
      </c>
      <c r="B1632">
        <v>34.450000000000003</v>
      </c>
      <c r="C1632">
        <v>36.01</v>
      </c>
      <c r="D1632">
        <v>35.729999999999997</v>
      </c>
      <c r="E1632">
        <v>50.45</v>
      </c>
      <c r="F1632">
        <v>107.17</v>
      </c>
      <c r="G1632">
        <v>124.01</v>
      </c>
      <c r="H1632">
        <v>96.17</v>
      </c>
      <c r="I1632">
        <v>100.28</v>
      </c>
      <c r="J1632">
        <v>152.22999999999999</v>
      </c>
      <c r="K1632">
        <v>31.51</v>
      </c>
    </row>
    <row r="1633" spans="1:11">
      <c r="A1633">
        <v>233.17</v>
      </c>
      <c r="B1633">
        <v>34.619999999999997</v>
      </c>
      <c r="C1633">
        <v>36.17</v>
      </c>
      <c r="D1633">
        <v>35.78</v>
      </c>
      <c r="E1633">
        <v>49.78</v>
      </c>
      <c r="F1633">
        <v>107.01</v>
      </c>
      <c r="G1633">
        <v>124.01</v>
      </c>
      <c r="H1633">
        <v>96.56</v>
      </c>
      <c r="I1633">
        <v>100.28</v>
      </c>
      <c r="J1633">
        <v>152.22999999999999</v>
      </c>
      <c r="K1633">
        <v>31.51</v>
      </c>
    </row>
    <row r="1634" spans="1:11">
      <c r="A1634">
        <v>233.33</v>
      </c>
      <c r="B1634">
        <v>34.4</v>
      </c>
      <c r="C1634">
        <v>35.9</v>
      </c>
      <c r="D1634">
        <v>35.729999999999997</v>
      </c>
      <c r="E1634">
        <v>48.56</v>
      </c>
      <c r="F1634">
        <v>106.67</v>
      </c>
      <c r="G1634">
        <v>123.84</v>
      </c>
      <c r="H1634">
        <v>96.01</v>
      </c>
      <c r="I1634">
        <v>100.51</v>
      </c>
      <c r="J1634">
        <v>152.12</v>
      </c>
      <c r="K1634">
        <v>31.51</v>
      </c>
    </row>
    <row r="1635" spans="1:11">
      <c r="A1635">
        <v>233.5</v>
      </c>
      <c r="B1635">
        <v>34.450000000000003</v>
      </c>
      <c r="C1635">
        <v>35.950000000000003</v>
      </c>
      <c r="D1635">
        <v>35.619999999999997</v>
      </c>
      <c r="E1635">
        <v>46.95</v>
      </c>
      <c r="F1635">
        <v>106.51</v>
      </c>
      <c r="G1635">
        <v>123.78</v>
      </c>
      <c r="H1635">
        <v>95.62</v>
      </c>
      <c r="I1635">
        <v>99.9</v>
      </c>
      <c r="J1635">
        <v>152.01</v>
      </c>
      <c r="K1635">
        <v>31.51</v>
      </c>
    </row>
    <row r="1636" spans="1:11">
      <c r="A1636">
        <v>233.67</v>
      </c>
      <c r="B1636">
        <v>34.119999999999997</v>
      </c>
      <c r="C1636">
        <v>35.4</v>
      </c>
      <c r="D1636">
        <v>35.340000000000003</v>
      </c>
      <c r="E1636">
        <v>45.17</v>
      </c>
      <c r="F1636">
        <v>105.78</v>
      </c>
      <c r="G1636">
        <v>123.56</v>
      </c>
      <c r="H1636">
        <v>96.12</v>
      </c>
      <c r="I1636">
        <v>99.84</v>
      </c>
      <c r="J1636">
        <v>152.01</v>
      </c>
      <c r="K1636">
        <v>31.51</v>
      </c>
    </row>
    <row r="1637" spans="1:11">
      <c r="A1637">
        <v>233.83</v>
      </c>
      <c r="B1637">
        <v>33.450000000000003</v>
      </c>
      <c r="C1637">
        <v>35.229999999999997</v>
      </c>
      <c r="D1637">
        <v>35.119999999999997</v>
      </c>
      <c r="E1637">
        <v>43.62</v>
      </c>
      <c r="F1637">
        <v>105.56</v>
      </c>
      <c r="G1637">
        <v>123.56</v>
      </c>
      <c r="H1637">
        <v>96.01</v>
      </c>
      <c r="I1637">
        <v>99.06</v>
      </c>
      <c r="J1637">
        <v>152.01</v>
      </c>
      <c r="K1637">
        <v>31.51</v>
      </c>
    </row>
    <row r="1638" spans="1:11">
      <c r="A1638">
        <v>234</v>
      </c>
      <c r="B1638">
        <v>32.840000000000003</v>
      </c>
      <c r="C1638">
        <v>35.01</v>
      </c>
      <c r="D1638">
        <v>34.78</v>
      </c>
      <c r="E1638">
        <v>42.17</v>
      </c>
      <c r="F1638">
        <v>105.12</v>
      </c>
      <c r="G1638">
        <v>123.45</v>
      </c>
      <c r="H1638">
        <v>96.06</v>
      </c>
      <c r="I1638">
        <v>98.62</v>
      </c>
      <c r="J1638">
        <v>151.94999999999999</v>
      </c>
      <c r="K1638">
        <v>31.56</v>
      </c>
    </row>
    <row r="1639" spans="1:11">
      <c r="A1639">
        <v>234.17</v>
      </c>
      <c r="B1639">
        <v>32.28</v>
      </c>
      <c r="C1639">
        <v>34.840000000000003</v>
      </c>
      <c r="D1639">
        <v>34.619999999999997</v>
      </c>
      <c r="E1639">
        <v>41.06</v>
      </c>
      <c r="F1639">
        <v>105.17</v>
      </c>
      <c r="G1639">
        <v>123.34</v>
      </c>
      <c r="H1639">
        <v>95.4</v>
      </c>
      <c r="I1639">
        <v>98.06</v>
      </c>
      <c r="J1639">
        <v>151.78</v>
      </c>
      <c r="K1639">
        <v>31.56</v>
      </c>
    </row>
    <row r="1640" spans="1:11">
      <c r="A1640">
        <v>234.33</v>
      </c>
      <c r="B1640">
        <v>31.73</v>
      </c>
      <c r="C1640">
        <v>34.51</v>
      </c>
      <c r="D1640">
        <v>34.28</v>
      </c>
      <c r="E1640">
        <v>39.950000000000003</v>
      </c>
      <c r="F1640">
        <v>105.06</v>
      </c>
      <c r="G1640">
        <v>123.23</v>
      </c>
      <c r="H1640">
        <v>94.84</v>
      </c>
      <c r="I1640">
        <v>98.01</v>
      </c>
      <c r="J1640">
        <v>151.78</v>
      </c>
      <c r="K1640">
        <v>31.56</v>
      </c>
    </row>
    <row r="1641" spans="1:11">
      <c r="A1641">
        <v>234.5</v>
      </c>
      <c r="B1641">
        <v>31.34</v>
      </c>
      <c r="C1641">
        <v>34.229999999999997</v>
      </c>
      <c r="D1641">
        <v>34.01</v>
      </c>
      <c r="E1641">
        <v>39.06</v>
      </c>
      <c r="F1641">
        <v>104.78</v>
      </c>
      <c r="G1641">
        <v>123.06</v>
      </c>
      <c r="H1641">
        <v>95.01</v>
      </c>
      <c r="I1641">
        <v>97.67</v>
      </c>
      <c r="J1641">
        <v>151.78</v>
      </c>
      <c r="K1641">
        <v>31.56</v>
      </c>
    </row>
    <row r="1642" spans="1:11">
      <c r="A1642">
        <v>234.67</v>
      </c>
      <c r="B1642">
        <v>30.9</v>
      </c>
      <c r="C1642">
        <v>33.729999999999997</v>
      </c>
      <c r="D1642">
        <v>33.67</v>
      </c>
      <c r="E1642">
        <v>38.229999999999997</v>
      </c>
      <c r="F1642">
        <v>104.67</v>
      </c>
      <c r="G1642">
        <v>122.9</v>
      </c>
      <c r="H1642">
        <v>94.78</v>
      </c>
      <c r="I1642">
        <v>97.06</v>
      </c>
      <c r="J1642">
        <v>151.72999999999999</v>
      </c>
      <c r="K1642">
        <v>31.56</v>
      </c>
    </row>
    <row r="1643" spans="1:11">
      <c r="A1643">
        <v>234.83</v>
      </c>
      <c r="B1643">
        <v>30.51</v>
      </c>
      <c r="C1643">
        <v>33.51</v>
      </c>
      <c r="D1643">
        <v>33.28</v>
      </c>
      <c r="E1643">
        <v>37.229999999999997</v>
      </c>
      <c r="F1643">
        <v>103.78</v>
      </c>
      <c r="G1643">
        <v>122.95</v>
      </c>
      <c r="H1643">
        <v>94.9</v>
      </c>
      <c r="I1643">
        <v>96.62</v>
      </c>
      <c r="J1643">
        <v>151.66999999999999</v>
      </c>
      <c r="K1643">
        <v>31.56</v>
      </c>
    </row>
    <row r="1644" spans="1:11">
      <c r="A1644">
        <v>235</v>
      </c>
      <c r="B1644">
        <v>30.06</v>
      </c>
      <c r="C1644">
        <v>33.17</v>
      </c>
      <c r="D1644">
        <v>33.01</v>
      </c>
      <c r="E1644">
        <v>36.51</v>
      </c>
      <c r="F1644">
        <v>103.67</v>
      </c>
      <c r="G1644">
        <v>122.78</v>
      </c>
      <c r="H1644">
        <v>93.9</v>
      </c>
      <c r="I1644">
        <v>95.62</v>
      </c>
      <c r="J1644">
        <v>151.62</v>
      </c>
      <c r="K1644">
        <v>31.56</v>
      </c>
    </row>
    <row r="1645" spans="1:11">
      <c r="A1645">
        <v>235.17</v>
      </c>
      <c r="B1645">
        <v>29.95</v>
      </c>
      <c r="C1645">
        <v>33.229999999999997</v>
      </c>
      <c r="D1645">
        <v>32.9</v>
      </c>
      <c r="E1645">
        <v>35.78</v>
      </c>
      <c r="F1645">
        <v>103.01</v>
      </c>
      <c r="G1645">
        <v>122.73</v>
      </c>
      <c r="H1645">
        <v>93.73</v>
      </c>
      <c r="I1645">
        <v>94.84</v>
      </c>
      <c r="J1645">
        <v>151.51</v>
      </c>
      <c r="K1645">
        <v>31.56</v>
      </c>
    </row>
    <row r="1646" spans="1:11">
      <c r="A1646">
        <v>235.33</v>
      </c>
      <c r="B1646">
        <v>29.73</v>
      </c>
      <c r="C1646">
        <v>33.119999999999997</v>
      </c>
      <c r="D1646">
        <v>32.840000000000003</v>
      </c>
      <c r="E1646">
        <v>35.56</v>
      </c>
      <c r="F1646">
        <v>102.73</v>
      </c>
      <c r="G1646">
        <v>122.56</v>
      </c>
      <c r="H1646">
        <v>93.9</v>
      </c>
      <c r="I1646">
        <v>95.62</v>
      </c>
      <c r="J1646">
        <v>151.51</v>
      </c>
      <c r="K1646">
        <v>31.56</v>
      </c>
    </row>
    <row r="1647" spans="1:11">
      <c r="A1647">
        <v>235.5</v>
      </c>
      <c r="B1647">
        <v>29.51</v>
      </c>
      <c r="C1647">
        <v>33.119999999999997</v>
      </c>
      <c r="D1647">
        <v>32.78</v>
      </c>
      <c r="E1647">
        <v>34.950000000000003</v>
      </c>
      <c r="F1647">
        <v>101.95</v>
      </c>
      <c r="G1647">
        <v>122.51</v>
      </c>
      <c r="H1647">
        <v>93.84</v>
      </c>
      <c r="I1647">
        <v>95.4</v>
      </c>
      <c r="J1647">
        <v>151.28</v>
      </c>
      <c r="K1647">
        <v>31.56</v>
      </c>
    </row>
    <row r="1648" spans="1:11">
      <c r="A1648">
        <v>235.67</v>
      </c>
      <c r="B1648">
        <v>29.4</v>
      </c>
      <c r="C1648">
        <v>32.950000000000003</v>
      </c>
      <c r="D1648">
        <v>32.9</v>
      </c>
      <c r="E1648">
        <v>35.01</v>
      </c>
      <c r="F1648">
        <v>102.12</v>
      </c>
      <c r="G1648">
        <v>122.4</v>
      </c>
      <c r="H1648">
        <v>93.67</v>
      </c>
      <c r="I1648">
        <v>94.67</v>
      </c>
      <c r="J1648">
        <v>151.34</v>
      </c>
      <c r="K1648">
        <v>31.56</v>
      </c>
    </row>
    <row r="1649" spans="1:11">
      <c r="A1649">
        <v>235.83</v>
      </c>
      <c r="B1649">
        <v>29.23</v>
      </c>
      <c r="C1649">
        <v>33.17</v>
      </c>
      <c r="D1649">
        <v>32.9</v>
      </c>
      <c r="E1649">
        <v>34.619999999999997</v>
      </c>
      <c r="F1649">
        <v>102.4</v>
      </c>
      <c r="G1649">
        <v>122.4</v>
      </c>
      <c r="H1649">
        <v>92.9</v>
      </c>
      <c r="I1649">
        <v>94.56</v>
      </c>
      <c r="J1649">
        <v>151.28</v>
      </c>
      <c r="K1649">
        <v>31.62</v>
      </c>
    </row>
    <row r="1650" spans="1:11">
      <c r="A1650">
        <v>236</v>
      </c>
      <c r="B1650">
        <v>28.9</v>
      </c>
      <c r="C1650">
        <v>33.119999999999997</v>
      </c>
      <c r="D1650">
        <v>32.950000000000003</v>
      </c>
      <c r="E1650">
        <v>34.729999999999997</v>
      </c>
      <c r="F1650">
        <v>102.23</v>
      </c>
      <c r="G1650">
        <v>122.34</v>
      </c>
      <c r="H1650">
        <v>92.73</v>
      </c>
      <c r="I1650">
        <v>93.9</v>
      </c>
      <c r="J1650">
        <v>151.28</v>
      </c>
      <c r="K1650">
        <v>31.62</v>
      </c>
    </row>
    <row r="1651" spans="1:11">
      <c r="A1651">
        <v>236.17</v>
      </c>
      <c r="B1651">
        <v>28.78</v>
      </c>
      <c r="C1651">
        <v>33.06</v>
      </c>
      <c r="D1651">
        <v>32.78</v>
      </c>
      <c r="E1651">
        <v>34.4</v>
      </c>
      <c r="F1651">
        <v>101.73</v>
      </c>
      <c r="G1651">
        <v>122.12</v>
      </c>
      <c r="H1651">
        <v>92.12</v>
      </c>
      <c r="I1651">
        <v>93.17</v>
      </c>
      <c r="J1651">
        <v>151.12</v>
      </c>
      <c r="K1651">
        <v>31.62</v>
      </c>
    </row>
    <row r="1652" spans="1:11">
      <c r="A1652">
        <v>236.33</v>
      </c>
      <c r="B1652">
        <v>28.67</v>
      </c>
      <c r="C1652">
        <v>33.119999999999997</v>
      </c>
      <c r="D1652">
        <v>32.9</v>
      </c>
      <c r="E1652">
        <v>34.28</v>
      </c>
      <c r="F1652">
        <v>101.73</v>
      </c>
      <c r="G1652">
        <v>121.95</v>
      </c>
      <c r="H1652">
        <v>91.9</v>
      </c>
      <c r="I1652">
        <v>92.56</v>
      </c>
      <c r="J1652">
        <v>151.12</v>
      </c>
      <c r="K1652">
        <v>31.62</v>
      </c>
    </row>
    <row r="1653" spans="1:11">
      <c r="A1653">
        <v>236.5</v>
      </c>
      <c r="B1653">
        <v>28.45</v>
      </c>
      <c r="C1653">
        <v>33.01</v>
      </c>
      <c r="D1653">
        <v>32.9</v>
      </c>
      <c r="E1653">
        <v>34.17</v>
      </c>
      <c r="F1653">
        <v>101.9</v>
      </c>
      <c r="G1653">
        <v>121.9</v>
      </c>
      <c r="H1653">
        <v>91.51</v>
      </c>
      <c r="I1653">
        <v>92.23</v>
      </c>
      <c r="J1653">
        <v>151.01</v>
      </c>
      <c r="K1653">
        <v>31.62</v>
      </c>
    </row>
    <row r="1654" spans="1:11">
      <c r="A1654">
        <v>236.67</v>
      </c>
      <c r="B1654">
        <v>28.51</v>
      </c>
      <c r="C1654">
        <v>33.17</v>
      </c>
      <c r="D1654">
        <v>33.01</v>
      </c>
      <c r="E1654">
        <v>34.119999999999997</v>
      </c>
      <c r="F1654">
        <v>101.78</v>
      </c>
      <c r="G1654">
        <v>121.95</v>
      </c>
      <c r="H1654">
        <v>91.62</v>
      </c>
      <c r="I1654">
        <v>92.62</v>
      </c>
      <c r="J1654">
        <v>151.06</v>
      </c>
      <c r="K1654">
        <v>31.62</v>
      </c>
    </row>
    <row r="1655" spans="1:11">
      <c r="A1655">
        <v>236.83</v>
      </c>
      <c r="B1655">
        <v>28.34</v>
      </c>
      <c r="C1655">
        <v>33.119999999999997</v>
      </c>
      <c r="D1655">
        <v>32.950000000000003</v>
      </c>
      <c r="E1655">
        <v>33.78</v>
      </c>
      <c r="F1655">
        <v>101.4</v>
      </c>
      <c r="G1655">
        <v>121.78</v>
      </c>
      <c r="H1655">
        <v>91.28</v>
      </c>
      <c r="I1655">
        <v>91.9</v>
      </c>
      <c r="J1655">
        <v>150.94999999999999</v>
      </c>
      <c r="K1655">
        <v>31.62</v>
      </c>
    </row>
    <row r="1656" spans="1:11">
      <c r="A1656">
        <v>237</v>
      </c>
      <c r="B1656">
        <v>28.34</v>
      </c>
      <c r="C1656">
        <v>33.229999999999997</v>
      </c>
      <c r="D1656">
        <v>33.01</v>
      </c>
      <c r="E1656">
        <v>33.840000000000003</v>
      </c>
      <c r="F1656">
        <v>101.28</v>
      </c>
      <c r="G1656">
        <v>121.73</v>
      </c>
      <c r="H1656">
        <v>90.95</v>
      </c>
      <c r="I1656">
        <v>91.23</v>
      </c>
      <c r="J1656">
        <v>150.94999999999999</v>
      </c>
      <c r="K1656">
        <v>31.62</v>
      </c>
    </row>
    <row r="1657" spans="1:11">
      <c r="A1657">
        <v>237.17</v>
      </c>
      <c r="B1657">
        <v>28.17</v>
      </c>
      <c r="C1657">
        <v>33.28</v>
      </c>
      <c r="D1657">
        <v>33.06</v>
      </c>
      <c r="E1657">
        <v>33.78</v>
      </c>
      <c r="F1657">
        <v>100.51</v>
      </c>
      <c r="G1657">
        <v>121.73</v>
      </c>
      <c r="H1657">
        <v>90.56</v>
      </c>
      <c r="I1657">
        <v>90.95</v>
      </c>
      <c r="J1657">
        <v>150.78</v>
      </c>
      <c r="K1657">
        <v>31.62</v>
      </c>
    </row>
    <row r="1658" spans="1:11">
      <c r="A1658">
        <v>237.33</v>
      </c>
      <c r="B1658">
        <v>28.01</v>
      </c>
      <c r="C1658">
        <v>33.06</v>
      </c>
      <c r="D1658">
        <v>33.06</v>
      </c>
      <c r="E1658">
        <v>33.78</v>
      </c>
      <c r="F1658">
        <v>100.28</v>
      </c>
      <c r="G1658">
        <v>121.73</v>
      </c>
      <c r="H1658">
        <v>90.4</v>
      </c>
      <c r="I1658">
        <v>91.17</v>
      </c>
      <c r="J1658">
        <v>150.78</v>
      </c>
      <c r="K1658">
        <v>31.62</v>
      </c>
    </row>
    <row r="1659" spans="1:11">
      <c r="A1659">
        <v>237.5</v>
      </c>
      <c r="B1659">
        <v>27.9</v>
      </c>
      <c r="C1659">
        <v>33.17</v>
      </c>
      <c r="D1659">
        <v>32.950000000000003</v>
      </c>
      <c r="E1659">
        <v>33.729999999999997</v>
      </c>
      <c r="F1659">
        <v>100.12</v>
      </c>
      <c r="G1659">
        <v>121.56</v>
      </c>
      <c r="H1659">
        <v>89.84</v>
      </c>
      <c r="I1659">
        <v>91.01</v>
      </c>
      <c r="J1659">
        <v>150.78</v>
      </c>
      <c r="K1659">
        <v>31.62</v>
      </c>
    </row>
    <row r="1660" spans="1:11">
      <c r="A1660">
        <v>237.67</v>
      </c>
      <c r="B1660">
        <v>27.84</v>
      </c>
      <c r="C1660">
        <v>33.119999999999997</v>
      </c>
      <c r="D1660">
        <v>32.950000000000003</v>
      </c>
      <c r="E1660">
        <v>33.67</v>
      </c>
      <c r="F1660">
        <v>99.95</v>
      </c>
      <c r="G1660">
        <v>121.28</v>
      </c>
      <c r="H1660">
        <v>89.34</v>
      </c>
      <c r="I1660">
        <v>91.28</v>
      </c>
      <c r="J1660">
        <v>150.62</v>
      </c>
      <c r="K1660">
        <v>31.67</v>
      </c>
    </row>
    <row r="1661" spans="1:11">
      <c r="A1661">
        <v>237.83</v>
      </c>
      <c r="B1661">
        <v>27.9</v>
      </c>
      <c r="C1661">
        <v>33.4</v>
      </c>
      <c r="D1661">
        <v>33.06</v>
      </c>
      <c r="E1661">
        <v>33.51</v>
      </c>
      <c r="F1661">
        <v>99.67</v>
      </c>
      <c r="G1661">
        <v>121.28</v>
      </c>
      <c r="H1661">
        <v>89.23</v>
      </c>
      <c r="I1661">
        <v>90.62</v>
      </c>
      <c r="J1661">
        <v>150.56</v>
      </c>
      <c r="K1661">
        <v>31.67</v>
      </c>
    </row>
    <row r="1662" spans="1:11">
      <c r="A1662">
        <v>238</v>
      </c>
      <c r="B1662">
        <v>27.9</v>
      </c>
      <c r="C1662">
        <v>33.229999999999997</v>
      </c>
      <c r="D1662">
        <v>33.06</v>
      </c>
      <c r="E1662">
        <v>33.56</v>
      </c>
      <c r="F1662">
        <v>99.01</v>
      </c>
      <c r="G1662">
        <v>121.12</v>
      </c>
      <c r="H1662">
        <v>88.51</v>
      </c>
      <c r="I1662">
        <v>90.4</v>
      </c>
      <c r="J1662">
        <v>150.51</v>
      </c>
      <c r="K1662">
        <v>31.67</v>
      </c>
    </row>
    <row r="1663" spans="1:11">
      <c r="A1663">
        <v>238.17</v>
      </c>
      <c r="B1663">
        <v>27.9</v>
      </c>
      <c r="C1663">
        <v>33.28</v>
      </c>
      <c r="D1663">
        <v>33.119999999999997</v>
      </c>
      <c r="E1663">
        <v>33.17</v>
      </c>
      <c r="F1663">
        <v>98.67</v>
      </c>
      <c r="G1663">
        <v>121.06</v>
      </c>
      <c r="H1663">
        <v>88.12</v>
      </c>
      <c r="I1663">
        <v>90.4</v>
      </c>
      <c r="J1663">
        <v>150.51</v>
      </c>
      <c r="K1663">
        <v>31.67</v>
      </c>
    </row>
    <row r="1664" spans="1:11">
      <c r="A1664">
        <v>238.33</v>
      </c>
      <c r="B1664">
        <v>27.78</v>
      </c>
      <c r="C1664">
        <v>33.17</v>
      </c>
      <c r="D1664">
        <v>33.119999999999997</v>
      </c>
      <c r="E1664">
        <v>32.950000000000003</v>
      </c>
      <c r="F1664">
        <v>98.78</v>
      </c>
      <c r="G1664">
        <v>120.9</v>
      </c>
      <c r="H1664">
        <v>88.06</v>
      </c>
      <c r="I1664">
        <v>90.4</v>
      </c>
      <c r="J1664">
        <v>150.34</v>
      </c>
      <c r="K1664">
        <v>31.67</v>
      </c>
    </row>
    <row r="1665" spans="1:11">
      <c r="A1665">
        <v>238.5</v>
      </c>
      <c r="B1665">
        <v>27.67</v>
      </c>
      <c r="C1665">
        <v>32.78</v>
      </c>
      <c r="D1665">
        <v>32.729999999999997</v>
      </c>
      <c r="E1665">
        <v>32.840000000000003</v>
      </c>
      <c r="F1665">
        <v>99.28</v>
      </c>
      <c r="G1665">
        <v>120.78</v>
      </c>
      <c r="H1665">
        <v>88.73</v>
      </c>
      <c r="I1665">
        <v>90.4</v>
      </c>
      <c r="J1665">
        <v>150.28</v>
      </c>
      <c r="K1665">
        <v>31.67</v>
      </c>
    </row>
    <row r="1666" spans="1:11">
      <c r="A1666">
        <v>238.67</v>
      </c>
      <c r="B1666">
        <v>27.73</v>
      </c>
      <c r="C1666">
        <v>32.78</v>
      </c>
      <c r="D1666">
        <v>32.67</v>
      </c>
      <c r="E1666">
        <v>32.619999999999997</v>
      </c>
      <c r="F1666">
        <v>98.62</v>
      </c>
      <c r="G1666">
        <v>120.67</v>
      </c>
      <c r="H1666">
        <v>88.06</v>
      </c>
      <c r="I1666">
        <v>90.17</v>
      </c>
      <c r="J1666">
        <v>150.22999999999999</v>
      </c>
      <c r="K1666">
        <v>31.67</v>
      </c>
    </row>
    <row r="1667" spans="1:11">
      <c r="A1667">
        <v>238.83</v>
      </c>
      <c r="B1667">
        <v>27.73</v>
      </c>
      <c r="C1667">
        <v>32.840000000000003</v>
      </c>
      <c r="D1667">
        <v>32.619999999999997</v>
      </c>
      <c r="E1667">
        <v>32.51</v>
      </c>
      <c r="F1667">
        <v>98.73</v>
      </c>
      <c r="G1667">
        <v>120.62</v>
      </c>
      <c r="H1667">
        <v>88.12</v>
      </c>
      <c r="I1667">
        <v>90.34</v>
      </c>
      <c r="J1667">
        <v>150.12</v>
      </c>
      <c r="K1667">
        <v>31.67</v>
      </c>
    </row>
    <row r="1668" spans="1:11">
      <c r="A1668">
        <v>239</v>
      </c>
      <c r="B1668">
        <v>27.67</v>
      </c>
      <c r="C1668">
        <v>32.51</v>
      </c>
      <c r="D1668">
        <v>32.51</v>
      </c>
      <c r="E1668">
        <v>33.17</v>
      </c>
      <c r="F1668">
        <v>98.45</v>
      </c>
      <c r="G1668">
        <v>120.4</v>
      </c>
      <c r="H1668">
        <v>87.78</v>
      </c>
      <c r="I1668">
        <v>90.73</v>
      </c>
      <c r="J1668">
        <v>150.12</v>
      </c>
      <c r="K1668">
        <v>31.67</v>
      </c>
    </row>
    <row r="1669" spans="1:11">
      <c r="A1669">
        <v>239.17</v>
      </c>
      <c r="B1669">
        <v>27.62</v>
      </c>
      <c r="C1669">
        <v>32.729999999999997</v>
      </c>
      <c r="D1669">
        <v>32.51</v>
      </c>
      <c r="E1669">
        <v>32.950000000000003</v>
      </c>
      <c r="F1669">
        <v>98.17</v>
      </c>
      <c r="G1669">
        <v>120.34</v>
      </c>
      <c r="H1669">
        <v>87.28</v>
      </c>
      <c r="I1669">
        <v>91.17</v>
      </c>
      <c r="J1669">
        <v>150.01</v>
      </c>
      <c r="K1669">
        <v>31.67</v>
      </c>
    </row>
    <row r="1670" spans="1:11">
      <c r="A1670">
        <v>239.33</v>
      </c>
      <c r="B1670">
        <v>27.62</v>
      </c>
      <c r="C1670">
        <v>32.619999999999997</v>
      </c>
      <c r="D1670">
        <v>32.450000000000003</v>
      </c>
      <c r="E1670">
        <v>33.06</v>
      </c>
      <c r="F1670">
        <v>98.4</v>
      </c>
      <c r="G1670">
        <v>120.28</v>
      </c>
      <c r="H1670">
        <v>86.28</v>
      </c>
      <c r="I1670">
        <v>90.62</v>
      </c>
      <c r="J1670">
        <v>150.01</v>
      </c>
      <c r="K1670">
        <v>31.67</v>
      </c>
    </row>
    <row r="1671" spans="1:11">
      <c r="A1671">
        <v>239.5</v>
      </c>
      <c r="B1671">
        <v>27.45</v>
      </c>
      <c r="C1671">
        <v>32.729999999999997</v>
      </c>
      <c r="D1671">
        <v>32.51</v>
      </c>
      <c r="E1671">
        <v>33.51</v>
      </c>
      <c r="F1671">
        <v>98.17</v>
      </c>
      <c r="G1671">
        <v>120.12</v>
      </c>
      <c r="H1671">
        <v>86.51</v>
      </c>
      <c r="I1671">
        <v>89.62</v>
      </c>
      <c r="J1671">
        <v>149.94999999999999</v>
      </c>
      <c r="K1671">
        <v>31.67</v>
      </c>
    </row>
    <row r="1672" spans="1:11">
      <c r="A1672">
        <v>239.67</v>
      </c>
      <c r="B1672">
        <v>27.45</v>
      </c>
      <c r="C1672">
        <v>32.78</v>
      </c>
      <c r="D1672">
        <v>32.51</v>
      </c>
      <c r="E1672">
        <v>33.51</v>
      </c>
      <c r="F1672">
        <v>98.06</v>
      </c>
      <c r="G1672">
        <v>120.12</v>
      </c>
      <c r="H1672">
        <v>86.28</v>
      </c>
      <c r="I1672">
        <v>90.01</v>
      </c>
      <c r="J1672">
        <v>149.9</v>
      </c>
      <c r="K1672">
        <v>31.67</v>
      </c>
    </row>
    <row r="1673" spans="1:11">
      <c r="A1673">
        <v>239.83</v>
      </c>
      <c r="B1673">
        <v>27.51</v>
      </c>
      <c r="C1673">
        <v>32.78</v>
      </c>
      <c r="D1673">
        <v>32.67</v>
      </c>
      <c r="E1673">
        <v>33.340000000000003</v>
      </c>
      <c r="F1673">
        <v>97.73</v>
      </c>
      <c r="G1673">
        <v>119.9</v>
      </c>
      <c r="H1673">
        <v>85.51</v>
      </c>
      <c r="I1673">
        <v>90.34</v>
      </c>
      <c r="J1673">
        <v>149.78</v>
      </c>
      <c r="K1673">
        <v>31.73</v>
      </c>
    </row>
    <row r="1674" spans="1:11">
      <c r="A1674">
        <v>240</v>
      </c>
      <c r="B1674">
        <v>27.45</v>
      </c>
      <c r="C1674">
        <v>32.840000000000003</v>
      </c>
      <c r="D1674">
        <v>32.729999999999997</v>
      </c>
      <c r="E1674">
        <v>33.340000000000003</v>
      </c>
      <c r="F1674">
        <v>97.78</v>
      </c>
      <c r="G1674">
        <v>119.78</v>
      </c>
      <c r="H1674">
        <v>85.34</v>
      </c>
      <c r="I1674">
        <v>90.73</v>
      </c>
      <c r="J1674">
        <v>149.78</v>
      </c>
      <c r="K1674">
        <v>31.73</v>
      </c>
    </row>
    <row r="1675" spans="1:11">
      <c r="A1675">
        <v>240.17</v>
      </c>
      <c r="B1675">
        <v>27.62</v>
      </c>
      <c r="C1675">
        <v>33.06</v>
      </c>
      <c r="D1675">
        <v>32.78</v>
      </c>
      <c r="E1675">
        <v>33.229999999999997</v>
      </c>
      <c r="F1675">
        <v>97.51</v>
      </c>
      <c r="G1675">
        <v>119.62</v>
      </c>
      <c r="H1675">
        <v>85.12</v>
      </c>
      <c r="I1675">
        <v>89.51</v>
      </c>
      <c r="J1675">
        <v>149.66999999999999</v>
      </c>
      <c r="K1675">
        <v>31.73</v>
      </c>
    </row>
    <row r="1676" spans="1:11">
      <c r="A1676">
        <v>240.33</v>
      </c>
      <c r="B1676">
        <v>27.67</v>
      </c>
      <c r="C1676">
        <v>33.119999999999997</v>
      </c>
      <c r="D1676">
        <v>32.950000000000003</v>
      </c>
      <c r="E1676">
        <v>33.51</v>
      </c>
      <c r="F1676">
        <v>96.9</v>
      </c>
      <c r="G1676">
        <v>119.28</v>
      </c>
      <c r="H1676">
        <v>85.01</v>
      </c>
      <c r="I1676">
        <v>88.34</v>
      </c>
      <c r="J1676">
        <v>149.62</v>
      </c>
      <c r="K1676">
        <v>31.73</v>
      </c>
    </row>
    <row r="1677" spans="1:11">
      <c r="A1677">
        <v>240.5</v>
      </c>
      <c r="B1677">
        <v>27.78</v>
      </c>
      <c r="C1677">
        <v>33.28</v>
      </c>
      <c r="D1677">
        <v>33.119999999999997</v>
      </c>
      <c r="E1677">
        <v>33.78</v>
      </c>
      <c r="F1677">
        <v>96.73</v>
      </c>
      <c r="G1677">
        <v>119.23</v>
      </c>
      <c r="H1677">
        <v>84.4</v>
      </c>
      <c r="I1677">
        <v>88.17</v>
      </c>
      <c r="J1677">
        <v>149.51</v>
      </c>
      <c r="K1677">
        <v>31.73</v>
      </c>
    </row>
    <row r="1678" spans="1:11">
      <c r="A1678">
        <v>240.67</v>
      </c>
      <c r="B1678">
        <v>27.78</v>
      </c>
      <c r="C1678">
        <v>33.17</v>
      </c>
      <c r="D1678">
        <v>33.119999999999997</v>
      </c>
      <c r="E1678">
        <v>34.4</v>
      </c>
      <c r="F1678">
        <v>96.17</v>
      </c>
      <c r="G1678">
        <v>119.12</v>
      </c>
      <c r="H1678">
        <v>84.23</v>
      </c>
      <c r="I1678">
        <v>88.17</v>
      </c>
      <c r="J1678">
        <v>149.51</v>
      </c>
      <c r="K1678">
        <v>31.73</v>
      </c>
    </row>
    <row r="1679" spans="1:11">
      <c r="A1679">
        <v>240.83</v>
      </c>
      <c r="B1679">
        <v>27.9</v>
      </c>
      <c r="C1679">
        <v>33.56</v>
      </c>
      <c r="D1679">
        <v>33.340000000000003</v>
      </c>
      <c r="E1679">
        <v>34.78</v>
      </c>
      <c r="F1679">
        <v>96.12</v>
      </c>
      <c r="G1679">
        <v>118.9</v>
      </c>
      <c r="H1679">
        <v>83.4</v>
      </c>
      <c r="I1679">
        <v>87.62</v>
      </c>
      <c r="J1679">
        <v>149.4</v>
      </c>
      <c r="K1679">
        <v>31.73</v>
      </c>
    </row>
    <row r="1680" spans="1:11">
      <c r="A1680">
        <v>241</v>
      </c>
      <c r="B1680">
        <v>27.95</v>
      </c>
      <c r="C1680">
        <v>33.67</v>
      </c>
      <c r="D1680">
        <v>33.51</v>
      </c>
      <c r="E1680">
        <v>35.17</v>
      </c>
      <c r="F1680">
        <v>95.9</v>
      </c>
      <c r="G1680">
        <v>118.73</v>
      </c>
      <c r="H1680">
        <v>82.62</v>
      </c>
      <c r="I1680">
        <v>87.4</v>
      </c>
      <c r="J1680">
        <v>149.28</v>
      </c>
      <c r="K1680">
        <v>31.73</v>
      </c>
    </row>
    <row r="1681" spans="1:11">
      <c r="A1681">
        <v>241.17</v>
      </c>
      <c r="B1681">
        <v>28.12</v>
      </c>
      <c r="C1681">
        <v>33.729999999999997</v>
      </c>
      <c r="D1681">
        <v>33.619999999999997</v>
      </c>
      <c r="E1681">
        <v>35.450000000000003</v>
      </c>
      <c r="F1681">
        <v>95.9</v>
      </c>
      <c r="G1681">
        <v>118.51</v>
      </c>
      <c r="H1681">
        <v>82.17</v>
      </c>
      <c r="I1681">
        <v>86.73</v>
      </c>
      <c r="J1681">
        <v>149.16999999999999</v>
      </c>
      <c r="K1681">
        <v>31.73</v>
      </c>
    </row>
    <row r="1682" spans="1:11">
      <c r="A1682">
        <v>241.33</v>
      </c>
      <c r="B1682">
        <v>28.28</v>
      </c>
      <c r="C1682">
        <v>33.619999999999997</v>
      </c>
      <c r="D1682">
        <v>33.67</v>
      </c>
      <c r="E1682">
        <v>35.729999999999997</v>
      </c>
      <c r="F1682">
        <v>95.95</v>
      </c>
      <c r="G1682">
        <v>118.4</v>
      </c>
      <c r="H1682">
        <v>81.73</v>
      </c>
      <c r="I1682">
        <v>86.51</v>
      </c>
      <c r="J1682">
        <v>149.16999999999999</v>
      </c>
      <c r="K1682">
        <v>31.73</v>
      </c>
    </row>
    <row r="1683" spans="1:11">
      <c r="A1683">
        <v>241.5</v>
      </c>
      <c r="B1683">
        <v>28.34</v>
      </c>
      <c r="C1683">
        <v>33.840000000000003</v>
      </c>
      <c r="D1683">
        <v>33.78</v>
      </c>
      <c r="E1683">
        <v>36.340000000000003</v>
      </c>
      <c r="F1683">
        <v>95.51</v>
      </c>
      <c r="G1683">
        <v>118.17</v>
      </c>
      <c r="H1683">
        <v>81.23</v>
      </c>
      <c r="I1683">
        <v>86.01</v>
      </c>
      <c r="J1683">
        <v>149.01</v>
      </c>
      <c r="K1683">
        <v>31.73</v>
      </c>
    </row>
    <row r="1684" spans="1:11">
      <c r="A1684">
        <v>241.67</v>
      </c>
      <c r="B1684">
        <v>28.67</v>
      </c>
      <c r="C1684">
        <v>34.229999999999997</v>
      </c>
      <c r="D1684">
        <v>33.950000000000003</v>
      </c>
      <c r="E1684">
        <v>36.78</v>
      </c>
      <c r="F1684">
        <v>95.4</v>
      </c>
      <c r="G1684">
        <v>117.73</v>
      </c>
      <c r="H1684">
        <v>80.62</v>
      </c>
      <c r="I1684">
        <v>85.23</v>
      </c>
      <c r="J1684">
        <v>148.94999999999999</v>
      </c>
      <c r="K1684">
        <v>31.78</v>
      </c>
    </row>
    <row r="1685" spans="1:11">
      <c r="A1685">
        <v>241.83</v>
      </c>
      <c r="B1685">
        <v>29.01</v>
      </c>
      <c r="C1685">
        <v>34.340000000000003</v>
      </c>
      <c r="D1685">
        <v>34.229999999999997</v>
      </c>
      <c r="E1685">
        <v>37.17</v>
      </c>
      <c r="F1685">
        <v>95.23</v>
      </c>
      <c r="G1685">
        <v>117.62</v>
      </c>
      <c r="H1685">
        <v>80.78</v>
      </c>
      <c r="I1685">
        <v>84.95</v>
      </c>
      <c r="J1685">
        <v>148.9</v>
      </c>
      <c r="K1685">
        <v>31.78</v>
      </c>
    </row>
    <row r="1686" spans="1:11">
      <c r="A1686">
        <v>242</v>
      </c>
      <c r="B1686">
        <v>29.12</v>
      </c>
      <c r="C1686">
        <v>34.51</v>
      </c>
      <c r="D1686">
        <v>34.340000000000003</v>
      </c>
      <c r="E1686">
        <v>37.450000000000003</v>
      </c>
      <c r="F1686">
        <v>94.67</v>
      </c>
      <c r="G1686">
        <v>117.28</v>
      </c>
      <c r="H1686">
        <v>80.28</v>
      </c>
      <c r="I1686">
        <v>84.17</v>
      </c>
      <c r="J1686">
        <v>148.84</v>
      </c>
      <c r="K1686">
        <v>31.78</v>
      </c>
    </row>
    <row r="1687" spans="1:11">
      <c r="A1687">
        <v>242.17</v>
      </c>
      <c r="B1687">
        <v>29.17</v>
      </c>
      <c r="C1687">
        <v>34.78</v>
      </c>
      <c r="D1687">
        <v>34.619999999999997</v>
      </c>
      <c r="E1687">
        <v>38.01</v>
      </c>
      <c r="F1687">
        <v>94.73</v>
      </c>
      <c r="G1687">
        <v>117.12</v>
      </c>
      <c r="H1687">
        <v>79.67</v>
      </c>
      <c r="I1687">
        <v>84.06</v>
      </c>
      <c r="J1687">
        <v>148.78</v>
      </c>
      <c r="K1687">
        <v>31.78</v>
      </c>
    </row>
    <row r="1688" spans="1:11">
      <c r="A1688">
        <v>242.33</v>
      </c>
      <c r="B1688">
        <v>29.17</v>
      </c>
      <c r="C1688">
        <v>34.840000000000003</v>
      </c>
      <c r="D1688">
        <v>34.729999999999997</v>
      </c>
      <c r="E1688">
        <v>38.06</v>
      </c>
      <c r="F1688">
        <v>94.4</v>
      </c>
      <c r="G1688">
        <v>116.95</v>
      </c>
      <c r="H1688">
        <v>79.510000000000005</v>
      </c>
      <c r="I1688">
        <v>83.9</v>
      </c>
      <c r="J1688">
        <v>148.66999999999999</v>
      </c>
      <c r="K1688">
        <v>31.78</v>
      </c>
    </row>
    <row r="1689" spans="1:11">
      <c r="A1689">
        <v>242.5</v>
      </c>
      <c r="B1689">
        <v>29.17</v>
      </c>
      <c r="C1689">
        <v>35.01</v>
      </c>
      <c r="D1689">
        <v>34.840000000000003</v>
      </c>
      <c r="E1689">
        <v>38.229999999999997</v>
      </c>
      <c r="F1689">
        <v>93.9</v>
      </c>
      <c r="G1689">
        <v>116.73</v>
      </c>
      <c r="H1689">
        <v>79.67</v>
      </c>
      <c r="I1689">
        <v>83.9</v>
      </c>
      <c r="J1689">
        <v>148.62</v>
      </c>
      <c r="K1689">
        <v>31.78</v>
      </c>
    </row>
    <row r="1690" spans="1:11">
      <c r="A1690">
        <v>242.67</v>
      </c>
      <c r="B1690">
        <v>29.17</v>
      </c>
      <c r="C1690">
        <v>35.229999999999997</v>
      </c>
      <c r="D1690">
        <v>35.119999999999997</v>
      </c>
      <c r="E1690">
        <v>38.67</v>
      </c>
      <c r="F1690">
        <v>93.56</v>
      </c>
      <c r="G1690">
        <v>116.45</v>
      </c>
      <c r="H1690">
        <v>79.400000000000006</v>
      </c>
      <c r="I1690">
        <v>83.28</v>
      </c>
      <c r="J1690">
        <v>148.51</v>
      </c>
      <c r="K1690">
        <v>31.78</v>
      </c>
    </row>
    <row r="1691" spans="1:11">
      <c r="A1691">
        <v>242.83</v>
      </c>
      <c r="B1691">
        <v>29.17</v>
      </c>
      <c r="C1691">
        <v>35.729999999999997</v>
      </c>
      <c r="D1691">
        <v>35.56</v>
      </c>
      <c r="E1691">
        <v>38.51</v>
      </c>
      <c r="F1691">
        <v>93.67</v>
      </c>
      <c r="G1691">
        <v>116.45</v>
      </c>
      <c r="H1691">
        <v>78.84</v>
      </c>
      <c r="I1691">
        <v>81.95</v>
      </c>
      <c r="J1691">
        <v>148.44999999999999</v>
      </c>
      <c r="K1691">
        <v>31.78</v>
      </c>
    </row>
    <row r="1692" spans="1:11">
      <c r="A1692">
        <v>243</v>
      </c>
      <c r="B1692">
        <v>29.17</v>
      </c>
      <c r="C1692">
        <v>36.119999999999997</v>
      </c>
      <c r="D1692">
        <v>35.9</v>
      </c>
      <c r="E1692">
        <v>39.4</v>
      </c>
      <c r="F1692">
        <v>93.17</v>
      </c>
      <c r="G1692">
        <v>116.28</v>
      </c>
      <c r="H1692">
        <v>78.56</v>
      </c>
      <c r="I1692">
        <v>81.510000000000005</v>
      </c>
      <c r="J1692">
        <v>148.34</v>
      </c>
      <c r="K1692">
        <v>31.78</v>
      </c>
    </row>
    <row r="1693" spans="1:11">
      <c r="A1693">
        <v>243.17</v>
      </c>
      <c r="B1693">
        <v>29.34</v>
      </c>
      <c r="C1693">
        <v>36.340000000000003</v>
      </c>
      <c r="D1693">
        <v>36.17</v>
      </c>
      <c r="E1693">
        <v>39.619999999999997</v>
      </c>
      <c r="F1693">
        <v>93.01</v>
      </c>
      <c r="G1693">
        <v>115.84</v>
      </c>
      <c r="H1693">
        <v>78.010000000000005</v>
      </c>
      <c r="I1693">
        <v>80.62</v>
      </c>
      <c r="J1693">
        <v>148.22999999999999</v>
      </c>
      <c r="K1693">
        <v>31.78</v>
      </c>
    </row>
    <row r="1694" spans="1:11">
      <c r="A1694">
        <v>243.33</v>
      </c>
      <c r="B1694">
        <v>29.51</v>
      </c>
      <c r="C1694">
        <v>36.78</v>
      </c>
      <c r="D1694">
        <v>36.619999999999997</v>
      </c>
      <c r="E1694">
        <v>40.06</v>
      </c>
      <c r="F1694">
        <v>93.17</v>
      </c>
      <c r="G1694">
        <v>115.45</v>
      </c>
      <c r="H1694">
        <v>77.67</v>
      </c>
      <c r="I1694">
        <v>80.34</v>
      </c>
      <c r="J1694">
        <v>148.16999999999999</v>
      </c>
      <c r="K1694">
        <v>31.78</v>
      </c>
    </row>
    <row r="1695" spans="1:11">
      <c r="A1695">
        <v>243.5</v>
      </c>
      <c r="B1695">
        <v>29.67</v>
      </c>
      <c r="C1695">
        <v>37.119999999999997</v>
      </c>
      <c r="D1695">
        <v>37.01</v>
      </c>
      <c r="E1695">
        <v>40.119999999999997</v>
      </c>
      <c r="F1695">
        <v>93.01</v>
      </c>
      <c r="G1695">
        <v>115.01</v>
      </c>
      <c r="H1695">
        <v>77.34</v>
      </c>
      <c r="I1695">
        <v>80.23</v>
      </c>
      <c r="J1695">
        <v>148.12</v>
      </c>
      <c r="K1695">
        <v>31.84</v>
      </c>
    </row>
    <row r="1696" spans="1:11">
      <c r="A1696">
        <v>243.67</v>
      </c>
      <c r="B1696">
        <v>29.9</v>
      </c>
      <c r="C1696">
        <v>37.340000000000003</v>
      </c>
      <c r="D1696">
        <v>37.229999999999997</v>
      </c>
      <c r="E1696">
        <v>39.950000000000003</v>
      </c>
      <c r="F1696">
        <v>92.45</v>
      </c>
      <c r="G1696">
        <v>114.84</v>
      </c>
      <c r="H1696">
        <v>77.010000000000005</v>
      </c>
      <c r="I1696">
        <v>79.400000000000006</v>
      </c>
      <c r="J1696">
        <v>148.06</v>
      </c>
      <c r="K1696">
        <v>31.84</v>
      </c>
    </row>
    <row r="1697" spans="1:11">
      <c r="A1697">
        <v>243.83</v>
      </c>
      <c r="B1697">
        <v>29.78</v>
      </c>
      <c r="C1697">
        <v>37.67</v>
      </c>
      <c r="D1697">
        <v>37.56</v>
      </c>
      <c r="E1697">
        <v>40.229999999999997</v>
      </c>
      <c r="F1697">
        <v>92.28</v>
      </c>
      <c r="G1697">
        <v>114.62</v>
      </c>
      <c r="H1697">
        <v>76.67</v>
      </c>
      <c r="I1697">
        <v>78.45</v>
      </c>
      <c r="J1697">
        <v>147.94999999999999</v>
      </c>
      <c r="K1697">
        <v>31.84</v>
      </c>
    </row>
    <row r="1698" spans="1:11">
      <c r="A1698">
        <v>244</v>
      </c>
      <c r="B1698">
        <v>29.78</v>
      </c>
      <c r="C1698">
        <v>38.119999999999997</v>
      </c>
      <c r="D1698">
        <v>37.950000000000003</v>
      </c>
      <c r="E1698">
        <v>40.28</v>
      </c>
      <c r="F1698">
        <v>91.73</v>
      </c>
      <c r="G1698">
        <v>114.34</v>
      </c>
      <c r="H1698">
        <v>76.28</v>
      </c>
      <c r="I1698">
        <v>78.45</v>
      </c>
      <c r="J1698">
        <v>147.84</v>
      </c>
      <c r="K1698">
        <v>31.84</v>
      </c>
    </row>
    <row r="1699" spans="1:11">
      <c r="A1699">
        <v>244.17</v>
      </c>
      <c r="B1699">
        <v>29.9</v>
      </c>
      <c r="C1699">
        <v>38.51</v>
      </c>
      <c r="D1699">
        <v>38.4</v>
      </c>
      <c r="E1699">
        <v>40.51</v>
      </c>
      <c r="F1699">
        <v>91.73</v>
      </c>
      <c r="G1699">
        <v>114.06</v>
      </c>
      <c r="H1699">
        <v>76.06</v>
      </c>
      <c r="I1699">
        <v>78.28</v>
      </c>
      <c r="J1699">
        <v>147.78</v>
      </c>
      <c r="K1699">
        <v>31.84</v>
      </c>
    </row>
    <row r="1700" spans="1:11">
      <c r="A1700">
        <v>244.33</v>
      </c>
      <c r="B1700">
        <v>30.28</v>
      </c>
      <c r="C1700">
        <v>38.450000000000003</v>
      </c>
      <c r="D1700">
        <v>38.450000000000003</v>
      </c>
      <c r="E1700">
        <v>40.619999999999997</v>
      </c>
      <c r="F1700">
        <v>92.06</v>
      </c>
      <c r="G1700">
        <v>113.95</v>
      </c>
      <c r="H1700">
        <v>75.73</v>
      </c>
      <c r="I1700">
        <v>77.67</v>
      </c>
      <c r="J1700">
        <v>147.72999999999999</v>
      </c>
      <c r="K1700">
        <v>31.84</v>
      </c>
    </row>
    <row r="1701" spans="1:11">
      <c r="A1701">
        <v>244.5</v>
      </c>
      <c r="B1701">
        <v>30.51</v>
      </c>
      <c r="C1701">
        <v>38.56</v>
      </c>
      <c r="D1701">
        <v>38.56</v>
      </c>
      <c r="E1701">
        <v>40.56</v>
      </c>
      <c r="F1701">
        <v>91.62</v>
      </c>
      <c r="G1701">
        <v>113.73</v>
      </c>
      <c r="H1701">
        <v>75.400000000000006</v>
      </c>
      <c r="I1701">
        <v>76.95</v>
      </c>
      <c r="J1701">
        <v>147.62</v>
      </c>
      <c r="K1701">
        <v>31.84</v>
      </c>
    </row>
    <row r="1702" spans="1:11">
      <c r="A1702">
        <v>244.67</v>
      </c>
      <c r="B1702">
        <v>30.51</v>
      </c>
      <c r="C1702">
        <v>38.67</v>
      </c>
      <c r="D1702">
        <v>38.619999999999997</v>
      </c>
      <c r="E1702">
        <v>40.67</v>
      </c>
      <c r="F1702">
        <v>91.34</v>
      </c>
      <c r="G1702">
        <v>113.51</v>
      </c>
      <c r="H1702">
        <v>74.95</v>
      </c>
      <c r="I1702">
        <v>76.010000000000005</v>
      </c>
      <c r="J1702">
        <v>147.56</v>
      </c>
      <c r="K1702">
        <v>31.84</v>
      </c>
    </row>
    <row r="1703" spans="1:11">
      <c r="A1703">
        <v>244.83</v>
      </c>
      <c r="B1703">
        <v>30.51</v>
      </c>
      <c r="C1703">
        <v>38.56</v>
      </c>
      <c r="D1703">
        <v>38.51</v>
      </c>
      <c r="E1703">
        <v>40.9</v>
      </c>
      <c r="F1703">
        <v>91.4</v>
      </c>
      <c r="G1703">
        <v>113.28</v>
      </c>
      <c r="H1703">
        <v>74.78</v>
      </c>
      <c r="I1703">
        <v>76.34</v>
      </c>
      <c r="J1703">
        <v>147.56</v>
      </c>
      <c r="K1703">
        <v>31.84</v>
      </c>
    </row>
    <row r="1704" spans="1:11">
      <c r="A1704">
        <v>245</v>
      </c>
      <c r="B1704">
        <v>30.67</v>
      </c>
      <c r="C1704">
        <v>38.56</v>
      </c>
      <c r="D1704">
        <v>38.56</v>
      </c>
      <c r="E1704">
        <v>41.17</v>
      </c>
      <c r="F1704">
        <v>91.45</v>
      </c>
      <c r="G1704">
        <v>113.06</v>
      </c>
      <c r="H1704">
        <v>74.510000000000005</v>
      </c>
      <c r="I1704">
        <v>76.34</v>
      </c>
      <c r="J1704">
        <v>147.51</v>
      </c>
      <c r="K1704">
        <v>31.9</v>
      </c>
    </row>
    <row r="1705" spans="1:11">
      <c r="A1705">
        <v>245.17</v>
      </c>
      <c r="B1705">
        <v>30.67</v>
      </c>
      <c r="C1705">
        <v>39.01</v>
      </c>
      <c r="D1705">
        <v>38.729999999999997</v>
      </c>
      <c r="E1705">
        <v>41.17</v>
      </c>
      <c r="F1705">
        <v>90.9</v>
      </c>
      <c r="G1705">
        <v>112.62</v>
      </c>
      <c r="H1705">
        <v>73.78</v>
      </c>
      <c r="I1705">
        <v>76.34</v>
      </c>
      <c r="J1705">
        <v>147.34</v>
      </c>
      <c r="K1705">
        <v>31.9</v>
      </c>
    </row>
    <row r="1706" spans="1:11">
      <c r="A1706">
        <v>245.33</v>
      </c>
      <c r="B1706">
        <v>30.84</v>
      </c>
      <c r="C1706">
        <v>39.4</v>
      </c>
      <c r="D1706">
        <v>39.28</v>
      </c>
      <c r="E1706">
        <v>41.45</v>
      </c>
      <c r="F1706">
        <v>90.95</v>
      </c>
      <c r="G1706">
        <v>112.4</v>
      </c>
      <c r="H1706">
        <v>74.06</v>
      </c>
      <c r="I1706">
        <v>76.510000000000005</v>
      </c>
      <c r="J1706">
        <v>147.22999999999999</v>
      </c>
      <c r="K1706">
        <v>31.9</v>
      </c>
    </row>
    <row r="1707" spans="1:11">
      <c r="A1707">
        <v>245.5</v>
      </c>
      <c r="B1707">
        <v>31.12</v>
      </c>
      <c r="C1707">
        <v>39.619999999999997</v>
      </c>
      <c r="D1707">
        <v>39.56</v>
      </c>
      <c r="E1707">
        <v>42.12</v>
      </c>
      <c r="F1707">
        <v>90.9</v>
      </c>
      <c r="G1707">
        <v>112.12</v>
      </c>
      <c r="H1707">
        <v>74.28</v>
      </c>
      <c r="I1707">
        <v>76.95</v>
      </c>
      <c r="J1707">
        <v>147.16999999999999</v>
      </c>
      <c r="K1707">
        <v>31.9</v>
      </c>
    </row>
    <row r="1708" spans="1:11">
      <c r="A1708">
        <v>245.67</v>
      </c>
      <c r="B1708">
        <v>30.95</v>
      </c>
      <c r="C1708">
        <v>39.729999999999997</v>
      </c>
      <c r="D1708">
        <v>39.729999999999997</v>
      </c>
      <c r="E1708">
        <v>42.23</v>
      </c>
      <c r="F1708">
        <v>90.62</v>
      </c>
      <c r="G1708">
        <v>111.9</v>
      </c>
      <c r="H1708">
        <v>73.73</v>
      </c>
      <c r="I1708">
        <v>76.95</v>
      </c>
      <c r="J1708">
        <v>147.12</v>
      </c>
      <c r="K1708">
        <v>31.9</v>
      </c>
    </row>
    <row r="1709" spans="1:11">
      <c r="A1709">
        <v>245.83</v>
      </c>
      <c r="B1709">
        <v>31.17</v>
      </c>
      <c r="C1709">
        <v>39.840000000000003</v>
      </c>
      <c r="D1709">
        <v>39.78</v>
      </c>
      <c r="E1709">
        <v>42.34</v>
      </c>
      <c r="F1709">
        <v>90.51</v>
      </c>
      <c r="G1709">
        <v>111.51</v>
      </c>
      <c r="H1709">
        <v>72.84</v>
      </c>
      <c r="I1709">
        <v>76.56</v>
      </c>
      <c r="J1709">
        <v>147.06</v>
      </c>
      <c r="K1709">
        <v>31.9</v>
      </c>
    </row>
    <row r="1710" spans="1:11">
      <c r="A1710">
        <v>246</v>
      </c>
      <c r="B1710">
        <v>31.51</v>
      </c>
      <c r="C1710">
        <v>39.67</v>
      </c>
      <c r="D1710">
        <v>39.51</v>
      </c>
      <c r="E1710">
        <v>42.45</v>
      </c>
      <c r="F1710">
        <v>90.45</v>
      </c>
      <c r="G1710">
        <v>111.28</v>
      </c>
      <c r="H1710">
        <v>72.28</v>
      </c>
      <c r="I1710">
        <v>77.28</v>
      </c>
      <c r="J1710">
        <v>147.01</v>
      </c>
      <c r="K1710">
        <v>31.9</v>
      </c>
    </row>
    <row r="1711" spans="1:11">
      <c r="A1711">
        <v>246.17</v>
      </c>
      <c r="B1711">
        <v>31.9</v>
      </c>
      <c r="C1711">
        <v>39.950000000000003</v>
      </c>
      <c r="D1711">
        <v>39.840000000000003</v>
      </c>
      <c r="E1711">
        <v>42.45</v>
      </c>
      <c r="F1711">
        <v>90.62</v>
      </c>
      <c r="G1711">
        <v>111.17</v>
      </c>
      <c r="H1711">
        <v>71.900000000000006</v>
      </c>
      <c r="I1711">
        <v>77.900000000000006</v>
      </c>
      <c r="J1711">
        <v>146.84</v>
      </c>
      <c r="K1711">
        <v>31.9</v>
      </c>
    </row>
    <row r="1712" spans="1:11">
      <c r="A1712">
        <v>246.33</v>
      </c>
      <c r="B1712">
        <v>32.340000000000003</v>
      </c>
      <c r="C1712">
        <v>40.4</v>
      </c>
      <c r="D1712">
        <v>40.28</v>
      </c>
      <c r="E1712">
        <v>42.56</v>
      </c>
      <c r="F1712">
        <v>90.23</v>
      </c>
      <c r="G1712">
        <v>111.01</v>
      </c>
      <c r="H1712">
        <v>72.28</v>
      </c>
      <c r="I1712">
        <v>78.62</v>
      </c>
      <c r="J1712">
        <v>146.9</v>
      </c>
      <c r="K1712">
        <v>31.9</v>
      </c>
    </row>
    <row r="1713" spans="1:11">
      <c r="A1713">
        <v>246.5</v>
      </c>
      <c r="B1713">
        <v>32.78</v>
      </c>
      <c r="C1713">
        <v>40.56</v>
      </c>
      <c r="D1713">
        <v>40.51</v>
      </c>
      <c r="E1713">
        <v>42.78</v>
      </c>
      <c r="F1713">
        <v>89.95</v>
      </c>
      <c r="G1713">
        <v>110.62</v>
      </c>
      <c r="H1713">
        <v>71.900000000000006</v>
      </c>
      <c r="I1713">
        <v>78.62</v>
      </c>
      <c r="J1713">
        <v>146.78</v>
      </c>
      <c r="K1713">
        <v>31.9</v>
      </c>
    </row>
    <row r="1714" spans="1:11">
      <c r="A1714">
        <v>246.67</v>
      </c>
      <c r="B1714">
        <v>32.950000000000003</v>
      </c>
      <c r="C1714">
        <v>40.67</v>
      </c>
      <c r="D1714">
        <v>40.619999999999997</v>
      </c>
      <c r="E1714">
        <v>43.06</v>
      </c>
      <c r="F1714">
        <v>90.17</v>
      </c>
      <c r="G1714">
        <v>110.34</v>
      </c>
      <c r="H1714">
        <v>71.56</v>
      </c>
      <c r="I1714">
        <v>79.12</v>
      </c>
      <c r="J1714">
        <v>146.66999999999999</v>
      </c>
      <c r="K1714">
        <v>31.9</v>
      </c>
    </row>
    <row r="1715" spans="1:11">
      <c r="A1715">
        <v>246.83</v>
      </c>
      <c r="B1715">
        <v>33.06</v>
      </c>
      <c r="C1715">
        <v>40.9</v>
      </c>
      <c r="D1715">
        <v>40.729999999999997</v>
      </c>
      <c r="E1715">
        <v>43.06</v>
      </c>
      <c r="F1715">
        <v>90.06</v>
      </c>
      <c r="G1715">
        <v>110.01</v>
      </c>
      <c r="H1715">
        <v>71.56</v>
      </c>
      <c r="I1715">
        <v>79.23</v>
      </c>
      <c r="J1715">
        <v>146.66999999999999</v>
      </c>
      <c r="K1715">
        <v>31.9</v>
      </c>
    </row>
    <row r="1716" spans="1:11">
      <c r="A1716">
        <v>247</v>
      </c>
      <c r="B1716">
        <v>33.119999999999997</v>
      </c>
      <c r="C1716">
        <v>41.78</v>
      </c>
      <c r="D1716">
        <v>41.51</v>
      </c>
      <c r="E1716">
        <v>42.45</v>
      </c>
      <c r="F1716">
        <v>90.01</v>
      </c>
      <c r="G1716">
        <v>109.78</v>
      </c>
      <c r="H1716">
        <v>71.510000000000005</v>
      </c>
      <c r="I1716">
        <v>79.23</v>
      </c>
      <c r="J1716">
        <v>146.56</v>
      </c>
      <c r="K1716">
        <v>31.95</v>
      </c>
    </row>
    <row r="1717" spans="1:11">
      <c r="A1717">
        <v>247.17</v>
      </c>
      <c r="B1717">
        <v>34.9</v>
      </c>
      <c r="C1717">
        <v>41.73</v>
      </c>
      <c r="D1717">
        <v>41.67</v>
      </c>
      <c r="E1717">
        <v>42.17</v>
      </c>
      <c r="F1717">
        <v>89.84</v>
      </c>
      <c r="G1717">
        <v>109.56</v>
      </c>
      <c r="H1717">
        <v>71.34</v>
      </c>
      <c r="I1717">
        <v>79.34</v>
      </c>
      <c r="J1717">
        <v>146.56</v>
      </c>
      <c r="K1717">
        <v>31.95</v>
      </c>
    </row>
    <row r="1718" spans="1:11">
      <c r="A1718">
        <v>247.33</v>
      </c>
      <c r="B1718">
        <v>34.78</v>
      </c>
      <c r="C1718">
        <v>42.06</v>
      </c>
      <c r="D1718">
        <v>41.84</v>
      </c>
      <c r="E1718">
        <v>41.95</v>
      </c>
      <c r="F1718">
        <v>89.78</v>
      </c>
      <c r="G1718">
        <v>109.23</v>
      </c>
      <c r="H1718">
        <v>71.510000000000005</v>
      </c>
      <c r="I1718">
        <v>79.73</v>
      </c>
      <c r="J1718">
        <v>146.51</v>
      </c>
      <c r="K1718">
        <v>31.95</v>
      </c>
    </row>
    <row r="1719" spans="1:11">
      <c r="A1719">
        <v>247.5</v>
      </c>
      <c r="B1719">
        <v>34.729999999999997</v>
      </c>
      <c r="C1719">
        <v>42.23</v>
      </c>
      <c r="D1719">
        <v>42.17</v>
      </c>
      <c r="E1719">
        <v>41.9</v>
      </c>
      <c r="F1719">
        <v>89.28</v>
      </c>
      <c r="G1719">
        <v>108.9</v>
      </c>
      <c r="H1719">
        <v>71.28</v>
      </c>
      <c r="I1719">
        <v>79.73</v>
      </c>
      <c r="J1719">
        <v>146.34</v>
      </c>
      <c r="K1719">
        <v>31.95</v>
      </c>
    </row>
    <row r="1720" spans="1:11">
      <c r="A1720">
        <v>247.67</v>
      </c>
      <c r="B1720">
        <v>34.67</v>
      </c>
      <c r="C1720">
        <v>42.73</v>
      </c>
      <c r="D1720">
        <v>42.67</v>
      </c>
      <c r="E1720">
        <v>41.4</v>
      </c>
      <c r="F1720">
        <v>89.12</v>
      </c>
      <c r="G1720">
        <v>108.67</v>
      </c>
      <c r="H1720">
        <v>71.010000000000005</v>
      </c>
      <c r="I1720">
        <v>80.23</v>
      </c>
      <c r="J1720">
        <v>146.34</v>
      </c>
      <c r="K1720">
        <v>31.95</v>
      </c>
    </row>
    <row r="1721" spans="1:11">
      <c r="A1721">
        <v>247.83</v>
      </c>
      <c r="B1721">
        <v>35.619999999999997</v>
      </c>
      <c r="C1721">
        <v>43.34</v>
      </c>
      <c r="D1721">
        <v>43.17</v>
      </c>
      <c r="E1721">
        <v>40.950000000000003</v>
      </c>
      <c r="F1721">
        <v>89.17</v>
      </c>
      <c r="G1721">
        <v>108.45</v>
      </c>
      <c r="H1721">
        <v>70.73</v>
      </c>
      <c r="I1721">
        <v>80.400000000000006</v>
      </c>
      <c r="J1721">
        <v>146.16999999999999</v>
      </c>
      <c r="K1721">
        <v>31.95</v>
      </c>
    </row>
    <row r="1722" spans="1:11">
      <c r="A1722">
        <v>248</v>
      </c>
      <c r="B1722">
        <v>36.619999999999997</v>
      </c>
      <c r="C1722">
        <v>43.95</v>
      </c>
      <c r="D1722">
        <v>43.9</v>
      </c>
      <c r="E1722">
        <v>40.78</v>
      </c>
      <c r="F1722">
        <v>89.51</v>
      </c>
      <c r="G1722">
        <v>108.28</v>
      </c>
      <c r="H1722">
        <v>70.78</v>
      </c>
      <c r="I1722">
        <v>80.84</v>
      </c>
      <c r="J1722">
        <v>146.16999999999999</v>
      </c>
      <c r="K1722">
        <v>31.95</v>
      </c>
    </row>
    <row r="1723" spans="1:11">
      <c r="A1723">
        <v>248.17</v>
      </c>
      <c r="B1723">
        <v>38.01</v>
      </c>
      <c r="C1723">
        <v>43.9</v>
      </c>
      <c r="D1723">
        <v>43.78</v>
      </c>
      <c r="E1723">
        <v>41.17</v>
      </c>
      <c r="F1723">
        <v>89.06</v>
      </c>
      <c r="G1723">
        <v>107.95</v>
      </c>
      <c r="H1723">
        <v>70.78</v>
      </c>
      <c r="I1723">
        <v>81.34</v>
      </c>
      <c r="J1723">
        <v>146.01</v>
      </c>
      <c r="K1723">
        <v>31.95</v>
      </c>
    </row>
    <row r="1724" spans="1:11">
      <c r="A1724">
        <v>248.33</v>
      </c>
      <c r="B1724">
        <v>39.06</v>
      </c>
      <c r="C1724">
        <v>43.73</v>
      </c>
      <c r="D1724">
        <v>43.62</v>
      </c>
      <c r="E1724">
        <v>41.28</v>
      </c>
      <c r="F1724">
        <v>88.56</v>
      </c>
      <c r="G1724">
        <v>107.73</v>
      </c>
      <c r="H1724">
        <v>69.73</v>
      </c>
      <c r="I1724">
        <v>81.400000000000006</v>
      </c>
      <c r="J1724">
        <v>145.94999999999999</v>
      </c>
      <c r="K1724">
        <v>31.95</v>
      </c>
    </row>
    <row r="1725" spans="1:11">
      <c r="A1725">
        <v>248.5</v>
      </c>
      <c r="B1725">
        <v>39.51</v>
      </c>
      <c r="C1725">
        <v>43.62</v>
      </c>
      <c r="D1725">
        <v>43.34</v>
      </c>
      <c r="E1725">
        <v>41.56</v>
      </c>
      <c r="F1725">
        <v>88.51</v>
      </c>
      <c r="G1725">
        <v>107.45</v>
      </c>
      <c r="H1725">
        <v>70.45</v>
      </c>
      <c r="I1725">
        <v>81.34</v>
      </c>
      <c r="J1725">
        <v>145.9</v>
      </c>
      <c r="K1725">
        <v>31.95</v>
      </c>
    </row>
    <row r="1726" spans="1:11">
      <c r="A1726">
        <v>248.67</v>
      </c>
      <c r="B1726">
        <v>39.450000000000003</v>
      </c>
      <c r="C1726">
        <v>43.51</v>
      </c>
      <c r="D1726">
        <v>43.4</v>
      </c>
      <c r="E1726">
        <v>42.01</v>
      </c>
      <c r="F1726">
        <v>88.73</v>
      </c>
      <c r="G1726">
        <v>107.34</v>
      </c>
      <c r="H1726">
        <v>70.67</v>
      </c>
      <c r="I1726">
        <v>81.510000000000005</v>
      </c>
      <c r="J1726">
        <v>145.84</v>
      </c>
      <c r="K1726">
        <v>32.01</v>
      </c>
    </row>
    <row r="1727" spans="1:11">
      <c r="A1727">
        <v>248.83</v>
      </c>
      <c r="B1727">
        <v>39.17</v>
      </c>
      <c r="C1727">
        <v>43.34</v>
      </c>
      <c r="D1727">
        <v>43.23</v>
      </c>
      <c r="E1727">
        <v>41.56</v>
      </c>
      <c r="F1727">
        <v>88.73</v>
      </c>
      <c r="G1727">
        <v>107.01</v>
      </c>
      <c r="H1727">
        <v>70.06</v>
      </c>
      <c r="I1727">
        <v>81.34</v>
      </c>
      <c r="J1727">
        <v>145.72999999999999</v>
      </c>
      <c r="K1727">
        <v>31.95</v>
      </c>
    </row>
    <row r="1728" spans="1:11">
      <c r="A1728">
        <v>249</v>
      </c>
      <c r="B1728">
        <v>38.950000000000003</v>
      </c>
      <c r="C1728">
        <v>43.45</v>
      </c>
      <c r="D1728">
        <v>43.28</v>
      </c>
      <c r="E1728">
        <v>41.9</v>
      </c>
      <c r="F1728">
        <v>88.9</v>
      </c>
      <c r="G1728">
        <v>106.73</v>
      </c>
      <c r="H1728">
        <v>70.23</v>
      </c>
      <c r="I1728">
        <v>81.12</v>
      </c>
      <c r="J1728">
        <v>145.84</v>
      </c>
      <c r="K1728">
        <v>32.01</v>
      </c>
    </row>
    <row r="1729" spans="1:11">
      <c r="A1729">
        <v>249.17</v>
      </c>
      <c r="B1729">
        <v>38.619999999999997</v>
      </c>
      <c r="C1729">
        <v>43.4</v>
      </c>
      <c r="D1729">
        <v>43.28</v>
      </c>
      <c r="E1729">
        <v>41.67</v>
      </c>
      <c r="F1729">
        <v>88.67</v>
      </c>
      <c r="G1729">
        <v>106.56</v>
      </c>
      <c r="H1729">
        <v>70.56</v>
      </c>
      <c r="I1729">
        <v>80.45</v>
      </c>
      <c r="J1729">
        <v>145.56</v>
      </c>
      <c r="K1729">
        <v>32.01</v>
      </c>
    </row>
    <row r="1730" spans="1:11">
      <c r="A1730">
        <v>249.33</v>
      </c>
      <c r="B1730">
        <v>38.4</v>
      </c>
      <c r="C1730">
        <v>43.23</v>
      </c>
      <c r="D1730">
        <v>43.12</v>
      </c>
      <c r="E1730">
        <v>41.62</v>
      </c>
      <c r="F1730">
        <v>88.73</v>
      </c>
      <c r="G1730">
        <v>106.28</v>
      </c>
      <c r="H1730">
        <v>70.45</v>
      </c>
      <c r="I1730">
        <v>80.45</v>
      </c>
      <c r="J1730">
        <v>145.56</v>
      </c>
      <c r="K1730">
        <v>32.01</v>
      </c>
    </row>
    <row r="1731" spans="1:11">
      <c r="A1731">
        <v>249.5</v>
      </c>
      <c r="B1731">
        <v>38.4</v>
      </c>
      <c r="C1731">
        <v>43.12</v>
      </c>
      <c r="D1731">
        <v>42.95</v>
      </c>
      <c r="E1731">
        <v>41.34</v>
      </c>
      <c r="F1731">
        <v>89.01</v>
      </c>
      <c r="G1731">
        <v>106.17</v>
      </c>
      <c r="H1731">
        <v>70.400000000000006</v>
      </c>
      <c r="I1731">
        <v>81.34</v>
      </c>
      <c r="J1731">
        <v>145.51</v>
      </c>
      <c r="K1731">
        <v>32.01</v>
      </c>
    </row>
    <row r="1732" spans="1:11">
      <c r="A1732">
        <v>249.67</v>
      </c>
      <c r="B1732">
        <v>38.119999999999997</v>
      </c>
      <c r="C1732">
        <v>43.06</v>
      </c>
      <c r="D1732">
        <v>42.84</v>
      </c>
      <c r="E1732">
        <v>40.9</v>
      </c>
      <c r="F1732">
        <v>88.78</v>
      </c>
      <c r="G1732">
        <v>105.9</v>
      </c>
      <c r="H1732">
        <v>70.06</v>
      </c>
      <c r="I1732">
        <v>80.62</v>
      </c>
      <c r="J1732">
        <v>145.4</v>
      </c>
      <c r="K1732">
        <v>32.01</v>
      </c>
    </row>
    <row r="1733" spans="1:11">
      <c r="A1733">
        <v>249.83</v>
      </c>
      <c r="B1733">
        <v>38.119999999999997</v>
      </c>
      <c r="C1733">
        <v>43.06</v>
      </c>
      <c r="D1733">
        <v>42.84</v>
      </c>
      <c r="E1733">
        <v>40.619999999999997</v>
      </c>
      <c r="F1733">
        <v>88.23</v>
      </c>
      <c r="G1733">
        <v>105.73</v>
      </c>
      <c r="H1733">
        <v>70.010000000000005</v>
      </c>
      <c r="I1733">
        <v>80.23</v>
      </c>
      <c r="J1733">
        <v>145.4</v>
      </c>
      <c r="K1733">
        <v>32.01</v>
      </c>
    </row>
    <row r="1734" spans="1:11">
      <c r="A1734">
        <v>250</v>
      </c>
      <c r="B1734">
        <v>37.950000000000003</v>
      </c>
      <c r="C1734">
        <v>43.06</v>
      </c>
      <c r="D1734">
        <v>42.73</v>
      </c>
      <c r="E1734">
        <v>40.51</v>
      </c>
      <c r="F1734">
        <v>87.95</v>
      </c>
      <c r="G1734">
        <v>105.56</v>
      </c>
      <c r="H1734">
        <v>69.95</v>
      </c>
      <c r="I1734">
        <v>79.900000000000006</v>
      </c>
      <c r="J1734">
        <v>145.34</v>
      </c>
      <c r="K1734">
        <v>32.01</v>
      </c>
    </row>
    <row r="1735" spans="1:11">
      <c r="A1735">
        <v>250.17</v>
      </c>
      <c r="B1735">
        <v>38.01</v>
      </c>
      <c r="C1735">
        <v>42.95</v>
      </c>
      <c r="D1735">
        <v>42.67</v>
      </c>
      <c r="E1735">
        <v>40.51</v>
      </c>
      <c r="F1735">
        <v>88.17</v>
      </c>
      <c r="G1735">
        <v>105.28</v>
      </c>
      <c r="H1735">
        <v>70.17</v>
      </c>
      <c r="I1735">
        <v>79.56</v>
      </c>
      <c r="J1735">
        <v>145.22999999999999</v>
      </c>
      <c r="K1735">
        <v>32.01</v>
      </c>
    </row>
    <row r="1736" spans="1:11">
      <c r="A1736">
        <v>250.33</v>
      </c>
      <c r="B1736">
        <v>37.9</v>
      </c>
      <c r="C1736">
        <v>43.01</v>
      </c>
      <c r="D1736">
        <v>42.62</v>
      </c>
      <c r="E1736">
        <v>40.51</v>
      </c>
      <c r="F1736">
        <v>88.17</v>
      </c>
      <c r="G1736">
        <v>104.95</v>
      </c>
      <c r="H1736">
        <v>70.010000000000005</v>
      </c>
      <c r="I1736">
        <v>79.400000000000006</v>
      </c>
      <c r="J1736">
        <v>145.16999999999999</v>
      </c>
      <c r="K1736">
        <v>32.01</v>
      </c>
    </row>
    <row r="1737" spans="1:11">
      <c r="A1737">
        <v>250.5</v>
      </c>
      <c r="B1737">
        <v>37.9</v>
      </c>
      <c r="C1737">
        <v>42.95</v>
      </c>
      <c r="D1737">
        <v>42.67</v>
      </c>
      <c r="E1737">
        <v>40.340000000000003</v>
      </c>
      <c r="F1737">
        <v>87.9</v>
      </c>
      <c r="G1737">
        <v>104.73</v>
      </c>
      <c r="H1737">
        <v>69.400000000000006</v>
      </c>
      <c r="I1737">
        <v>78.510000000000005</v>
      </c>
      <c r="J1737">
        <v>145.06</v>
      </c>
      <c r="K1737">
        <v>32.01</v>
      </c>
    </row>
    <row r="1738" spans="1:11">
      <c r="A1738">
        <v>250.67</v>
      </c>
      <c r="B1738">
        <v>37.729999999999997</v>
      </c>
      <c r="C1738">
        <v>43.01</v>
      </c>
      <c r="D1738">
        <v>42.62</v>
      </c>
      <c r="E1738">
        <v>40.229999999999997</v>
      </c>
      <c r="F1738">
        <v>88.12</v>
      </c>
      <c r="G1738">
        <v>104.34</v>
      </c>
      <c r="H1738">
        <v>68.900000000000006</v>
      </c>
      <c r="I1738">
        <v>77.67</v>
      </c>
      <c r="J1738">
        <v>144.94999999999999</v>
      </c>
      <c r="K1738">
        <v>32.06</v>
      </c>
    </row>
    <row r="1739" spans="1:11">
      <c r="A1739">
        <v>250.83</v>
      </c>
      <c r="B1739">
        <v>37.67</v>
      </c>
      <c r="C1739">
        <v>42.95</v>
      </c>
      <c r="D1739">
        <v>42.67</v>
      </c>
      <c r="E1739">
        <v>40.119999999999997</v>
      </c>
      <c r="F1739">
        <v>88.01</v>
      </c>
      <c r="G1739">
        <v>104.12</v>
      </c>
      <c r="H1739">
        <v>68.95</v>
      </c>
      <c r="I1739">
        <v>77.45</v>
      </c>
      <c r="J1739">
        <v>144.9</v>
      </c>
      <c r="K1739">
        <v>32.06</v>
      </c>
    </row>
    <row r="1740" spans="1:11">
      <c r="A1740">
        <v>251</v>
      </c>
      <c r="B1740">
        <v>37.619999999999997</v>
      </c>
      <c r="C1740">
        <v>42.9</v>
      </c>
      <c r="D1740">
        <v>42.67</v>
      </c>
      <c r="E1740">
        <v>39.9</v>
      </c>
      <c r="F1740">
        <v>88.01</v>
      </c>
      <c r="G1740">
        <v>103.95</v>
      </c>
      <c r="H1740">
        <v>68.900000000000006</v>
      </c>
      <c r="I1740">
        <v>77.010000000000005</v>
      </c>
      <c r="J1740">
        <v>144.62</v>
      </c>
      <c r="K1740">
        <v>32.06</v>
      </c>
    </row>
    <row r="1741" spans="1:11">
      <c r="A1741">
        <v>251.17</v>
      </c>
      <c r="B1741">
        <v>37.56</v>
      </c>
      <c r="C1741">
        <v>42.78</v>
      </c>
      <c r="D1741">
        <v>42.62</v>
      </c>
      <c r="E1741">
        <v>39.729999999999997</v>
      </c>
      <c r="F1741">
        <v>88.06</v>
      </c>
      <c r="G1741">
        <v>103.73</v>
      </c>
      <c r="H1741">
        <v>68.78</v>
      </c>
      <c r="I1741">
        <v>77.400000000000006</v>
      </c>
      <c r="J1741">
        <v>144.72999999999999</v>
      </c>
      <c r="K1741">
        <v>32.06</v>
      </c>
    </row>
    <row r="1742" spans="1:11">
      <c r="A1742">
        <v>251.33</v>
      </c>
      <c r="B1742">
        <v>37.56</v>
      </c>
      <c r="C1742">
        <v>42.84</v>
      </c>
      <c r="D1742">
        <v>42.62</v>
      </c>
      <c r="E1742">
        <v>39.729999999999997</v>
      </c>
      <c r="F1742">
        <v>87.73</v>
      </c>
      <c r="G1742">
        <v>103.56</v>
      </c>
      <c r="H1742">
        <v>68.78</v>
      </c>
      <c r="I1742">
        <v>77.28</v>
      </c>
      <c r="J1742">
        <v>144.62</v>
      </c>
      <c r="K1742">
        <v>32.06</v>
      </c>
    </row>
    <row r="1743" spans="1:11">
      <c r="A1743">
        <v>251.5</v>
      </c>
      <c r="B1743">
        <v>37.56</v>
      </c>
      <c r="C1743">
        <v>42.9</v>
      </c>
      <c r="D1743">
        <v>42.73</v>
      </c>
      <c r="E1743">
        <v>39.78</v>
      </c>
      <c r="F1743">
        <v>88.01</v>
      </c>
      <c r="G1743">
        <v>103.4</v>
      </c>
      <c r="H1743">
        <v>68.95</v>
      </c>
      <c r="I1743">
        <v>76.95</v>
      </c>
      <c r="J1743">
        <v>144.56</v>
      </c>
      <c r="K1743">
        <v>32.06</v>
      </c>
    </row>
    <row r="1744" spans="1:11">
      <c r="A1744">
        <v>251.67</v>
      </c>
      <c r="B1744">
        <v>37.450000000000003</v>
      </c>
      <c r="C1744">
        <v>42.95</v>
      </c>
      <c r="D1744">
        <v>42.73</v>
      </c>
      <c r="E1744">
        <v>39.56</v>
      </c>
      <c r="F1744">
        <v>88.06</v>
      </c>
      <c r="G1744">
        <v>103.23</v>
      </c>
      <c r="H1744">
        <v>69.12</v>
      </c>
      <c r="I1744">
        <v>76.67</v>
      </c>
      <c r="J1744">
        <v>144.56</v>
      </c>
      <c r="K1744">
        <v>32.06</v>
      </c>
    </row>
    <row r="1745" spans="1:11">
      <c r="A1745">
        <v>251.83</v>
      </c>
      <c r="B1745">
        <v>37.340000000000003</v>
      </c>
      <c r="C1745">
        <v>43.06</v>
      </c>
      <c r="D1745">
        <v>42.84</v>
      </c>
      <c r="E1745">
        <v>39.729999999999997</v>
      </c>
      <c r="F1745">
        <v>87.4</v>
      </c>
      <c r="G1745">
        <v>102.9</v>
      </c>
      <c r="H1745">
        <v>68.67</v>
      </c>
      <c r="I1745">
        <v>76.010000000000005</v>
      </c>
      <c r="J1745">
        <v>144.44999999999999</v>
      </c>
      <c r="K1745">
        <v>32.06</v>
      </c>
    </row>
    <row r="1746" spans="1:11">
      <c r="A1746">
        <v>252</v>
      </c>
      <c r="B1746">
        <v>37.17</v>
      </c>
      <c r="C1746">
        <v>42.95</v>
      </c>
      <c r="D1746">
        <v>42.67</v>
      </c>
      <c r="E1746">
        <v>39.4</v>
      </c>
      <c r="F1746">
        <v>87.23</v>
      </c>
      <c r="G1746">
        <v>102.56</v>
      </c>
      <c r="H1746">
        <v>68.17</v>
      </c>
      <c r="I1746">
        <v>76.12</v>
      </c>
      <c r="J1746">
        <v>144.34</v>
      </c>
      <c r="K1746">
        <v>32.06</v>
      </c>
    </row>
    <row r="1747" spans="1:11">
      <c r="A1747">
        <v>252.17</v>
      </c>
      <c r="B1747">
        <v>37.06</v>
      </c>
      <c r="C1747">
        <v>42.9</v>
      </c>
      <c r="D1747">
        <v>42.67</v>
      </c>
      <c r="E1747">
        <v>39.340000000000003</v>
      </c>
      <c r="F1747">
        <v>87.34</v>
      </c>
      <c r="G1747">
        <v>102.28</v>
      </c>
      <c r="H1747">
        <v>67.23</v>
      </c>
      <c r="I1747">
        <v>76.510000000000005</v>
      </c>
      <c r="J1747">
        <v>144.28</v>
      </c>
      <c r="K1747">
        <v>32.06</v>
      </c>
    </row>
    <row r="1748" spans="1:11">
      <c r="A1748">
        <v>252.33</v>
      </c>
      <c r="B1748">
        <v>36.9</v>
      </c>
      <c r="C1748">
        <v>42.95</v>
      </c>
      <c r="D1748">
        <v>42.67</v>
      </c>
      <c r="E1748">
        <v>39.06</v>
      </c>
      <c r="F1748">
        <v>87.17</v>
      </c>
      <c r="G1748">
        <v>102.12</v>
      </c>
      <c r="H1748">
        <v>66.84</v>
      </c>
      <c r="I1748">
        <v>75.73</v>
      </c>
      <c r="J1748">
        <v>144.22999999999999</v>
      </c>
      <c r="K1748">
        <v>32.06</v>
      </c>
    </row>
    <row r="1749" spans="1:11">
      <c r="A1749">
        <v>252.5</v>
      </c>
      <c r="B1749">
        <v>36.729999999999997</v>
      </c>
      <c r="C1749">
        <v>42.9</v>
      </c>
      <c r="D1749">
        <v>42.73</v>
      </c>
      <c r="E1749">
        <v>39.06</v>
      </c>
      <c r="F1749">
        <v>86.95</v>
      </c>
      <c r="G1749">
        <v>101.78</v>
      </c>
      <c r="H1749">
        <v>66.010000000000005</v>
      </c>
      <c r="I1749">
        <v>75.84</v>
      </c>
      <c r="J1749">
        <v>144.16999999999999</v>
      </c>
      <c r="K1749">
        <v>32.119999999999997</v>
      </c>
    </row>
    <row r="1750" spans="1:11">
      <c r="A1750">
        <v>252.67</v>
      </c>
      <c r="B1750">
        <v>36.51</v>
      </c>
      <c r="C1750">
        <v>42.84</v>
      </c>
      <c r="D1750">
        <v>42.62</v>
      </c>
      <c r="E1750">
        <v>38.950000000000003</v>
      </c>
      <c r="F1750">
        <v>87.28</v>
      </c>
      <c r="G1750">
        <v>101.51</v>
      </c>
      <c r="H1750">
        <v>66.23</v>
      </c>
      <c r="I1750">
        <v>75.78</v>
      </c>
      <c r="J1750">
        <v>144.06</v>
      </c>
      <c r="K1750">
        <v>32.119999999999997</v>
      </c>
    </row>
    <row r="1751" spans="1:11">
      <c r="A1751">
        <v>252.83</v>
      </c>
      <c r="B1751">
        <v>36.51</v>
      </c>
      <c r="C1751">
        <v>42.95</v>
      </c>
      <c r="D1751">
        <v>42.73</v>
      </c>
      <c r="E1751">
        <v>38.78</v>
      </c>
      <c r="F1751">
        <v>87.62</v>
      </c>
      <c r="G1751">
        <v>101.4</v>
      </c>
      <c r="H1751">
        <v>66.56</v>
      </c>
      <c r="I1751">
        <v>76.73</v>
      </c>
      <c r="J1751">
        <v>144.06</v>
      </c>
      <c r="K1751">
        <v>32.119999999999997</v>
      </c>
    </row>
    <row r="1752" spans="1:11">
      <c r="A1752">
        <v>253</v>
      </c>
      <c r="B1752">
        <v>36.229999999999997</v>
      </c>
      <c r="C1752">
        <v>42.9</v>
      </c>
      <c r="D1752">
        <v>42.67</v>
      </c>
      <c r="E1752">
        <v>38.67</v>
      </c>
      <c r="F1752">
        <v>86.73</v>
      </c>
      <c r="G1752">
        <v>101.17</v>
      </c>
      <c r="H1752">
        <v>66.010000000000005</v>
      </c>
      <c r="I1752">
        <v>77.17</v>
      </c>
      <c r="J1752">
        <v>143.9</v>
      </c>
      <c r="K1752">
        <v>32.119999999999997</v>
      </c>
    </row>
    <row r="1753" spans="1:11">
      <c r="A1753">
        <v>253.17</v>
      </c>
      <c r="B1753">
        <v>36.06</v>
      </c>
      <c r="C1753">
        <v>42.84</v>
      </c>
      <c r="D1753">
        <v>42.67</v>
      </c>
      <c r="E1753">
        <v>38.450000000000003</v>
      </c>
      <c r="F1753">
        <v>86.62</v>
      </c>
      <c r="G1753">
        <v>101.01</v>
      </c>
      <c r="H1753">
        <v>65.73</v>
      </c>
      <c r="I1753">
        <v>76.67</v>
      </c>
      <c r="J1753">
        <v>143.9</v>
      </c>
      <c r="K1753">
        <v>32.119999999999997</v>
      </c>
    </row>
    <row r="1754" spans="1:11">
      <c r="A1754">
        <v>253.33</v>
      </c>
      <c r="B1754">
        <v>35.729999999999997</v>
      </c>
      <c r="C1754">
        <v>42.9</v>
      </c>
      <c r="D1754">
        <v>42.67</v>
      </c>
      <c r="E1754">
        <v>38.28</v>
      </c>
      <c r="F1754">
        <v>86.62</v>
      </c>
      <c r="G1754">
        <v>100.84</v>
      </c>
      <c r="H1754">
        <v>65.95</v>
      </c>
      <c r="I1754">
        <v>76.400000000000006</v>
      </c>
      <c r="J1754">
        <v>143.72999999999999</v>
      </c>
      <c r="K1754">
        <v>32.119999999999997</v>
      </c>
    </row>
    <row r="1755" spans="1:11">
      <c r="A1755">
        <v>253.5</v>
      </c>
      <c r="B1755">
        <v>35.619999999999997</v>
      </c>
      <c r="C1755">
        <v>42.84</v>
      </c>
      <c r="D1755">
        <v>42.67</v>
      </c>
      <c r="E1755">
        <v>38.119999999999997</v>
      </c>
      <c r="F1755">
        <v>87.01</v>
      </c>
      <c r="G1755">
        <v>100.78</v>
      </c>
      <c r="H1755">
        <v>67.34</v>
      </c>
      <c r="I1755">
        <v>76.06</v>
      </c>
      <c r="J1755">
        <v>143.66999999999999</v>
      </c>
      <c r="K1755">
        <v>32.119999999999997</v>
      </c>
    </row>
    <row r="1756" spans="1:11">
      <c r="A1756">
        <v>253.67</v>
      </c>
      <c r="B1756">
        <v>35.56</v>
      </c>
      <c r="C1756">
        <v>42.95</v>
      </c>
      <c r="D1756">
        <v>42.73</v>
      </c>
      <c r="E1756">
        <v>38.06</v>
      </c>
      <c r="F1756">
        <v>87.62</v>
      </c>
      <c r="G1756">
        <v>100.78</v>
      </c>
      <c r="H1756">
        <v>68.12</v>
      </c>
      <c r="I1756">
        <v>76.45</v>
      </c>
      <c r="J1756">
        <v>143.62</v>
      </c>
      <c r="K1756">
        <v>32.119999999999997</v>
      </c>
    </row>
    <row r="1757" spans="1:11">
      <c r="A1757">
        <v>253.83</v>
      </c>
      <c r="B1757">
        <v>35.51</v>
      </c>
      <c r="C1757">
        <v>42.95</v>
      </c>
      <c r="D1757">
        <v>42.67</v>
      </c>
      <c r="E1757">
        <v>38.06</v>
      </c>
      <c r="F1757">
        <v>87.78</v>
      </c>
      <c r="G1757">
        <v>100.78</v>
      </c>
      <c r="H1757">
        <v>68.67</v>
      </c>
      <c r="I1757">
        <v>76.73</v>
      </c>
      <c r="J1757">
        <v>143.56</v>
      </c>
      <c r="K1757">
        <v>32.119999999999997</v>
      </c>
    </row>
    <row r="1758" spans="1:11">
      <c r="A1758">
        <v>254</v>
      </c>
      <c r="B1758">
        <v>35.450000000000003</v>
      </c>
      <c r="C1758">
        <v>42.9</v>
      </c>
      <c r="D1758">
        <v>42.67</v>
      </c>
      <c r="E1758">
        <v>38.06</v>
      </c>
      <c r="F1758">
        <v>88.17</v>
      </c>
      <c r="G1758">
        <v>100.84</v>
      </c>
      <c r="H1758">
        <v>69.06</v>
      </c>
      <c r="I1758">
        <v>77.17</v>
      </c>
      <c r="J1758">
        <v>143.56</v>
      </c>
      <c r="K1758">
        <v>32.119999999999997</v>
      </c>
    </row>
    <row r="1759" spans="1:11">
      <c r="A1759">
        <v>254.17</v>
      </c>
      <c r="B1759">
        <v>35.4</v>
      </c>
      <c r="C1759">
        <v>42.9</v>
      </c>
      <c r="D1759">
        <v>42.67</v>
      </c>
      <c r="E1759">
        <v>38.06</v>
      </c>
      <c r="F1759">
        <v>88.45</v>
      </c>
      <c r="G1759">
        <v>100.95</v>
      </c>
      <c r="H1759">
        <v>69.78</v>
      </c>
      <c r="I1759">
        <v>77.45</v>
      </c>
      <c r="J1759">
        <v>143.4</v>
      </c>
      <c r="K1759">
        <v>32.17</v>
      </c>
    </row>
    <row r="1760" spans="1:11">
      <c r="A1760">
        <v>254.33</v>
      </c>
      <c r="B1760">
        <v>35.28</v>
      </c>
      <c r="C1760">
        <v>42.84</v>
      </c>
      <c r="D1760">
        <v>42.62</v>
      </c>
      <c r="E1760">
        <v>38.06</v>
      </c>
      <c r="F1760">
        <v>88.73</v>
      </c>
      <c r="G1760">
        <v>100.95</v>
      </c>
      <c r="H1760">
        <v>70.73</v>
      </c>
      <c r="I1760">
        <v>77.78</v>
      </c>
      <c r="J1760">
        <v>143.4</v>
      </c>
      <c r="K1760">
        <v>32.17</v>
      </c>
    </row>
    <row r="1761" spans="1:11">
      <c r="A1761">
        <v>254.5</v>
      </c>
      <c r="B1761">
        <v>35.119999999999997</v>
      </c>
      <c r="C1761">
        <v>42.73</v>
      </c>
      <c r="D1761">
        <v>42.62</v>
      </c>
      <c r="E1761">
        <v>37.950000000000003</v>
      </c>
      <c r="F1761">
        <v>88.9</v>
      </c>
      <c r="G1761">
        <v>101.01</v>
      </c>
      <c r="H1761">
        <v>70.78</v>
      </c>
      <c r="I1761">
        <v>77.67</v>
      </c>
      <c r="J1761">
        <v>143.28</v>
      </c>
      <c r="K1761">
        <v>32.17</v>
      </c>
    </row>
    <row r="1762" spans="1:11">
      <c r="A1762">
        <v>254.67</v>
      </c>
      <c r="B1762">
        <v>35.01</v>
      </c>
      <c r="C1762">
        <v>42.84</v>
      </c>
      <c r="D1762">
        <v>42.62</v>
      </c>
      <c r="E1762">
        <v>37.950000000000003</v>
      </c>
      <c r="F1762">
        <v>89.06</v>
      </c>
      <c r="G1762">
        <v>101.01</v>
      </c>
      <c r="H1762">
        <v>71.17</v>
      </c>
      <c r="I1762">
        <v>78.12</v>
      </c>
      <c r="J1762">
        <v>143.22999999999999</v>
      </c>
      <c r="K1762">
        <v>32.17</v>
      </c>
    </row>
    <row r="1763" spans="1:11">
      <c r="A1763">
        <v>254.83</v>
      </c>
      <c r="B1763">
        <v>34.78</v>
      </c>
      <c r="C1763">
        <v>42.73</v>
      </c>
      <c r="D1763">
        <v>42.45</v>
      </c>
      <c r="E1763">
        <v>38.01</v>
      </c>
      <c r="F1763">
        <v>88.9</v>
      </c>
      <c r="G1763">
        <v>101.12</v>
      </c>
      <c r="H1763">
        <v>72.010000000000005</v>
      </c>
      <c r="I1763">
        <v>78.84</v>
      </c>
      <c r="J1763">
        <v>143.06</v>
      </c>
      <c r="K1763">
        <v>32.17</v>
      </c>
    </row>
    <row r="1764" spans="1:11">
      <c r="A1764">
        <v>255</v>
      </c>
      <c r="B1764">
        <v>34.78</v>
      </c>
      <c r="C1764">
        <v>42.67</v>
      </c>
      <c r="D1764">
        <v>42.45</v>
      </c>
      <c r="E1764">
        <v>38.06</v>
      </c>
      <c r="F1764">
        <v>89.23</v>
      </c>
      <c r="G1764">
        <v>101.17</v>
      </c>
      <c r="H1764">
        <v>72.62</v>
      </c>
      <c r="I1764">
        <v>78.510000000000005</v>
      </c>
      <c r="J1764">
        <v>143.01</v>
      </c>
      <c r="K1764">
        <v>32.17</v>
      </c>
    </row>
    <row r="1765" spans="1:11">
      <c r="A1765">
        <v>255.17</v>
      </c>
      <c r="B1765">
        <v>34.67</v>
      </c>
      <c r="C1765">
        <v>42.51</v>
      </c>
      <c r="D1765">
        <v>42.28</v>
      </c>
      <c r="E1765">
        <v>38.340000000000003</v>
      </c>
      <c r="F1765">
        <v>89.45</v>
      </c>
      <c r="G1765">
        <v>101.28</v>
      </c>
      <c r="H1765">
        <v>73.06</v>
      </c>
      <c r="I1765">
        <v>78.67</v>
      </c>
      <c r="J1765">
        <v>143.06</v>
      </c>
      <c r="K1765">
        <v>32.17</v>
      </c>
    </row>
    <row r="1766" spans="1:11">
      <c r="A1766">
        <v>255.33</v>
      </c>
      <c r="B1766">
        <v>34.619999999999997</v>
      </c>
      <c r="C1766">
        <v>42.51</v>
      </c>
      <c r="D1766">
        <v>42.17</v>
      </c>
      <c r="E1766">
        <v>38.729999999999997</v>
      </c>
      <c r="F1766">
        <v>88.84</v>
      </c>
      <c r="G1766">
        <v>101.34</v>
      </c>
      <c r="H1766">
        <v>72.73</v>
      </c>
      <c r="I1766">
        <v>79.06</v>
      </c>
      <c r="J1766">
        <v>142.9</v>
      </c>
      <c r="K1766">
        <v>32.17</v>
      </c>
    </row>
    <row r="1767" spans="1:11">
      <c r="A1767">
        <v>255.5</v>
      </c>
      <c r="B1767">
        <v>34.56</v>
      </c>
      <c r="C1767">
        <v>42.28</v>
      </c>
      <c r="D1767">
        <v>42.01</v>
      </c>
      <c r="E1767">
        <v>39.119999999999997</v>
      </c>
      <c r="F1767">
        <v>89.12</v>
      </c>
      <c r="G1767">
        <v>101.28</v>
      </c>
      <c r="H1767">
        <v>72.56</v>
      </c>
      <c r="I1767">
        <v>79.510000000000005</v>
      </c>
      <c r="J1767">
        <v>142.78</v>
      </c>
      <c r="K1767">
        <v>32.17</v>
      </c>
    </row>
    <row r="1768" spans="1:11">
      <c r="A1768">
        <v>255.67</v>
      </c>
      <c r="B1768">
        <v>34.619999999999997</v>
      </c>
      <c r="C1768">
        <v>42.28</v>
      </c>
      <c r="D1768">
        <v>42.12</v>
      </c>
      <c r="E1768">
        <v>40.950000000000003</v>
      </c>
      <c r="F1768">
        <v>89.17</v>
      </c>
      <c r="G1768">
        <v>101.4</v>
      </c>
      <c r="H1768">
        <v>72.06</v>
      </c>
      <c r="I1768">
        <v>80.400000000000006</v>
      </c>
      <c r="J1768">
        <v>142.78</v>
      </c>
      <c r="K1768">
        <v>32.17</v>
      </c>
    </row>
    <row r="1769" spans="1:11">
      <c r="A1769">
        <v>255.83</v>
      </c>
      <c r="B1769">
        <v>34.619999999999997</v>
      </c>
      <c r="C1769">
        <v>42.17</v>
      </c>
      <c r="D1769">
        <v>42.06</v>
      </c>
      <c r="E1769">
        <v>42.17</v>
      </c>
      <c r="F1769">
        <v>88.95</v>
      </c>
      <c r="G1769">
        <v>101.45</v>
      </c>
      <c r="H1769">
        <v>71.73</v>
      </c>
      <c r="I1769">
        <v>81.28</v>
      </c>
      <c r="J1769">
        <v>142.84</v>
      </c>
      <c r="K1769">
        <v>32.17</v>
      </c>
    </row>
    <row r="1770" spans="1:11">
      <c r="A1770">
        <v>256</v>
      </c>
      <c r="B1770">
        <v>34.56</v>
      </c>
      <c r="C1770">
        <v>42.17</v>
      </c>
      <c r="D1770">
        <v>42.06</v>
      </c>
      <c r="E1770">
        <v>43.12</v>
      </c>
      <c r="F1770">
        <v>89.01</v>
      </c>
      <c r="G1770">
        <v>101.45</v>
      </c>
      <c r="H1770">
        <v>72.28</v>
      </c>
      <c r="I1770">
        <v>82.06</v>
      </c>
      <c r="J1770">
        <v>142.78</v>
      </c>
      <c r="K1770">
        <v>32.17</v>
      </c>
    </row>
    <row r="1771" spans="1:11">
      <c r="A1771">
        <v>256.17</v>
      </c>
      <c r="B1771">
        <v>34.56</v>
      </c>
      <c r="C1771">
        <v>42.17</v>
      </c>
      <c r="D1771">
        <v>41.95</v>
      </c>
      <c r="E1771">
        <v>43.9</v>
      </c>
      <c r="F1771">
        <v>89.28</v>
      </c>
      <c r="G1771">
        <v>101.51</v>
      </c>
      <c r="H1771">
        <v>72.400000000000006</v>
      </c>
      <c r="I1771">
        <v>82.45</v>
      </c>
      <c r="J1771">
        <v>142.78</v>
      </c>
      <c r="K1771">
        <v>32.229999999999997</v>
      </c>
    </row>
    <row r="1772" spans="1:11">
      <c r="A1772">
        <v>256.33</v>
      </c>
      <c r="B1772">
        <v>34.51</v>
      </c>
      <c r="C1772">
        <v>42.12</v>
      </c>
      <c r="D1772">
        <v>41.95</v>
      </c>
      <c r="E1772">
        <v>44.51</v>
      </c>
      <c r="F1772">
        <v>89.12</v>
      </c>
      <c r="G1772">
        <v>101.4</v>
      </c>
      <c r="H1772">
        <v>72.12</v>
      </c>
      <c r="I1772">
        <v>82.67</v>
      </c>
      <c r="J1772">
        <v>142.72999999999999</v>
      </c>
      <c r="K1772">
        <v>32.229999999999997</v>
      </c>
    </row>
    <row r="1773" spans="1:11">
      <c r="A1773">
        <v>256.5</v>
      </c>
      <c r="B1773">
        <v>34.340000000000003</v>
      </c>
      <c r="C1773">
        <v>42.17</v>
      </c>
      <c r="D1773">
        <v>41.95</v>
      </c>
      <c r="E1773">
        <v>45.17</v>
      </c>
      <c r="F1773">
        <v>88.56</v>
      </c>
      <c r="G1773">
        <v>101.34</v>
      </c>
      <c r="H1773">
        <v>72.23</v>
      </c>
      <c r="I1773">
        <v>82.84</v>
      </c>
      <c r="J1773">
        <v>142.66999999999999</v>
      </c>
      <c r="K1773">
        <v>32.229999999999997</v>
      </c>
    </row>
    <row r="1774" spans="1:11">
      <c r="A1774">
        <v>256.67</v>
      </c>
      <c r="B1774">
        <v>34.28</v>
      </c>
      <c r="C1774">
        <v>42.17</v>
      </c>
      <c r="D1774">
        <v>41.95</v>
      </c>
      <c r="E1774">
        <v>45.9</v>
      </c>
      <c r="F1774">
        <v>88.62</v>
      </c>
      <c r="G1774">
        <v>101.34</v>
      </c>
      <c r="H1774">
        <v>72.78</v>
      </c>
      <c r="I1774">
        <v>83.62</v>
      </c>
      <c r="J1774">
        <v>142.62</v>
      </c>
      <c r="K1774">
        <v>32.229999999999997</v>
      </c>
    </row>
    <row r="1775" spans="1:11">
      <c r="A1775">
        <v>256.83</v>
      </c>
      <c r="B1775">
        <v>34.119999999999997</v>
      </c>
      <c r="C1775">
        <v>42.06</v>
      </c>
      <c r="D1775">
        <v>41.84</v>
      </c>
      <c r="E1775">
        <v>46.4</v>
      </c>
      <c r="F1775">
        <v>88.34</v>
      </c>
      <c r="G1775">
        <v>101.28</v>
      </c>
      <c r="H1775">
        <v>72.900000000000006</v>
      </c>
      <c r="I1775">
        <v>84.34</v>
      </c>
      <c r="J1775">
        <v>142.51</v>
      </c>
      <c r="K1775">
        <v>32.229999999999997</v>
      </c>
    </row>
    <row r="1776" spans="1:11">
      <c r="A1776">
        <v>257</v>
      </c>
      <c r="B1776">
        <v>34.28</v>
      </c>
      <c r="C1776">
        <v>42.62</v>
      </c>
      <c r="D1776">
        <v>42.28</v>
      </c>
      <c r="E1776">
        <v>47.56</v>
      </c>
      <c r="F1776">
        <v>88.34</v>
      </c>
      <c r="G1776">
        <v>101.45</v>
      </c>
      <c r="H1776">
        <v>74.12</v>
      </c>
      <c r="I1776">
        <v>84.84</v>
      </c>
      <c r="J1776">
        <v>142.44999999999999</v>
      </c>
      <c r="K1776">
        <v>32.229999999999997</v>
      </c>
    </row>
    <row r="1777" spans="1:11">
      <c r="A1777">
        <v>257.17</v>
      </c>
      <c r="B1777">
        <v>34.78</v>
      </c>
      <c r="C1777">
        <v>42.73</v>
      </c>
      <c r="D1777">
        <v>42.51</v>
      </c>
      <c r="E1777">
        <v>48.4</v>
      </c>
      <c r="F1777">
        <v>88.01</v>
      </c>
      <c r="G1777">
        <v>101.4</v>
      </c>
      <c r="H1777">
        <v>74.510000000000005</v>
      </c>
      <c r="I1777">
        <v>85.73</v>
      </c>
      <c r="J1777">
        <v>142.34</v>
      </c>
      <c r="K1777">
        <v>32.229999999999997</v>
      </c>
    </row>
    <row r="1778" spans="1:11">
      <c r="A1778">
        <v>257.33</v>
      </c>
      <c r="B1778">
        <v>35.06</v>
      </c>
      <c r="C1778">
        <v>42.56</v>
      </c>
      <c r="D1778">
        <v>42.51</v>
      </c>
      <c r="E1778">
        <v>49.23</v>
      </c>
      <c r="F1778">
        <v>87.73</v>
      </c>
      <c r="G1778">
        <v>101.45</v>
      </c>
      <c r="H1778">
        <v>75.400000000000006</v>
      </c>
      <c r="I1778">
        <v>86.67</v>
      </c>
      <c r="J1778">
        <v>142.28</v>
      </c>
      <c r="K1778">
        <v>32.229999999999997</v>
      </c>
    </row>
    <row r="1779" spans="1:11">
      <c r="A1779">
        <v>257.5</v>
      </c>
      <c r="B1779">
        <v>35.17</v>
      </c>
      <c r="C1779">
        <v>42.51</v>
      </c>
      <c r="D1779">
        <v>42.51</v>
      </c>
      <c r="E1779">
        <v>49.9</v>
      </c>
      <c r="F1779">
        <v>87.67</v>
      </c>
      <c r="G1779">
        <v>101.45</v>
      </c>
      <c r="H1779">
        <v>76.34</v>
      </c>
      <c r="I1779">
        <v>88.01</v>
      </c>
      <c r="J1779">
        <v>142.16999999999999</v>
      </c>
      <c r="K1779">
        <v>32.229999999999997</v>
      </c>
    </row>
    <row r="1780" spans="1:11">
      <c r="A1780">
        <v>257.67</v>
      </c>
      <c r="B1780">
        <v>35.17</v>
      </c>
      <c r="C1780">
        <v>42.45</v>
      </c>
      <c r="D1780">
        <v>42.45</v>
      </c>
      <c r="E1780">
        <v>50.34</v>
      </c>
      <c r="F1780">
        <v>86.84</v>
      </c>
      <c r="G1780">
        <v>101.45</v>
      </c>
      <c r="H1780">
        <v>76.78</v>
      </c>
      <c r="I1780">
        <v>89.28</v>
      </c>
      <c r="J1780">
        <v>142.06</v>
      </c>
      <c r="K1780">
        <v>32.229999999999997</v>
      </c>
    </row>
    <row r="1781" spans="1:11">
      <c r="A1781">
        <v>257.83</v>
      </c>
      <c r="B1781">
        <v>35.17</v>
      </c>
      <c r="C1781">
        <v>42.34</v>
      </c>
      <c r="D1781">
        <v>42.34</v>
      </c>
      <c r="E1781">
        <v>51.01</v>
      </c>
      <c r="F1781">
        <v>86.51</v>
      </c>
      <c r="G1781">
        <v>101.34</v>
      </c>
      <c r="H1781">
        <v>76.900000000000006</v>
      </c>
      <c r="I1781">
        <v>90.62</v>
      </c>
      <c r="J1781">
        <v>141.94999999999999</v>
      </c>
      <c r="K1781">
        <v>32.28</v>
      </c>
    </row>
    <row r="1782" spans="1:11">
      <c r="A1782">
        <v>258</v>
      </c>
      <c r="B1782">
        <v>35.229999999999997</v>
      </c>
      <c r="C1782">
        <v>42.28</v>
      </c>
      <c r="D1782">
        <v>42.28</v>
      </c>
      <c r="E1782">
        <v>51.45</v>
      </c>
      <c r="F1782">
        <v>86.9</v>
      </c>
      <c r="G1782">
        <v>101.34</v>
      </c>
      <c r="H1782">
        <v>77.67</v>
      </c>
      <c r="I1782">
        <v>91.4</v>
      </c>
      <c r="J1782">
        <v>141.84</v>
      </c>
      <c r="K1782">
        <v>32.28</v>
      </c>
    </row>
    <row r="1783" spans="1:11">
      <c r="A1783">
        <v>258.17</v>
      </c>
      <c r="B1783">
        <v>35.28</v>
      </c>
      <c r="C1783">
        <v>42.28</v>
      </c>
      <c r="D1783">
        <v>42.28</v>
      </c>
      <c r="E1783">
        <v>51.73</v>
      </c>
      <c r="F1783">
        <v>86.67</v>
      </c>
      <c r="G1783">
        <v>101.28</v>
      </c>
      <c r="H1783">
        <v>78.45</v>
      </c>
      <c r="I1783">
        <v>92.06</v>
      </c>
      <c r="J1783">
        <v>141.84</v>
      </c>
      <c r="K1783">
        <v>32.28</v>
      </c>
    </row>
    <row r="1784" spans="1:11">
      <c r="A1784">
        <v>258.33</v>
      </c>
      <c r="B1784">
        <v>35.4</v>
      </c>
      <c r="C1784">
        <v>42.28</v>
      </c>
      <c r="D1784">
        <v>42.23</v>
      </c>
      <c r="E1784">
        <v>51.95</v>
      </c>
      <c r="F1784">
        <v>87.06</v>
      </c>
      <c r="G1784">
        <v>101.17</v>
      </c>
      <c r="H1784">
        <v>78.900000000000006</v>
      </c>
      <c r="I1784">
        <v>92.17</v>
      </c>
      <c r="J1784">
        <v>141.66999999999999</v>
      </c>
      <c r="K1784">
        <v>32.28</v>
      </c>
    </row>
    <row r="1785" spans="1:11">
      <c r="A1785">
        <v>258.5</v>
      </c>
      <c r="B1785">
        <v>35.56</v>
      </c>
      <c r="C1785">
        <v>42.34</v>
      </c>
      <c r="D1785">
        <v>42.34</v>
      </c>
      <c r="E1785">
        <v>52.12</v>
      </c>
      <c r="F1785">
        <v>87.62</v>
      </c>
      <c r="G1785">
        <v>101.17</v>
      </c>
      <c r="H1785">
        <v>79.17</v>
      </c>
      <c r="I1785">
        <v>92.34</v>
      </c>
      <c r="J1785">
        <v>141.66999999999999</v>
      </c>
      <c r="K1785">
        <v>32.28</v>
      </c>
    </row>
    <row r="1786" spans="1:11">
      <c r="A1786">
        <v>258.67</v>
      </c>
      <c r="B1786">
        <v>35.619999999999997</v>
      </c>
      <c r="C1786">
        <v>42.45</v>
      </c>
      <c r="D1786">
        <v>42.4</v>
      </c>
      <c r="E1786">
        <v>52.12</v>
      </c>
      <c r="F1786">
        <v>87.84</v>
      </c>
      <c r="G1786">
        <v>101.17</v>
      </c>
      <c r="H1786">
        <v>79.84</v>
      </c>
      <c r="I1786">
        <v>91.73</v>
      </c>
      <c r="J1786">
        <v>141.66999999999999</v>
      </c>
      <c r="K1786">
        <v>32.28</v>
      </c>
    </row>
    <row r="1787" spans="1:11">
      <c r="A1787">
        <v>258.83</v>
      </c>
      <c r="B1787">
        <v>35.729999999999997</v>
      </c>
      <c r="C1787">
        <v>42.51</v>
      </c>
      <c r="D1787">
        <v>42.45</v>
      </c>
      <c r="E1787">
        <v>52.01</v>
      </c>
      <c r="F1787">
        <v>88.17</v>
      </c>
      <c r="G1787">
        <v>101.17</v>
      </c>
      <c r="H1787">
        <v>80.510000000000005</v>
      </c>
      <c r="I1787">
        <v>88.9</v>
      </c>
      <c r="J1787">
        <v>141.62</v>
      </c>
      <c r="K1787">
        <v>32.28</v>
      </c>
    </row>
    <row r="1788" spans="1:11">
      <c r="A1788">
        <v>259</v>
      </c>
      <c r="B1788">
        <v>35.78</v>
      </c>
      <c r="C1788">
        <v>42.51</v>
      </c>
      <c r="D1788">
        <v>42.34</v>
      </c>
      <c r="E1788">
        <v>51.84</v>
      </c>
      <c r="F1788">
        <v>88.23</v>
      </c>
      <c r="G1788">
        <v>101.01</v>
      </c>
      <c r="H1788">
        <v>81.12</v>
      </c>
      <c r="I1788">
        <v>88.84</v>
      </c>
      <c r="J1788">
        <v>141.51</v>
      </c>
      <c r="K1788">
        <v>32.28</v>
      </c>
    </row>
    <row r="1789" spans="1:11">
      <c r="A1789">
        <v>259.17</v>
      </c>
      <c r="B1789">
        <v>35.9</v>
      </c>
      <c r="C1789">
        <v>42.51</v>
      </c>
      <c r="D1789">
        <v>42.45</v>
      </c>
      <c r="E1789">
        <v>51.84</v>
      </c>
      <c r="F1789">
        <v>88.23</v>
      </c>
      <c r="G1789">
        <v>101.06</v>
      </c>
      <c r="H1789">
        <v>81.95</v>
      </c>
      <c r="I1789">
        <v>87.45</v>
      </c>
      <c r="J1789">
        <v>141.51</v>
      </c>
      <c r="K1789">
        <v>32.28</v>
      </c>
    </row>
    <row r="1790" spans="1:11">
      <c r="A1790">
        <v>259.33</v>
      </c>
      <c r="B1790">
        <v>36.17</v>
      </c>
      <c r="C1790">
        <v>42.62</v>
      </c>
      <c r="D1790">
        <v>42.56</v>
      </c>
      <c r="E1790">
        <v>51.9</v>
      </c>
      <c r="F1790">
        <v>88.34</v>
      </c>
      <c r="G1790">
        <v>101.17</v>
      </c>
      <c r="H1790">
        <v>82.34</v>
      </c>
      <c r="I1790">
        <v>86.45</v>
      </c>
      <c r="J1790">
        <v>141.51</v>
      </c>
      <c r="K1790">
        <v>32.28</v>
      </c>
    </row>
    <row r="1791" spans="1:11">
      <c r="A1791">
        <v>259.5</v>
      </c>
      <c r="B1791">
        <v>36.229999999999997</v>
      </c>
      <c r="C1791">
        <v>42.67</v>
      </c>
      <c r="D1791">
        <v>42.56</v>
      </c>
      <c r="E1791">
        <v>51.73</v>
      </c>
      <c r="F1791">
        <v>88.51</v>
      </c>
      <c r="G1791">
        <v>101.23</v>
      </c>
      <c r="H1791">
        <v>83.23</v>
      </c>
      <c r="I1791">
        <v>86.84</v>
      </c>
      <c r="J1791">
        <v>141.44999999999999</v>
      </c>
      <c r="K1791">
        <v>32.28</v>
      </c>
    </row>
    <row r="1792" spans="1:11">
      <c r="A1792">
        <v>259.67</v>
      </c>
      <c r="B1792">
        <v>36.229999999999997</v>
      </c>
      <c r="C1792">
        <v>42.78</v>
      </c>
      <c r="D1792">
        <v>42.67</v>
      </c>
      <c r="E1792">
        <v>51.67</v>
      </c>
      <c r="F1792">
        <v>88.51</v>
      </c>
      <c r="G1792">
        <v>101.45</v>
      </c>
      <c r="H1792">
        <v>83.73</v>
      </c>
      <c r="I1792">
        <v>85.84</v>
      </c>
      <c r="J1792">
        <v>141.34</v>
      </c>
      <c r="K1792">
        <v>32.28</v>
      </c>
    </row>
    <row r="1793" spans="1:11">
      <c r="A1793">
        <v>259.83</v>
      </c>
      <c r="B1793">
        <v>36.450000000000003</v>
      </c>
      <c r="C1793">
        <v>42.9</v>
      </c>
      <c r="D1793">
        <v>42.84</v>
      </c>
      <c r="E1793">
        <v>51.78</v>
      </c>
      <c r="F1793">
        <v>88.73</v>
      </c>
      <c r="G1793">
        <v>101.62</v>
      </c>
      <c r="H1793">
        <v>84.01</v>
      </c>
      <c r="I1793">
        <v>85.51</v>
      </c>
      <c r="J1793">
        <v>141.34</v>
      </c>
      <c r="K1793">
        <v>32.28</v>
      </c>
    </row>
    <row r="1794" spans="1:11">
      <c r="A1794">
        <v>260</v>
      </c>
      <c r="B1794">
        <v>36.67</v>
      </c>
      <c r="C1794">
        <v>43.17</v>
      </c>
      <c r="D1794">
        <v>43.06</v>
      </c>
      <c r="E1794">
        <v>51.56</v>
      </c>
      <c r="F1794">
        <v>89.06</v>
      </c>
      <c r="G1794">
        <v>101.9</v>
      </c>
      <c r="H1794">
        <v>83.23</v>
      </c>
      <c r="I1794">
        <v>84.06</v>
      </c>
      <c r="J1794">
        <v>141.34</v>
      </c>
      <c r="K1794">
        <v>32.340000000000003</v>
      </c>
    </row>
    <row r="1795" spans="1:11">
      <c r="A1795">
        <v>260.17</v>
      </c>
      <c r="B1795">
        <v>36.950000000000003</v>
      </c>
      <c r="C1795">
        <v>43.34</v>
      </c>
      <c r="D1795">
        <v>43.28</v>
      </c>
      <c r="E1795">
        <v>51.4</v>
      </c>
      <c r="F1795">
        <v>88.95</v>
      </c>
      <c r="G1795">
        <v>102.06</v>
      </c>
      <c r="H1795">
        <v>82.67</v>
      </c>
      <c r="I1795">
        <v>83.73</v>
      </c>
      <c r="J1795">
        <v>141.28</v>
      </c>
      <c r="K1795">
        <v>32.340000000000003</v>
      </c>
    </row>
    <row r="1796" spans="1:11">
      <c r="A1796">
        <v>260.33</v>
      </c>
      <c r="B1796">
        <v>36.950000000000003</v>
      </c>
      <c r="C1796">
        <v>43.67</v>
      </c>
      <c r="D1796">
        <v>43.45</v>
      </c>
      <c r="E1796">
        <v>51.51</v>
      </c>
      <c r="F1796">
        <v>88.95</v>
      </c>
      <c r="G1796">
        <v>102.17</v>
      </c>
      <c r="H1796">
        <v>82.67</v>
      </c>
      <c r="I1796">
        <v>83.45</v>
      </c>
      <c r="J1796">
        <v>141.28</v>
      </c>
      <c r="K1796">
        <v>32.340000000000003</v>
      </c>
    </row>
    <row r="1797" spans="1:11">
      <c r="A1797">
        <v>260.5</v>
      </c>
      <c r="B1797">
        <v>37.01</v>
      </c>
      <c r="C1797">
        <v>43.84</v>
      </c>
      <c r="D1797">
        <v>43.73</v>
      </c>
      <c r="E1797">
        <v>51.56</v>
      </c>
      <c r="F1797">
        <v>88.95</v>
      </c>
      <c r="G1797">
        <v>102.34</v>
      </c>
      <c r="H1797">
        <v>82.17</v>
      </c>
      <c r="I1797">
        <v>84.56</v>
      </c>
      <c r="J1797">
        <v>141.12</v>
      </c>
      <c r="K1797">
        <v>32.340000000000003</v>
      </c>
    </row>
    <row r="1798" spans="1:11">
      <c r="A1798">
        <v>260.67</v>
      </c>
      <c r="B1798">
        <v>37.17</v>
      </c>
      <c r="C1798">
        <v>44.01</v>
      </c>
      <c r="D1798">
        <v>43.9</v>
      </c>
      <c r="E1798">
        <v>51.78</v>
      </c>
      <c r="F1798">
        <v>88.67</v>
      </c>
      <c r="G1798">
        <v>102.56</v>
      </c>
      <c r="H1798">
        <v>81.78</v>
      </c>
      <c r="I1798">
        <v>85.17</v>
      </c>
      <c r="J1798">
        <v>141.12</v>
      </c>
      <c r="K1798">
        <v>32.340000000000003</v>
      </c>
    </row>
    <row r="1799" spans="1:11">
      <c r="A1799">
        <v>260.83</v>
      </c>
      <c r="B1799">
        <v>37.450000000000003</v>
      </c>
      <c r="C1799">
        <v>44.34</v>
      </c>
      <c r="D1799">
        <v>44.28</v>
      </c>
      <c r="E1799">
        <v>52.12</v>
      </c>
      <c r="F1799">
        <v>88.23</v>
      </c>
      <c r="G1799">
        <v>102.78</v>
      </c>
      <c r="H1799">
        <v>80.78</v>
      </c>
      <c r="I1799">
        <v>84.73</v>
      </c>
      <c r="J1799">
        <v>141.01</v>
      </c>
      <c r="K1799">
        <v>32.340000000000003</v>
      </c>
    </row>
    <row r="1800" spans="1:11">
      <c r="A1800">
        <v>261</v>
      </c>
      <c r="B1800">
        <v>37.619999999999997</v>
      </c>
      <c r="C1800">
        <v>44.51</v>
      </c>
      <c r="D1800">
        <v>44.51</v>
      </c>
      <c r="E1800">
        <v>52.51</v>
      </c>
      <c r="F1800">
        <v>87.78</v>
      </c>
      <c r="G1800">
        <v>102.9</v>
      </c>
      <c r="H1800">
        <v>79.400000000000006</v>
      </c>
      <c r="I1800">
        <v>85.06</v>
      </c>
      <c r="J1800">
        <v>140.9</v>
      </c>
      <c r="K1800">
        <v>32.340000000000003</v>
      </c>
    </row>
    <row r="1801" spans="1:11">
      <c r="A1801">
        <v>261.17</v>
      </c>
      <c r="B1801">
        <v>37.840000000000003</v>
      </c>
      <c r="C1801">
        <v>44.9</v>
      </c>
      <c r="D1801">
        <v>44.84</v>
      </c>
      <c r="E1801">
        <v>52.78</v>
      </c>
      <c r="F1801">
        <v>87.06</v>
      </c>
      <c r="G1801">
        <v>103.06</v>
      </c>
      <c r="H1801">
        <v>78.73</v>
      </c>
      <c r="I1801">
        <v>85.73</v>
      </c>
      <c r="J1801">
        <v>140.84</v>
      </c>
      <c r="K1801">
        <v>32.340000000000003</v>
      </c>
    </row>
    <row r="1802" spans="1:11">
      <c r="A1802">
        <v>261.33</v>
      </c>
      <c r="B1802">
        <v>37.950000000000003</v>
      </c>
      <c r="C1802">
        <v>45.12</v>
      </c>
      <c r="D1802">
        <v>45.17</v>
      </c>
      <c r="E1802">
        <v>53.12</v>
      </c>
      <c r="F1802">
        <v>86.84</v>
      </c>
      <c r="G1802">
        <v>103.23</v>
      </c>
      <c r="H1802">
        <v>78.06</v>
      </c>
      <c r="I1802">
        <v>85.45</v>
      </c>
      <c r="J1802">
        <v>140.84</v>
      </c>
      <c r="K1802">
        <v>32.4</v>
      </c>
    </row>
    <row r="1803" spans="1:11">
      <c r="A1803">
        <v>261.5</v>
      </c>
      <c r="B1803">
        <v>38.06</v>
      </c>
      <c r="C1803">
        <v>45.34</v>
      </c>
      <c r="D1803">
        <v>45.4</v>
      </c>
      <c r="E1803">
        <v>53.56</v>
      </c>
      <c r="F1803">
        <v>86.23</v>
      </c>
      <c r="G1803">
        <v>103.4</v>
      </c>
      <c r="H1803">
        <v>78.73</v>
      </c>
      <c r="I1803">
        <v>86.06</v>
      </c>
      <c r="J1803">
        <v>140.72999999999999</v>
      </c>
      <c r="K1803">
        <v>32.4</v>
      </c>
    </row>
    <row r="1804" spans="1:11">
      <c r="A1804">
        <v>261.67</v>
      </c>
      <c r="B1804">
        <v>38.06</v>
      </c>
      <c r="C1804">
        <v>45.51</v>
      </c>
      <c r="D1804">
        <v>45.56</v>
      </c>
      <c r="E1804">
        <v>54.06</v>
      </c>
      <c r="F1804">
        <v>85.78</v>
      </c>
      <c r="G1804">
        <v>103.4</v>
      </c>
      <c r="H1804">
        <v>78.56</v>
      </c>
      <c r="I1804">
        <v>86.67</v>
      </c>
      <c r="J1804">
        <v>140.66999999999999</v>
      </c>
      <c r="K1804">
        <v>32.4</v>
      </c>
    </row>
    <row r="1805" spans="1:11">
      <c r="A1805">
        <v>261.83</v>
      </c>
      <c r="B1805">
        <v>38.01</v>
      </c>
      <c r="C1805">
        <v>45.73</v>
      </c>
      <c r="D1805">
        <v>45.78</v>
      </c>
      <c r="E1805">
        <v>54.34</v>
      </c>
      <c r="F1805">
        <v>85.17</v>
      </c>
      <c r="G1805">
        <v>103.56</v>
      </c>
      <c r="H1805">
        <v>77.73</v>
      </c>
      <c r="I1805">
        <v>86.78</v>
      </c>
      <c r="J1805">
        <v>140.66999999999999</v>
      </c>
      <c r="K1805">
        <v>32.4</v>
      </c>
    </row>
    <row r="1806" spans="1:11">
      <c r="A1806">
        <v>262</v>
      </c>
      <c r="B1806">
        <v>38.01</v>
      </c>
      <c r="C1806">
        <v>45.9</v>
      </c>
      <c r="D1806">
        <v>45.9</v>
      </c>
      <c r="E1806">
        <v>54.78</v>
      </c>
      <c r="F1806">
        <v>84.23</v>
      </c>
      <c r="G1806">
        <v>103.62</v>
      </c>
      <c r="H1806">
        <v>77.84</v>
      </c>
      <c r="I1806">
        <v>86.28</v>
      </c>
      <c r="J1806">
        <v>140.62</v>
      </c>
      <c r="K1806">
        <v>32.4</v>
      </c>
    </row>
    <row r="1807" spans="1:11">
      <c r="A1807">
        <v>262.17</v>
      </c>
      <c r="B1807">
        <v>38.119999999999997</v>
      </c>
      <c r="C1807">
        <v>46.06</v>
      </c>
      <c r="D1807">
        <v>46.06</v>
      </c>
      <c r="E1807">
        <v>55.17</v>
      </c>
      <c r="F1807">
        <v>82.95</v>
      </c>
      <c r="G1807">
        <v>103.56</v>
      </c>
      <c r="H1807">
        <v>78.400000000000006</v>
      </c>
      <c r="I1807">
        <v>85.23</v>
      </c>
      <c r="J1807">
        <v>140.4</v>
      </c>
      <c r="K1807">
        <v>32.4</v>
      </c>
    </row>
    <row r="1808" spans="1:11">
      <c r="A1808">
        <v>262.33</v>
      </c>
      <c r="B1808">
        <v>38.06</v>
      </c>
      <c r="C1808">
        <v>46.17</v>
      </c>
      <c r="D1808">
        <v>46.17</v>
      </c>
      <c r="E1808">
        <v>55.62</v>
      </c>
      <c r="F1808">
        <v>81.900000000000006</v>
      </c>
      <c r="G1808">
        <v>103.45</v>
      </c>
      <c r="H1808">
        <v>78.84</v>
      </c>
      <c r="I1808">
        <v>84.51</v>
      </c>
      <c r="J1808">
        <v>140.34</v>
      </c>
      <c r="K1808">
        <v>32.4</v>
      </c>
    </row>
    <row r="1809" spans="1:11">
      <c r="A1809">
        <v>262.5</v>
      </c>
      <c r="B1809">
        <v>38.17</v>
      </c>
      <c r="C1809">
        <v>46.34</v>
      </c>
      <c r="D1809">
        <v>46.34</v>
      </c>
      <c r="E1809">
        <v>56.06</v>
      </c>
      <c r="F1809">
        <v>81.12</v>
      </c>
      <c r="G1809">
        <v>103.34</v>
      </c>
      <c r="H1809">
        <v>79.78</v>
      </c>
      <c r="I1809">
        <v>83.45</v>
      </c>
      <c r="J1809">
        <v>140.34</v>
      </c>
      <c r="K1809">
        <v>32.4</v>
      </c>
    </row>
    <row r="1810" spans="1:11">
      <c r="A1810">
        <v>262.67</v>
      </c>
      <c r="B1810">
        <v>38.28</v>
      </c>
      <c r="C1810">
        <v>46.45</v>
      </c>
      <c r="D1810">
        <v>46.45</v>
      </c>
      <c r="E1810">
        <v>56.45</v>
      </c>
      <c r="F1810">
        <v>79.84</v>
      </c>
      <c r="G1810">
        <v>103.06</v>
      </c>
      <c r="H1810">
        <v>80.23</v>
      </c>
      <c r="I1810">
        <v>83.01</v>
      </c>
      <c r="J1810">
        <v>140.22999999999999</v>
      </c>
      <c r="K1810">
        <v>32.4</v>
      </c>
    </row>
    <row r="1811" spans="1:11">
      <c r="A1811">
        <v>262.83</v>
      </c>
      <c r="B1811">
        <v>38.450000000000003</v>
      </c>
      <c r="C1811">
        <v>46.45</v>
      </c>
      <c r="D1811">
        <v>46.51</v>
      </c>
      <c r="E1811">
        <v>56.84</v>
      </c>
      <c r="F1811">
        <v>79.34</v>
      </c>
      <c r="G1811">
        <v>103.01</v>
      </c>
      <c r="H1811">
        <v>80.900000000000006</v>
      </c>
      <c r="I1811">
        <v>81.34</v>
      </c>
      <c r="J1811">
        <v>140.16999999999999</v>
      </c>
      <c r="K1811">
        <v>32.450000000000003</v>
      </c>
    </row>
    <row r="1812" spans="1:11">
      <c r="A1812">
        <v>263</v>
      </c>
      <c r="B1812">
        <v>38.51</v>
      </c>
      <c r="C1812">
        <v>46.56</v>
      </c>
      <c r="D1812">
        <v>46.62</v>
      </c>
      <c r="E1812">
        <v>57.23</v>
      </c>
      <c r="F1812">
        <v>78.62</v>
      </c>
      <c r="G1812">
        <v>102.9</v>
      </c>
      <c r="H1812">
        <v>81.17</v>
      </c>
      <c r="I1812">
        <v>80.78</v>
      </c>
      <c r="J1812">
        <v>140.16999999999999</v>
      </c>
      <c r="K1812">
        <v>32.4</v>
      </c>
    </row>
    <row r="1813" spans="1:11">
      <c r="A1813">
        <v>263.17</v>
      </c>
      <c r="B1813">
        <v>38.619999999999997</v>
      </c>
      <c r="C1813">
        <v>46.67</v>
      </c>
      <c r="D1813">
        <v>46.67</v>
      </c>
      <c r="E1813">
        <v>57.56</v>
      </c>
      <c r="F1813">
        <v>78.17</v>
      </c>
      <c r="G1813">
        <v>102.56</v>
      </c>
      <c r="H1813">
        <v>81.17</v>
      </c>
      <c r="I1813">
        <v>79.95</v>
      </c>
      <c r="J1813">
        <v>140.01</v>
      </c>
      <c r="K1813">
        <v>32.4</v>
      </c>
    </row>
    <row r="1814" spans="1:11">
      <c r="A1814">
        <v>263.33</v>
      </c>
      <c r="B1814">
        <v>38.78</v>
      </c>
      <c r="C1814">
        <v>46.84</v>
      </c>
      <c r="D1814">
        <v>46.78</v>
      </c>
      <c r="E1814">
        <v>57.95</v>
      </c>
      <c r="F1814">
        <v>78.06</v>
      </c>
      <c r="G1814">
        <v>102.28</v>
      </c>
      <c r="H1814">
        <v>81.73</v>
      </c>
      <c r="I1814">
        <v>79.78</v>
      </c>
      <c r="J1814">
        <v>140.01</v>
      </c>
      <c r="K1814">
        <v>32.450000000000003</v>
      </c>
    </row>
    <row r="1815" spans="1:11">
      <c r="A1815">
        <v>263.5</v>
      </c>
      <c r="B1815">
        <v>38.9</v>
      </c>
      <c r="C1815">
        <v>47.01</v>
      </c>
      <c r="D1815">
        <v>46.95</v>
      </c>
      <c r="E1815">
        <v>58.28</v>
      </c>
      <c r="F1815">
        <v>77.900000000000006</v>
      </c>
      <c r="G1815">
        <v>102.06</v>
      </c>
      <c r="H1815">
        <v>82.12</v>
      </c>
      <c r="I1815">
        <v>79.56</v>
      </c>
      <c r="J1815">
        <v>139.94999999999999</v>
      </c>
      <c r="K1815">
        <v>32.450000000000003</v>
      </c>
    </row>
    <row r="1816" spans="1:11">
      <c r="A1816">
        <v>263.67</v>
      </c>
      <c r="B1816">
        <v>38.950000000000003</v>
      </c>
      <c r="C1816">
        <v>47.01</v>
      </c>
      <c r="D1816">
        <v>47.01</v>
      </c>
      <c r="E1816">
        <v>58.62</v>
      </c>
      <c r="F1816">
        <v>77.45</v>
      </c>
      <c r="G1816">
        <v>101.9</v>
      </c>
      <c r="H1816">
        <v>81.34</v>
      </c>
      <c r="I1816">
        <v>79.17</v>
      </c>
      <c r="J1816">
        <v>139.84</v>
      </c>
      <c r="K1816">
        <v>32.450000000000003</v>
      </c>
    </row>
    <row r="1817" spans="1:11">
      <c r="A1817">
        <v>263.83</v>
      </c>
      <c r="B1817">
        <v>38.78</v>
      </c>
      <c r="C1817">
        <v>47.01</v>
      </c>
      <c r="D1817">
        <v>47.01</v>
      </c>
      <c r="E1817">
        <v>58.9</v>
      </c>
      <c r="F1817">
        <v>77.28</v>
      </c>
      <c r="G1817">
        <v>101.62</v>
      </c>
      <c r="H1817">
        <v>80.95</v>
      </c>
      <c r="I1817">
        <v>79.010000000000005</v>
      </c>
      <c r="J1817">
        <v>139.84</v>
      </c>
      <c r="K1817">
        <v>32.450000000000003</v>
      </c>
    </row>
    <row r="1818" spans="1:11">
      <c r="A1818">
        <v>264</v>
      </c>
      <c r="B1818">
        <v>38.840000000000003</v>
      </c>
      <c r="C1818">
        <v>47.12</v>
      </c>
      <c r="D1818">
        <v>47.12</v>
      </c>
      <c r="E1818">
        <v>59.23</v>
      </c>
      <c r="F1818">
        <v>76.78</v>
      </c>
      <c r="G1818">
        <v>101.45</v>
      </c>
      <c r="H1818">
        <v>80.510000000000005</v>
      </c>
      <c r="I1818">
        <v>77.84</v>
      </c>
      <c r="J1818">
        <v>139.66999999999999</v>
      </c>
      <c r="K1818">
        <v>32.450000000000003</v>
      </c>
    </row>
    <row r="1819" spans="1:11">
      <c r="A1819">
        <v>264.17</v>
      </c>
      <c r="B1819">
        <v>38.840000000000003</v>
      </c>
      <c r="C1819">
        <v>47.23</v>
      </c>
      <c r="D1819">
        <v>47.17</v>
      </c>
      <c r="E1819">
        <v>59.51</v>
      </c>
      <c r="F1819">
        <v>75.78</v>
      </c>
      <c r="G1819">
        <v>101.17</v>
      </c>
      <c r="H1819">
        <v>81.06</v>
      </c>
      <c r="I1819">
        <v>77.34</v>
      </c>
      <c r="J1819">
        <v>139.56</v>
      </c>
      <c r="K1819">
        <v>32.450000000000003</v>
      </c>
    </row>
    <row r="1820" spans="1:11">
      <c r="A1820">
        <v>264.33</v>
      </c>
      <c r="B1820">
        <v>38.950000000000003</v>
      </c>
      <c r="C1820">
        <v>47.4</v>
      </c>
      <c r="D1820">
        <v>47.34</v>
      </c>
      <c r="E1820">
        <v>59.73</v>
      </c>
      <c r="F1820">
        <v>75.62</v>
      </c>
      <c r="G1820">
        <v>100.9</v>
      </c>
      <c r="H1820">
        <v>80.84</v>
      </c>
      <c r="I1820">
        <v>76.62</v>
      </c>
      <c r="J1820">
        <v>139.51</v>
      </c>
      <c r="K1820">
        <v>32.450000000000003</v>
      </c>
    </row>
    <row r="1821" spans="1:11">
      <c r="A1821">
        <v>264.5</v>
      </c>
      <c r="B1821">
        <v>39.17</v>
      </c>
      <c r="C1821">
        <v>47.62</v>
      </c>
      <c r="D1821">
        <v>47.51</v>
      </c>
      <c r="E1821">
        <v>60.01</v>
      </c>
      <c r="F1821">
        <v>75.62</v>
      </c>
      <c r="G1821">
        <v>100.84</v>
      </c>
      <c r="H1821">
        <v>80.67</v>
      </c>
      <c r="I1821">
        <v>77.17</v>
      </c>
      <c r="J1821">
        <v>139.4</v>
      </c>
      <c r="K1821">
        <v>32.450000000000003</v>
      </c>
    </row>
    <row r="1822" spans="1:11">
      <c r="A1822">
        <v>264.67</v>
      </c>
      <c r="B1822">
        <v>39.119999999999997</v>
      </c>
      <c r="C1822">
        <v>47.67</v>
      </c>
      <c r="D1822">
        <v>47.62</v>
      </c>
      <c r="E1822">
        <v>60.17</v>
      </c>
      <c r="F1822">
        <v>74.67</v>
      </c>
      <c r="G1822">
        <v>100.62</v>
      </c>
      <c r="H1822">
        <v>80.400000000000006</v>
      </c>
      <c r="I1822">
        <v>76.12</v>
      </c>
      <c r="J1822">
        <v>139.34</v>
      </c>
      <c r="K1822">
        <v>32.51</v>
      </c>
    </row>
    <row r="1823" spans="1:11">
      <c r="A1823">
        <v>264.83</v>
      </c>
      <c r="B1823">
        <v>39.119999999999997</v>
      </c>
      <c r="C1823">
        <v>47.78</v>
      </c>
      <c r="D1823">
        <v>47.78</v>
      </c>
      <c r="E1823">
        <v>60.45</v>
      </c>
      <c r="F1823">
        <v>74.73</v>
      </c>
      <c r="G1823">
        <v>100.45</v>
      </c>
      <c r="H1823">
        <v>80.510000000000005</v>
      </c>
      <c r="I1823">
        <v>75.17</v>
      </c>
      <c r="J1823">
        <v>139.22999999999999</v>
      </c>
      <c r="K1823">
        <v>32.51</v>
      </c>
    </row>
    <row r="1824" spans="1:11">
      <c r="A1824">
        <v>265</v>
      </c>
      <c r="B1824">
        <v>39.06</v>
      </c>
      <c r="C1824">
        <v>47.78</v>
      </c>
      <c r="D1824">
        <v>47.9</v>
      </c>
      <c r="E1824">
        <v>60.62</v>
      </c>
      <c r="F1824">
        <v>74.510000000000005</v>
      </c>
      <c r="G1824">
        <v>100.34</v>
      </c>
      <c r="H1824">
        <v>80.78</v>
      </c>
      <c r="I1824">
        <v>75.28</v>
      </c>
      <c r="J1824">
        <v>139.16999999999999</v>
      </c>
      <c r="K1824">
        <v>32.51</v>
      </c>
    </row>
    <row r="1825" spans="1:11">
      <c r="A1825">
        <v>265.17</v>
      </c>
      <c r="B1825">
        <v>39.06</v>
      </c>
      <c r="C1825">
        <v>47.78</v>
      </c>
      <c r="D1825">
        <v>47.9</v>
      </c>
      <c r="E1825">
        <v>60.95</v>
      </c>
      <c r="F1825">
        <v>74.510000000000005</v>
      </c>
      <c r="G1825">
        <v>100.23</v>
      </c>
      <c r="H1825">
        <v>80.12</v>
      </c>
      <c r="I1825">
        <v>75.23</v>
      </c>
      <c r="J1825">
        <v>139.12</v>
      </c>
      <c r="K1825">
        <v>32.51</v>
      </c>
    </row>
    <row r="1826" spans="1:11">
      <c r="A1826">
        <v>265.33</v>
      </c>
      <c r="B1826">
        <v>39.4</v>
      </c>
      <c r="C1826">
        <v>48.01</v>
      </c>
      <c r="D1826">
        <v>48.01</v>
      </c>
      <c r="E1826">
        <v>61.17</v>
      </c>
      <c r="F1826">
        <v>74.45</v>
      </c>
      <c r="G1826">
        <v>100.12</v>
      </c>
      <c r="H1826">
        <v>80.900000000000006</v>
      </c>
      <c r="I1826">
        <v>74.78</v>
      </c>
      <c r="J1826">
        <v>139.06</v>
      </c>
      <c r="K1826">
        <v>32.51</v>
      </c>
    </row>
    <row r="1827" spans="1:11">
      <c r="A1827">
        <v>265.5</v>
      </c>
      <c r="B1827">
        <v>39.28</v>
      </c>
      <c r="C1827">
        <v>48.06</v>
      </c>
      <c r="D1827">
        <v>48.06</v>
      </c>
      <c r="E1827">
        <v>61.34</v>
      </c>
      <c r="F1827">
        <v>74.17</v>
      </c>
      <c r="G1827">
        <v>100.06</v>
      </c>
      <c r="H1827">
        <v>80.78</v>
      </c>
      <c r="I1827">
        <v>74.78</v>
      </c>
      <c r="J1827">
        <v>138.9</v>
      </c>
      <c r="K1827">
        <v>32.51</v>
      </c>
    </row>
    <row r="1828" spans="1:11">
      <c r="A1828">
        <v>265.67</v>
      </c>
      <c r="B1828">
        <v>39.51</v>
      </c>
      <c r="C1828">
        <v>48.28</v>
      </c>
      <c r="D1828">
        <v>48.17</v>
      </c>
      <c r="E1828">
        <v>61.51</v>
      </c>
      <c r="F1828">
        <v>73.95</v>
      </c>
      <c r="G1828">
        <v>100.01</v>
      </c>
      <c r="H1828">
        <v>81.23</v>
      </c>
      <c r="I1828">
        <v>75.06</v>
      </c>
      <c r="J1828">
        <v>138.9</v>
      </c>
      <c r="K1828">
        <v>32.51</v>
      </c>
    </row>
    <row r="1829" spans="1:11">
      <c r="A1829">
        <v>265.83</v>
      </c>
      <c r="B1829">
        <v>39.56</v>
      </c>
      <c r="C1829">
        <v>48.34</v>
      </c>
      <c r="D1829">
        <v>48.28</v>
      </c>
      <c r="E1829">
        <v>61.67</v>
      </c>
      <c r="F1829">
        <v>73.900000000000006</v>
      </c>
      <c r="G1829">
        <v>99.84</v>
      </c>
      <c r="H1829">
        <v>81.62</v>
      </c>
      <c r="I1829">
        <v>75.06</v>
      </c>
      <c r="J1829">
        <v>138.84</v>
      </c>
      <c r="K1829">
        <v>32.51</v>
      </c>
    </row>
    <row r="1830" spans="1:11">
      <c r="A1830">
        <v>266</v>
      </c>
      <c r="B1830">
        <v>39.56</v>
      </c>
      <c r="C1830">
        <v>48.4</v>
      </c>
      <c r="D1830">
        <v>48.34</v>
      </c>
      <c r="E1830">
        <v>61.9</v>
      </c>
      <c r="F1830">
        <v>73.510000000000005</v>
      </c>
      <c r="G1830">
        <v>99.78</v>
      </c>
      <c r="H1830">
        <v>81.010000000000005</v>
      </c>
      <c r="I1830">
        <v>74.28</v>
      </c>
      <c r="J1830">
        <v>138.72999999999999</v>
      </c>
      <c r="K1830">
        <v>32.51</v>
      </c>
    </row>
    <row r="1831" spans="1:11">
      <c r="A1831">
        <v>266.17</v>
      </c>
      <c r="B1831">
        <v>39.51</v>
      </c>
      <c r="C1831">
        <v>48.4</v>
      </c>
      <c r="D1831">
        <v>48.4</v>
      </c>
      <c r="E1831">
        <v>62.06</v>
      </c>
      <c r="F1831">
        <v>72.84</v>
      </c>
      <c r="G1831">
        <v>99.62</v>
      </c>
      <c r="H1831">
        <v>80.45</v>
      </c>
      <c r="I1831">
        <v>75.010000000000005</v>
      </c>
      <c r="J1831">
        <v>138.66999999999999</v>
      </c>
      <c r="K1831">
        <v>32.51</v>
      </c>
    </row>
    <row r="1832" spans="1:11">
      <c r="A1832">
        <v>266.33</v>
      </c>
      <c r="B1832">
        <v>39.56</v>
      </c>
      <c r="C1832">
        <v>48.62</v>
      </c>
      <c r="D1832">
        <v>48.51</v>
      </c>
      <c r="E1832">
        <v>62.17</v>
      </c>
      <c r="F1832">
        <v>72.78</v>
      </c>
      <c r="G1832">
        <v>99.56</v>
      </c>
      <c r="H1832">
        <v>80.510000000000005</v>
      </c>
      <c r="I1832">
        <v>75.23</v>
      </c>
      <c r="J1832">
        <v>138.62</v>
      </c>
      <c r="K1832">
        <v>32.56</v>
      </c>
    </row>
    <row r="1833" spans="1:11">
      <c r="A1833">
        <v>266.5</v>
      </c>
      <c r="B1833">
        <v>39.67</v>
      </c>
      <c r="C1833">
        <v>48.67</v>
      </c>
      <c r="D1833">
        <v>48.62</v>
      </c>
      <c r="E1833">
        <v>62.28</v>
      </c>
      <c r="F1833">
        <v>72.95</v>
      </c>
      <c r="G1833">
        <v>99.45</v>
      </c>
      <c r="H1833">
        <v>80.67</v>
      </c>
      <c r="I1833">
        <v>74.12</v>
      </c>
      <c r="J1833">
        <v>138.56</v>
      </c>
      <c r="K1833">
        <v>32.56</v>
      </c>
    </row>
    <row r="1834" spans="1:11">
      <c r="A1834">
        <v>266.67</v>
      </c>
      <c r="B1834">
        <v>39.67</v>
      </c>
      <c r="C1834">
        <v>48.73</v>
      </c>
      <c r="D1834">
        <v>48.67</v>
      </c>
      <c r="E1834">
        <v>62.45</v>
      </c>
      <c r="F1834">
        <v>72.28</v>
      </c>
      <c r="G1834">
        <v>99.34</v>
      </c>
      <c r="H1834">
        <v>79.510000000000005</v>
      </c>
      <c r="I1834">
        <v>74.900000000000006</v>
      </c>
      <c r="J1834">
        <v>138.4</v>
      </c>
      <c r="K1834">
        <v>32.56</v>
      </c>
    </row>
    <row r="1835" spans="1:11">
      <c r="A1835">
        <v>266.83</v>
      </c>
      <c r="B1835">
        <v>39.67</v>
      </c>
      <c r="C1835">
        <v>48.95</v>
      </c>
      <c r="D1835">
        <v>48.9</v>
      </c>
      <c r="E1835">
        <v>62.78</v>
      </c>
      <c r="F1835">
        <v>72.45</v>
      </c>
      <c r="G1835">
        <v>99.28</v>
      </c>
      <c r="H1835">
        <v>80.23</v>
      </c>
      <c r="I1835">
        <v>74.12</v>
      </c>
      <c r="J1835">
        <v>138.4</v>
      </c>
      <c r="K1835">
        <v>32.56</v>
      </c>
    </row>
    <row r="1836" spans="1:11">
      <c r="A1836">
        <v>267</v>
      </c>
      <c r="B1836">
        <v>39.619999999999997</v>
      </c>
      <c r="C1836">
        <v>48.95</v>
      </c>
      <c r="D1836">
        <v>48.95</v>
      </c>
      <c r="E1836">
        <v>62.84</v>
      </c>
      <c r="F1836">
        <v>72.56</v>
      </c>
      <c r="G1836">
        <v>99.12</v>
      </c>
      <c r="H1836">
        <v>79.45</v>
      </c>
      <c r="I1836">
        <v>73.400000000000006</v>
      </c>
      <c r="J1836">
        <v>138.34</v>
      </c>
      <c r="K1836">
        <v>32.56</v>
      </c>
    </row>
    <row r="1837" spans="1:11">
      <c r="A1837">
        <v>267.17</v>
      </c>
      <c r="B1837">
        <v>39.51</v>
      </c>
      <c r="C1837">
        <v>48.9</v>
      </c>
      <c r="D1837">
        <v>48.84</v>
      </c>
      <c r="E1837">
        <v>62.95</v>
      </c>
      <c r="F1837">
        <v>72.28</v>
      </c>
      <c r="G1837">
        <v>99.06</v>
      </c>
      <c r="H1837">
        <v>79.510000000000005</v>
      </c>
      <c r="I1837">
        <v>72.84</v>
      </c>
      <c r="J1837">
        <v>138.16999999999999</v>
      </c>
      <c r="K1837">
        <v>32.56</v>
      </c>
    </row>
    <row r="1838" spans="1:11">
      <c r="A1838">
        <v>267.33</v>
      </c>
      <c r="B1838">
        <v>39.56</v>
      </c>
      <c r="C1838">
        <v>48.95</v>
      </c>
      <c r="D1838">
        <v>48.9</v>
      </c>
      <c r="E1838">
        <v>63.17</v>
      </c>
      <c r="F1838">
        <v>72.400000000000006</v>
      </c>
      <c r="G1838">
        <v>98.9</v>
      </c>
      <c r="H1838">
        <v>78.95</v>
      </c>
      <c r="I1838">
        <v>72.84</v>
      </c>
      <c r="J1838">
        <v>138.12</v>
      </c>
      <c r="K1838">
        <v>32.56</v>
      </c>
    </row>
    <row r="1839" spans="1:11">
      <c r="A1839">
        <v>267.5</v>
      </c>
      <c r="B1839">
        <v>39.729999999999997</v>
      </c>
      <c r="C1839">
        <v>49.01</v>
      </c>
      <c r="D1839">
        <v>49.01</v>
      </c>
      <c r="E1839">
        <v>63.34</v>
      </c>
      <c r="F1839">
        <v>71.84</v>
      </c>
      <c r="G1839">
        <v>98.78</v>
      </c>
      <c r="H1839">
        <v>78.400000000000006</v>
      </c>
      <c r="I1839">
        <v>72.23</v>
      </c>
      <c r="J1839">
        <v>138.12</v>
      </c>
      <c r="K1839">
        <v>32.619999999999997</v>
      </c>
    </row>
    <row r="1840" spans="1:11">
      <c r="A1840">
        <v>267.67</v>
      </c>
      <c r="B1840">
        <v>39.729999999999997</v>
      </c>
      <c r="C1840">
        <v>49.06</v>
      </c>
      <c r="D1840">
        <v>49.01</v>
      </c>
      <c r="E1840">
        <v>63.4</v>
      </c>
      <c r="F1840">
        <v>71.56</v>
      </c>
      <c r="G1840">
        <v>98.73</v>
      </c>
      <c r="H1840">
        <v>78.17</v>
      </c>
      <c r="I1840">
        <v>71.84</v>
      </c>
      <c r="J1840">
        <v>138.06</v>
      </c>
      <c r="K1840">
        <v>32.619999999999997</v>
      </c>
    </row>
    <row r="1841" spans="1:11">
      <c r="A1841">
        <v>267.83</v>
      </c>
      <c r="B1841">
        <v>39.67</v>
      </c>
      <c r="C1841">
        <v>49.06</v>
      </c>
      <c r="D1841">
        <v>49.01</v>
      </c>
      <c r="E1841">
        <v>63.56</v>
      </c>
      <c r="F1841">
        <v>71.510000000000005</v>
      </c>
      <c r="G1841">
        <v>98.56</v>
      </c>
      <c r="H1841">
        <v>78.28</v>
      </c>
      <c r="I1841">
        <v>72.17</v>
      </c>
      <c r="J1841">
        <v>137.94999999999999</v>
      </c>
      <c r="K1841">
        <v>32.619999999999997</v>
      </c>
    </row>
    <row r="1842" spans="1:11">
      <c r="A1842">
        <v>268</v>
      </c>
      <c r="B1842">
        <v>39.56</v>
      </c>
      <c r="C1842">
        <v>49.01</v>
      </c>
      <c r="D1842">
        <v>49.01</v>
      </c>
      <c r="E1842">
        <v>63.62</v>
      </c>
      <c r="F1842">
        <v>71.78</v>
      </c>
      <c r="G1842">
        <v>98.45</v>
      </c>
      <c r="H1842">
        <v>78.28</v>
      </c>
      <c r="I1842">
        <v>73.12</v>
      </c>
      <c r="J1842">
        <v>137.9</v>
      </c>
      <c r="K1842">
        <v>32.619999999999997</v>
      </c>
    </row>
    <row r="1843" spans="1:11">
      <c r="A1843">
        <v>268.17</v>
      </c>
      <c r="B1843">
        <v>39.51</v>
      </c>
      <c r="C1843">
        <v>49.23</v>
      </c>
      <c r="D1843">
        <v>49.12</v>
      </c>
      <c r="E1843">
        <v>63.78</v>
      </c>
      <c r="F1843">
        <v>71.900000000000006</v>
      </c>
      <c r="G1843">
        <v>98.34</v>
      </c>
      <c r="H1843">
        <v>78.45</v>
      </c>
      <c r="I1843">
        <v>73.67</v>
      </c>
      <c r="J1843">
        <v>137.78</v>
      </c>
      <c r="K1843">
        <v>32.619999999999997</v>
      </c>
    </row>
    <row r="1844" spans="1:11">
      <c r="A1844">
        <v>268.33</v>
      </c>
      <c r="B1844">
        <v>39.51</v>
      </c>
      <c r="C1844">
        <v>49.28</v>
      </c>
      <c r="D1844">
        <v>49.23</v>
      </c>
      <c r="E1844">
        <v>63.9</v>
      </c>
      <c r="F1844">
        <v>72.12</v>
      </c>
      <c r="G1844">
        <v>98.28</v>
      </c>
      <c r="H1844">
        <v>78.28</v>
      </c>
      <c r="I1844">
        <v>73.73</v>
      </c>
      <c r="J1844">
        <v>137.62</v>
      </c>
      <c r="K1844">
        <v>32.619999999999997</v>
      </c>
    </row>
    <row r="1845" spans="1:11">
      <c r="A1845">
        <v>268.5</v>
      </c>
      <c r="B1845">
        <v>39.67</v>
      </c>
      <c r="C1845">
        <v>49.4</v>
      </c>
      <c r="D1845">
        <v>49.34</v>
      </c>
      <c r="E1845">
        <v>64.06</v>
      </c>
      <c r="F1845">
        <v>72.12</v>
      </c>
      <c r="G1845">
        <v>98.23</v>
      </c>
      <c r="H1845">
        <v>77.73</v>
      </c>
      <c r="I1845">
        <v>73.56</v>
      </c>
      <c r="J1845">
        <v>137.62</v>
      </c>
      <c r="K1845">
        <v>32.619999999999997</v>
      </c>
    </row>
    <row r="1846" spans="1:11">
      <c r="A1846">
        <v>268.67</v>
      </c>
      <c r="B1846">
        <v>39.729999999999997</v>
      </c>
      <c r="C1846">
        <v>49.45</v>
      </c>
      <c r="D1846">
        <v>49.4</v>
      </c>
      <c r="E1846">
        <v>64.17</v>
      </c>
      <c r="F1846">
        <v>72.400000000000006</v>
      </c>
      <c r="G1846">
        <v>98.17</v>
      </c>
      <c r="H1846">
        <v>77.67</v>
      </c>
      <c r="I1846">
        <v>73.12</v>
      </c>
      <c r="J1846">
        <v>137.62</v>
      </c>
      <c r="K1846">
        <v>32.619999999999997</v>
      </c>
    </row>
    <row r="1847" spans="1:11">
      <c r="A1847">
        <v>268.83</v>
      </c>
      <c r="B1847">
        <v>39.619999999999997</v>
      </c>
      <c r="C1847">
        <v>49.4</v>
      </c>
      <c r="D1847">
        <v>49.34</v>
      </c>
      <c r="E1847">
        <v>64.17</v>
      </c>
      <c r="F1847">
        <v>72.67</v>
      </c>
      <c r="G1847">
        <v>98.01</v>
      </c>
      <c r="H1847">
        <v>78.67</v>
      </c>
      <c r="I1847">
        <v>72.84</v>
      </c>
      <c r="J1847">
        <v>137.56</v>
      </c>
      <c r="K1847">
        <v>32.619999999999997</v>
      </c>
    </row>
    <row r="1848" spans="1:11">
      <c r="A1848">
        <v>269</v>
      </c>
      <c r="B1848">
        <v>39.729999999999997</v>
      </c>
      <c r="C1848">
        <v>49.56</v>
      </c>
      <c r="D1848">
        <v>49.56</v>
      </c>
      <c r="E1848">
        <v>64.34</v>
      </c>
      <c r="F1848">
        <v>72.06</v>
      </c>
      <c r="G1848">
        <v>97.95</v>
      </c>
      <c r="H1848">
        <v>79.23</v>
      </c>
      <c r="I1848">
        <v>72.06</v>
      </c>
      <c r="J1848">
        <v>137.44999999999999</v>
      </c>
      <c r="K1848">
        <v>32.619999999999997</v>
      </c>
    </row>
    <row r="1849" spans="1:11">
      <c r="A1849">
        <v>269.17</v>
      </c>
      <c r="B1849">
        <v>39.729999999999997</v>
      </c>
      <c r="C1849">
        <v>49.56</v>
      </c>
      <c r="D1849">
        <v>49.56</v>
      </c>
      <c r="E1849">
        <v>64.400000000000006</v>
      </c>
      <c r="F1849">
        <v>71.45</v>
      </c>
      <c r="G1849">
        <v>97.9</v>
      </c>
      <c r="H1849">
        <v>78.23</v>
      </c>
      <c r="I1849">
        <v>72.67</v>
      </c>
      <c r="J1849">
        <v>137.34</v>
      </c>
      <c r="K1849">
        <v>32.67</v>
      </c>
    </row>
    <row r="1850" spans="1:11">
      <c r="A1850">
        <v>269.33</v>
      </c>
      <c r="B1850">
        <v>39.840000000000003</v>
      </c>
      <c r="C1850">
        <v>49.62</v>
      </c>
      <c r="D1850">
        <v>49.62</v>
      </c>
      <c r="E1850">
        <v>64.510000000000005</v>
      </c>
      <c r="F1850">
        <v>71.67</v>
      </c>
      <c r="G1850">
        <v>97.9</v>
      </c>
      <c r="H1850">
        <v>78.62</v>
      </c>
      <c r="I1850">
        <v>72.28</v>
      </c>
      <c r="J1850">
        <v>137.28</v>
      </c>
      <c r="K1850">
        <v>32.67</v>
      </c>
    </row>
    <row r="1851" spans="1:11">
      <c r="A1851">
        <v>269.5</v>
      </c>
      <c r="B1851">
        <v>39.840000000000003</v>
      </c>
      <c r="C1851">
        <v>49.73</v>
      </c>
      <c r="D1851">
        <v>49.62</v>
      </c>
      <c r="E1851">
        <v>64.62</v>
      </c>
      <c r="F1851">
        <v>71.78</v>
      </c>
      <c r="G1851">
        <v>97.67</v>
      </c>
      <c r="H1851">
        <v>77.900000000000006</v>
      </c>
      <c r="I1851">
        <v>72.34</v>
      </c>
      <c r="J1851">
        <v>137.22999999999999</v>
      </c>
      <c r="K1851">
        <v>32.67</v>
      </c>
    </row>
    <row r="1852" spans="1:11">
      <c r="A1852">
        <v>269.67</v>
      </c>
      <c r="B1852">
        <v>40.01</v>
      </c>
      <c r="C1852">
        <v>49.9</v>
      </c>
      <c r="D1852">
        <v>49.9</v>
      </c>
      <c r="E1852">
        <v>64.73</v>
      </c>
      <c r="F1852">
        <v>71.28</v>
      </c>
      <c r="G1852">
        <v>97.67</v>
      </c>
      <c r="H1852">
        <v>78.84</v>
      </c>
      <c r="I1852">
        <v>72.06</v>
      </c>
      <c r="J1852">
        <v>137.12</v>
      </c>
      <c r="K1852">
        <v>32.67</v>
      </c>
    </row>
    <row r="1853" spans="1:11">
      <c r="A1853">
        <v>269.83</v>
      </c>
      <c r="B1853">
        <v>40.06</v>
      </c>
      <c r="C1853">
        <v>49.9</v>
      </c>
      <c r="D1853">
        <v>49.9</v>
      </c>
      <c r="E1853">
        <v>64.84</v>
      </c>
      <c r="F1853">
        <v>71.010000000000005</v>
      </c>
      <c r="G1853">
        <v>97.62</v>
      </c>
      <c r="H1853">
        <v>78.010000000000005</v>
      </c>
      <c r="I1853">
        <v>72.06</v>
      </c>
      <c r="J1853">
        <v>137.06</v>
      </c>
      <c r="K1853">
        <v>32.67</v>
      </c>
    </row>
    <row r="1854" spans="1:11">
      <c r="A1854">
        <v>270</v>
      </c>
      <c r="B1854">
        <v>40.06</v>
      </c>
      <c r="C1854">
        <v>49.9</v>
      </c>
      <c r="D1854">
        <v>49.95</v>
      </c>
      <c r="E1854">
        <v>64.95</v>
      </c>
      <c r="F1854">
        <v>70.62</v>
      </c>
      <c r="G1854">
        <v>97.56</v>
      </c>
      <c r="H1854">
        <v>77.28</v>
      </c>
      <c r="I1854">
        <v>72.06</v>
      </c>
      <c r="J1854">
        <v>136.94999999999999</v>
      </c>
      <c r="K1854">
        <v>32.67</v>
      </c>
    </row>
    <row r="1855" spans="1:11">
      <c r="A1855">
        <v>270.17</v>
      </c>
      <c r="B1855">
        <v>40.229999999999997</v>
      </c>
      <c r="C1855">
        <v>49.95</v>
      </c>
      <c r="D1855">
        <v>49.9</v>
      </c>
      <c r="E1855">
        <v>65.010000000000005</v>
      </c>
      <c r="F1855">
        <v>70.34</v>
      </c>
      <c r="G1855">
        <v>97.4</v>
      </c>
      <c r="H1855">
        <v>77.400000000000006</v>
      </c>
      <c r="I1855">
        <v>71.28</v>
      </c>
      <c r="J1855">
        <v>136.9</v>
      </c>
      <c r="K1855">
        <v>32.67</v>
      </c>
    </row>
    <row r="1856" spans="1:11">
      <c r="A1856">
        <v>270.33</v>
      </c>
      <c r="B1856">
        <v>40.28</v>
      </c>
      <c r="C1856">
        <v>50.01</v>
      </c>
      <c r="D1856">
        <v>50.01</v>
      </c>
      <c r="E1856">
        <v>65.12</v>
      </c>
      <c r="F1856">
        <v>70.400000000000006</v>
      </c>
      <c r="G1856">
        <v>97.45</v>
      </c>
      <c r="H1856">
        <v>77.34</v>
      </c>
      <c r="I1856">
        <v>72.010000000000005</v>
      </c>
      <c r="J1856">
        <v>136.9</v>
      </c>
      <c r="K1856">
        <v>32.67</v>
      </c>
    </row>
    <row r="1857" spans="1:11">
      <c r="A1857">
        <v>270.5</v>
      </c>
      <c r="B1857">
        <v>40.28</v>
      </c>
      <c r="C1857">
        <v>50.01</v>
      </c>
      <c r="D1857">
        <v>50.01</v>
      </c>
      <c r="E1857">
        <v>65.23</v>
      </c>
      <c r="F1857">
        <v>70.17</v>
      </c>
      <c r="G1857">
        <v>97.28</v>
      </c>
      <c r="H1857">
        <v>77.400000000000006</v>
      </c>
      <c r="I1857">
        <v>71.67</v>
      </c>
      <c r="J1857">
        <v>136.78</v>
      </c>
      <c r="K1857">
        <v>32.67</v>
      </c>
    </row>
    <row r="1858" spans="1:11">
      <c r="A1858">
        <v>270.67</v>
      </c>
      <c r="B1858">
        <v>40.229999999999997</v>
      </c>
      <c r="C1858">
        <v>50.06</v>
      </c>
      <c r="D1858">
        <v>50.01</v>
      </c>
      <c r="E1858">
        <v>65.45</v>
      </c>
      <c r="F1858">
        <v>69.900000000000006</v>
      </c>
      <c r="G1858">
        <v>97.23</v>
      </c>
      <c r="H1858">
        <v>77.28</v>
      </c>
      <c r="I1858">
        <v>71.73</v>
      </c>
      <c r="J1858">
        <v>136.72999999999999</v>
      </c>
      <c r="K1858">
        <v>32.67</v>
      </c>
    </row>
    <row r="1859" spans="1:11">
      <c r="A1859">
        <v>270.83</v>
      </c>
      <c r="B1859">
        <v>40.229999999999997</v>
      </c>
      <c r="C1859">
        <v>49.95</v>
      </c>
      <c r="D1859">
        <v>49.95</v>
      </c>
      <c r="E1859">
        <v>65.45</v>
      </c>
      <c r="F1859">
        <v>69.78</v>
      </c>
      <c r="G1859">
        <v>97.17</v>
      </c>
      <c r="H1859">
        <v>75.95</v>
      </c>
      <c r="I1859">
        <v>72.45</v>
      </c>
      <c r="J1859">
        <v>136.62</v>
      </c>
      <c r="K1859">
        <v>32.67</v>
      </c>
    </row>
    <row r="1860" spans="1:11">
      <c r="A1860">
        <v>271</v>
      </c>
      <c r="B1860">
        <v>40.340000000000003</v>
      </c>
      <c r="C1860">
        <v>50.01</v>
      </c>
      <c r="D1860">
        <v>50.01</v>
      </c>
      <c r="E1860">
        <v>65.62</v>
      </c>
      <c r="F1860">
        <v>69.95</v>
      </c>
      <c r="G1860">
        <v>97.06</v>
      </c>
      <c r="H1860">
        <v>75.62</v>
      </c>
      <c r="I1860">
        <v>72.45</v>
      </c>
      <c r="J1860">
        <v>136.62</v>
      </c>
      <c r="K1860">
        <v>32.67</v>
      </c>
    </row>
    <row r="1861" spans="1:11">
      <c r="A1861">
        <v>271.17</v>
      </c>
      <c r="B1861">
        <v>40.340000000000003</v>
      </c>
      <c r="C1861">
        <v>50.01</v>
      </c>
      <c r="D1861">
        <v>49.95</v>
      </c>
      <c r="E1861">
        <v>65.62</v>
      </c>
      <c r="F1861">
        <v>69.62</v>
      </c>
      <c r="G1861">
        <v>96.9</v>
      </c>
      <c r="H1861">
        <v>75.400000000000006</v>
      </c>
      <c r="I1861">
        <v>72.45</v>
      </c>
      <c r="J1861">
        <v>136.56</v>
      </c>
      <c r="K1861">
        <v>32.67</v>
      </c>
    </row>
    <row r="1862" spans="1:11">
      <c r="A1862">
        <v>271.33</v>
      </c>
      <c r="B1862">
        <v>40.4</v>
      </c>
      <c r="C1862">
        <v>49.95</v>
      </c>
      <c r="D1862">
        <v>49.95</v>
      </c>
      <c r="E1862">
        <v>65.73</v>
      </c>
      <c r="F1862">
        <v>69.56</v>
      </c>
      <c r="G1862">
        <v>96.84</v>
      </c>
      <c r="H1862">
        <v>75.400000000000006</v>
      </c>
      <c r="I1862">
        <v>72.010000000000005</v>
      </c>
      <c r="J1862">
        <v>136.44999999999999</v>
      </c>
      <c r="K1862">
        <v>32.67</v>
      </c>
    </row>
    <row r="1863" spans="1:11">
      <c r="A1863">
        <v>271.5</v>
      </c>
      <c r="B1863">
        <v>40.4</v>
      </c>
      <c r="C1863">
        <v>50.06</v>
      </c>
      <c r="D1863">
        <v>50.01</v>
      </c>
      <c r="E1863">
        <v>65.78</v>
      </c>
      <c r="F1863">
        <v>69.45</v>
      </c>
      <c r="G1863">
        <v>96.78</v>
      </c>
      <c r="H1863">
        <v>76.17</v>
      </c>
      <c r="I1863">
        <v>71.510000000000005</v>
      </c>
      <c r="J1863">
        <v>136.34</v>
      </c>
      <c r="K1863">
        <v>32.67</v>
      </c>
    </row>
    <row r="1864" spans="1:11">
      <c r="A1864">
        <v>271.67</v>
      </c>
      <c r="B1864">
        <v>40.4</v>
      </c>
      <c r="C1864">
        <v>50.17</v>
      </c>
      <c r="D1864">
        <v>50.06</v>
      </c>
      <c r="E1864">
        <v>65.95</v>
      </c>
      <c r="F1864">
        <v>68.900000000000006</v>
      </c>
      <c r="G1864">
        <v>96.67</v>
      </c>
      <c r="H1864">
        <v>76.12</v>
      </c>
      <c r="I1864">
        <v>71.12</v>
      </c>
      <c r="J1864">
        <v>136.28</v>
      </c>
      <c r="K1864">
        <v>32.729999999999997</v>
      </c>
    </row>
    <row r="1865" spans="1:11">
      <c r="A1865">
        <v>271.83</v>
      </c>
      <c r="B1865">
        <v>40.4</v>
      </c>
      <c r="C1865">
        <v>50.17</v>
      </c>
      <c r="D1865">
        <v>50.12</v>
      </c>
      <c r="E1865">
        <v>65.95</v>
      </c>
      <c r="F1865">
        <v>69.34</v>
      </c>
      <c r="G1865">
        <v>96.67</v>
      </c>
      <c r="H1865">
        <v>75.56</v>
      </c>
      <c r="I1865">
        <v>70.78</v>
      </c>
      <c r="J1865">
        <v>136.22999999999999</v>
      </c>
      <c r="K1865">
        <v>32.729999999999997</v>
      </c>
    </row>
    <row r="1866" spans="1:11">
      <c r="A1866">
        <v>272</v>
      </c>
      <c r="B1866">
        <v>40.450000000000003</v>
      </c>
      <c r="C1866">
        <v>50.17</v>
      </c>
      <c r="D1866">
        <v>50.12</v>
      </c>
      <c r="E1866">
        <v>65.95</v>
      </c>
      <c r="F1866">
        <v>69.510000000000005</v>
      </c>
      <c r="G1866">
        <v>96.62</v>
      </c>
      <c r="H1866">
        <v>75.12</v>
      </c>
      <c r="I1866">
        <v>71.78</v>
      </c>
      <c r="J1866">
        <v>136.16999999999999</v>
      </c>
      <c r="K1866">
        <v>32.729999999999997</v>
      </c>
    </row>
    <row r="1867" spans="1:11">
      <c r="A1867">
        <v>272.17</v>
      </c>
      <c r="B1867">
        <v>40.56</v>
      </c>
      <c r="C1867">
        <v>50.28</v>
      </c>
      <c r="D1867">
        <v>50.17</v>
      </c>
      <c r="E1867">
        <v>66.12</v>
      </c>
      <c r="F1867">
        <v>69.28</v>
      </c>
      <c r="G1867">
        <v>96.51</v>
      </c>
      <c r="H1867">
        <v>75.12</v>
      </c>
      <c r="I1867">
        <v>71.78</v>
      </c>
      <c r="J1867">
        <v>136.12</v>
      </c>
      <c r="K1867">
        <v>32.729999999999997</v>
      </c>
    </row>
    <row r="1868" spans="1:11">
      <c r="A1868">
        <v>272.33</v>
      </c>
      <c r="B1868">
        <v>40.56</v>
      </c>
      <c r="C1868">
        <v>50.23</v>
      </c>
      <c r="D1868">
        <v>50.17</v>
      </c>
      <c r="E1868">
        <v>66.17</v>
      </c>
      <c r="F1868">
        <v>68.95</v>
      </c>
      <c r="G1868">
        <v>96.45</v>
      </c>
      <c r="H1868">
        <v>75.45</v>
      </c>
      <c r="I1868">
        <v>72.62</v>
      </c>
      <c r="J1868">
        <v>136.01</v>
      </c>
      <c r="K1868">
        <v>32.729999999999997</v>
      </c>
    </row>
    <row r="1869" spans="1:11">
      <c r="A1869">
        <v>272.5</v>
      </c>
      <c r="B1869">
        <v>40.56</v>
      </c>
      <c r="C1869">
        <v>50.28</v>
      </c>
      <c r="D1869">
        <v>50.28</v>
      </c>
      <c r="E1869">
        <v>66.17</v>
      </c>
      <c r="F1869">
        <v>69.510000000000005</v>
      </c>
      <c r="G1869">
        <v>96.28</v>
      </c>
      <c r="H1869">
        <v>75.78</v>
      </c>
      <c r="I1869">
        <v>72.400000000000006</v>
      </c>
      <c r="J1869">
        <v>135.94999999999999</v>
      </c>
      <c r="K1869">
        <v>32.729999999999997</v>
      </c>
    </row>
    <row r="1870" spans="1:11">
      <c r="A1870">
        <v>272.67</v>
      </c>
      <c r="B1870">
        <v>40.840000000000003</v>
      </c>
      <c r="C1870">
        <v>50.28</v>
      </c>
      <c r="D1870">
        <v>50.28</v>
      </c>
      <c r="E1870">
        <v>66.23</v>
      </c>
      <c r="F1870">
        <v>68.95</v>
      </c>
      <c r="G1870">
        <v>96.06</v>
      </c>
      <c r="H1870">
        <v>75.62</v>
      </c>
      <c r="I1870">
        <v>72.28</v>
      </c>
      <c r="J1870">
        <v>135.84</v>
      </c>
      <c r="K1870">
        <v>32.729999999999997</v>
      </c>
    </row>
    <row r="1871" spans="1:11">
      <c r="A1871">
        <v>272.83</v>
      </c>
      <c r="B1871">
        <v>40.78</v>
      </c>
      <c r="C1871">
        <v>50.28</v>
      </c>
      <c r="D1871">
        <v>50.23</v>
      </c>
      <c r="E1871">
        <v>66.34</v>
      </c>
      <c r="F1871">
        <v>68.56</v>
      </c>
      <c r="G1871">
        <v>95.9</v>
      </c>
      <c r="H1871">
        <v>75.78</v>
      </c>
      <c r="I1871">
        <v>72.84</v>
      </c>
      <c r="J1871">
        <v>135.78</v>
      </c>
      <c r="K1871">
        <v>32.78</v>
      </c>
    </row>
    <row r="1872" spans="1:11">
      <c r="A1872">
        <v>273</v>
      </c>
      <c r="B1872">
        <v>40.78</v>
      </c>
      <c r="C1872">
        <v>50.28</v>
      </c>
      <c r="D1872">
        <v>50.23</v>
      </c>
      <c r="E1872">
        <v>66.400000000000006</v>
      </c>
      <c r="F1872">
        <v>68.06</v>
      </c>
      <c r="G1872">
        <v>95.84</v>
      </c>
      <c r="H1872">
        <v>74.62</v>
      </c>
      <c r="I1872">
        <v>72.84</v>
      </c>
      <c r="J1872">
        <v>135.66999999999999</v>
      </c>
      <c r="K1872">
        <v>32.78</v>
      </c>
    </row>
    <row r="1873" spans="1:11">
      <c r="A1873">
        <v>273.17</v>
      </c>
      <c r="B1873">
        <v>40.78</v>
      </c>
      <c r="C1873">
        <v>50.23</v>
      </c>
      <c r="D1873">
        <v>50.17</v>
      </c>
      <c r="E1873">
        <v>66.510000000000005</v>
      </c>
      <c r="F1873">
        <v>67.95</v>
      </c>
      <c r="G1873">
        <v>95.73</v>
      </c>
      <c r="H1873">
        <v>75.28</v>
      </c>
      <c r="I1873">
        <v>72.400000000000006</v>
      </c>
      <c r="J1873">
        <v>135.66999999999999</v>
      </c>
      <c r="K1873">
        <v>32.78</v>
      </c>
    </row>
    <row r="1874" spans="1:11">
      <c r="A1874">
        <v>273.33</v>
      </c>
      <c r="B1874">
        <v>40.78</v>
      </c>
      <c r="C1874">
        <v>50.17</v>
      </c>
      <c r="D1874">
        <v>50.23</v>
      </c>
      <c r="E1874">
        <v>66.56</v>
      </c>
      <c r="F1874">
        <v>67.84</v>
      </c>
      <c r="G1874">
        <v>95.73</v>
      </c>
      <c r="H1874">
        <v>75.62</v>
      </c>
      <c r="I1874">
        <v>72.510000000000005</v>
      </c>
      <c r="J1874">
        <v>135.62</v>
      </c>
      <c r="K1874">
        <v>32.78</v>
      </c>
    </row>
    <row r="1875" spans="1:11">
      <c r="A1875">
        <v>273.5</v>
      </c>
      <c r="B1875">
        <v>40.729999999999997</v>
      </c>
      <c r="C1875">
        <v>50.34</v>
      </c>
      <c r="D1875">
        <v>50.23</v>
      </c>
      <c r="E1875">
        <v>66.56</v>
      </c>
      <c r="F1875">
        <v>67.62</v>
      </c>
      <c r="G1875">
        <v>95.56</v>
      </c>
      <c r="H1875">
        <v>75.78</v>
      </c>
      <c r="I1875">
        <v>72.56</v>
      </c>
      <c r="J1875">
        <v>135.51</v>
      </c>
      <c r="K1875">
        <v>32.78</v>
      </c>
    </row>
    <row r="1876" spans="1:11">
      <c r="A1876">
        <v>273.67</v>
      </c>
      <c r="B1876">
        <v>40.840000000000003</v>
      </c>
      <c r="C1876">
        <v>50.4</v>
      </c>
      <c r="D1876">
        <v>50.34</v>
      </c>
      <c r="E1876">
        <v>66.62</v>
      </c>
      <c r="F1876">
        <v>67.67</v>
      </c>
      <c r="G1876">
        <v>95.4</v>
      </c>
      <c r="H1876">
        <v>76.23</v>
      </c>
      <c r="I1876">
        <v>72.45</v>
      </c>
      <c r="J1876">
        <v>135.44999999999999</v>
      </c>
      <c r="K1876">
        <v>32.78</v>
      </c>
    </row>
    <row r="1877" spans="1:11">
      <c r="A1877">
        <v>273.83</v>
      </c>
      <c r="B1877">
        <v>40.950000000000003</v>
      </c>
      <c r="C1877">
        <v>50.56</v>
      </c>
      <c r="D1877">
        <v>50.45</v>
      </c>
      <c r="E1877">
        <v>66.62</v>
      </c>
      <c r="F1877">
        <v>67.400000000000006</v>
      </c>
      <c r="G1877">
        <v>95.4</v>
      </c>
      <c r="H1877">
        <v>76.17</v>
      </c>
      <c r="I1877">
        <v>72.45</v>
      </c>
      <c r="J1877">
        <v>135.34</v>
      </c>
      <c r="K1877">
        <v>32.78</v>
      </c>
    </row>
    <row r="1878" spans="1:11">
      <c r="A1878">
        <v>274</v>
      </c>
      <c r="B1878">
        <v>40.78</v>
      </c>
      <c r="C1878">
        <v>50.56</v>
      </c>
      <c r="D1878">
        <v>50.51</v>
      </c>
      <c r="E1878">
        <v>66.67</v>
      </c>
      <c r="F1878">
        <v>67.45</v>
      </c>
      <c r="G1878">
        <v>95.23</v>
      </c>
      <c r="H1878">
        <v>76.45</v>
      </c>
      <c r="I1878">
        <v>72.28</v>
      </c>
      <c r="J1878">
        <v>135.28</v>
      </c>
      <c r="K1878">
        <v>32.78</v>
      </c>
    </row>
    <row r="1879" spans="1:11">
      <c r="A1879">
        <v>274.17</v>
      </c>
      <c r="B1879">
        <v>40.729999999999997</v>
      </c>
      <c r="C1879">
        <v>50.67</v>
      </c>
      <c r="D1879">
        <v>50.62</v>
      </c>
      <c r="E1879">
        <v>66.73</v>
      </c>
      <c r="F1879">
        <v>67.34</v>
      </c>
      <c r="G1879">
        <v>95.23</v>
      </c>
      <c r="H1879">
        <v>75.84</v>
      </c>
      <c r="I1879">
        <v>73.06</v>
      </c>
      <c r="J1879">
        <v>135.22999999999999</v>
      </c>
      <c r="K1879">
        <v>32.78</v>
      </c>
    </row>
    <row r="1880" spans="1:11">
      <c r="A1880">
        <v>274.33</v>
      </c>
      <c r="B1880">
        <v>40.67</v>
      </c>
      <c r="C1880">
        <v>50.62</v>
      </c>
      <c r="D1880">
        <v>50.62</v>
      </c>
      <c r="E1880">
        <v>66.73</v>
      </c>
      <c r="F1880">
        <v>67.23</v>
      </c>
      <c r="G1880">
        <v>95.17</v>
      </c>
      <c r="H1880">
        <v>75.78</v>
      </c>
      <c r="I1880">
        <v>71.56</v>
      </c>
      <c r="J1880">
        <v>135.16999999999999</v>
      </c>
      <c r="K1880">
        <v>32.78</v>
      </c>
    </row>
    <row r="1881" spans="1:11">
      <c r="A1881">
        <v>274.5</v>
      </c>
      <c r="B1881">
        <v>40.78</v>
      </c>
      <c r="C1881">
        <v>50.67</v>
      </c>
      <c r="D1881">
        <v>50.67</v>
      </c>
      <c r="E1881">
        <v>66.78</v>
      </c>
      <c r="F1881">
        <v>67.45</v>
      </c>
      <c r="G1881">
        <v>95.06</v>
      </c>
      <c r="H1881">
        <v>75.400000000000006</v>
      </c>
      <c r="I1881">
        <v>70.84</v>
      </c>
      <c r="J1881">
        <v>135.12</v>
      </c>
      <c r="K1881">
        <v>32.78</v>
      </c>
    </row>
    <row r="1882" spans="1:11">
      <c r="A1882">
        <v>274.67</v>
      </c>
      <c r="B1882">
        <v>40.619999999999997</v>
      </c>
      <c r="C1882">
        <v>50.62</v>
      </c>
      <c r="D1882">
        <v>50.62</v>
      </c>
      <c r="E1882">
        <v>66.78</v>
      </c>
      <c r="F1882">
        <v>66.900000000000006</v>
      </c>
      <c r="G1882">
        <v>95.06</v>
      </c>
      <c r="H1882">
        <v>75.45</v>
      </c>
      <c r="I1882">
        <v>70.900000000000006</v>
      </c>
      <c r="J1882">
        <v>134.94999999999999</v>
      </c>
      <c r="K1882">
        <v>32.78</v>
      </c>
    </row>
    <row r="1883" spans="1:11">
      <c r="A1883">
        <v>274.83</v>
      </c>
      <c r="B1883">
        <v>40.729999999999997</v>
      </c>
      <c r="C1883">
        <v>50.73</v>
      </c>
      <c r="D1883">
        <v>50.73</v>
      </c>
      <c r="E1883">
        <v>66.900000000000006</v>
      </c>
      <c r="F1883">
        <v>66.95</v>
      </c>
      <c r="G1883">
        <v>95.06</v>
      </c>
      <c r="H1883">
        <v>75.95</v>
      </c>
      <c r="I1883">
        <v>71.010000000000005</v>
      </c>
      <c r="J1883">
        <v>134.94999999999999</v>
      </c>
      <c r="K1883">
        <v>32.840000000000003</v>
      </c>
    </row>
    <row r="1884" spans="1:11">
      <c r="A1884">
        <v>275</v>
      </c>
      <c r="B1884">
        <v>40.840000000000003</v>
      </c>
      <c r="C1884">
        <v>50.84</v>
      </c>
      <c r="D1884">
        <v>50.84</v>
      </c>
      <c r="E1884">
        <v>66.84</v>
      </c>
      <c r="F1884">
        <v>67.23</v>
      </c>
      <c r="G1884">
        <v>95.01</v>
      </c>
      <c r="H1884">
        <v>76.400000000000006</v>
      </c>
      <c r="I1884">
        <v>70.73</v>
      </c>
      <c r="J1884">
        <v>134.84</v>
      </c>
      <c r="K1884">
        <v>32.840000000000003</v>
      </c>
    </row>
    <row r="1885" spans="1:11">
      <c r="A1885">
        <v>275.17</v>
      </c>
      <c r="B1885">
        <v>40.78</v>
      </c>
      <c r="C1885">
        <v>50.9</v>
      </c>
      <c r="D1885">
        <v>50.9</v>
      </c>
      <c r="E1885">
        <v>66.900000000000006</v>
      </c>
      <c r="F1885">
        <v>67.12</v>
      </c>
      <c r="G1885">
        <v>95.01</v>
      </c>
      <c r="H1885">
        <v>76.400000000000006</v>
      </c>
      <c r="I1885">
        <v>70.78</v>
      </c>
      <c r="J1885">
        <v>134.84</v>
      </c>
      <c r="K1885">
        <v>32.840000000000003</v>
      </c>
    </row>
    <row r="1886" spans="1:11">
      <c r="A1886">
        <v>275.33</v>
      </c>
      <c r="B1886">
        <v>40.840000000000003</v>
      </c>
      <c r="C1886">
        <v>50.9</v>
      </c>
      <c r="D1886">
        <v>50.9</v>
      </c>
      <c r="E1886">
        <v>66.95</v>
      </c>
      <c r="F1886">
        <v>67.23</v>
      </c>
      <c r="G1886">
        <v>94.84</v>
      </c>
      <c r="H1886">
        <v>77.06</v>
      </c>
      <c r="I1886">
        <v>70.95</v>
      </c>
      <c r="J1886">
        <v>134.66999999999999</v>
      </c>
      <c r="K1886">
        <v>32.840000000000003</v>
      </c>
    </row>
    <row r="1887" spans="1:11">
      <c r="A1887">
        <v>275.5</v>
      </c>
      <c r="B1887">
        <v>40.78</v>
      </c>
      <c r="C1887">
        <v>51.01</v>
      </c>
      <c r="D1887">
        <v>50.95</v>
      </c>
      <c r="E1887">
        <v>67.06</v>
      </c>
      <c r="F1887">
        <v>67.23</v>
      </c>
      <c r="G1887">
        <v>94.84</v>
      </c>
      <c r="H1887">
        <v>77.62</v>
      </c>
      <c r="I1887">
        <v>70.900000000000006</v>
      </c>
      <c r="J1887">
        <v>134.66999999999999</v>
      </c>
      <c r="K1887">
        <v>32.840000000000003</v>
      </c>
    </row>
    <row r="1888" spans="1:11">
      <c r="A1888">
        <v>275.67</v>
      </c>
      <c r="B1888">
        <v>40.67</v>
      </c>
      <c r="C1888">
        <v>51.12</v>
      </c>
      <c r="D1888">
        <v>51.06</v>
      </c>
      <c r="E1888">
        <v>67.17</v>
      </c>
      <c r="F1888">
        <v>67.17</v>
      </c>
      <c r="G1888">
        <v>94.67</v>
      </c>
      <c r="H1888">
        <v>77.45</v>
      </c>
      <c r="I1888">
        <v>71.73</v>
      </c>
      <c r="J1888">
        <v>134.62</v>
      </c>
      <c r="K1888">
        <v>32.840000000000003</v>
      </c>
    </row>
    <row r="1889" spans="1:11">
      <c r="A1889">
        <v>275.83</v>
      </c>
      <c r="B1889">
        <v>40.619999999999997</v>
      </c>
      <c r="C1889">
        <v>50.9</v>
      </c>
      <c r="D1889">
        <v>51.01</v>
      </c>
      <c r="E1889">
        <v>67.12</v>
      </c>
      <c r="F1889">
        <v>66.78</v>
      </c>
      <c r="G1889">
        <v>94.56</v>
      </c>
      <c r="H1889">
        <v>78.010000000000005</v>
      </c>
      <c r="I1889">
        <v>71.900000000000006</v>
      </c>
      <c r="J1889">
        <v>134.44999999999999</v>
      </c>
      <c r="K1889">
        <v>32.840000000000003</v>
      </c>
    </row>
    <row r="1890" spans="1:11">
      <c r="A1890">
        <v>276</v>
      </c>
      <c r="B1890">
        <v>40.67</v>
      </c>
      <c r="C1890">
        <v>50.84</v>
      </c>
      <c r="D1890">
        <v>51.01</v>
      </c>
      <c r="E1890">
        <v>67.12</v>
      </c>
      <c r="F1890">
        <v>66.56</v>
      </c>
      <c r="G1890">
        <v>94.51</v>
      </c>
      <c r="H1890">
        <v>78.06</v>
      </c>
      <c r="I1890">
        <v>71.67</v>
      </c>
      <c r="J1890">
        <v>134.44999999999999</v>
      </c>
      <c r="K1890">
        <v>32.840000000000003</v>
      </c>
    </row>
    <row r="1891" spans="1:11">
      <c r="A1891">
        <v>276.17</v>
      </c>
      <c r="B1891">
        <v>40.619999999999997</v>
      </c>
      <c r="C1891">
        <v>50.78</v>
      </c>
      <c r="D1891">
        <v>50.9</v>
      </c>
      <c r="E1891">
        <v>67.12</v>
      </c>
      <c r="F1891">
        <v>66.84</v>
      </c>
      <c r="G1891">
        <v>94.45</v>
      </c>
      <c r="H1891">
        <v>78.400000000000006</v>
      </c>
      <c r="I1891">
        <v>71.23</v>
      </c>
      <c r="J1891">
        <v>134.34</v>
      </c>
      <c r="K1891">
        <v>32.840000000000003</v>
      </c>
    </row>
    <row r="1892" spans="1:11">
      <c r="A1892">
        <v>276.33</v>
      </c>
      <c r="B1892">
        <v>40.51</v>
      </c>
      <c r="C1892">
        <v>50.67</v>
      </c>
      <c r="D1892">
        <v>50.9</v>
      </c>
      <c r="E1892">
        <v>67.12</v>
      </c>
      <c r="F1892">
        <v>66.78</v>
      </c>
      <c r="G1892">
        <v>94.28</v>
      </c>
      <c r="H1892">
        <v>78.62</v>
      </c>
      <c r="I1892">
        <v>70.23</v>
      </c>
      <c r="J1892">
        <v>134.22999999999999</v>
      </c>
      <c r="K1892">
        <v>32.840000000000003</v>
      </c>
    </row>
    <row r="1893" spans="1:11">
      <c r="A1893">
        <v>276.5</v>
      </c>
      <c r="B1893">
        <v>40.4</v>
      </c>
      <c r="C1893">
        <v>50.67</v>
      </c>
      <c r="D1893">
        <v>50.78</v>
      </c>
      <c r="E1893">
        <v>67.23</v>
      </c>
      <c r="F1893">
        <v>66.84</v>
      </c>
      <c r="G1893">
        <v>94.28</v>
      </c>
      <c r="H1893">
        <v>78.45</v>
      </c>
      <c r="I1893">
        <v>70.06</v>
      </c>
      <c r="J1893">
        <v>134.22999999999999</v>
      </c>
      <c r="K1893">
        <v>32.9</v>
      </c>
    </row>
    <row r="1894" spans="1:11">
      <c r="A1894">
        <v>276.67</v>
      </c>
      <c r="B1894">
        <v>40.340000000000003</v>
      </c>
      <c r="C1894">
        <v>50.56</v>
      </c>
      <c r="D1894">
        <v>50.67</v>
      </c>
      <c r="E1894">
        <v>67.23</v>
      </c>
      <c r="F1894">
        <v>66.900000000000006</v>
      </c>
      <c r="G1894">
        <v>94.23</v>
      </c>
      <c r="H1894">
        <v>78.67</v>
      </c>
      <c r="I1894">
        <v>69.95</v>
      </c>
      <c r="J1894">
        <v>134.16999999999999</v>
      </c>
      <c r="K1894">
        <v>32.9</v>
      </c>
    </row>
    <row r="1895" spans="1:11">
      <c r="A1895">
        <v>276.83</v>
      </c>
      <c r="B1895">
        <v>40.340000000000003</v>
      </c>
      <c r="C1895">
        <v>50.51</v>
      </c>
      <c r="D1895">
        <v>50.62</v>
      </c>
      <c r="E1895">
        <v>67.23</v>
      </c>
      <c r="F1895">
        <v>67.06</v>
      </c>
      <c r="G1895">
        <v>94.12</v>
      </c>
      <c r="H1895">
        <v>77.73</v>
      </c>
      <c r="I1895">
        <v>70.73</v>
      </c>
      <c r="J1895">
        <v>134.06</v>
      </c>
      <c r="K1895">
        <v>32.9</v>
      </c>
    </row>
    <row r="1896" spans="1:11">
      <c r="A1896">
        <v>277</v>
      </c>
      <c r="B1896">
        <v>40.4</v>
      </c>
      <c r="C1896">
        <v>50.56</v>
      </c>
      <c r="D1896">
        <v>50.62</v>
      </c>
      <c r="E1896">
        <v>67.28</v>
      </c>
      <c r="F1896">
        <v>66.84</v>
      </c>
      <c r="G1896">
        <v>94.06</v>
      </c>
      <c r="H1896">
        <v>77.28</v>
      </c>
      <c r="I1896">
        <v>70.900000000000006</v>
      </c>
      <c r="J1896">
        <v>134.01</v>
      </c>
      <c r="K1896">
        <v>32.9</v>
      </c>
    </row>
    <row r="1897" spans="1:11">
      <c r="A1897">
        <v>277.17</v>
      </c>
      <c r="B1897">
        <v>40.4</v>
      </c>
      <c r="C1897">
        <v>50.56</v>
      </c>
      <c r="D1897">
        <v>50.62</v>
      </c>
      <c r="E1897">
        <v>67.34</v>
      </c>
      <c r="F1897">
        <v>66.84</v>
      </c>
      <c r="G1897">
        <v>94.01</v>
      </c>
      <c r="H1897">
        <v>76.12</v>
      </c>
      <c r="I1897">
        <v>70.73</v>
      </c>
      <c r="J1897">
        <v>133.9</v>
      </c>
      <c r="K1897">
        <v>32.9</v>
      </c>
    </row>
    <row r="1898" spans="1:11">
      <c r="A1898">
        <v>277.33</v>
      </c>
      <c r="B1898">
        <v>40.119999999999997</v>
      </c>
      <c r="C1898">
        <v>50.45</v>
      </c>
      <c r="D1898">
        <v>50.56</v>
      </c>
      <c r="E1898">
        <v>67.34</v>
      </c>
      <c r="F1898">
        <v>66.67</v>
      </c>
      <c r="G1898">
        <v>93.84</v>
      </c>
      <c r="H1898">
        <v>75.62</v>
      </c>
      <c r="I1898">
        <v>70.67</v>
      </c>
      <c r="J1898">
        <v>133.84</v>
      </c>
      <c r="K1898">
        <v>32.9</v>
      </c>
    </row>
    <row r="1899" spans="1:11">
      <c r="A1899">
        <v>277.5</v>
      </c>
      <c r="B1899">
        <v>40.06</v>
      </c>
      <c r="C1899">
        <v>50.45</v>
      </c>
      <c r="D1899">
        <v>50.51</v>
      </c>
      <c r="E1899">
        <v>67.28</v>
      </c>
      <c r="F1899">
        <v>66.34</v>
      </c>
      <c r="G1899">
        <v>93.56</v>
      </c>
      <c r="H1899">
        <v>76.06</v>
      </c>
      <c r="I1899">
        <v>70.17</v>
      </c>
      <c r="J1899">
        <v>133.72999999999999</v>
      </c>
      <c r="K1899">
        <v>32.9</v>
      </c>
    </row>
    <row r="1900" spans="1:11">
      <c r="A1900">
        <v>277.67</v>
      </c>
      <c r="B1900">
        <v>40.119999999999997</v>
      </c>
      <c r="C1900">
        <v>50.56</v>
      </c>
      <c r="D1900">
        <v>50.62</v>
      </c>
      <c r="E1900">
        <v>67.400000000000006</v>
      </c>
      <c r="F1900">
        <v>66.400000000000006</v>
      </c>
      <c r="G1900">
        <v>93.56</v>
      </c>
      <c r="H1900">
        <v>76.400000000000006</v>
      </c>
      <c r="I1900">
        <v>70.06</v>
      </c>
      <c r="J1900">
        <v>133.66999999999999</v>
      </c>
      <c r="K1900">
        <v>32.9</v>
      </c>
    </row>
    <row r="1901" spans="1:11">
      <c r="A1901">
        <v>277.83</v>
      </c>
      <c r="B1901">
        <v>40.119999999999997</v>
      </c>
      <c r="C1901">
        <v>50.51</v>
      </c>
      <c r="D1901">
        <v>50.67</v>
      </c>
      <c r="E1901">
        <v>67.400000000000006</v>
      </c>
      <c r="F1901">
        <v>66.28</v>
      </c>
      <c r="G1901">
        <v>93.56</v>
      </c>
      <c r="H1901">
        <v>75.95</v>
      </c>
      <c r="I1901">
        <v>70.45</v>
      </c>
      <c r="J1901">
        <v>133.56</v>
      </c>
      <c r="K1901">
        <v>32.9</v>
      </c>
    </row>
    <row r="1902" spans="1:11">
      <c r="A1902">
        <v>278</v>
      </c>
      <c r="B1902">
        <v>40.01</v>
      </c>
      <c r="C1902">
        <v>50.51</v>
      </c>
      <c r="D1902">
        <v>50.62</v>
      </c>
      <c r="E1902">
        <v>67.45</v>
      </c>
      <c r="F1902">
        <v>66.010000000000005</v>
      </c>
      <c r="G1902">
        <v>93.51</v>
      </c>
      <c r="H1902">
        <v>75.73</v>
      </c>
      <c r="I1902">
        <v>70.510000000000005</v>
      </c>
      <c r="J1902">
        <v>133.51</v>
      </c>
      <c r="K1902">
        <v>32.9</v>
      </c>
    </row>
    <row r="1903" spans="1:11">
      <c r="A1903">
        <v>278.17</v>
      </c>
      <c r="B1903">
        <v>39.950000000000003</v>
      </c>
      <c r="C1903">
        <v>50.45</v>
      </c>
      <c r="D1903">
        <v>50.56</v>
      </c>
      <c r="E1903">
        <v>67.400000000000006</v>
      </c>
      <c r="F1903">
        <v>65.84</v>
      </c>
      <c r="G1903">
        <v>93.34</v>
      </c>
      <c r="H1903">
        <v>75.67</v>
      </c>
      <c r="I1903">
        <v>70.34</v>
      </c>
      <c r="J1903">
        <v>133.51</v>
      </c>
      <c r="K1903">
        <v>32.9</v>
      </c>
    </row>
    <row r="1904" spans="1:11">
      <c r="A1904">
        <v>278.33</v>
      </c>
      <c r="B1904">
        <v>39.840000000000003</v>
      </c>
      <c r="C1904">
        <v>50.45</v>
      </c>
      <c r="D1904">
        <v>50.56</v>
      </c>
      <c r="E1904">
        <v>67.400000000000006</v>
      </c>
      <c r="F1904">
        <v>65.78</v>
      </c>
      <c r="G1904">
        <v>93.28</v>
      </c>
      <c r="H1904">
        <v>76.17</v>
      </c>
      <c r="I1904">
        <v>70.400000000000006</v>
      </c>
      <c r="J1904">
        <v>133.4</v>
      </c>
      <c r="K1904">
        <v>32.950000000000003</v>
      </c>
    </row>
    <row r="1905" spans="1:11">
      <c r="A1905">
        <v>278.5</v>
      </c>
      <c r="B1905">
        <v>39.729999999999997</v>
      </c>
      <c r="C1905">
        <v>50.34</v>
      </c>
      <c r="D1905">
        <v>50.4</v>
      </c>
      <c r="E1905">
        <v>67.34</v>
      </c>
      <c r="F1905">
        <v>65.84</v>
      </c>
      <c r="G1905">
        <v>93.01</v>
      </c>
      <c r="H1905">
        <v>75.95</v>
      </c>
      <c r="I1905">
        <v>70.84</v>
      </c>
      <c r="J1905">
        <v>133.22999999999999</v>
      </c>
      <c r="K1905">
        <v>32.950000000000003</v>
      </c>
    </row>
    <row r="1906" spans="1:11">
      <c r="A1906">
        <v>278.67</v>
      </c>
      <c r="B1906">
        <v>39.729999999999997</v>
      </c>
      <c r="C1906">
        <v>50.45</v>
      </c>
      <c r="D1906">
        <v>50.45</v>
      </c>
      <c r="E1906">
        <v>67.400000000000006</v>
      </c>
      <c r="F1906">
        <v>66.010000000000005</v>
      </c>
      <c r="G1906">
        <v>92.9</v>
      </c>
      <c r="H1906">
        <v>76.56</v>
      </c>
      <c r="I1906">
        <v>70.900000000000006</v>
      </c>
      <c r="J1906">
        <v>133.22999999999999</v>
      </c>
      <c r="K1906">
        <v>32.950000000000003</v>
      </c>
    </row>
    <row r="1907" spans="1:11">
      <c r="A1907">
        <v>278.83</v>
      </c>
      <c r="B1907">
        <v>39.729999999999997</v>
      </c>
      <c r="C1907">
        <v>50.51</v>
      </c>
      <c r="D1907">
        <v>50.56</v>
      </c>
      <c r="E1907">
        <v>67.56</v>
      </c>
      <c r="F1907">
        <v>65.78</v>
      </c>
      <c r="G1907">
        <v>92.84</v>
      </c>
      <c r="H1907">
        <v>76.62</v>
      </c>
      <c r="I1907">
        <v>70.23</v>
      </c>
      <c r="J1907">
        <v>133.22999999999999</v>
      </c>
      <c r="K1907">
        <v>32.950000000000003</v>
      </c>
    </row>
    <row r="1908" spans="1:11">
      <c r="A1908">
        <v>279</v>
      </c>
      <c r="B1908">
        <v>39.729999999999997</v>
      </c>
      <c r="C1908">
        <v>50.56</v>
      </c>
      <c r="D1908">
        <v>50.56</v>
      </c>
      <c r="E1908">
        <v>67.510000000000005</v>
      </c>
      <c r="F1908">
        <v>65.17</v>
      </c>
      <c r="G1908">
        <v>92.73</v>
      </c>
      <c r="H1908">
        <v>77.010000000000005</v>
      </c>
      <c r="I1908">
        <v>69.67</v>
      </c>
      <c r="J1908">
        <v>133.06</v>
      </c>
      <c r="K1908">
        <v>32.950000000000003</v>
      </c>
    </row>
    <row r="1909" spans="1:11">
      <c r="A1909">
        <v>279.17</v>
      </c>
      <c r="B1909">
        <v>39.78</v>
      </c>
      <c r="C1909">
        <v>50.62</v>
      </c>
      <c r="D1909">
        <v>50.62</v>
      </c>
      <c r="E1909">
        <v>67.510000000000005</v>
      </c>
      <c r="F1909">
        <v>65.56</v>
      </c>
      <c r="G1909">
        <v>92.45</v>
      </c>
      <c r="H1909">
        <v>77.17</v>
      </c>
      <c r="I1909">
        <v>69.73</v>
      </c>
      <c r="J1909">
        <v>133.06</v>
      </c>
      <c r="K1909">
        <v>32.950000000000003</v>
      </c>
    </row>
    <row r="1910" spans="1:11">
      <c r="A1910">
        <v>279.33</v>
      </c>
      <c r="B1910">
        <v>39.729999999999997</v>
      </c>
      <c r="C1910">
        <v>50.56</v>
      </c>
      <c r="D1910">
        <v>50.62</v>
      </c>
      <c r="E1910">
        <v>67.510000000000005</v>
      </c>
      <c r="F1910">
        <v>65.95</v>
      </c>
      <c r="G1910">
        <v>92.28</v>
      </c>
      <c r="H1910">
        <v>77.45</v>
      </c>
      <c r="I1910">
        <v>70.62</v>
      </c>
      <c r="J1910">
        <v>132.94999999999999</v>
      </c>
      <c r="K1910">
        <v>32.950000000000003</v>
      </c>
    </row>
    <row r="1911" spans="1:11">
      <c r="A1911">
        <v>279.5</v>
      </c>
      <c r="B1911">
        <v>39.67</v>
      </c>
      <c r="C1911">
        <v>50.56</v>
      </c>
      <c r="D1911">
        <v>50.62</v>
      </c>
      <c r="E1911">
        <v>67.56</v>
      </c>
      <c r="F1911">
        <v>66.28</v>
      </c>
      <c r="G1911">
        <v>92.23</v>
      </c>
      <c r="H1911">
        <v>76.78</v>
      </c>
      <c r="I1911">
        <v>70.62</v>
      </c>
      <c r="J1911">
        <v>132.9</v>
      </c>
      <c r="K1911">
        <v>32.950000000000003</v>
      </c>
    </row>
    <row r="1912" spans="1:11">
      <c r="A1912">
        <v>279.67</v>
      </c>
      <c r="B1912">
        <v>39.619999999999997</v>
      </c>
      <c r="C1912">
        <v>50.56</v>
      </c>
      <c r="D1912">
        <v>50.62</v>
      </c>
      <c r="E1912">
        <v>67.62</v>
      </c>
      <c r="F1912">
        <v>66.17</v>
      </c>
      <c r="G1912">
        <v>92.01</v>
      </c>
      <c r="H1912">
        <v>76.73</v>
      </c>
      <c r="I1912">
        <v>70.12</v>
      </c>
      <c r="J1912">
        <v>132.9</v>
      </c>
      <c r="K1912">
        <v>32.950000000000003</v>
      </c>
    </row>
    <row r="1913" spans="1:11">
      <c r="A1913">
        <v>279.83</v>
      </c>
      <c r="B1913">
        <v>39.67</v>
      </c>
      <c r="C1913">
        <v>50.51</v>
      </c>
      <c r="D1913">
        <v>50.62</v>
      </c>
      <c r="E1913">
        <v>67.62</v>
      </c>
      <c r="F1913">
        <v>66.34</v>
      </c>
      <c r="G1913">
        <v>91.9</v>
      </c>
      <c r="H1913">
        <v>76.23</v>
      </c>
      <c r="I1913">
        <v>69.67</v>
      </c>
      <c r="J1913">
        <v>132.78</v>
      </c>
      <c r="K1913">
        <v>32.950000000000003</v>
      </c>
    </row>
    <row r="1914" spans="1:11">
      <c r="A1914">
        <v>280</v>
      </c>
      <c r="B1914">
        <v>39.51</v>
      </c>
      <c r="C1914">
        <v>50.45</v>
      </c>
      <c r="D1914">
        <v>50.45</v>
      </c>
      <c r="E1914">
        <v>67.510000000000005</v>
      </c>
      <c r="F1914">
        <v>66.34</v>
      </c>
      <c r="G1914">
        <v>91.78</v>
      </c>
      <c r="H1914">
        <v>76.34</v>
      </c>
      <c r="I1914">
        <v>69.45</v>
      </c>
      <c r="J1914">
        <v>132.62</v>
      </c>
      <c r="K1914">
        <v>32.950000000000003</v>
      </c>
    </row>
    <row r="1915" spans="1:11">
      <c r="A1915">
        <v>280.17</v>
      </c>
      <c r="B1915">
        <v>39.450000000000003</v>
      </c>
      <c r="C1915">
        <v>50.51</v>
      </c>
      <c r="D1915">
        <v>50.56</v>
      </c>
      <c r="E1915">
        <v>67.62</v>
      </c>
      <c r="F1915">
        <v>66.28</v>
      </c>
      <c r="G1915">
        <v>91.73</v>
      </c>
      <c r="H1915">
        <v>76.73</v>
      </c>
      <c r="I1915">
        <v>69.45</v>
      </c>
      <c r="J1915">
        <v>132.56</v>
      </c>
      <c r="K1915">
        <v>33.01</v>
      </c>
    </row>
    <row r="1916" spans="1:11">
      <c r="A1916">
        <v>280.33</v>
      </c>
      <c r="B1916">
        <v>39.450000000000003</v>
      </c>
      <c r="C1916">
        <v>50.56</v>
      </c>
      <c r="D1916">
        <v>50.56</v>
      </c>
      <c r="E1916">
        <v>67.67</v>
      </c>
      <c r="F1916">
        <v>65.95</v>
      </c>
      <c r="G1916">
        <v>91.73</v>
      </c>
      <c r="H1916">
        <v>76.67</v>
      </c>
      <c r="I1916">
        <v>68.95</v>
      </c>
      <c r="J1916">
        <v>132.56</v>
      </c>
      <c r="K1916">
        <v>33.01</v>
      </c>
    </row>
    <row r="1917" spans="1:11">
      <c r="A1917">
        <v>280.5</v>
      </c>
      <c r="B1917">
        <v>39.340000000000003</v>
      </c>
      <c r="C1917">
        <v>50.62</v>
      </c>
      <c r="D1917">
        <v>50.56</v>
      </c>
      <c r="E1917">
        <v>67.62</v>
      </c>
      <c r="F1917">
        <v>65.84</v>
      </c>
      <c r="G1917">
        <v>91.62</v>
      </c>
      <c r="H1917">
        <v>76.67</v>
      </c>
      <c r="I1917">
        <v>68.73</v>
      </c>
      <c r="J1917">
        <v>132.51</v>
      </c>
      <c r="K1917">
        <v>33.01</v>
      </c>
    </row>
    <row r="1918" spans="1:11">
      <c r="A1918">
        <v>280.67</v>
      </c>
      <c r="B1918">
        <v>39.229999999999997</v>
      </c>
      <c r="C1918">
        <v>50.51</v>
      </c>
      <c r="D1918">
        <v>50.56</v>
      </c>
      <c r="E1918">
        <v>67.62</v>
      </c>
      <c r="F1918">
        <v>65.400000000000006</v>
      </c>
      <c r="G1918">
        <v>91.51</v>
      </c>
      <c r="H1918">
        <v>75.84</v>
      </c>
      <c r="I1918">
        <v>68.400000000000006</v>
      </c>
      <c r="J1918">
        <v>132.4</v>
      </c>
      <c r="K1918">
        <v>33.01</v>
      </c>
    </row>
    <row r="1919" spans="1:11">
      <c r="A1919">
        <v>280.83</v>
      </c>
      <c r="B1919">
        <v>39.229999999999997</v>
      </c>
      <c r="C1919">
        <v>50.56</v>
      </c>
      <c r="D1919">
        <v>50.62</v>
      </c>
      <c r="E1919">
        <v>67.67</v>
      </c>
      <c r="F1919">
        <v>65.78</v>
      </c>
      <c r="G1919">
        <v>91.51</v>
      </c>
      <c r="H1919">
        <v>76.06</v>
      </c>
      <c r="I1919">
        <v>68.900000000000006</v>
      </c>
      <c r="J1919">
        <v>132.4</v>
      </c>
      <c r="K1919">
        <v>33.01</v>
      </c>
    </row>
    <row r="1920" spans="1:11">
      <c r="A1920">
        <v>281</v>
      </c>
      <c r="B1920">
        <v>39.229999999999997</v>
      </c>
      <c r="C1920">
        <v>50.45</v>
      </c>
      <c r="D1920">
        <v>50.56</v>
      </c>
      <c r="E1920">
        <v>67.67</v>
      </c>
      <c r="F1920">
        <v>65.900000000000006</v>
      </c>
      <c r="G1920">
        <v>91.45</v>
      </c>
      <c r="H1920">
        <v>76.010000000000005</v>
      </c>
      <c r="I1920">
        <v>69.06</v>
      </c>
      <c r="J1920">
        <v>132.28</v>
      </c>
      <c r="K1920">
        <v>33.01</v>
      </c>
    </row>
    <row r="1921" spans="1:11">
      <c r="A1921">
        <v>281.17</v>
      </c>
      <c r="B1921">
        <v>39.229999999999997</v>
      </c>
      <c r="C1921">
        <v>50.45</v>
      </c>
      <c r="D1921">
        <v>50.56</v>
      </c>
      <c r="E1921">
        <v>67.67</v>
      </c>
      <c r="F1921">
        <v>65.73</v>
      </c>
      <c r="G1921">
        <v>91.45</v>
      </c>
      <c r="H1921">
        <v>76.510000000000005</v>
      </c>
      <c r="I1921">
        <v>68.900000000000006</v>
      </c>
      <c r="J1921">
        <v>132.22999999999999</v>
      </c>
      <c r="K1921">
        <v>33.01</v>
      </c>
    </row>
    <row r="1922" spans="1:11">
      <c r="A1922">
        <v>281.33</v>
      </c>
      <c r="B1922">
        <v>39.229999999999997</v>
      </c>
      <c r="C1922">
        <v>50.56</v>
      </c>
      <c r="D1922">
        <v>50.56</v>
      </c>
      <c r="E1922">
        <v>67.67</v>
      </c>
      <c r="F1922">
        <v>65.73</v>
      </c>
      <c r="G1922">
        <v>91.28</v>
      </c>
      <c r="H1922">
        <v>75.78</v>
      </c>
      <c r="I1922">
        <v>68.900000000000006</v>
      </c>
      <c r="J1922">
        <v>132.12</v>
      </c>
      <c r="K1922">
        <v>33.01</v>
      </c>
    </row>
    <row r="1923" spans="1:11">
      <c r="A1923">
        <v>281.5</v>
      </c>
      <c r="B1923">
        <v>39.229999999999997</v>
      </c>
      <c r="C1923">
        <v>50.62</v>
      </c>
      <c r="D1923">
        <v>50.62</v>
      </c>
      <c r="E1923">
        <v>67.67</v>
      </c>
      <c r="F1923">
        <v>65.28</v>
      </c>
      <c r="G1923">
        <v>91.17</v>
      </c>
      <c r="H1923">
        <v>75.400000000000006</v>
      </c>
      <c r="I1923">
        <v>68.510000000000005</v>
      </c>
      <c r="J1923">
        <v>132.12</v>
      </c>
      <c r="K1923">
        <v>33.01</v>
      </c>
    </row>
    <row r="1924" spans="1:11">
      <c r="A1924">
        <v>281.67</v>
      </c>
      <c r="B1924">
        <v>39.17</v>
      </c>
      <c r="C1924">
        <v>50.56</v>
      </c>
      <c r="D1924">
        <v>50.56</v>
      </c>
      <c r="E1924">
        <v>67.62</v>
      </c>
      <c r="F1924">
        <v>65.12</v>
      </c>
      <c r="G1924">
        <v>91.12</v>
      </c>
      <c r="H1924">
        <v>75.45</v>
      </c>
      <c r="I1924">
        <v>68.34</v>
      </c>
      <c r="J1924">
        <v>131.94999999999999</v>
      </c>
      <c r="K1924">
        <v>33.01</v>
      </c>
    </row>
    <row r="1925" spans="1:11">
      <c r="A1925">
        <v>281.83</v>
      </c>
      <c r="B1925">
        <v>39.06</v>
      </c>
      <c r="C1925">
        <v>50.45</v>
      </c>
      <c r="D1925">
        <v>50.56</v>
      </c>
      <c r="E1925">
        <v>67.67</v>
      </c>
      <c r="F1925">
        <v>65.06</v>
      </c>
      <c r="G1925">
        <v>91.01</v>
      </c>
      <c r="H1925">
        <v>75.400000000000006</v>
      </c>
      <c r="I1925">
        <v>68.34</v>
      </c>
      <c r="J1925">
        <v>131.9</v>
      </c>
      <c r="K1925">
        <v>33.01</v>
      </c>
    </row>
    <row r="1926" spans="1:11">
      <c r="A1926">
        <v>282</v>
      </c>
      <c r="B1926">
        <v>39.06</v>
      </c>
      <c r="C1926">
        <v>50.45</v>
      </c>
      <c r="D1926">
        <v>50.51</v>
      </c>
      <c r="E1926">
        <v>67.67</v>
      </c>
      <c r="F1926">
        <v>65.010000000000005</v>
      </c>
      <c r="G1926">
        <v>90.95</v>
      </c>
      <c r="H1926">
        <v>74.510000000000005</v>
      </c>
      <c r="I1926">
        <v>69.06</v>
      </c>
      <c r="J1926">
        <v>131.84</v>
      </c>
      <c r="K1926">
        <v>33.01</v>
      </c>
    </row>
    <row r="1927" spans="1:11">
      <c r="A1927">
        <v>282.17</v>
      </c>
      <c r="B1927">
        <v>39.01</v>
      </c>
      <c r="C1927">
        <v>50.45</v>
      </c>
      <c r="D1927">
        <v>50.45</v>
      </c>
      <c r="E1927">
        <v>67.67</v>
      </c>
      <c r="F1927">
        <v>65.010000000000005</v>
      </c>
      <c r="G1927">
        <v>90.9</v>
      </c>
      <c r="H1927">
        <v>74.010000000000005</v>
      </c>
      <c r="I1927">
        <v>68.78</v>
      </c>
      <c r="J1927">
        <v>131.78</v>
      </c>
      <c r="K1927">
        <v>33.06</v>
      </c>
    </row>
    <row r="1928" spans="1:11">
      <c r="A1928">
        <v>282.33</v>
      </c>
      <c r="B1928">
        <v>39.06</v>
      </c>
      <c r="C1928">
        <v>50.45</v>
      </c>
      <c r="D1928">
        <v>50.56</v>
      </c>
      <c r="E1928">
        <v>67.73</v>
      </c>
      <c r="F1928">
        <v>64.900000000000006</v>
      </c>
      <c r="G1928">
        <v>90.95</v>
      </c>
      <c r="H1928">
        <v>74.28</v>
      </c>
      <c r="I1928">
        <v>68.900000000000006</v>
      </c>
      <c r="J1928">
        <v>131.78</v>
      </c>
      <c r="K1928">
        <v>33.06</v>
      </c>
    </row>
    <row r="1929" spans="1:11">
      <c r="A1929">
        <v>282.5</v>
      </c>
      <c r="B1929">
        <v>38.950000000000003</v>
      </c>
      <c r="C1929">
        <v>50.45</v>
      </c>
      <c r="D1929">
        <v>50.45</v>
      </c>
      <c r="E1929">
        <v>67.73</v>
      </c>
      <c r="F1929">
        <v>64.900000000000006</v>
      </c>
      <c r="G1929">
        <v>90.78</v>
      </c>
      <c r="H1929">
        <v>73.73</v>
      </c>
      <c r="I1929">
        <v>69.510000000000005</v>
      </c>
      <c r="J1929">
        <v>131.62</v>
      </c>
      <c r="K1929">
        <v>33.06</v>
      </c>
    </row>
    <row r="1930" spans="1:11">
      <c r="A1930">
        <v>282.67</v>
      </c>
      <c r="B1930">
        <v>38.9</v>
      </c>
      <c r="C1930">
        <v>50.45</v>
      </c>
      <c r="D1930">
        <v>50.51</v>
      </c>
      <c r="E1930">
        <v>67.73</v>
      </c>
      <c r="F1930">
        <v>64.900000000000006</v>
      </c>
      <c r="G1930">
        <v>90.73</v>
      </c>
      <c r="H1930">
        <v>72.56</v>
      </c>
      <c r="I1930">
        <v>70.010000000000005</v>
      </c>
      <c r="J1930">
        <v>131.56</v>
      </c>
      <c r="K1930">
        <v>33.06</v>
      </c>
    </row>
    <row r="1931" spans="1:11">
      <c r="A1931">
        <v>282.83</v>
      </c>
      <c r="B1931">
        <v>38.840000000000003</v>
      </c>
      <c r="C1931">
        <v>50.51</v>
      </c>
      <c r="D1931">
        <v>50.56</v>
      </c>
      <c r="E1931">
        <v>67.78</v>
      </c>
      <c r="F1931">
        <v>64.900000000000006</v>
      </c>
      <c r="G1931">
        <v>90.67</v>
      </c>
      <c r="H1931">
        <v>72.67</v>
      </c>
      <c r="I1931">
        <v>68.73</v>
      </c>
      <c r="J1931">
        <v>131.56</v>
      </c>
      <c r="K1931">
        <v>33.06</v>
      </c>
    </row>
    <row r="1932" spans="1:11">
      <c r="A1932">
        <v>283</v>
      </c>
      <c r="B1932">
        <v>38.78</v>
      </c>
      <c r="C1932">
        <v>50.4</v>
      </c>
      <c r="D1932">
        <v>50.51</v>
      </c>
      <c r="E1932">
        <v>67.73</v>
      </c>
      <c r="F1932">
        <v>64.78</v>
      </c>
      <c r="G1932">
        <v>90.45</v>
      </c>
      <c r="H1932">
        <v>73.400000000000006</v>
      </c>
      <c r="I1932">
        <v>68.34</v>
      </c>
      <c r="J1932">
        <v>131.4</v>
      </c>
      <c r="K1932">
        <v>33.06</v>
      </c>
    </row>
    <row r="1933" spans="1:11">
      <c r="A1933">
        <v>283.17</v>
      </c>
      <c r="B1933">
        <v>38.729999999999997</v>
      </c>
      <c r="C1933">
        <v>50.34</v>
      </c>
      <c r="D1933">
        <v>50.45</v>
      </c>
      <c r="E1933">
        <v>67.67</v>
      </c>
      <c r="F1933">
        <v>64.400000000000006</v>
      </c>
      <c r="G1933">
        <v>90.4</v>
      </c>
      <c r="H1933">
        <v>74.34</v>
      </c>
      <c r="I1933">
        <v>68.17</v>
      </c>
      <c r="J1933">
        <v>131.28</v>
      </c>
      <c r="K1933">
        <v>33.06</v>
      </c>
    </row>
    <row r="1934" spans="1:11">
      <c r="A1934">
        <v>283.33</v>
      </c>
      <c r="B1934">
        <v>38.729999999999997</v>
      </c>
      <c r="C1934">
        <v>50.45</v>
      </c>
      <c r="D1934">
        <v>50.45</v>
      </c>
      <c r="E1934">
        <v>67.73</v>
      </c>
      <c r="F1934">
        <v>64.45</v>
      </c>
      <c r="G1934">
        <v>90.34</v>
      </c>
      <c r="H1934">
        <v>74.28</v>
      </c>
      <c r="I1934">
        <v>68.34</v>
      </c>
      <c r="J1934">
        <v>131.28</v>
      </c>
      <c r="K1934">
        <v>33.06</v>
      </c>
    </row>
    <row r="1935" spans="1:11">
      <c r="A1935">
        <v>283.5</v>
      </c>
      <c r="B1935">
        <v>38.78</v>
      </c>
      <c r="C1935">
        <v>50.51</v>
      </c>
      <c r="D1935">
        <v>50.56</v>
      </c>
      <c r="E1935">
        <v>67.78</v>
      </c>
      <c r="F1935">
        <v>64.45</v>
      </c>
      <c r="G1935">
        <v>90.23</v>
      </c>
      <c r="H1935">
        <v>74.95</v>
      </c>
      <c r="I1935">
        <v>68.510000000000005</v>
      </c>
      <c r="J1935">
        <v>131.22999999999999</v>
      </c>
      <c r="K1935">
        <v>33.06</v>
      </c>
    </row>
    <row r="1936" spans="1:11">
      <c r="A1936">
        <v>283.67</v>
      </c>
      <c r="B1936">
        <v>38.67</v>
      </c>
      <c r="C1936">
        <v>50.45</v>
      </c>
      <c r="D1936">
        <v>50.62</v>
      </c>
      <c r="E1936">
        <v>67.78</v>
      </c>
      <c r="F1936">
        <v>64.28</v>
      </c>
      <c r="G1936">
        <v>90.17</v>
      </c>
      <c r="H1936">
        <v>74.78</v>
      </c>
      <c r="I1936">
        <v>68.73</v>
      </c>
      <c r="J1936">
        <v>131.12</v>
      </c>
      <c r="K1936">
        <v>33.06</v>
      </c>
    </row>
    <row r="1937" spans="1:11">
      <c r="A1937">
        <v>283.83</v>
      </c>
      <c r="B1937">
        <v>38.78</v>
      </c>
      <c r="C1937">
        <v>50.56</v>
      </c>
      <c r="D1937">
        <v>50.56</v>
      </c>
      <c r="E1937">
        <v>67.78</v>
      </c>
      <c r="F1937">
        <v>64.12</v>
      </c>
      <c r="G1937">
        <v>90.12</v>
      </c>
      <c r="H1937">
        <v>75.23</v>
      </c>
      <c r="I1937">
        <v>68.34</v>
      </c>
      <c r="J1937">
        <v>131.06</v>
      </c>
      <c r="K1937">
        <v>33.06</v>
      </c>
    </row>
    <row r="1938" spans="1:11">
      <c r="A1938">
        <v>284</v>
      </c>
      <c r="B1938">
        <v>38.619999999999997</v>
      </c>
      <c r="C1938">
        <v>50.56</v>
      </c>
      <c r="D1938">
        <v>50.56</v>
      </c>
      <c r="E1938">
        <v>67.73</v>
      </c>
      <c r="F1938">
        <v>63.95</v>
      </c>
      <c r="G1938">
        <v>89.95</v>
      </c>
      <c r="H1938">
        <v>74.510000000000005</v>
      </c>
      <c r="I1938">
        <v>67.95</v>
      </c>
      <c r="J1938">
        <v>131.01</v>
      </c>
      <c r="K1938">
        <v>33.119999999999997</v>
      </c>
    </row>
    <row r="1939" spans="1:11">
      <c r="A1939">
        <v>284.17</v>
      </c>
      <c r="B1939">
        <v>38.619999999999997</v>
      </c>
      <c r="C1939">
        <v>50.56</v>
      </c>
      <c r="D1939">
        <v>50.56</v>
      </c>
      <c r="E1939">
        <v>67.78</v>
      </c>
      <c r="F1939">
        <v>63.62</v>
      </c>
      <c r="G1939">
        <v>89.95</v>
      </c>
      <c r="H1939">
        <v>74.45</v>
      </c>
      <c r="I1939">
        <v>68.34</v>
      </c>
      <c r="J1939">
        <v>130.84</v>
      </c>
      <c r="K1939">
        <v>33.119999999999997</v>
      </c>
    </row>
    <row r="1940" spans="1:11">
      <c r="A1940">
        <v>284.33</v>
      </c>
      <c r="B1940">
        <v>38.619999999999997</v>
      </c>
      <c r="C1940">
        <v>50.45</v>
      </c>
      <c r="D1940">
        <v>50.56</v>
      </c>
      <c r="E1940">
        <v>67.78</v>
      </c>
      <c r="F1940">
        <v>63.67</v>
      </c>
      <c r="G1940">
        <v>89.9</v>
      </c>
      <c r="H1940">
        <v>74.28</v>
      </c>
      <c r="I1940">
        <v>68.56</v>
      </c>
      <c r="J1940">
        <v>130.84</v>
      </c>
      <c r="K1940">
        <v>33.119999999999997</v>
      </c>
    </row>
    <row r="1941" spans="1:11">
      <c r="A1941">
        <v>284.5</v>
      </c>
      <c r="B1941">
        <v>38.56</v>
      </c>
      <c r="C1941">
        <v>50.34</v>
      </c>
      <c r="D1941">
        <v>50.45</v>
      </c>
      <c r="E1941">
        <v>67.78</v>
      </c>
      <c r="F1941">
        <v>63.73</v>
      </c>
      <c r="G1941">
        <v>89.67</v>
      </c>
      <c r="H1941">
        <v>74.28</v>
      </c>
      <c r="I1941">
        <v>67.84</v>
      </c>
      <c r="J1941">
        <v>130.78</v>
      </c>
      <c r="K1941">
        <v>33.119999999999997</v>
      </c>
    </row>
    <row r="1942" spans="1:11">
      <c r="A1942">
        <v>284.67</v>
      </c>
      <c r="B1942">
        <v>38.56</v>
      </c>
      <c r="C1942">
        <v>50.34</v>
      </c>
      <c r="D1942">
        <v>50.45</v>
      </c>
      <c r="E1942">
        <v>67.78</v>
      </c>
      <c r="F1942">
        <v>63.4</v>
      </c>
      <c r="G1942">
        <v>89.67</v>
      </c>
      <c r="H1942">
        <v>74.78</v>
      </c>
      <c r="I1942">
        <v>68.400000000000006</v>
      </c>
      <c r="J1942">
        <v>130.72999999999999</v>
      </c>
      <c r="K1942">
        <v>33.119999999999997</v>
      </c>
    </row>
    <row r="1943" spans="1:11">
      <c r="A1943">
        <v>284.83</v>
      </c>
      <c r="B1943">
        <v>38.450000000000003</v>
      </c>
      <c r="C1943">
        <v>50.34</v>
      </c>
      <c r="D1943">
        <v>50.45</v>
      </c>
      <c r="E1943">
        <v>67.78</v>
      </c>
      <c r="F1943">
        <v>63.12</v>
      </c>
      <c r="G1943">
        <v>89.67</v>
      </c>
      <c r="H1943">
        <v>74.23</v>
      </c>
      <c r="I1943">
        <v>68.23</v>
      </c>
      <c r="J1943">
        <v>130.62</v>
      </c>
      <c r="K1943">
        <v>33.119999999999997</v>
      </c>
    </row>
    <row r="1944" spans="1:11">
      <c r="A1944">
        <v>285</v>
      </c>
      <c r="B1944">
        <v>38.340000000000003</v>
      </c>
      <c r="C1944">
        <v>50.12</v>
      </c>
      <c r="D1944">
        <v>50.28</v>
      </c>
      <c r="E1944">
        <v>67.73</v>
      </c>
      <c r="F1944">
        <v>63.34</v>
      </c>
      <c r="G1944">
        <v>89.56</v>
      </c>
      <c r="H1944">
        <v>73.62</v>
      </c>
      <c r="I1944">
        <v>67.84</v>
      </c>
      <c r="J1944">
        <v>130.51</v>
      </c>
      <c r="K1944">
        <v>33.119999999999997</v>
      </c>
    </row>
    <row r="1945" spans="1:11">
      <c r="A1945">
        <v>285.17</v>
      </c>
      <c r="B1945">
        <v>38.340000000000003</v>
      </c>
      <c r="C1945">
        <v>50.06</v>
      </c>
      <c r="D1945">
        <v>50.17</v>
      </c>
      <c r="E1945">
        <v>67.78</v>
      </c>
      <c r="F1945">
        <v>63.23</v>
      </c>
      <c r="G1945">
        <v>89.56</v>
      </c>
      <c r="H1945">
        <v>73.73</v>
      </c>
      <c r="I1945">
        <v>68.010000000000005</v>
      </c>
      <c r="J1945">
        <v>130.44999999999999</v>
      </c>
      <c r="K1945">
        <v>33.119999999999997</v>
      </c>
    </row>
    <row r="1946" spans="1:11">
      <c r="A1946">
        <v>285.33</v>
      </c>
      <c r="B1946">
        <v>38.4</v>
      </c>
      <c r="C1946">
        <v>50.12</v>
      </c>
      <c r="D1946">
        <v>50.12</v>
      </c>
      <c r="E1946">
        <v>67.84</v>
      </c>
      <c r="F1946">
        <v>63.17</v>
      </c>
      <c r="G1946">
        <v>89.62</v>
      </c>
      <c r="H1946">
        <v>73.23</v>
      </c>
      <c r="I1946">
        <v>67.78</v>
      </c>
      <c r="J1946">
        <v>130.51</v>
      </c>
      <c r="K1946">
        <v>33.119999999999997</v>
      </c>
    </row>
    <row r="1947" spans="1:11">
      <c r="A1947">
        <v>285.5</v>
      </c>
      <c r="B1947">
        <v>38.340000000000003</v>
      </c>
      <c r="C1947">
        <v>50.01</v>
      </c>
      <c r="D1947">
        <v>50.01</v>
      </c>
      <c r="E1947">
        <v>67.67</v>
      </c>
      <c r="F1947">
        <v>62.4</v>
      </c>
      <c r="G1947">
        <v>89.45</v>
      </c>
      <c r="H1947">
        <v>73.28</v>
      </c>
      <c r="I1947">
        <v>67.67</v>
      </c>
      <c r="J1947">
        <v>130.4</v>
      </c>
      <c r="K1947">
        <v>33.119999999999997</v>
      </c>
    </row>
    <row r="1948" spans="1:11">
      <c r="A1948">
        <v>285.67</v>
      </c>
      <c r="B1948">
        <v>38.340000000000003</v>
      </c>
      <c r="C1948">
        <v>50.06</v>
      </c>
      <c r="D1948">
        <v>50.06</v>
      </c>
      <c r="E1948">
        <v>67.73</v>
      </c>
      <c r="F1948">
        <v>62.56</v>
      </c>
      <c r="G1948">
        <v>89.28</v>
      </c>
      <c r="H1948">
        <v>73.95</v>
      </c>
      <c r="I1948">
        <v>67.95</v>
      </c>
      <c r="J1948">
        <v>130.28</v>
      </c>
      <c r="K1948">
        <v>33.17</v>
      </c>
    </row>
    <row r="1949" spans="1:11">
      <c r="A1949">
        <v>285.83</v>
      </c>
      <c r="B1949">
        <v>38.4</v>
      </c>
      <c r="C1949">
        <v>50.12</v>
      </c>
      <c r="D1949">
        <v>50.12</v>
      </c>
      <c r="E1949">
        <v>67.84</v>
      </c>
      <c r="F1949">
        <v>62.4</v>
      </c>
      <c r="G1949">
        <v>89.28</v>
      </c>
      <c r="H1949">
        <v>73.23</v>
      </c>
      <c r="I1949">
        <v>68.34</v>
      </c>
      <c r="J1949">
        <v>130.22999999999999</v>
      </c>
      <c r="K1949">
        <v>33.17</v>
      </c>
    </row>
    <row r="1950" spans="1:11">
      <c r="A1950">
        <v>286</v>
      </c>
      <c r="B1950">
        <v>38.4</v>
      </c>
      <c r="C1950">
        <v>50.12</v>
      </c>
      <c r="D1950">
        <v>50.12</v>
      </c>
      <c r="E1950">
        <v>67.84</v>
      </c>
      <c r="F1950">
        <v>62.12</v>
      </c>
      <c r="G1950">
        <v>89.17</v>
      </c>
      <c r="H1950">
        <v>73.45</v>
      </c>
      <c r="I1950">
        <v>67.34</v>
      </c>
      <c r="J1950">
        <v>130.16999999999999</v>
      </c>
      <c r="K1950">
        <v>33.17</v>
      </c>
    </row>
    <row r="1951" spans="1:11">
      <c r="A1951">
        <v>286.17</v>
      </c>
      <c r="B1951">
        <v>38.340000000000003</v>
      </c>
      <c r="C1951">
        <v>50.12</v>
      </c>
      <c r="D1951">
        <v>50.12</v>
      </c>
      <c r="E1951">
        <v>67.78</v>
      </c>
      <c r="F1951">
        <v>61.95</v>
      </c>
      <c r="G1951">
        <v>89.06</v>
      </c>
      <c r="H1951">
        <v>72.78</v>
      </c>
      <c r="I1951">
        <v>67.45</v>
      </c>
      <c r="J1951">
        <v>130.12</v>
      </c>
      <c r="K1951">
        <v>33.17</v>
      </c>
    </row>
    <row r="1952" spans="1:11">
      <c r="A1952">
        <v>286.33</v>
      </c>
      <c r="B1952">
        <v>38.340000000000003</v>
      </c>
      <c r="C1952">
        <v>50.12</v>
      </c>
      <c r="D1952">
        <v>50.12</v>
      </c>
      <c r="E1952">
        <v>67.78</v>
      </c>
      <c r="F1952">
        <v>62.4</v>
      </c>
      <c r="G1952">
        <v>89.01</v>
      </c>
      <c r="H1952">
        <v>72.67</v>
      </c>
      <c r="I1952">
        <v>67.23</v>
      </c>
      <c r="J1952">
        <v>130.06</v>
      </c>
      <c r="K1952">
        <v>33.17</v>
      </c>
    </row>
    <row r="1953" spans="1:11">
      <c r="A1953">
        <v>286.5</v>
      </c>
      <c r="B1953">
        <v>38.28</v>
      </c>
      <c r="C1953">
        <v>50.06</v>
      </c>
      <c r="D1953">
        <v>50.12</v>
      </c>
      <c r="E1953">
        <v>67.78</v>
      </c>
      <c r="F1953">
        <v>62.67</v>
      </c>
      <c r="G1953">
        <v>88.95</v>
      </c>
      <c r="H1953">
        <v>72.900000000000006</v>
      </c>
      <c r="I1953">
        <v>67.17</v>
      </c>
      <c r="J1953">
        <v>129.94999999999999</v>
      </c>
      <c r="K1953">
        <v>33.17</v>
      </c>
    </row>
    <row r="1954" spans="1:11">
      <c r="A1954">
        <v>286.67</v>
      </c>
      <c r="B1954">
        <v>38.17</v>
      </c>
      <c r="C1954">
        <v>50.01</v>
      </c>
      <c r="D1954">
        <v>50.06</v>
      </c>
      <c r="E1954">
        <v>67.78</v>
      </c>
      <c r="F1954">
        <v>62.67</v>
      </c>
      <c r="G1954">
        <v>88.95</v>
      </c>
      <c r="H1954">
        <v>72.84</v>
      </c>
      <c r="I1954">
        <v>66.78</v>
      </c>
      <c r="J1954">
        <v>129.94999999999999</v>
      </c>
      <c r="K1954">
        <v>33.17</v>
      </c>
    </row>
    <row r="1955" spans="1:11">
      <c r="A1955">
        <v>286.83</v>
      </c>
      <c r="B1955">
        <v>38.340000000000003</v>
      </c>
      <c r="C1955">
        <v>50.17</v>
      </c>
      <c r="D1955">
        <v>50.17</v>
      </c>
      <c r="E1955">
        <v>67.78</v>
      </c>
      <c r="F1955">
        <v>62.56</v>
      </c>
      <c r="G1955">
        <v>88.95</v>
      </c>
      <c r="H1955">
        <v>72.95</v>
      </c>
      <c r="I1955">
        <v>67.010000000000005</v>
      </c>
      <c r="J1955">
        <v>129.84</v>
      </c>
      <c r="K1955">
        <v>33.17</v>
      </c>
    </row>
    <row r="1956" spans="1:11">
      <c r="A1956">
        <v>287</v>
      </c>
      <c r="B1956">
        <v>38.340000000000003</v>
      </c>
      <c r="C1956">
        <v>50.06</v>
      </c>
      <c r="D1956">
        <v>50.12</v>
      </c>
      <c r="E1956">
        <v>67.78</v>
      </c>
      <c r="F1956">
        <v>62.62</v>
      </c>
      <c r="G1956">
        <v>88.84</v>
      </c>
      <c r="H1956">
        <v>72.62</v>
      </c>
      <c r="I1956">
        <v>67.12</v>
      </c>
      <c r="J1956">
        <v>129.72999999999999</v>
      </c>
      <c r="K1956">
        <v>33.17</v>
      </c>
    </row>
    <row r="1957" spans="1:11">
      <c r="A1957">
        <v>287.17</v>
      </c>
      <c r="B1957">
        <v>38.28</v>
      </c>
      <c r="C1957">
        <v>50.06</v>
      </c>
      <c r="D1957">
        <v>50.12</v>
      </c>
      <c r="E1957">
        <v>67.78</v>
      </c>
      <c r="F1957">
        <v>62.78</v>
      </c>
      <c r="G1957">
        <v>88.73</v>
      </c>
      <c r="H1957">
        <v>72.95</v>
      </c>
      <c r="I1957">
        <v>66.900000000000006</v>
      </c>
      <c r="J1957">
        <v>129.66999999999999</v>
      </c>
      <c r="K1957">
        <v>33.17</v>
      </c>
    </row>
    <row r="1958" spans="1:11">
      <c r="A1958">
        <v>287.33</v>
      </c>
      <c r="B1958">
        <v>38.340000000000003</v>
      </c>
      <c r="C1958">
        <v>50.12</v>
      </c>
      <c r="D1958">
        <v>50.12</v>
      </c>
      <c r="E1958">
        <v>67.78</v>
      </c>
      <c r="F1958">
        <v>62.67</v>
      </c>
      <c r="G1958">
        <v>88.56</v>
      </c>
      <c r="H1958">
        <v>73.73</v>
      </c>
      <c r="I1958">
        <v>66.510000000000005</v>
      </c>
      <c r="J1958">
        <v>129.62</v>
      </c>
      <c r="K1958">
        <v>33.17</v>
      </c>
    </row>
    <row r="1959" spans="1:11">
      <c r="A1959">
        <v>287.5</v>
      </c>
      <c r="B1959">
        <v>38.28</v>
      </c>
      <c r="C1959">
        <v>50.17</v>
      </c>
      <c r="D1959">
        <v>50.17</v>
      </c>
      <c r="E1959">
        <v>67.84</v>
      </c>
      <c r="F1959">
        <v>62.62</v>
      </c>
      <c r="G1959">
        <v>88.4</v>
      </c>
      <c r="H1959">
        <v>73.56</v>
      </c>
      <c r="I1959">
        <v>66.900000000000006</v>
      </c>
      <c r="J1959">
        <v>129.51</v>
      </c>
      <c r="K1959">
        <v>33.229999999999997</v>
      </c>
    </row>
    <row r="1960" spans="1:11">
      <c r="A1960">
        <v>287.67</v>
      </c>
      <c r="B1960">
        <v>38.17</v>
      </c>
      <c r="C1960">
        <v>50.01</v>
      </c>
      <c r="D1960">
        <v>50.12</v>
      </c>
      <c r="E1960">
        <v>67.67</v>
      </c>
      <c r="F1960">
        <v>62.73</v>
      </c>
      <c r="G1960">
        <v>88.34</v>
      </c>
      <c r="H1960">
        <v>73.28</v>
      </c>
      <c r="I1960">
        <v>66.56</v>
      </c>
      <c r="J1960">
        <v>129.44999999999999</v>
      </c>
      <c r="K1960">
        <v>33.229999999999997</v>
      </c>
    </row>
    <row r="1961" spans="1:11">
      <c r="A1961">
        <v>287.83</v>
      </c>
      <c r="B1961">
        <v>38.229999999999997</v>
      </c>
      <c r="C1961">
        <v>50.01</v>
      </c>
      <c r="D1961">
        <v>50.01</v>
      </c>
      <c r="E1961">
        <v>67.67</v>
      </c>
      <c r="F1961">
        <v>62.62</v>
      </c>
      <c r="G1961">
        <v>88.23</v>
      </c>
      <c r="H1961">
        <v>72.78</v>
      </c>
      <c r="I1961">
        <v>67.23</v>
      </c>
      <c r="J1961">
        <v>129.34</v>
      </c>
      <c r="K1961">
        <v>33.229999999999997</v>
      </c>
    </row>
    <row r="1962" spans="1:11">
      <c r="A1962">
        <v>288</v>
      </c>
      <c r="B1962">
        <v>38.28</v>
      </c>
      <c r="C1962">
        <v>50.06</v>
      </c>
      <c r="D1962">
        <v>50.12</v>
      </c>
      <c r="E1962">
        <v>67.84</v>
      </c>
      <c r="F1962">
        <v>62.62</v>
      </c>
      <c r="G1962">
        <v>88.23</v>
      </c>
      <c r="H1962">
        <v>72.34</v>
      </c>
      <c r="I1962">
        <v>66.900000000000006</v>
      </c>
      <c r="J1962">
        <v>129.4</v>
      </c>
      <c r="K1962">
        <v>33.229999999999997</v>
      </c>
    </row>
    <row r="1963" spans="1:11">
      <c r="A1963">
        <v>288.17</v>
      </c>
      <c r="B1963">
        <v>38.17</v>
      </c>
      <c r="C1963">
        <v>50.01</v>
      </c>
      <c r="D1963">
        <v>50.12</v>
      </c>
      <c r="E1963">
        <v>67.78</v>
      </c>
      <c r="F1963">
        <v>62.45</v>
      </c>
      <c r="G1963">
        <v>88.17</v>
      </c>
      <c r="H1963">
        <v>72.28</v>
      </c>
      <c r="I1963">
        <v>66.73</v>
      </c>
      <c r="J1963">
        <v>129.28</v>
      </c>
      <c r="K1963">
        <v>33.229999999999997</v>
      </c>
    </row>
    <row r="1964" spans="1:11">
      <c r="A1964">
        <v>288.33</v>
      </c>
      <c r="B1964">
        <v>38.119999999999997</v>
      </c>
      <c r="C1964">
        <v>49.9</v>
      </c>
      <c r="D1964">
        <v>49.9</v>
      </c>
      <c r="E1964">
        <v>67.73</v>
      </c>
      <c r="F1964">
        <v>62.51</v>
      </c>
      <c r="G1964">
        <v>88.12</v>
      </c>
      <c r="H1964">
        <v>72.78</v>
      </c>
      <c r="I1964">
        <v>66.34</v>
      </c>
      <c r="J1964">
        <v>129.16999999999999</v>
      </c>
      <c r="K1964">
        <v>33.229999999999997</v>
      </c>
    </row>
    <row r="1965" spans="1:11">
      <c r="A1965">
        <v>288.5</v>
      </c>
      <c r="B1965">
        <v>38.119999999999997</v>
      </c>
      <c r="C1965">
        <v>49.9</v>
      </c>
      <c r="D1965">
        <v>49.95</v>
      </c>
      <c r="E1965">
        <v>67.73</v>
      </c>
      <c r="F1965">
        <v>62.62</v>
      </c>
      <c r="G1965">
        <v>87.95</v>
      </c>
      <c r="H1965">
        <v>73.06</v>
      </c>
      <c r="I1965">
        <v>66.73</v>
      </c>
      <c r="J1965">
        <v>129.12</v>
      </c>
      <c r="K1965">
        <v>33.229999999999997</v>
      </c>
    </row>
    <row r="1966" spans="1:11">
      <c r="A1966">
        <v>288.67</v>
      </c>
      <c r="B1966">
        <v>38.119999999999997</v>
      </c>
      <c r="C1966">
        <v>49.9</v>
      </c>
      <c r="D1966">
        <v>49.9</v>
      </c>
      <c r="E1966">
        <v>67.73</v>
      </c>
      <c r="F1966">
        <v>62.4</v>
      </c>
      <c r="G1966">
        <v>87.84</v>
      </c>
      <c r="H1966">
        <v>72.95</v>
      </c>
      <c r="I1966">
        <v>66.34</v>
      </c>
      <c r="J1966">
        <v>129.06</v>
      </c>
      <c r="K1966">
        <v>33.229999999999997</v>
      </c>
    </row>
    <row r="1967" spans="1:11">
      <c r="A1967">
        <v>288.83</v>
      </c>
      <c r="B1967">
        <v>38.01</v>
      </c>
      <c r="C1967">
        <v>49.9</v>
      </c>
      <c r="D1967">
        <v>49.9</v>
      </c>
      <c r="E1967">
        <v>67.73</v>
      </c>
      <c r="F1967">
        <v>62.17</v>
      </c>
      <c r="G1967">
        <v>87.84</v>
      </c>
      <c r="H1967">
        <v>72.67</v>
      </c>
      <c r="I1967">
        <v>66.12</v>
      </c>
      <c r="J1967">
        <v>128.94999999999999</v>
      </c>
      <c r="K1967">
        <v>33.229999999999997</v>
      </c>
    </row>
    <row r="1968" spans="1:11">
      <c r="A1968">
        <v>289</v>
      </c>
      <c r="B1968">
        <v>38.06</v>
      </c>
      <c r="C1968">
        <v>49.95</v>
      </c>
      <c r="D1968">
        <v>50.01</v>
      </c>
      <c r="E1968">
        <v>67.73</v>
      </c>
      <c r="F1968">
        <v>62.06</v>
      </c>
      <c r="G1968">
        <v>87.84</v>
      </c>
      <c r="H1968">
        <v>73.45</v>
      </c>
      <c r="I1968">
        <v>65.73</v>
      </c>
      <c r="J1968">
        <v>128.94999999999999</v>
      </c>
      <c r="K1968">
        <v>33.229999999999997</v>
      </c>
    </row>
    <row r="1969" spans="1:11">
      <c r="A1969">
        <v>289.17</v>
      </c>
      <c r="B1969">
        <v>37.950000000000003</v>
      </c>
      <c r="C1969">
        <v>49.9</v>
      </c>
      <c r="D1969">
        <v>49.9</v>
      </c>
      <c r="E1969">
        <v>67.67</v>
      </c>
      <c r="F1969">
        <v>62.12</v>
      </c>
      <c r="G1969">
        <v>87.62</v>
      </c>
      <c r="H1969">
        <v>73.62</v>
      </c>
      <c r="I1969">
        <v>65.23</v>
      </c>
      <c r="J1969">
        <v>128.72999999999999</v>
      </c>
      <c r="K1969">
        <v>33.28</v>
      </c>
    </row>
    <row r="1970" spans="1:11">
      <c r="A1970">
        <v>289.33</v>
      </c>
      <c r="B1970">
        <v>37.950000000000003</v>
      </c>
      <c r="C1970">
        <v>49.9</v>
      </c>
      <c r="D1970">
        <v>49.9</v>
      </c>
      <c r="E1970">
        <v>67.73</v>
      </c>
      <c r="F1970">
        <v>62.06</v>
      </c>
      <c r="G1970">
        <v>87.67</v>
      </c>
      <c r="H1970">
        <v>73.900000000000006</v>
      </c>
      <c r="I1970">
        <v>65.34</v>
      </c>
      <c r="J1970">
        <v>128.66999999999999</v>
      </c>
      <c r="K1970">
        <v>33.28</v>
      </c>
    </row>
    <row r="1971" spans="1:11">
      <c r="A1971">
        <v>289.5</v>
      </c>
      <c r="B1971">
        <v>38.01</v>
      </c>
      <c r="C1971">
        <v>49.84</v>
      </c>
      <c r="D1971">
        <v>49.84</v>
      </c>
      <c r="E1971">
        <v>67.73</v>
      </c>
      <c r="F1971">
        <v>62.23</v>
      </c>
      <c r="G1971">
        <v>87.56</v>
      </c>
      <c r="H1971">
        <v>74.06</v>
      </c>
      <c r="I1971">
        <v>65.45</v>
      </c>
      <c r="J1971">
        <v>128.66999999999999</v>
      </c>
      <c r="K1971">
        <v>33.28</v>
      </c>
    </row>
    <row r="1972" spans="1:11">
      <c r="A1972">
        <v>289.67</v>
      </c>
      <c r="B1972">
        <v>38.01</v>
      </c>
      <c r="C1972">
        <v>49.9</v>
      </c>
      <c r="D1972">
        <v>49.9</v>
      </c>
      <c r="E1972">
        <v>67.67</v>
      </c>
      <c r="F1972">
        <v>61.9</v>
      </c>
      <c r="G1972">
        <v>87.56</v>
      </c>
      <c r="H1972">
        <v>73.67</v>
      </c>
      <c r="I1972">
        <v>65.010000000000005</v>
      </c>
      <c r="J1972">
        <v>128.56</v>
      </c>
      <c r="K1972">
        <v>33.28</v>
      </c>
    </row>
    <row r="1973" spans="1:11">
      <c r="A1973">
        <v>289.83</v>
      </c>
      <c r="B1973">
        <v>37.9</v>
      </c>
      <c r="C1973">
        <v>49.73</v>
      </c>
      <c r="D1973">
        <v>49.9</v>
      </c>
      <c r="E1973">
        <v>67.67</v>
      </c>
      <c r="F1973">
        <v>61.84</v>
      </c>
      <c r="G1973">
        <v>87.4</v>
      </c>
      <c r="H1973">
        <v>73.78</v>
      </c>
      <c r="I1973">
        <v>65.06</v>
      </c>
      <c r="J1973">
        <v>128.4</v>
      </c>
      <c r="K1973">
        <v>33.28</v>
      </c>
    </row>
    <row r="1974" spans="1:11">
      <c r="A1974">
        <v>290</v>
      </c>
      <c r="B1974">
        <v>37.950000000000003</v>
      </c>
      <c r="C1974">
        <v>49.78</v>
      </c>
      <c r="D1974">
        <v>49.84</v>
      </c>
      <c r="E1974">
        <v>67.73</v>
      </c>
      <c r="F1974">
        <v>61.51</v>
      </c>
      <c r="G1974">
        <v>87.28</v>
      </c>
      <c r="H1974">
        <v>72.84</v>
      </c>
      <c r="I1974">
        <v>66.400000000000006</v>
      </c>
      <c r="J1974">
        <v>128.34</v>
      </c>
      <c r="K1974">
        <v>33.28</v>
      </c>
    </row>
    <row r="1975" spans="1:11">
      <c r="A1975">
        <v>290.17</v>
      </c>
      <c r="B1975">
        <v>37.9</v>
      </c>
      <c r="C1975">
        <v>49.73</v>
      </c>
      <c r="D1975">
        <v>49.78</v>
      </c>
      <c r="E1975">
        <v>67.78</v>
      </c>
      <c r="F1975">
        <v>61.4</v>
      </c>
      <c r="G1975">
        <v>87.4</v>
      </c>
      <c r="H1975">
        <v>72.400000000000006</v>
      </c>
      <c r="I1975">
        <v>66.67</v>
      </c>
      <c r="J1975">
        <v>128.34</v>
      </c>
      <c r="K1975">
        <v>33.28</v>
      </c>
    </row>
    <row r="1976" spans="1:11">
      <c r="A1976">
        <v>290.33</v>
      </c>
      <c r="B1976">
        <v>37.950000000000003</v>
      </c>
      <c r="C1976">
        <v>49.78</v>
      </c>
      <c r="D1976">
        <v>49.84</v>
      </c>
      <c r="E1976">
        <v>67.78</v>
      </c>
      <c r="F1976">
        <v>61.01</v>
      </c>
      <c r="G1976">
        <v>87.28</v>
      </c>
      <c r="H1976">
        <v>71.900000000000006</v>
      </c>
      <c r="I1976">
        <v>67.45</v>
      </c>
      <c r="J1976">
        <v>128.16999999999999</v>
      </c>
      <c r="K1976">
        <v>33.28</v>
      </c>
    </row>
    <row r="1977" spans="1:11">
      <c r="A1977">
        <v>290.5</v>
      </c>
      <c r="B1977">
        <v>38.01</v>
      </c>
      <c r="C1977">
        <v>49.78</v>
      </c>
      <c r="D1977">
        <v>49.78</v>
      </c>
      <c r="E1977">
        <v>67.78</v>
      </c>
      <c r="F1977">
        <v>61.28</v>
      </c>
      <c r="G1977">
        <v>87.23</v>
      </c>
      <c r="H1977">
        <v>71.84</v>
      </c>
      <c r="I1977">
        <v>67.95</v>
      </c>
      <c r="J1977">
        <v>128.16999999999999</v>
      </c>
      <c r="K1977">
        <v>33.28</v>
      </c>
    </row>
    <row r="1978" spans="1:11">
      <c r="A1978">
        <v>290.67</v>
      </c>
      <c r="B1978">
        <v>37.950000000000003</v>
      </c>
      <c r="C1978">
        <v>49.78</v>
      </c>
      <c r="D1978">
        <v>49.78</v>
      </c>
      <c r="E1978">
        <v>67.78</v>
      </c>
      <c r="F1978">
        <v>61.06</v>
      </c>
      <c r="G1978">
        <v>87.12</v>
      </c>
      <c r="H1978">
        <v>71.17</v>
      </c>
      <c r="I1978">
        <v>67.67</v>
      </c>
      <c r="J1978">
        <v>128.12</v>
      </c>
      <c r="K1978">
        <v>33.28</v>
      </c>
    </row>
    <row r="1979" spans="1:11">
      <c r="A1979">
        <v>290.83</v>
      </c>
      <c r="B1979">
        <v>37.950000000000003</v>
      </c>
      <c r="C1979">
        <v>49.78</v>
      </c>
      <c r="D1979">
        <v>49.84</v>
      </c>
      <c r="E1979">
        <v>67.73</v>
      </c>
      <c r="F1979">
        <v>60.95</v>
      </c>
      <c r="G1979">
        <v>87.12</v>
      </c>
      <c r="H1979">
        <v>71.34</v>
      </c>
      <c r="I1979">
        <v>67.62</v>
      </c>
      <c r="J1979">
        <v>128.01</v>
      </c>
      <c r="K1979">
        <v>33.28</v>
      </c>
    </row>
    <row r="1980" spans="1:11">
      <c r="A1980">
        <v>291</v>
      </c>
      <c r="B1980">
        <v>37.950000000000003</v>
      </c>
      <c r="C1980">
        <v>49.78</v>
      </c>
      <c r="D1980">
        <v>49.78</v>
      </c>
      <c r="E1980">
        <v>67.73</v>
      </c>
      <c r="F1980">
        <v>60.78</v>
      </c>
      <c r="G1980">
        <v>87.06</v>
      </c>
      <c r="H1980">
        <v>71.900000000000006</v>
      </c>
      <c r="I1980">
        <v>67.23</v>
      </c>
      <c r="J1980">
        <v>127.9</v>
      </c>
      <c r="K1980">
        <v>33.28</v>
      </c>
    </row>
    <row r="1981" spans="1:11">
      <c r="A1981">
        <v>291.17</v>
      </c>
      <c r="B1981">
        <v>37.950000000000003</v>
      </c>
      <c r="C1981">
        <v>49.84</v>
      </c>
      <c r="D1981">
        <v>49.78</v>
      </c>
      <c r="E1981">
        <v>67.78</v>
      </c>
      <c r="F1981">
        <v>60.78</v>
      </c>
      <c r="G1981">
        <v>87.01</v>
      </c>
      <c r="H1981">
        <v>72.23</v>
      </c>
      <c r="I1981">
        <v>67.23</v>
      </c>
      <c r="J1981">
        <v>127.9</v>
      </c>
      <c r="K1981">
        <v>33.28</v>
      </c>
    </row>
    <row r="1982" spans="1:11">
      <c r="A1982">
        <v>291.33</v>
      </c>
      <c r="B1982">
        <v>37.9</v>
      </c>
      <c r="C1982">
        <v>49.78</v>
      </c>
      <c r="D1982">
        <v>49.78</v>
      </c>
      <c r="E1982">
        <v>67.67</v>
      </c>
      <c r="F1982">
        <v>60.73</v>
      </c>
      <c r="G1982">
        <v>86.84</v>
      </c>
      <c r="H1982">
        <v>72.62</v>
      </c>
      <c r="I1982">
        <v>67.56</v>
      </c>
      <c r="J1982">
        <v>127.84</v>
      </c>
      <c r="K1982">
        <v>33.28</v>
      </c>
    </row>
    <row r="1983" spans="1:11">
      <c r="A1983">
        <v>291.5</v>
      </c>
      <c r="B1983">
        <v>37.78</v>
      </c>
      <c r="C1983">
        <v>49.73</v>
      </c>
      <c r="D1983">
        <v>49.78</v>
      </c>
      <c r="E1983">
        <v>67.78</v>
      </c>
      <c r="F1983">
        <v>60.78</v>
      </c>
      <c r="G1983">
        <v>86.67</v>
      </c>
      <c r="H1983">
        <v>73.510000000000005</v>
      </c>
      <c r="I1983">
        <v>66.73</v>
      </c>
      <c r="J1983">
        <v>127.73</v>
      </c>
      <c r="K1983">
        <v>33.340000000000003</v>
      </c>
    </row>
    <row r="1984" spans="1:11">
      <c r="A1984">
        <v>291.67</v>
      </c>
      <c r="B1984">
        <v>37.729999999999997</v>
      </c>
      <c r="C1984">
        <v>49.73</v>
      </c>
      <c r="D1984">
        <v>49.78</v>
      </c>
      <c r="E1984">
        <v>67.73</v>
      </c>
      <c r="F1984">
        <v>60.56</v>
      </c>
      <c r="G1984">
        <v>86.62</v>
      </c>
      <c r="H1984">
        <v>73.73</v>
      </c>
      <c r="I1984">
        <v>66.010000000000005</v>
      </c>
      <c r="J1984">
        <v>127.67</v>
      </c>
      <c r="K1984">
        <v>33.340000000000003</v>
      </c>
    </row>
    <row r="1985" spans="1:11">
      <c r="A1985">
        <v>291.83</v>
      </c>
      <c r="B1985">
        <v>37.67</v>
      </c>
      <c r="C1985">
        <v>49.73</v>
      </c>
      <c r="D1985">
        <v>49.78</v>
      </c>
      <c r="E1985">
        <v>67.67</v>
      </c>
      <c r="F1985">
        <v>60.28</v>
      </c>
      <c r="G1985">
        <v>86.56</v>
      </c>
      <c r="H1985">
        <v>73.62</v>
      </c>
      <c r="I1985">
        <v>65.56</v>
      </c>
      <c r="J1985">
        <v>127.56</v>
      </c>
      <c r="K1985">
        <v>33.340000000000003</v>
      </c>
    </row>
    <row r="1986" spans="1:11">
      <c r="A1986">
        <v>292</v>
      </c>
      <c r="B1986">
        <v>37.67</v>
      </c>
      <c r="C1986">
        <v>49.67</v>
      </c>
      <c r="D1986">
        <v>49.67</v>
      </c>
      <c r="E1986">
        <v>67.67</v>
      </c>
      <c r="F1986">
        <v>60.28</v>
      </c>
      <c r="G1986">
        <v>86.56</v>
      </c>
      <c r="H1986">
        <v>72.78</v>
      </c>
      <c r="I1986">
        <v>66.34</v>
      </c>
      <c r="J1986">
        <v>127.51</v>
      </c>
      <c r="K1986">
        <v>33.340000000000003</v>
      </c>
    </row>
    <row r="1987" spans="1:11">
      <c r="A1987">
        <v>292.17</v>
      </c>
      <c r="B1987">
        <v>37.729999999999997</v>
      </c>
      <c r="C1987">
        <v>49.78</v>
      </c>
      <c r="D1987">
        <v>49.78</v>
      </c>
      <c r="E1987">
        <v>67.78</v>
      </c>
      <c r="F1987">
        <v>60.28</v>
      </c>
      <c r="G1987">
        <v>86.62</v>
      </c>
      <c r="H1987">
        <v>72.84</v>
      </c>
      <c r="I1987">
        <v>67.17</v>
      </c>
      <c r="J1987">
        <v>127.51</v>
      </c>
      <c r="K1987">
        <v>33.340000000000003</v>
      </c>
    </row>
    <row r="1988" spans="1:11">
      <c r="A1988">
        <v>292.33</v>
      </c>
      <c r="B1988">
        <v>37.729999999999997</v>
      </c>
      <c r="C1988">
        <v>49.78</v>
      </c>
      <c r="D1988">
        <v>49.78</v>
      </c>
      <c r="E1988">
        <v>67.67</v>
      </c>
      <c r="F1988">
        <v>59.9</v>
      </c>
      <c r="G1988">
        <v>86.62</v>
      </c>
      <c r="H1988">
        <v>72.45</v>
      </c>
      <c r="I1988">
        <v>66.84</v>
      </c>
      <c r="J1988">
        <v>127.4</v>
      </c>
      <c r="K1988">
        <v>33.340000000000003</v>
      </c>
    </row>
    <row r="1989" spans="1:11">
      <c r="A1989">
        <v>292.5</v>
      </c>
      <c r="B1989">
        <v>37.67</v>
      </c>
      <c r="C1989">
        <v>49.9</v>
      </c>
      <c r="D1989">
        <v>49.78</v>
      </c>
      <c r="E1989">
        <v>67.67</v>
      </c>
      <c r="F1989">
        <v>59.84</v>
      </c>
      <c r="G1989">
        <v>86.62</v>
      </c>
      <c r="H1989">
        <v>71.84</v>
      </c>
      <c r="I1989">
        <v>66.95</v>
      </c>
      <c r="J1989">
        <v>127.34</v>
      </c>
      <c r="K1989">
        <v>33.340000000000003</v>
      </c>
    </row>
    <row r="1990" spans="1:11">
      <c r="A1990">
        <v>292.67</v>
      </c>
      <c r="B1990">
        <v>37.67</v>
      </c>
      <c r="C1990">
        <v>49.9</v>
      </c>
      <c r="D1990">
        <v>49.9</v>
      </c>
      <c r="E1990">
        <v>67.62</v>
      </c>
      <c r="F1990">
        <v>59.84</v>
      </c>
      <c r="G1990">
        <v>86.51</v>
      </c>
      <c r="H1990">
        <v>71.510000000000005</v>
      </c>
      <c r="I1990">
        <v>66.45</v>
      </c>
      <c r="J1990">
        <v>127.23</v>
      </c>
      <c r="K1990">
        <v>33.340000000000003</v>
      </c>
    </row>
    <row r="1991" spans="1:11">
      <c r="A1991">
        <v>292.83</v>
      </c>
      <c r="B1991">
        <v>37.619999999999997</v>
      </c>
      <c r="C1991">
        <v>49.9</v>
      </c>
      <c r="D1991">
        <v>49.9</v>
      </c>
      <c r="E1991">
        <v>67.62</v>
      </c>
      <c r="F1991">
        <v>60.01</v>
      </c>
      <c r="G1991">
        <v>86.51</v>
      </c>
      <c r="H1991">
        <v>71.34</v>
      </c>
      <c r="I1991">
        <v>66.34</v>
      </c>
      <c r="J1991">
        <v>127.17</v>
      </c>
      <c r="K1991">
        <v>33.340000000000003</v>
      </c>
    </row>
    <row r="1992" spans="1:11">
      <c r="A1992">
        <v>293</v>
      </c>
      <c r="B1992">
        <v>37.619999999999997</v>
      </c>
      <c r="C1992">
        <v>49.84</v>
      </c>
      <c r="D1992">
        <v>49.9</v>
      </c>
      <c r="E1992">
        <v>67.62</v>
      </c>
      <c r="F1992">
        <v>59.67</v>
      </c>
      <c r="G1992">
        <v>86.51</v>
      </c>
      <c r="H1992">
        <v>71.900000000000006</v>
      </c>
      <c r="I1992">
        <v>65.23</v>
      </c>
      <c r="J1992">
        <v>127.06</v>
      </c>
      <c r="K1992">
        <v>33.4</v>
      </c>
    </row>
    <row r="1993" spans="1:11">
      <c r="A1993">
        <v>293.17</v>
      </c>
      <c r="B1993">
        <v>37.619999999999997</v>
      </c>
      <c r="C1993">
        <v>49.84</v>
      </c>
      <c r="D1993">
        <v>49.9</v>
      </c>
      <c r="E1993">
        <v>67.62</v>
      </c>
      <c r="F1993">
        <v>59.56</v>
      </c>
      <c r="G1993">
        <v>86.45</v>
      </c>
      <c r="H1993">
        <v>71.510000000000005</v>
      </c>
      <c r="I1993">
        <v>65.900000000000006</v>
      </c>
      <c r="J1993">
        <v>127.06</v>
      </c>
      <c r="K1993">
        <v>33.340000000000003</v>
      </c>
    </row>
    <row r="1994" spans="1:11">
      <c r="A1994">
        <v>293.33</v>
      </c>
      <c r="B1994">
        <v>37.51</v>
      </c>
      <c r="C1994">
        <v>49.78</v>
      </c>
      <c r="D1994">
        <v>49.78</v>
      </c>
      <c r="E1994">
        <v>67.56</v>
      </c>
      <c r="F1994">
        <v>59.45</v>
      </c>
      <c r="G1994">
        <v>86.28</v>
      </c>
      <c r="H1994">
        <v>72.06</v>
      </c>
      <c r="I1994">
        <v>66.28</v>
      </c>
      <c r="J1994">
        <v>126.95</v>
      </c>
      <c r="K1994">
        <v>33.4</v>
      </c>
    </row>
    <row r="1995" spans="1:11">
      <c r="A1995">
        <v>293.5</v>
      </c>
      <c r="B1995">
        <v>37.619999999999997</v>
      </c>
      <c r="C1995">
        <v>50.01</v>
      </c>
      <c r="D1995">
        <v>49.95</v>
      </c>
      <c r="E1995">
        <v>67.62</v>
      </c>
      <c r="F1995">
        <v>59.4</v>
      </c>
      <c r="G1995">
        <v>86.28</v>
      </c>
      <c r="H1995">
        <v>71.95</v>
      </c>
      <c r="I1995">
        <v>66.84</v>
      </c>
      <c r="J1995">
        <v>126.9</v>
      </c>
      <c r="K1995">
        <v>33.4</v>
      </c>
    </row>
    <row r="1996" spans="1:11">
      <c r="A1996">
        <v>293.67</v>
      </c>
      <c r="B1996">
        <v>37.619999999999997</v>
      </c>
      <c r="C1996">
        <v>50.01</v>
      </c>
      <c r="D1996">
        <v>50.06</v>
      </c>
      <c r="E1996">
        <v>67.62</v>
      </c>
      <c r="F1996">
        <v>59.45</v>
      </c>
      <c r="G1996">
        <v>86.12</v>
      </c>
      <c r="H1996">
        <v>71.510000000000005</v>
      </c>
      <c r="I1996">
        <v>66.28</v>
      </c>
      <c r="J1996">
        <v>126.9</v>
      </c>
      <c r="K1996">
        <v>33.4</v>
      </c>
    </row>
    <row r="1997" spans="1:11">
      <c r="A1997">
        <v>293.83</v>
      </c>
      <c r="B1997">
        <v>37.67</v>
      </c>
      <c r="C1997">
        <v>50.01</v>
      </c>
      <c r="D1997">
        <v>50.01</v>
      </c>
      <c r="E1997">
        <v>67.67</v>
      </c>
      <c r="F1997">
        <v>59.51</v>
      </c>
      <c r="G1997">
        <v>86.06</v>
      </c>
      <c r="H1997">
        <v>71.17</v>
      </c>
      <c r="I1997">
        <v>66.17</v>
      </c>
      <c r="J1997">
        <v>126.78</v>
      </c>
      <c r="K1997">
        <v>33.4</v>
      </c>
    </row>
    <row r="1998" spans="1:11">
      <c r="A1998">
        <v>294</v>
      </c>
      <c r="B1998">
        <v>37.67</v>
      </c>
      <c r="C1998">
        <v>50.06</v>
      </c>
      <c r="D1998">
        <v>50.12</v>
      </c>
      <c r="E1998">
        <v>67.62</v>
      </c>
      <c r="F1998">
        <v>59.84</v>
      </c>
      <c r="G1998">
        <v>85.9</v>
      </c>
      <c r="H1998">
        <v>71.34</v>
      </c>
      <c r="I1998">
        <v>66.17</v>
      </c>
      <c r="J1998">
        <v>126.73</v>
      </c>
      <c r="K1998">
        <v>33.4</v>
      </c>
    </row>
    <row r="1999" spans="1:11">
      <c r="A1999">
        <v>294.17</v>
      </c>
      <c r="B1999">
        <v>37.56</v>
      </c>
      <c r="C1999">
        <v>50.01</v>
      </c>
      <c r="D1999">
        <v>50.06</v>
      </c>
      <c r="E1999">
        <v>67.67</v>
      </c>
      <c r="F1999">
        <v>59.45</v>
      </c>
      <c r="G1999">
        <v>85.95</v>
      </c>
      <c r="H1999">
        <v>71.12</v>
      </c>
      <c r="I1999">
        <v>66.010000000000005</v>
      </c>
      <c r="J1999">
        <v>126.62</v>
      </c>
      <c r="K1999">
        <v>33.4</v>
      </c>
    </row>
    <row r="2000" spans="1:11">
      <c r="A2000">
        <v>294.33</v>
      </c>
      <c r="B2000">
        <v>37.840000000000003</v>
      </c>
      <c r="C2000">
        <v>50.01</v>
      </c>
      <c r="D2000">
        <v>50.06</v>
      </c>
      <c r="E2000">
        <v>67.62</v>
      </c>
      <c r="F2000">
        <v>59.34</v>
      </c>
      <c r="G2000">
        <v>85.84</v>
      </c>
      <c r="H2000">
        <v>70.95</v>
      </c>
      <c r="I2000">
        <v>65.17</v>
      </c>
      <c r="J2000">
        <v>126.56</v>
      </c>
      <c r="K2000">
        <v>33.4</v>
      </c>
    </row>
    <row r="2001" spans="1:11">
      <c r="A2001">
        <v>294.5</v>
      </c>
      <c r="B2001">
        <v>37.9</v>
      </c>
      <c r="C2001">
        <v>49.9</v>
      </c>
      <c r="D2001">
        <v>50.01</v>
      </c>
      <c r="E2001">
        <v>67.67</v>
      </c>
      <c r="F2001">
        <v>59.34</v>
      </c>
      <c r="G2001">
        <v>85.78</v>
      </c>
      <c r="H2001">
        <v>70.23</v>
      </c>
      <c r="I2001">
        <v>64.67</v>
      </c>
      <c r="J2001">
        <v>126.51</v>
      </c>
      <c r="K2001">
        <v>33.4</v>
      </c>
    </row>
    <row r="2002" spans="1:11">
      <c r="A2002">
        <v>294.67</v>
      </c>
      <c r="B2002">
        <v>37.729999999999997</v>
      </c>
      <c r="C2002">
        <v>49.9</v>
      </c>
      <c r="D2002">
        <v>50.01</v>
      </c>
      <c r="E2002">
        <v>67.67</v>
      </c>
      <c r="F2002">
        <v>59.34</v>
      </c>
      <c r="G2002">
        <v>85.62</v>
      </c>
      <c r="H2002">
        <v>70.23</v>
      </c>
      <c r="I2002">
        <v>64.95</v>
      </c>
      <c r="J2002">
        <v>126.4</v>
      </c>
      <c r="K2002">
        <v>33.4</v>
      </c>
    </row>
    <row r="2003" spans="1:11">
      <c r="A2003">
        <v>294.83</v>
      </c>
      <c r="B2003">
        <v>37.729999999999997</v>
      </c>
      <c r="C2003">
        <v>49.9</v>
      </c>
      <c r="D2003">
        <v>50.01</v>
      </c>
      <c r="E2003">
        <v>67.62</v>
      </c>
      <c r="F2003">
        <v>59.34</v>
      </c>
      <c r="G2003">
        <v>85.51</v>
      </c>
      <c r="H2003">
        <v>70.45</v>
      </c>
      <c r="I2003">
        <v>65.06</v>
      </c>
      <c r="J2003">
        <v>126.4</v>
      </c>
      <c r="K2003">
        <v>33.4</v>
      </c>
    </row>
    <row r="2004" spans="1:11">
      <c r="A2004">
        <v>295</v>
      </c>
      <c r="B2004">
        <v>37.9</v>
      </c>
      <c r="C2004">
        <v>49.95</v>
      </c>
      <c r="D2004">
        <v>49.9</v>
      </c>
      <c r="E2004">
        <v>67.62</v>
      </c>
      <c r="F2004">
        <v>59.4</v>
      </c>
      <c r="G2004">
        <v>85.45</v>
      </c>
      <c r="H2004">
        <v>70.400000000000006</v>
      </c>
      <c r="I2004">
        <v>65.06</v>
      </c>
      <c r="J2004">
        <v>126.34</v>
      </c>
      <c r="K2004">
        <v>33.4</v>
      </c>
    </row>
    <row r="2005" spans="1:11">
      <c r="A2005">
        <v>295.17</v>
      </c>
      <c r="B2005">
        <v>37.9</v>
      </c>
      <c r="C2005">
        <v>49.9</v>
      </c>
      <c r="D2005">
        <v>50.01</v>
      </c>
      <c r="E2005">
        <v>67.62</v>
      </c>
      <c r="F2005">
        <v>59.51</v>
      </c>
      <c r="G2005">
        <v>85.51</v>
      </c>
      <c r="H2005">
        <v>69.400000000000006</v>
      </c>
      <c r="I2005">
        <v>64.67</v>
      </c>
      <c r="J2005">
        <v>126.23</v>
      </c>
      <c r="K2005">
        <v>33.450000000000003</v>
      </c>
    </row>
    <row r="2006" spans="1:11">
      <c r="A2006">
        <v>295.33</v>
      </c>
      <c r="B2006">
        <v>37.840000000000003</v>
      </c>
      <c r="C2006">
        <v>49.78</v>
      </c>
      <c r="D2006">
        <v>49.9</v>
      </c>
      <c r="E2006">
        <v>67.56</v>
      </c>
      <c r="F2006">
        <v>59.45</v>
      </c>
      <c r="G2006">
        <v>85.4</v>
      </c>
      <c r="H2006">
        <v>68.510000000000005</v>
      </c>
      <c r="I2006">
        <v>64.12</v>
      </c>
      <c r="J2006">
        <v>126.12</v>
      </c>
      <c r="K2006">
        <v>33.450000000000003</v>
      </c>
    </row>
    <row r="2007" spans="1:11">
      <c r="A2007">
        <v>295.5</v>
      </c>
      <c r="B2007">
        <v>37.78</v>
      </c>
      <c r="C2007">
        <v>49.78</v>
      </c>
      <c r="D2007">
        <v>49.84</v>
      </c>
      <c r="E2007">
        <v>67.62</v>
      </c>
      <c r="F2007">
        <v>59.17</v>
      </c>
      <c r="G2007">
        <v>85.34</v>
      </c>
      <c r="H2007">
        <v>68.67</v>
      </c>
      <c r="I2007">
        <v>64.45</v>
      </c>
      <c r="J2007">
        <v>126.12</v>
      </c>
      <c r="K2007">
        <v>33.450000000000003</v>
      </c>
    </row>
    <row r="2008" spans="1:11">
      <c r="A2008">
        <v>295.67</v>
      </c>
      <c r="B2008">
        <v>37.9</v>
      </c>
      <c r="C2008">
        <v>49.78</v>
      </c>
      <c r="D2008">
        <v>49.9</v>
      </c>
      <c r="E2008">
        <v>67.56</v>
      </c>
      <c r="F2008">
        <v>58.95</v>
      </c>
      <c r="G2008">
        <v>85.28</v>
      </c>
      <c r="H2008">
        <v>68.73</v>
      </c>
      <c r="I2008">
        <v>63.45</v>
      </c>
      <c r="J2008">
        <v>126.01</v>
      </c>
      <c r="K2008">
        <v>33.450000000000003</v>
      </c>
    </row>
    <row r="2009" spans="1:11">
      <c r="A2009">
        <v>295.83</v>
      </c>
      <c r="B2009">
        <v>37.9</v>
      </c>
      <c r="C2009">
        <v>49.78</v>
      </c>
      <c r="D2009">
        <v>49.84</v>
      </c>
      <c r="E2009">
        <v>67.510000000000005</v>
      </c>
      <c r="F2009">
        <v>58.51</v>
      </c>
      <c r="G2009">
        <v>85.23</v>
      </c>
      <c r="H2009">
        <v>69.28</v>
      </c>
      <c r="I2009">
        <v>64.12</v>
      </c>
      <c r="J2009">
        <v>125.9</v>
      </c>
      <c r="K2009">
        <v>33.450000000000003</v>
      </c>
    </row>
    <row r="2010" spans="1:11">
      <c r="A2010">
        <v>296</v>
      </c>
      <c r="B2010">
        <v>37.9</v>
      </c>
      <c r="C2010">
        <v>49.78</v>
      </c>
      <c r="D2010">
        <v>49.84</v>
      </c>
      <c r="E2010">
        <v>67.45</v>
      </c>
      <c r="F2010">
        <v>58.4</v>
      </c>
      <c r="G2010">
        <v>85.06</v>
      </c>
      <c r="H2010">
        <v>68.900000000000006</v>
      </c>
      <c r="I2010">
        <v>64.56</v>
      </c>
      <c r="J2010">
        <v>125.78</v>
      </c>
      <c r="K2010">
        <v>33.450000000000003</v>
      </c>
    </row>
    <row r="2011" spans="1:11">
      <c r="A2011">
        <v>296.17</v>
      </c>
      <c r="B2011">
        <v>37.9</v>
      </c>
      <c r="C2011">
        <v>49.78</v>
      </c>
      <c r="D2011">
        <v>49.78</v>
      </c>
      <c r="E2011">
        <v>67.45</v>
      </c>
      <c r="F2011">
        <v>58.4</v>
      </c>
      <c r="G2011">
        <v>85.01</v>
      </c>
      <c r="H2011">
        <v>68.23</v>
      </c>
      <c r="I2011">
        <v>64.34</v>
      </c>
      <c r="J2011">
        <v>125.78</v>
      </c>
      <c r="K2011">
        <v>33.450000000000003</v>
      </c>
    </row>
    <row r="2012" spans="1:11">
      <c r="A2012">
        <v>296.33</v>
      </c>
      <c r="B2012">
        <v>37.9</v>
      </c>
      <c r="C2012">
        <v>49.78</v>
      </c>
      <c r="D2012">
        <v>49.9</v>
      </c>
      <c r="E2012">
        <v>67.45</v>
      </c>
      <c r="F2012">
        <v>58.51</v>
      </c>
      <c r="G2012">
        <v>84.95</v>
      </c>
      <c r="H2012">
        <v>67.95</v>
      </c>
      <c r="I2012">
        <v>64.56</v>
      </c>
      <c r="J2012">
        <v>125.67</v>
      </c>
      <c r="K2012">
        <v>33.450000000000003</v>
      </c>
    </row>
    <row r="2013" spans="1:11">
      <c r="A2013">
        <v>296.5</v>
      </c>
      <c r="B2013">
        <v>37.9</v>
      </c>
      <c r="C2013">
        <v>49.78</v>
      </c>
      <c r="D2013">
        <v>49.78</v>
      </c>
      <c r="E2013">
        <v>67.45</v>
      </c>
      <c r="F2013">
        <v>58.28</v>
      </c>
      <c r="G2013">
        <v>84.95</v>
      </c>
      <c r="H2013">
        <v>68.510000000000005</v>
      </c>
      <c r="I2013">
        <v>64.510000000000005</v>
      </c>
      <c r="J2013">
        <v>125.62</v>
      </c>
      <c r="K2013">
        <v>33.450000000000003</v>
      </c>
    </row>
    <row r="2014" spans="1:11">
      <c r="A2014">
        <v>296.67</v>
      </c>
      <c r="B2014">
        <v>37.729999999999997</v>
      </c>
      <c r="C2014">
        <v>49.78</v>
      </c>
      <c r="D2014">
        <v>49.78</v>
      </c>
      <c r="E2014">
        <v>67.400000000000006</v>
      </c>
      <c r="F2014">
        <v>57.67</v>
      </c>
      <c r="G2014">
        <v>84.78</v>
      </c>
      <c r="H2014">
        <v>68.23</v>
      </c>
      <c r="I2014">
        <v>64.62</v>
      </c>
      <c r="J2014">
        <v>125.51</v>
      </c>
      <c r="K2014">
        <v>33.51</v>
      </c>
    </row>
    <row r="2015" spans="1:11">
      <c r="A2015">
        <v>296.83</v>
      </c>
      <c r="B2015">
        <v>38.01</v>
      </c>
      <c r="C2015">
        <v>49.9</v>
      </c>
      <c r="D2015">
        <v>49.9</v>
      </c>
      <c r="E2015">
        <v>67.56</v>
      </c>
      <c r="F2015">
        <v>58.06</v>
      </c>
      <c r="G2015">
        <v>84.9</v>
      </c>
      <c r="H2015">
        <v>68.73</v>
      </c>
      <c r="I2015">
        <v>64.34</v>
      </c>
      <c r="J2015">
        <v>125.62</v>
      </c>
      <c r="K2015">
        <v>33.51</v>
      </c>
    </row>
    <row r="2016" spans="1:11">
      <c r="A2016">
        <v>297</v>
      </c>
      <c r="B2016">
        <v>37.9</v>
      </c>
      <c r="C2016">
        <v>49.78</v>
      </c>
      <c r="D2016">
        <v>49.9</v>
      </c>
      <c r="E2016">
        <v>67.400000000000006</v>
      </c>
      <c r="F2016">
        <v>57.84</v>
      </c>
      <c r="G2016">
        <v>84.73</v>
      </c>
      <c r="H2016">
        <v>69.12</v>
      </c>
      <c r="I2016">
        <v>64.28</v>
      </c>
      <c r="J2016">
        <v>125.45</v>
      </c>
      <c r="K2016">
        <v>33.51</v>
      </c>
    </row>
    <row r="2017" spans="1:11">
      <c r="A2017">
        <v>297.17</v>
      </c>
      <c r="B2017">
        <v>38.06</v>
      </c>
      <c r="C2017">
        <v>49.95</v>
      </c>
      <c r="D2017">
        <v>50.01</v>
      </c>
      <c r="E2017">
        <v>67.45</v>
      </c>
      <c r="F2017">
        <v>57.95</v>
      </c>
      <c r="G2017">
        <v>84.73</v>
      </c>
      <c r="H2017">
        <v>69.28</v>
      </c>
      <c r="I2017">
        <v>64.400000000000006</v>
      </c>
      <c r="J2017">
        <v>125.45</v>
      </c>
      <c r="K2017">
        <v>33.51</v>
      </c>
    </row>
    <row r="2018" spans="1:11">
      <c r="A2018">
        <v>297.33</v>
      </c>
      <c r="B2018">
        <v>38.01</v>
      </c>
      <c r="C2018">
        <v>49.95</v>
      </c>
      <c r="D2018">
        <v>50.06</v>
      </c>
      <c r="E2018">
        <v>67.45</v>
      </c>
      <c r="F2018">
        <v>57.78</v>
      </c>
      <c r="G2018">
        <v>84.56</v>
      </c>
      <c r="H2018">
        <v>69.84</v>
      </c>
      <c r="I2018">
        <v>63.95</v>
      </c>
      <c r="J2018">
        <v>125.28</v>
      </c>
      <c r="K2018">
        <v>33.51</v>
      </c>
    </row>
    <row r="2019" spans="1:11">
      <c r="A2019">
        <v>297.5</v>
      </c>
      <c r="B2019">
        <v>38.06</v>
      </c>
      <c r="C2019">
        <v>50.06</v>
      </c>
      <c r="D2019">
        <v>50.12</v>
      </c>
      <c r="E2019">
        <v>67.45</v>
      </c>
      <c r="F2019">
        <v>57.78</v>
      </c>
      <c r="G2019">
        <v>84.62</v>
      </c>
      <c r="H2019">
        <v>68.900000000000006</v>
      </c>
      <c r="I2019">
        <v>63.84</v>
      </c>
      <c r="J2019">
        <v>125.28</v>
      </c>
      <c r="K2019">
        <v>33.51</v>
      </c>
    </row>
    <row r="2020" spans="1:11">
      <c r="A2020">
        <v>297.67</v>
      </c>
      <c r="B2020">
        <v>38.01</v>
      </c>
      <c r="C2020">
        <v>50.01</v>
      </c>
      <c r="D2020">
        <v>50.06</v>
      </c>
      <c r="E2020">
        <v>67.45</v>
      </c>
      <c r="F2020">
        <v>58.23</v>
      </c>
      <c r="G2020">
        <v>84.45</v>
      </c>
      <c r="H2020">
        <v>68.400000000000006</v>
      </c>
      <c r="I2020">
        <v>63.95</v>
      </c>
      <c r="J2020">
        <v>125.17</v>
      </c>
      <c r="K2020">
        <v>33.51</v>
      </c>
    </row>
    <row r="2021" spans="1:11">
      <c r="A2021">
        <v>297.83</v>
      </c>
      <c r="B2021">
        <v>38.119999999999997</v>
      </c>
      <c r="C2021">
        <v>50.01</v>
      </c>
      <c r="D2021">
        <v>50.12</v>
      </c>
      <c r="E2021">
        <v>67.45</v>
      </c>
      <c r="F2021">
        <v>58.4</v>
      </c>
      <c r="G2021">
        <v>84.4</v>
      </c>
      <c r="H2021">
        <v>67.95</v>
      </c>
      <c r="I2021">
        <v>64.23</v>
      </c>
      <c r="J2021">
        <v>125.06</v>
      </c>
      <c r="K2021">
        <v>33.51</v>
      </c>
    </row>
    <row r="2022" spans="1:11">
      <c r="A2022">
        <v>298</v>
      </c>
      <c r="B2022">
        <v>37.950000000000003</v>
      </c>
      <c r="C2022">
        <v>50.01</v>
      </c>
      <c r="D2022">
        <v>50.12</v>
      </c>
      <c r="E2022">
        <v>67.400000000000006</v>
      </c>
      <c r="F2022">
        <v>58.17</v>
      </c>
      <c r="G2022">
        <v>84.34</v>
      </c>
      <c r="H2022">
        <v>67.73</v>
      </c>
      <c r="I2022">
        <v>63.78</v>
      </c>
      <c r="J2022">
        <v>125.01</v>
      </c>
      <c r="K2022">
        <v>33.51</v>
      </c>
    </row>
    <row r="2023" spans="1:11">
      <c r="A2023">
        <v>298.17</v>
      </c>
      <c r="B2023">
        <v>38.06</v>
      </c>
      <c r="C2023">
        <v>50.06</v>
      </c>
      <c r="D2023">
        <v>50.17</v>
      </c>
      <c r="E2023">
        <v>67.34</v>
      </c>
      <c r="F2023">
        <v>58.17</v>
      </c>
      <c r="G2023">
        <v>84.23</v>
      </c>
      <c r="H2023">
        <v>67.06</v>
      </c>
      <c r="I2023">
        <v>63.84</v>
      </c>
      <c r="J2023">
        <v>125.01</v>
      </c>
      <c r="K2023">
        <v>33.51</v>
      </c>
    </row>
    <row r="2024" spans="1:11">
      <c r="A2024">
        <v>298.33</v>
      </c>
      <c r="B2024">
        <v>38.17</v>
      </c>
      <c r="C2024">
        <v>50.12</v>
      </c>
      <c r="D2024">
        <v>50.12</v>
      </c>
      <c r="E2024">
        <v>67.400000000000006</v>
      </c>
      <c r="F2024">
        <v>58.4</v>
      </c>
      <c r="G2024">
        <v>84.17</v>
      </c>
      <c r="H2024">
        <v>67.400000000000006</v>
      </c>
      <c r="I2024">
        <v>64.06</v>
      </c>
      <c r="J2024">
        <v>124.84</v>
      </c>
      <c r="K2024">
        <v>33.51</v>
      </c>
    </row>
    <row r="2025" spans="1:11">
      <c r="A2025">
        <v>298.5</v>
      </c>
      <c r="B2025">
        <v>38.06</v>
      </c>
      <c r="C2025">
        <v>50.01</v>
      </c>
      <c r="D2025">
        <v>50.12</v>
      </c>
      <c r="E2025">
        <v>67.400000000000006</v>
      </c>
      <c r="F2025">
        <v>58.51</v>
      </c>
      <c r="G2025">
        <v>84.17</v>
      </c>
      <c r="H2025">
        <v>67.78</v>
      </c>
      <c r="I2025">
        <v>64.12</v>
      </c>
      <c r="J2025">
        <v>124.78</v>
      </c>
      <c r="K2025">
        <v>33.51</v>
      </c>
    </row>
    <row r="2026" spans="1:11">
      <c r="A2026">
        <v>298.67</v>
      </c>
      <c r="B2026">
        <v>37.950000000000003</v>
      </c>
      <c r="C2026">
        <v>49.9</v>
      </c>
      <c r="D2026">
        <v>49.95</v>
      </c>
      <c r="E2026">
        <v>67.34</v>
      </c>
      <c r="F2026">
        <v>58.4</v>
      </c>
      <c r="G2026">
        <v>84.01</v>
      </c>
      <c r="H2026">
        <v>67.95</v>
      </c>
      <c r="I2026">
        <v>63.95</v>
      </c>
      <c r="J2026">
        <v>124.78</v>
      </c>
      <c r="K2026">
        <v>33.56</v>
      </c>
    </row>
    <row r="2027" spans="1:11">
      <c r="A2027">
        <v>298.83</v>
      </c>
      <c r="B2027">
        <v>37.950000000000003</v>
      </c>
      <c r="C2027">
        <v>49.84</v>
      </c>
      <c r="D2027">
        <v>49.95</v>
      </c>
      <c r="E2027">
        <v>67.28</v>
      </c>
      <c r="F2027">
        <v>58.17</v>
      </c>
      <c r="G2027">
        <v>84.01</v>
      </c>
      <c r="H2027">
        <v>68.510000000000005</v>
      </c>
      <c r="I2027">
        <v>64.06</v>
      </c>
      <c r="J2027">
        <v>124.67</v>
      </c>
      <c r="K2027">
        <v>33.56</v>
      </c>
    </row>
    <row r="2028" spans="1:11">
      <c r="A2028">
        <v>299</v>
      </c>
      <c r="B2028">
        <v>38.01</v>
      </c>
      <c r="C2028">
        <v>49.9</v>
      </c>
      <c r="D2028">
        <v>50.01</v>
      </c>
      <c r="E2028">
        <v>67.28</v>
      </c>
      <c r="F2028">
        <v>58.06</v>
      </c>
      <c r="G2028">
        <v>84.01</v>
      </c>
      <c r="H2028">
        <v>68.510000000000005</v>
      </c>
      <c r="I2028">
        <v>63.84</v>
      </c>
      <c r="J2028">
        <v>124.62</v>
      </c>
      <c r="K2028">
        <v>33.56</v>
      </c>
    </row>
    <row r="2029" spans="1:11">
      <c r="A2029">
        <v>299.17</v>
      </c>
      <c r="B2029">
        <v>37.9</v>
      </c>
      <c r="C2029">
        <v>49.9</v>
      </c>
      <c r="D2029">
        <v>49.9</v>
      </c>
      <c r="E2029">
        <v>67.23</v>
      </c>
      <c r="F2029">
        <v>57.95</v>
      </c>
      <c r="G2029">
        <v>84.01</v>
      </c>
      <c r="H2029">
        <v>68.12</v>
      </c>
      <c r="I2029">
        <v>63.95</v>
      </c>
      <c r="J2029">
        <v>124.56</v>
      </c>
      <c r="K2029">
        <v>33.56</v>
      </c>
    </row>
    <row r="2030" spans="1:11">
      <c r="A2030">
        <v>299.33</v>
      </c>
      <c r="B2030">
        <v>37.9</v>
      </c>
      <c r="C2030">
        <v>50.01</v>
      </c>
      <c r="D2030">
        <v>49.9</v>
      </c>
      <c r="E2030">
        <v>67.23</v>
      </c>
      <c r="F2030">
        <v>57.84</v>
      </c>
      <c r="G2030">
        <v>83.84</v>
      </c>
      <c r="H2030">
        <v>67.62</v>
      </c>
      <c r="I2030">
        <v>63.9</v>
      </c>
      <c r="J2030">
        <v>124.45</v>
      </c>
      <c r="K2030">
        <v>33.56</v>
      </c>
    </row>
    <row r="2031" spans="1:11">
      <c r="A2031">
        <v>299.5</v>
      </c>
      <c r="B2031">
        <v>38.01</v>
      </c>
      <c r="C2031">
        <v>50.01</v>
      </c>
      <c r="D2031">
        <v>50.06</v>
      </c>
      <c r="E2031">
        <v>67.23</v>
      </c>
      <c r="F2031">
        <v>57.84</v>
      </c>
      <c r="G2031">
        <v>83.84</v>
      </c>
      <c r="H2031">
        <v>67.23</v>
      </c>
      <c r="I2031">
        <v>63.95</v>
      </c>
      <c r="J2031">
        <v>124.45</v>
      </c>
      <c r="K2031">
        <v>33.56</v>
      </c>
    </row>
    <row r="2032" spans="1:11">
      <c r="A2032">
        <v>299.67</v>
      </c>
      <c r="B2032">
        <v>37.9</v>
      </c>
      <c r="C2032">
        <v>50.01</v>
      </c>
      <c r="D2032">
        <v>50.01</v>
      </c>
      <c r="E2032">
        <v>67.23</v>
      </c>
      <c r="F2032">
        <v>57.78</v>
      </c>
      <c r="G2032">
        <v>83.73</v>
      </c>
      <c r="H2032">
        <v>67.23</v>
      </c>
      <c r="I2032">
        <v>63.56</v>
      </c>
      <c r="J2032">
        <v>124.28</v>
      </c>
      <c r="K2032">
        <v>33.56</v>
      </c>
    </row>
    <row r="2033" spans="1:11">
      <c r="A2033">
        <v>299.83</v>
      </c>
      <c r="B2033">
        <v>37.9</v>
      </c>
      <c r="C2033">
        <v>50.01</v>
      </c>
      <c r="D2033">
        <v>50.01</v>
      </c>
      <c r="E2033">
        <v>67.23</v>
      </c>
      <c r="F2033">
        <v>57.84</v>
      </c>
      <c r="G2033">
        <v>83.62</v>
      </c>
      <c r="H2033">
        <v>67.45</v>
      </c>
      <c r="I2033">
        <v>63.23</v>
      </c>
      <c r="J2033">
        <v>124.23</v>
      </c>
      <c r="K2033">
        <v>33.56</v>
      </c>
    </row>
    <row r="2034" spans="1:11">
      <c r="A2034">
        <v>300</v>
      </c>
      <c r="B2034">
        <v>37.78</v>
      </c>
      <c r="C2034">
        <v>49.9</v>
      </c>
      <c r="D2034">
        <v>50.01</v>
      </c>
      <c r="E2034">
        <v>67.23</v>
      </c>
      <c r="F2034">
        <v>58.06</v>
      </c>
      <c r="G2034">
        <v>83.56</v>
      </c>
      <c r="H2034">
        <v>66.900000000000006</v>
      </c>
      <c r="I2034">
        <v>63.4</v>
      </c>
      <c r="J2034">
        <v>124.17</v>
      </c>
      <c r="K2034">
        <v>33.56</v>
      </c>
    </row>
    <row r="2035" spans="1:11">
      <c r="A2035">
        <v>300.17</v>
      </c>
      <c r="B2035">
        <v>37.67</v>
      </c>
      <c r="C2035">
        <v>49.84</v>
      </c>
      <c r="D2035">
        <v>49.9</v>
      </c>
      <c r="E2035">
        <v>67.23</v>
      </c>
      <c r="F2035">
        <v>57.78</v>
      </c>
      <c r="G2035">
        <v>83.45</v>
      </c>
      <c r="H2035">
        <v>66.56</v>
      </c>
      <c r="I2035">
        <v>62.84</v>
      </c>
      <c r="J2035">
        <v>124.12</v>
      </c>
      <c r="K2035">
        <v>33.619999999999997</v>
      </c>
    </row>
    <row r="2036" spans="1:11">
      <c r="A2036">
        <v>300.33</v>
      </c>
      <c r="B2036">
        <v>37.67</v>
      </c>
      <c r="C2036">
        <v>49.84</v>
      </c>
      <c r="D2036">
        <v>49.9</v>
      </c>
      <c r="E2036">
        <v>67.23</v>
      </c>
      <c r="F2036">
        <v>57.67</v>
      </c>
      <c r="G2036">
        <v>83.51</v>
      </c>
      <c r="H2036">
        <v>66.34</v>
      </c>
      <c r="I2036">
        <v>62.62</v>
      </c>
      <c r="J2036">
        <v>124.12</v>
      </c>
      <c r="K2036">
        <v>33.619999999999997</v>
      </c>
    </row>
    <row r="2037" spans="1:11">
      <c r="A2037">
        <v>300.5</v>
      </c>
      <c r="B2037">
        <v>37.78</v>
      </c>
      <c r="C2037">
        <v>49.84</v>
      </c>
      <c r="D2037">
        <v>49.78</v>
      </c>
      <c r="E2037">
        <v>67.23</v>
      </c>
      <c r="F2037">
        <v>57.67</v>
      </c>
      <c r="G2037">
        <v>83.51</v>
      </c>
      <c r="H2037">
        <v>66.34</v>
      </c>
      <c r="I2037">
        <v>61.34</v>
      </c>
      <c r="J2037">
        <v>124.01</v>
      </c>
      <c r="K2037">
        <v>33.619999999999997</v>
      </c>
    </row>
    <row r="2038" spans="1:11">
      <c r="A2038">
        <v>300.67</v>
      </c>
      <c r="B2038">
        <v>37.67</v>
      </c>
      <c r="C2038">
        <v>49.84</v>
      </c>
      <c r="D2038">
        <v>49.78</v>
      </c>
      <c r="E2038">
        <v>67.12</v>
      </c>
      <c r="F2038">
        <v>57.67</v>
      </c>
      <c r="G2038">
        <v>83.28</v>
      </c>
      <c r="H2038">
        <v>65.45</v>
      </c>
      <c r="I2038">
        <v>61.56</v>
      </c>
      <c r="J2038">
        <v>124.01</v>
      </c>
      <c r="K2038">
        <v>33.619999999999997</v>
      </c>
    </row>
    <row r="2039" spans="1:11">
      <c r="A2039">
        <v>300.83</v>
      </c>
      <c r="B2039">
        <v>37.67</v>
      </c>
      <c r="C2039">
        <v>49.84</v>
      </c>
      <c r="D2039">
        <v>49.9</v>
      </c>
      <c r="E2039">
        <v>67.17</v>
      </c>
      <c r="F2039">
        <v>57.62</v>
      </c>
      <c r="G2039">
        <v>83.34</v>
      </c>
      <c r="H2039">
        <v>65.62</v>
      </c>
      <c r="I2039">
        <v>61.56</v>
      </c>
      <c r="J2039">
        <v>123.84</v>
      </c>
      <c r="K2039">
        <v>33.619999999999997</v>
      </c>
    </row>
    <row r="2040" spans="1:11">
      <c r="A2040">
        <v>301</v>
      </c>
      <c r="B2040">
        <v>37.67</v>
      </c>
      <c r="C2040">
        <v>49.78</v>
      </c>
      <c r="D2040">
        <v>49.9</v>
      </c>
      <c r="E2040">
        <v>67.06</v>
      </c>
      <c r="F2040">
        <v>57.62</v>
      </c>
      <c r="G2040">
        <v>83.17</v>
      </c>
      <c r="H2040">
        <v>65.78</v>
      </c>
      <c r="I2040">
        <v>62.01</v>
      </c>
      <c r="J2040">
        <v>123.73</v>
      </c>
      <c r="K2040">
        <v>33.619999999999997</v>
      </c>
    </row>
    <row r="2041" spans="1:11">
      <c r="A2041">
        <v>301.17</v>
      </c>
      <c r="B2041">
        <v>37.840000000000003</v>
      </c>
      <c r="C2041">
        <v>49.95</v>
      </c>
      <c r="D2041">
        <v>49.9</v>
      </c>
      <c r="E2041">
        <v>67.12</v>
      </c>
      <c r="F2041">
        <v>57.62</v>
      </c>
      <c r="G2041">
        <v>83.06</v>
      </c>
      <c r="H2041">
        <v>66.56</v>
      </c>
      <c r="I2041">
        <v>61.73</v>
      </c>
      <c r="J2041">
        <v>123.73</v>
      </c>
      <c r="K2041">
        <v>33.619999999999997</v>
      </c>
    </row>
    <row r="2042" spans="1:11">
      <c r="A2042">
        <v>301.33</v>
      </c>
      <c r="B2042">
        <v>37.840000000000003</v>
      </c>
      <c r="C2042">
        <v>49.9</v>
      </c>
      <c r="D2042">
        <v>49.9</v>
      </c>
      <c r="E2042">
        <v>67.12</v>
      </c>
      <c r="F2042">
        <v>57.51</v>
      </c>
      <c r="G2042">
        <v>82.95</v>
      </c>
      <c r="H2042">
        <v>66.84</v>
      </c>
      <c r="I2042">
        <v>61.4</v>
      </c>
      <c r="J2042">
        <v>123.62</v>
      </c>
      <c r="K2042">
        <v>33.619999999999997</v>
      </c>
    </row>
    <row r="2043" spans="1:11">
      <c r="A2043">
        <v>301.5</v>
      </c>
      <c r="B2043">
        <v>37.56</v>
      </c>
      <c r="C2043">
        <v>49.73</v>
      </c>
      <c r="D2043">
        <v>49.78</v>
      </c>
      <c r="E2043">
        <v>67.06</v>
      </c>
      <c r="F2043">
        <v>57.06</v>
      </c>
      <c r="G2043">
        <v>82.84</v>
      </c>
      <c r="H2043">
        <v>67.28</v>
      </c>
      <c r="I2043">
        <v>61.67</v>
      </c>
      <c r="J2043">
        <v>123.51</v>
      </c>
      <c r="K2043">
        <v>33.619999999999997</v>
      </c>
    </row>
    <row r="2044" spans="1:11">
      <c r="A2044">
        <v>301.67</v>
      </c>
      <c r="B2044">
        <v>37.67</v>
      </c>
      <c r="C2044">
        <v>49.78</v>
      </c>
      <c r="D2044">
        <v>49.84</v>
      </c>
      <c r="E2044">
        <v>67.06</v>
      </c>
      <c r="F2044">
        <v>57.4</v>
      </c>
      <c r="G2044">
        <v>82.78</v>
      </c>
      <c r="H2044">
        <v>67.56</v>
      </c>
      <c r="I2044">
        <v>62.12</v>
      </c>
      <c r="J2044">
        <v>123.51</v>
      </c>
      <c r="K2044">
        <v>33.619999999999997</v>
      </c>
    </row>
    <row r="2045" spans="1:11">
      <c r="A2045">
        <v>301.83</v>
      </c>
      <c r="B2045">
        <v>37.729999999999997</v>
      </c>
      <c r="C2045">
        <v>49.78</v>
      </c>
      <c r="D2045">
        <v>49.9</v>
      </c>
      <c r="E2045">
        <v>67.06</v>
      </c>
      <c r="F2045">
        <v>57.4</v>
      </c>
      <c r="G2045">
        <v>82.73</v>
      </c>
      <c r="H2045">
        <v>67.900000000000006</v>
      </c>
      <c r="I2045">
        <v>62.01</v>
      </c>
      <c r="J2045">
        <v>123.34</v>
      </c>
      <c r="K2045">
        <v>33.619999999999997</v>
      </c>
    </row>
    <row r="2046" spans="1:11">
      <c r="A2046">
        <v>302</v>
      </c>
      <c r="B2046">
        <v>37.67</v>
      </c>
      <c r="C2046">
        <v>49.9</v>
      </c>
      <c r="D2046">
        <v>49.78</v>
      </c>
      <c r="E2046">
        <v>67.06</v>
      </c>
      <c r="F2046">
        <v>57.12</v>
      </c>
      <c r="G2046">
        <v>82.62</v>
      </c>
      <c r="H2046">
        <v>67.28</v>
      </c>
      <c r="I2046">
        <v>61.28</v>
      </c>
      <c r="J2046">
        <v>123.23</v>
      </c>
      <c r="K2046">
        <v>33.619999999999997</v>
      </c>
    </row>
    <row r="2047" spans="1:11">
      <c r="A2047">
        <v>302.17</v>
      </c>
      <c r="B2047">
        <v>37.729999999999997</v>
      </c>
      <c r="C2047">
        <v>49.78</v>
      </c>
      <c r="D2047">
        <v>49.9</v>
      </c>
      <c r="E2047">
        <v>67.06</v>
      </c>
      <c r="F2047">
        <v>57.28</v>
      </c>
      <c r="G2047">
        <v>82.56</v>
      </c>
      <c r="H2047">
        <v>67.23</v>
      </c>
      <c r="I2047">
        <v>61.51</v>
      </c>
      <c r="J2047">
        <v>123.23</v>
      </c>
      <c r="K2047">
        <v>33.619999999999997</v>
      </c>
    </row>
    <row r="2048" spans="1:11">
      <c r="A2048">
        <v>302.33</v>
      </c>
      <c r="B2048">
        <v>37.56</v>
      </c>
      <c r="C2048">
        <v>49.78</v>
      </c>
      <c r="D2048">
        <v>49.78</v>
      </c>
      <c r="E2048">
        <v>67.06</v>
      </c>
      <c r="F2048">
        <v>57.23</v>
      </c>
      <c r="G2048">
        <v>82.62</v>
      </c>
      <c r="H2048">
        <v>66.400000000000006</v>
      </c>
      <c r="I2048">
        <v>61.17</v>
      </c>
      <c r="J2048">
        <v>123.17</v>
      </c>
      <c r="K2048">
        <v>33.67</v>
      </c>
    </row>
    <row r="2049" spans="1:11">
      <c r="A2049">
        <v>302.5</v>
      </c>
      <c r="B2049">
        <v>37.51</v>
      </c>
      <c r="C2049">
        <v>49.73</v>
      </c>
      <c r="D2049">
        <v>49.73</v>
      </c>
      <c r="E2049">
        <v>66.95</v>
      </c>
      <c r="F2049">
        <v>56.78</v>
      </c>
      <c r="G2049">
        <v>82.51</v>
      </c>
      <c r="H2049">
        <v>66.12</v>
      </c>
      <c r="I2049">
        <v>61.56</v>
      </c>
      <c r="J2049">
        <v>123.06</v>
      </c>
      <c r="K2049">
        <v>33.619999999999997</v>
      </c>
    </row>
    <row r="2050" spans="1:11">
      <c r="A2050">
        <v>302.67</v>
      </c>
      <c r="B2050">
        <v>37.56</v>
      </c>
      <c r="C2050">
        <v>49.73</v>
      </c>
      <c r="D2050">
        <v>49.78</v>
      </c>
      <c r="E2050">
        <v>67.06</v>
      </c>
      <c r="F2050">
        <v>56.78</v>
      </c>
      <c r="G2050">
        <v>82.45</v>
      </c>
      <c r="H2050">
        <v>66.900000000000006</v>
      </c>
      <c r="I2050">
        <v>61.45</v>
      </c>
      <c r="J2050">
        <v>123.01</v>
      </c>
      <c r="K2050">
        <v>33.67</v>
      </c>
    </row>
    <row r="2051" spans="1:11">
      <c r="A2051">
        <v>302.83</v>
      </c>
      <c r="B2051">
        <v>37.67</v>
      </c>
      <c r="C2051">
        <v>49.78</v>
      </c>
      <c r="D2051">
        <v>49.78</v>
      </c>
      <c r="E2051">
        <v>66.95</v>
      </c>
      <c r="F2051">
        <v>56.73</v>
      </c>
      <c r="G2051">
        <v>82.45</v>
      </c>
      <c r="H2051">
        <v>66.510000000000005</v>
      </c>
      <c r="I2051">
        <v>60.56</v>
      </c>
      <c r="J2051">
        <v>122.9</v>
      </c>
      <c r="K2051">
        <v>33.67</v>
      </c>
    </row>
    <row r="2052" spans="1:11">
      <c r="A2052">
        <v>303</v>
      </c>
      <c r="B2052">
        <v>37.67</v>
      </c>
      <c r="C2052">
        <v>49.9</v>
      </c>
      <c r="D2052">
        <v>49.95</v>
      </c>
      <c r="E2052">
        <v>67.06</v>
      </c>
      <c r="F2052">
        <v>56.67</v>
      </c>
      <c r="G2052">
        <v>82.34</v>
      </c>
      <c r="H2052">
        <v>66.28</v>
      </c>
      <c r="I2052">
        <v>61.17</v>
      </c>
      <c r="J2052">
        <v>122.84</v>
      </c>
      <c r="K2052">
        <v>33.67</v>
      </c>
    </row>
    <row r="2053" spans="1:11">
      <c r="A2053">
        <v>303.17</v>
      </c>
      <c r="B2053">
        <v>38.06</v>
      </c>
      <c r="C2053">
        <v>50.01</v>
      </c>
      <c r="D2053">
        <v>50.01</v>
      </c>
      <c r="E2053">
        <v>67.06</v>
      </c>
      <c r="F2053">
        <v>56.84</v>
      </c>
      <c r="G2053">
        <v>82.34</v>
      </c>
      <c r="H2053">
        <v>67.28</v>
      </c>
      <c r="I2053">
        <v>61.12</v>
      </c>
      <c r="J2053">
        <v>122.78</v>
      </c>
      <c r="K2053">
        <v>33.67</v>
      </c>
    </row>
    <row r="2054" spans="1:11">
      <c r="A2054">
        <v>303.33</v>
      </c>
      <c r="B2054">
        <v>38.119999999999997</v>
      </c>
      <c r="C2054">
        <v>50.01</v>
      </c>
      <c r="D2054">
        <v>50.06</v>
      </c>
      <c r="E2054">
        <v>67.010000000000005</v>
      </c>
      <c r="F2054">
        <v>56.84</v>
      </c>
      <c r="G2054">
        <v>82.23</v>
      </c>
      <c r="H2054">
        <v>67.400000000000006</v>
      </c>
      <c r="I2054">
        <v>60.4</v>
      </c>
      <c r="J2054">
        <v>122.73</v>
      </c>
      <c r="K2054">
        <v>33.67</v>
      </c>
    </row>
    <row r="2055" spans="1:11">
      <c r="A2055">
        <v>303.5</v>
      </c>
      <c r="B2055">
        <v>38.28</v>
      </c>
      <c r="C2055">
        <v>50.12</v>
      </c>
      <c r="D2055">
        <v>50.17</v>
      </c>
      <c r="E2055">
        <v>66.95</v>
      </c>
      <c r="F2055">
        <v>56.73</v>
      </c>
      <c r="G2055">
        <v>82.12</v>
      </c>
      <c r="H2055">
        <v>67.400000000000006</v>
      </c>
      <c r="I2055">
        <v>60.12</v>
      </c>
      <c r="J2055">
        <v>122.67</v>
      </c>
      <c r="K2055">
        <v>33.67</v>
      </c>
    </row>
    <row r="2056" spans="1:11">
      <c r="A2056">
        <v>303.67</v>
      </c>
      <c r="B2056">
        <v>38.450000000000003</v>
      </c>
      <c r="C2056">
        <v>50.17</v>
      </c>
      <c r="D2056">
        <v>50.28</v>
      </c>
      <c r="E2056">
        <v>67.06</v>
      </c>
      <c r="F2056">
        <v>56.67</v>
      </c>
      <c r="G2056">
        <v>82.12</v>
      </c>
      <c r="H2056">
        <v>67.06</v>
      </c>
      <c r="I2056">
        <v>60.4</v>
      </c>
      <c r="J2056">
        <v>122.62</v>
      </c>
      <c r="K2056">
        <v>33.67</v>
      </c>
    </row>
    <row r="2057" spans="1:11">
      <c r="A2057">
        <v>303.83</v>
      </c>
      <c r="B2057">
        <v>38.619999999999997</v>
      </c>
      <c r="C2057">
        <v>50.28</v>
      </c>
      <c r="D2057">
        <v>50.34</v>
      </c>
      <c r="E2057">
        <v>67.06</v>
      </c>
      <c r="F2057">
        <v>56.4</v>
      </c>
      <c r="G2057">
        <v>82.01</v>
      </c>
      <c r="H2057">
        <v>67.56</v>
      </c>
      <c r="I2057">
        <v>60.23</v>
      </c>
      <c r="J2057">
        <v>122.56</v>
      </c>
      <c r="K2057">
        <v>33.67</v>
      </c>
    </row>
    <row r="2058" spans="1:11">
      <c r="A2058">
        <v>304</v>
      </c>
      <c r="B2058">
        <v>38.67</v>
      </c>
      <c r="C2058">
        <v>50.34</v>
      </c>
      <c r="D2058">
        <v>50.34</v>
      </c>
      <c r="E2058">
        <v>67.06</v>
      </c>
      <c r="F2058">
        <v>56.56</v>
      </c>
      <c r="G2058">
        <v>82.06</v>
      </c>
      <c r="H2058">
        <v>67.78</v>
      </c>
      <c r="I2058">
        <v>59.9</v>
      </c>
      <c r="J2058">
        <v>122.56</v>
      </c>
      <c r="K2058">
        <v>33.67</v>
      </c>
    </row>
    <row r="2059" spans="1:11">
      <c r="A2059">
        <v>304.17</v>
      </c>
      <c r="B2059">
        <v>38.729999999999997</v>
      </c>
      <c r="C2059">
        <v>50.34</v>
      </c>
      <c r="D2059">
        <v>50.4</v>
      </c>
      <c r="E2059">
        <v>66.95</v>
      </c>
      <c r="F2059">
        <v>56.56</v>
      </c>
      <c r="G2059">
        <v>81.95</v>
      </c>
      <c r="H2059">
        <v>68.17</v>
      </c>
      <c r="I2059">
        <v>60.23</v>
      </c>
      <c r="J2059">
        <v>122.4</v>
      </c>
      <c r="K2059">
        <v>33.67</v>
      </c>
    </row>
    <row r="2060" spans="1:11">
      <c r="A2060">
        <v>304.33</v>
      </c>
      <c r="B2060">
        <v>38.9</v>
      </c>
      <c r="C2060">
        <v>50.56</v>
      </c>
      <c r="D2060">
        <v>50.56</v>
      </c>
      <c r="E2060">
        <v>67.06</v>
      </c>
      <c r="F2060">
        <v>56.56</v>
      </c>
      <c r="G2060">
        <v>81.900000000000006</v>
      </c>
      <c r="H2060">
        <v>68.17</v>
      </c>
      <c r="I2060">
        <v>60.23</v>
      </c>
      <c r="J2060">
        <v>122.34</v>
      </c>
      <c r="K2060">
        <v>33.67</v>
      </c>
    </row>
    <row r="2061" spans="1:11">
      <c r="A2061">
        <v>304.5</v>
      </c>
      <c r="B2061">
        <v>38.950000000000003</v>
      </c>
      <c r="C2061">
        <v>50.45</v>
      </c>
      <c r="D2061">
        <v>50.56</v>
      </c>
      <c r="E2061">
        <v>67.010000000000005</v>
      </c>
      <c r="F2061">
        <v>56.4</v>
      </c>
      <c r="G2061">
        <v>81.900000000000006</v>
      </c>
      <c r="H2061">
        <v>68.56</v>
      </c>
      <c r="I2061">
        <v>59.9</v>
      </c>
      <c r="J2061">
        <v>122.34</v>
      </c>
      <c r="K2061">
        <v>33.729999999999997</v>
      </c>
    </row>
    <row r="2062" spans="1:11">
      <c r="A2062">
        <v>304.67</v>
      </c>
      <c r="B2062">
        <v>38.950000000000003</v>
      </c>
      <c r="C2062">
        <v>50.56</v>
      </c>
      <c r="D2062">
        <v>50.62</v>
      </c>
      <c r="E2062">
        <v>67.010000000000005</v>
      </c>
      <c r="F2062">
        <v>56.23</v>
      </c>
      <c r="G2062">
        <v>81.78</v>
      </c>
      <c r="H2062">
        <v>68.56</v>
      </c>
      <c r="I2062">
        <v>59.84</v>
      </c>
      <c r="J2062">
        <v>122.17</v>
      </c>
      <c r="K2062">
        <v>33.729999999999997</v>
      </c>
    </row>
    <row r="2063" spans="1:11">
      <c r="A2063">
        <v>304.83</v>
      </c>
      <c r="B2063">
        <v>38.950000000000003</v>
      </c>
      <c r="C2063">
        <v>50.62</v>
      </c>
      <c r="D2063">
        <v>50.67</v>
      </c>
      <c r="E2063">
        <v>66.95</v>
      </c>
      <c r="F2063">
        <v>56.34</v>
      </c>
      <c r="G2063">
        <v>81.73</v>
      </c>
      <c r="H2063">
        <v>68.34</v>
      </c>
      <c r="I2063">
        <v>60.17</v>
      </c>
      <c r="J2063">
        <v>122.12</v>
      </c>
      <c r="K2063">
        <v>33.729999999999997</v>
      </c>
    </row>
    <row r="2064" spans="1:11">
      <c r="A2064">
        <v>305</v>
      </c>
      <c r="B2064">
        <v>39.01</v>
      </c>
      <c r="C2064">
        <v>50.73</v>
      </c>
      <c r="D2064">
        <v>50.84</v>
      </c>
      <c r="E2064">
        <v>66.95</v>
      </c>
      <c r="F2064">
        <v>56.67</v>
      </c>
      <c r="G2064">
        <v>81.73</v>
      </c>
      <c r="H2064">
        <v>67.62</v>
      </c>
      <c r="I2064">
        <v>59.73</v>
      </c>
      <c r="J2064">
        <v>122.12</v>
      </c>
      <c r="K2064">
        <v>33.729999999999997</v>
      </c>
    </row>
    <row r="2065" spans="1:11">
      <c r="A2065">
        <v>305.17</v>
      </c>
      <c r="B2065">
        <v>38.950000000000003</v>
      </c>
      <c r="C2065">
        <v>50.9</v>
      </c>
      <c r="D2065">
        <v>50.9</v>
      </c>
      <c r="E2065">
        <v>66.900000000000006</v>
      </c>
      <c r="F2065">
        <v>56.73</v>
      </c>
      <c r="G2065">
        <v>81.62</v>
      </c>
      <c r="H2065">
        <v>67.06</v>
      </c>
      <c r="I2065">
        <v>60.06</v>
      </c>
      <c r="J2065">
        <v>122.01</v>
      </c>
      <c r="K2065">
        <v>33.729999999999997</v>
      </c>
    </row>
    <row r="2066" spans="1:11">
      <c r="A2066">
        <v>305.33</v>
      </c>
      <c r="B2066">
        <v>38.9</v>
      </c>
      <c r="C2066">
        <v>50.9</v>
      </c>
      <c r="D2066">
        <v>50.95</v>
      </c>
      <c r="E2066">
        <v>66.84</v>
      </c>
      <c r="F2066">
        <v>56.67</v>
      </c>
      <c r="G2066">
        <v>81.45</v>
      </c>
      <c r="H2066">
        <v>66.510000000000005</v>
      </c>
      <c r="I2066">
        <v>59.9</v>
      </c>
      <c r="J2066">
        <v>121.95</v>
      </c>
      <c r="K2066">
        <v>33.729999999999997</v>
      </c>
    </row>
    <row r="2067" spans="1:11">
      <c r="A2067">
        <v>305.5</v>
      </c>
      <c r="B2067">
        <v>38.950000000000003</v>
      </c>
      <c r="C2067">
        <v>50.84</v>
      </c>
      <c r="D2067">
        <v>51.01</v>
      </c>
      <c r="E2067">
        <v>66.900000000000006</v>
      </c>
      <c r="F2067">
        <v>56.56</v>
      </c>
      <c r="G2067">
        <v>81.400000000000006</v>
      </c>
      <c r="H2067">
        <v>66.73</v>
      </c>
      <c r="I2067">
        <v>60.73</v>
      </c>
      <c r="J2067">
        <v>121.9</v>
      </c>
      <c r="K2067">
        <v>33.729999999999997</v>
      </c>
    </row>
    <row r="2068" spans="1:11">
      <c r="A2068">
        <v>305.67</v>
      </c>
      <c r="B2068">
        <v>39.06</v>
      </c>
      <c r="C2068">
        <v>50.9</v>
      </c>
      <c r="D2068">
        <v>51.01</v>
      </c>
      <c r="E2068">
        <v>66.900000000000006</v>
      </c>
      <c r="F2068">
        <v>56.12</v>
      </c>
      <c r="G2068">
        <v>81.28</v>
      </c>
      <c r="H2068">
        <v>65.78</v>
      </c>
      <c r="I2068">
        <v>60.67</v>
      </c>
      <c r="J2068">
        <v>121.9</v>
      </c>
      <c r="K2068">
        <v>33.729999999999997</v>
      </c>
    </row>
    <row r="2069" spans="1:11">
      <c r="A2069">
        <v>305.83</v>
      </c>
      <c r="B2069">
        <v>39.119999999999997</v>
      </c>
      <c r="C2069">
        <v>50.9</v>
      </c>
      <c r="D2069">
        <v>51.01</v>
      </c>
      <c r="E2069">
        <v>66.900000000000006</v>
      </c>
      <c r="F2069">
        <v>56.12</v>
      </c>
      <c r="G2069">
        <v>81.17</v>
      </c>
      <c r="H2069">
        <v>65.56</v>
      </c>
      <c r="I2069">
        <v>60.56</v>
      </c>
      <c r="J2069">
        <v>121.73</v>
      </c>
      <c r="K2069">
        <v>33.729999999999997</v>
      </c>
    </row>
    <row r="2070" spans="1:11">
      <c r="A2070">
        <v>306</v>
      </c>
      <c r="B2070">
        <v>39.119999999999997</v>
      </c>
      <c r="C2070">
        <v>50.9</v>
      </c>
      <c r="D2070">
        <v>51.01</v>
      </c>
      <c r="E2070">
        <v>66.900000000000006</v>
      </c>
      <c r="F2070">
        <v>56.01</v>
      </c>
      <c r="G2070">
        <v>81.010000000000005</v>
      </c>
      <c r="H2070">
        <v>65.400000000000006</v>
      </c>
      <c r="I2070">
        <v>61.12</v>
      </c>
      <c r="J2070">
        <v>121.62</v>
      </c>
      <c r="K2070">
        <v>33.729999999999997</v>
      </c>
    </row>
    <row r="2071" spans="1:11">
      <c r="A2071">
        <v>306.17</v>
      </c>
      <c r="B2071">
        <v>39.06</v>
      </c>
      <c r="C2071">
        <v>51.01</v>
      </c>
      <c r="D2071">
        <v>51.12</v>
      </c>
      <c r="E2071">
        <v>66.900000000000006</v>
      </c>
      <c r="F2071">
        <v>55.9</v>
      </c>
      <c r="G2071">
        <v>80.900000000000006</v>
      </c>
      <c r="H2071">
        <v>65.400000000000006</v>
      </c>
      <c r="I2071">
        <v>60.73</v>
      </c>
      <c r="J2071">
        <v>121.62</v>
      </c>
      <c r="K2071">
        <v>33.78</v>
      </c>
    </row>
    <row r="2072" spans="1:11">
      <c r="A2072">
        <v>306.33</v>
      </c>
      <c r="B2072">
        <v>39.119999999999997</v>
      </c>
      <c r="C2072">
        <v>51.01</v>
      </c>
      <c r="D2072">
        <v>51.12</v>
      </c>
      <c r="E2072">
        <v>66.900000000000006</v>
      </c>
      <c r="F2072">
        <v>56.17</v>
      </c>
      <c r="G2072">
        <v>80.84</v>
      </c>
      <c r="H2072">
        <v>65.95</v>
      </c>
      <c r="I2072">
        <v>61.17</v>
      </c>
      <c r="J2072">
        <v>121.56</v>
      </c>
      <c r="K2072">
        <v>33.78</v>
      </c>
    </row>
    <row r="2073" spans="1:11">
      <c r="A2073">
        <v>306.5</v>
      </c>
      <c r="B2073">
        <v>39.119999999999997</v>
      </c>
      <c r="C2073">
        <v>51.12</v>
      </c>
      <c r="D2073">
        <v>51.17</v>
      </c>
      <c r="E2073">
        <v>66.84</v>
      </c>
      <c r="F2073">
        <v>56.4</v>
      </c>
      <c r="G2073">
        <v>80.67</v>
      </c>
      <c r="H2073">
        <v>66.12</v>
      </c>
      <c r="I2073">
        <v>60.62</v>
      </c>
      <c r="J2073">
        <v>121.51</v>
      </c>
      <c r="K2073">
        <v>33.78</v>
      </c>
    </row>
    <row r="2074" spans="1:11">
      <c r="A2074">
        <v>306.67</v>
      </c>
      <c r="B2074">
        <v>39.28</v>
      </c>
      <c r="C2074">
        <v>51.17</v>
      </c>
      <c r="D2074">
        <v>51.28</v>
      </c>
      <c r="E2074">
        <v>66.900000000000006</v>
      </c>
      <c r="F2074">
        <v>56.23</v>
      </c>
      <c r="G2074">
        <v>80.67</v>
      </c>
      <c r="H2074">
        <v>65.400000000000006</v>
      </c>
      <c r="I2074">
        <v>60.95</v>
      </c>
      <c r="J2074">
        <v>121.51</v>
      </c>
      <c r="K2074">
        <v>33.78</v>
      </c>
    </row>
    <row r="2075" spans="1:11">
      <c r="A2075">
        <v>306.83</v>
      </c>
      <c r="B2075">
        <v>39.28</v>
      </c>
      <c r="C2075">
        <v>51.23</v>
      </c>
      <c r="D2075">
        <v>51.34</v>
      </c>
      <c r="E2075">
        <v>66.84</v>
      </c>
      <c r="F2075">
        <v>56.4</v>
      </c>
      <c r="G2075">
        <v>80.67</v>
      </c>
      <c r="H2075">
        <v>65.45</v>
      </c>
      <c r="I2075">
        <v>60.62</v>
      </c>
      <c r="J2075">
        <v>121.4</v>
      </c>
      <c r="K2075">
        <v>33.78</v>
      </c>
    </row>
    <row r="2076" spans="1:11">
      <c r="A2076">
        <v>307</v>
      </c>
      <c r="B2076">
        <v>39.56</v>
      </c>
      <c r="C2076">
        <v>51.78</v>
      </c>
      <c r="D2076">
        <v>51.62</v>
      </c>
      <c r="E2076">
        <v>67.45</v>
      </c>
      <c r="F2076">
        <v>56.17</v>
      </c>
      <c r="G2076">
        <v>80.56</v>
      </c>
      <c r="H2076">
        <v>65.56</v>
      </c>
      <c r="I2076">
        <v>60.78</v>
      </c>
      <c r="J2076">
        <v>121.28</v>
      </c>
      <c r="K2076">
        <v>33.78</v>
      </c>
    </row>
    <row r="2077" spans="1:11">
      <c r="A2077">
        <v>307.17</v>
      </c>
      <c r="B2077">
        <v>40.840000000000003</v>
      </c>
      <c r="C2077">
        <v>52.84</v>
      </c>
      <c r="D2077">
        <v>52.51</v>
      </c>
      <c r="E2077">
        <v>66.84</v>
      </c>
      <c r="F2077">
        <v>56.28</v>
      </c>
      <c r="G2077">
        <v>80.400000000000006</v>
      </c>
      <c r="H2077">
        <v>65.400000000000006</v>
      </c>
      <c r="I2077">
        <v>60.67</v>
      </c>
      <c r="J2077">
        <v>121.12</v>
      </c>
      <c r="K2077">
        <v>33.78</v>
      </c>
    </row>
    <row r="2078" spans="1:11">
      <c r="A2078">
        <v>307.33</v>
      </c>
      <c r="B2078">
        <v>41.67</v>
      </c>
      <c r="C2078">
        <v>52.67</v>
      </c>
      <c r="D2078">
        <v>52.73</v>
      </c>
      <c r="E2078">
        <v>66.34</v>
      </c>
      <c r="F2078">
        <v>56.62</v>
      </c>
      <c r="G2078">
        <v>80.28</v>
      </c>
      <c r="H2078">
        <v>64.62</v>
      </c>
      <c r="I2078">
        <v>60.23</v>
      </c>
      <c r="J2078">
        <v>121.12</v>
      </c>
      <c r="K2078">
        <v>33.78</v>
      </c>
    </row>
    <row r="2079" spans="1:11">
      <c r="A2079">
        <v>307.5</v>
      </c>
      <c r="B2079">
        <v>43.45</v>
      </c>
      <c r="C2079">
        <v>51.28</v>
      </c>
      <c r="D2079">
        <v>52.01</v>
      </c>
      <c r="E2079">
        <v>64.67</v>
      </c>
      <c r="F2079">
        <v>57.06</v>
      </c>
      <c r="G2079">
        <v>80.23</v>
      </c>
      <c r="H2079">
        <v>64.06</v>
      </c>
      <c r="I2079">
        <v>60.12</v>
      </c>
      <c r="J2079">
        <v>121.06</v>
      </c>
      <c r="K2079">
        <v>33.78</v>
      </c>
    </row>
    <row r="2080" spans="1:11">
      <c r="A2080">
        <v>307.67</v>
      </c>
      <c r="B2080">
        <v>44.45</v>
      </c>
      <c r="C2080">
        <v>50.84</v>
      </c>
      <c r="D2080">
        <v>51.17</v>
      </c>
      <c r="E2080">
        <v>63.4</v>
      </c>
      <c r="F2080">
        <v>57.62</v>
      </c>
      <c r="G2080">
        <v>80.12</v>
      </c>
      <c r="H2080">
        <v>63.56</v>
      </c>
      <c r="I2080">
        <v>59.67</v>
      </c>
      <c r="J2080">
        <v>121.01</v>
      </c>
      <c r="K2080">
        <v>33.78</v>
      </c>
    </row>
    <row r="2081" spans="1:11">
      <c r="A2081">
        <v>307.83</v>
      </c>
      <c r="B2081">
        <v>43.95</v>
      </c>
      <c r="C2081">
        <v>50.84</v>
      </c>
      <c r="D2081">
        <v>51.01</v>
      </c>
      <c r="E2081">
        <v>62.78</v>
      </c>
      <c r="F2081">
        <v>58.17</v>
      </c>
      <c r="G2081">
        <v>79.95</v>
      </c>
      <c r="H2081">
        <v>63.01</v>
      </c>
      <c r="I2081">
        <v>60.01</v>
      </c>
      <c r="J2081">
        <v>120.95</v>
      </c>
      <c r="K2081">
        <v>33.78</v>
      </c>
    </row>
    <row r="2082" spans="1:11">
      <c r="A2082">
        <v>308</v>
      </c>
      <c r="B2082">
        <v>43.06</v>
      </c>
      <c r="C2082">
        <v>50.84</v>
      </c>
      <c r="D2082">
        <v>50.84</v>
      </c>
      <c r="E2082">
        <v>61.56</v>
      </c>
      <c r="F2082">
        <v>58.56</v>
      </c>
      <c r="G2082">
        <v>79.78</v>
      </c>
      <c r="H2082">
        <v>62.51</v>
      </c>
      <c r="I2082">
        <v>59.84</v>
      </c>
      <c r="J2082">
        <v>120.9</v>
      </c>
      <c r="K2082">
        <v>33.78</v>
      </c>
    </row>
    <row r="2083" spans="1:11">
      <c r="A2083">
        <v>308.17</v>
      </c>
      <c r="B2083">
        <v>42.17</v>
      </c>
      <c r="C2083">
        <v>50.78</v>
      </c>
      <c r="D2083">
        <v>50.84</v>
      </c>
      <c r="E2083">
        <v>60.28</v>
      </c>
      <c r="F2083">
        <v>59.34</v>
      </c>
      <c r="G2083">
        <v>79.73</v>
      </c>
      <c r="H2083">
        <v>63.23</v>
      </c>
      <c r="I2083">
        <v>60.45</v>
      </c>
      <c r="J2083">
        <v>120.84</v>
      </c>
      <c r="K2083">
        <v>33.840000000000003</v>
      </c>
    </row>
    <row r="2084" spans="1:11">
      <c r="A2084">
        <v>308.33</v>
      </c>
      <c r="B2084">
        <v>42.23</v>
      </c>
      <c r="C2084">
        <v>50.73</v>
      </c>
      <c r="D2084">
        <v>50.73</v>
      </c>
      <c r="E2084">
        <v>59.28</v>
      </c>
      <c r="F2084">
        <v>59.84</v>
      </c>
      <c r="G2084">
        <v>79.67</v>
      </c>
      <c r="H2084">
        <v>63.56</v>
      </c>
      <c r="I2084">
        <v>60.45</v>
      </c>
      <c r="J2084">
        <v>120.67</v>
      </c>
      <c r="K2084">
        <v>33.840000000000003</v>
      </c>
    </row>
    <row r="2085" spans="1:11">
      <c r="A2085">
        <v>308.5</v>
      </c>
      <c r="B2085">
        <v>43.9</v>
      </c>
      <c r="C2085">
        <v>50.67</v>
      </c>
      <c r="D2085">
        <v>50.62</v>
      </c>
      <c r="E2085">
        <v>58.9</v>
      </c>
      <c r="F2085">
        <v>60.06</v>
      </c>
      <c r="G2085">
        <v>79.56</v>
      </c>
      <c r="H2085">
        <v>63.78</v>
      </c>
      <c r="I2085">
        <v>60.73</v>
      </c>
      <c r="J2085">
        <v>120.62</v>
      </c>
      <c r="K2085">
        <v>33.840000000000003</v>
      </c>
    </row>
    <row r="2086" spans="1:11">
      <c r="A2086">
        <v>308.67</v>
      </c>
      <c r="B2086">
        <v>45.17</v>
      </c>
      <c r="C2086">
        <v>50.56</v>
      </c>
      <c r="D2086">
        <v>50.51</v>
      </c>
      <c r="E2086">
        <v>59.56</v>
      </c>
      <c r="F2086">
        <v>60.56</v>
      </c>
      <c r="G2086">
        <v>79.56</v>
      </c>
      <c r="H2086">
        <v>64.28</v>
      </c>
      <c r="I2086">
        <v>60.78</v>
      </c>
      <c r="J2086">
        <v>120.62</v>
      </c>
      <c r="K2086">
        <v>33.840000000000003</v>
      </c>
    </row>
    <row r="2087" spans="1:11">
      <c r="A2087">
        <v>308.83</v>
      </c>
      <c r="B2087">
        <v>46.06</v>
      </c>
      <c r="C2087">
        <v>50.34</v>
      </c>
      <c r="D2087">
        <v>50.34</v>
      </c>
      <c r="E2087">
        <v>59.06</v>
      </c>
      <c r="F2087">
        <v>61.01</v>
      </c>
      <c r="G2087">
        <v>79.510000000000005</v>
      </c>
      <c r="H2087">
        <v>64.84</v>
      </c>
      <c r="I2087">
        <v>61.28</v>
      </c>
      <c r="J2087">
        <v>120.51</v>
      </c>
      <c r="K2087">
        <v>33.840000000000003</v>
      </c>
    </row>
    <row r="2088" spans="1:11">
      <c r="A2088">
        <v>309</v>
      </c>
      <c r="B2088">
        <v>47.23</v>
      </c>
      <c r="C2088">
        <v>50.34</v>
      </c>
      <c r="D2088">
        <v>50.23</v>
      </c>
      <c r="E2088">
        <v>57.84</v>
      </c>
      <c r="F2088">
        <v>61.51</v>
      </c>
      <c r="G2088">
        <v>79.510000000000005</v>
      </c>
      <c r="H2088">
        <v>65.400000000000006</v>
      </c>
      <c r="I2088">
        <v>61.51</v>
      </c>
      <c r="J2088">
        <v>120.4</v>
      </c>
      <c r="K2088">
        <v>33.840000000000003</v>
      </c>
    </row>
    <row r="2089" spans="1:11">
      <c r="A2089">
        <v>309.17</v>
      </c>
      <c r="B2089">
        <v>48.67</v>
      </c>
      <c r="C2089">
        <v>50.28</v>
      </c>
      <c r="D2089">
        <v>50.23</v>
      </c>
      <c r="E2089">
        <v>58.4</v>
      </c>
      <c r="F2089">
        <v>61.9</v>
      </c>
      <c r="G2089">
        <v>79.45</v>
      </c>
      <c r="H2089">
        <v>66.17</v>
      </c>
      <c r="I2089">
        <v>61.67</v>
      </c>
      <c r="J2089">
        <v>120.4</v>
      </c>
      <c r="K2089">
        <v>33.840000000000003</v>
      </c>
    </row>
    <row r="2090" spans="1:11">
      <c r="A2090">
        <v>309.33</v>
      </c>
      <c r="B2090">
        <v>49.56</v>
      </c>
      <c r="C2090">
        <v>50.12</v>
      </c>
      <c r="D2090">
        <v>50.12</v>
      </c>
      <c r="E2090">
        <v>59.12</v>
      </c>
      <c r="F2090">
        <v>62.34</v>
      </c>
      <c r="G2090">
        <v>79.400000000000006</v>
      </c>
      <c r="H2090">
        <v>66.34</v>
      </c>
      <c r="I2090">
        <v>62.51</v>
      </c>
      <c r="J2090">
        <v>120.28</v>
      </c>
      <c r="K2090">
        <v>33.840000000000003</v>
      </c>
    </row>
    <row r="2091" spans="1:11">
      <c r="A2091">
        <v>309.5</v>
      </c>
      <c r="B2091">
        <v>50.28</v>
      </c>
      <c r="C2091">
        <v>50.01</v>
      </c>
      <c r="D2091">
        <v>50.01</v>
      </c>
      <c r="E2091">
        <v>59.51</v>
      </c>
      <c r="F2091">
        <v>62.62</v>
      </c>
      <c r="G2091">
        <v>79.28</v>
      </c>
      <c r="H2091">
        <v>67.12</v>
      </c>
      <c r="I2091">
        <v>62.23</v>
      </c>
      <c r="J2091">
        <v>120.23</v>
      </c>
      <c r="K2091">
        <v>33.840000000000003</v>
      </c>
    </row>
    <row r="2092" spans="1:11">
      <c r="A2092">
        <v>309.67</v>
      </c>
      <c r="B2092">
        <v>50.9</v>
      </c>
      <c r="C2092">
        <v>50.01</v>
      </c>
      <c r="D2092">
        <v>49.9</v>
      </c>
      <c r="E2092">
        <v>59.34</v>
      </c>
      <c r="F2092">
        <v>62.84</v>
      </c>
      <c r="G2092">
        <v>79.28</v>
      </c>
      <c r="H2092">
        <v>67.400000000000006</v>
      </c>
      <c r="I2092">
        <v>62.4</v>
      </c>
      <c r="J2092">
        <v>120.17</v>
      </c>
      <c r="K2092">
        <v>33.840000000000003</v>
      </c>
    </row>
    <row r="2093" spans="1:11">
      <c r="A2093">
        <v>309.83</v>
      </c>
      <c r="B2093">
        <v>51.95</v>
      </c>
      <c r="C2093">
        <v>50.01</v>
      </c>
      <c r="D2093">
        <v>49.78</v>
      </c>
      <c r="E2093">
        <v>58.95</v>
      </c>
      <c r="F2093">
        <v>63.17</v>
      </c>
      <c r="G2093">
        <v>79.17</v>
      </c>
      <c r="H2093">
        <v>67.23</v>
      </c>
      <c r="I2093">
        <v>62.62</v>
      </c>
      <c r="J2093">
        <v>120.06</v>
      </c>
      <c r="K2093">
        <v>33.840000000000003</v>
      </c>
    </row>
    <row r="2094" spans="1:11">
      <c r="A2094">
        <v>310</v>
      </c>
      <c r="B2094">
        <v>52.73</v>
      </c>
      <c r="C2094">
        <v>49.78</v>
      </c>
      <c r="D2094">
        <v>49.78</v>
      </c>
      <c r="E2094">
        <v>57.95</v>
      </c>
      <c r="F2094">
        <v>63.17</v>
      </c>
      <c r="G2094">
        <v>79.010000000000005</v>
      </c>
      <c r="H2094">
        <v>67.56</v>
      </c>
      <c r="I2094">
        <v>62.17</v>
      </c>
      <c r="J2094">
        <v>120.01</v>
      </c>
      <c r="K2094">
        <v>33.840000000000003</v>
      </c>
    </row>
    <row r="2095" spans="1:11">
      <c r="A2095">
        <v>310.17</v>
      </c>
      <c r="B2095">
        <v>52.84</v>
      </c>
      <c r="C2095">
        <v>49.95</v>
      </c>
      <c r="D2095">
        <v>49.9</v>
      </c>
      <c r="E2095">
        <v>57.67</v>
      </c>
      <c r="F2095">
        <v>63.17</v>
      </c>
      <c r="G2095">
        <v>79.010000000000005</v>
      </c>
      <c r="H2095">
        <v>68.12</v>
      </c>
      <c r="I2095">
        <v>61.9</v>
      </c>
      <c r="J2095">
        <v>119.95</v>
      </c>
      <c r="K2095">
        <v>33.9</v>
      </c>
    </row>
    <row r="2096" spans="1:11">
      <c r="A2096">
        <v>310.33</v>
      </c>
      <c r="B2096">
        <v>52.78</v>
      </c>
      <c r="C2096">
        <v>50.01</v>
      </c>
      <c r="D2096">
        <v>49.9</v>
      </c>
      <c r="E2096">
        <v>57.28</v>
      </c>
      <c r="F2096">
        <v>63.51</v>
      </c>
      <c r="G2096">
        <v>78.900000000000006</v>
      </c>
      <c r="H2096">
        <v>68.010000000000005</v>
      </c>
      <c r="I2096">
        <v>61.4</v>
      </c>
      <c r="J2096">
        <v>119.95</v>
      </c>
      <c r="K2096">
        <v>33.9</v>
      </c>
    </row>
    <row r="2097" spans="1:11">
      <c r="A2097">
        <v>310.5</v>
      </c>
      <c r="B2097">
        <v>53.23</v>
      </c>
      <c r="C2097">
        <v>49.9</v>
      </c>
      <c r="D2097">
        <v>49.9</v>
      </c>
      <c r="E2097">
        <v>56.62</v>
      </c>
      <c r="F2097">
        <v>63.45</v>
      </c>
      <c r="G2097">
        <v>78.84</v>
      </c>
      <c r="H2097">
        <v>68.17</v>
      </c>
      <c r="I2097">
        <v>60.78</v>
      </c>
      <c r="J2097">
        <v>119.9</v>
      </c>
      <c r="K2097">
        <v>33.9</v>
      </c>
    </row>
    <row r="2098" spans="1:11">
      <c r="A2098">
        <v>310.67</v>
      </c>
      <c r="B2098">
        <v>53.78</v>
      </c>
      <c r="C2098">
        <v>50.06</v>
      </c>
      <c r="D2098">
        <v>50.01</v>
      </c>
      <c r="E2098">
        <v>56.56</v>
      </c>
      <c r="F2098">
        <v>63.62</v>
      </c>
      <c r="G2098">
        <v>78.67</v>
      </c>
      <c r="H2098">
        <v>67.67</v>
      </c>
      <c r="I2098">
        <v>61.01</v>
      </c>
      <c r="J2098">
        <v>119.84</v>
      </c>
      <c r="K2098">
        <v>33.9</v>
      </c>
    </row>
    <row r="2099" spans="1:11">
      <c r="A2099">
        <v>310.83</v>
      </c>
      <c r="B2099">
        <v>53.34</v>
      </c>
      <c r="C2099">
        <v>50.23</v>
      </c>
      <c r="D2099">
        <v>50.06</v>
      </c>
      <c r="E2099">
        <v>56.17</v>
      </c>
      <c r="F2099">
        <v>63.28</v>
      </c>
      <c r="G2099">
        <v>78.56</v>
      </c>
      <c r="H2099">
        <v>66.84</v>
      </c>
      <c r="I2099">
        <v>61.51</v>
      </c>
      <c r="J2099">
        <v>119.78</v>
      </c>
      <c r="K2099">
        <v>33.9</v>
      </c>
    </row>
    <row r="2100" spans="1:11">
      <c r="A2100">
        <v>311</v>
      </c>
      <c r="B2100">
        <v>53.06</v>
      </c>
      <c r="C2100">
        <v>50.12</v>
      </c>
      <c r="D2100">
        <v>50.06</v>
      </c>
      <c r="E2100">
        <v>55.51</v>
      </c>
      <c r="F2100">
        <v>62.84</v>
      </c>
      <c r="G2100">
        <v>78.45</v>
      </c>
      <c r="H2100">
        <v>66.12</v>
      </c>
      <c r="I2100">
        <v>61.4</v>
      </c>
      <c r="J2100">
        <v>119.73</v>
      </c>
      <c r="K2100">
        <v>33.9</v>
      </c>
    </row>
    <row r="2101" spans="1:11">
      <c r="A2101">
        <v>311.17</v>
      </c>
      <c r="B2101">
        <v>52.4</v>
      </c>
      <c r="C2101">
        <v>49.45</v>
      </c>
      <c r="D2101">
        <v>49.45</v>
      </c>
      <c r="E2101">
        <v>54.28</v>
      </c>
      <c r="F2101">
        <v>62.67</v>
      </c>
      <c r="G2101">
        <v>78.28</v>
      </c>
      <c r="H2101">
        <v>65.010000000000005</v>
      </c>
      <c r="I2101">
        <v>61.45</v>
      </c>
      <c r="J2101">
        <v>119.62</v>
      </c>
      <c r="K2101">
        <v>33.9</v>
      </c>
    </row>
    <row r="2102" spans="1:11">
      <c r="A2102">
        <v>311.33</v>
      </c>
      <c r="B2102">
        <v>51.17</v>
      </c>
      <c r="C2102">
        <v>49.23</v>
      </c>
      <c r="D2102">
        <v>49.17</v>
      </c>
      <c r="E2102">
        <v>53.34</v>
      </c>
      <c r="F2102">
        <v>62.12</v>
      </c>
      <c r="G2102">
        <v>78.17</v>
      </c>
      <c r="H2102">
        <v>64.45</v>
      </c>
      <c r="I2102">
        <v>62.23</v>
      </c>
      <c r="J2102">
        <v>119.62</v>
      </c>
      <c r="K2102">
        <v>33.9</v>
      </c>
    </row>
    <row r="2103" spans="1:11">
      <c r="A2103">
        <v>311.5</v>
      </c>
      <c r="B2103">
        <v>50.28</v>
      </c>
      <c r="C2103">
        <v>49.45</v>
      </c>
      <c r="D2103">
        <v>49.23</v>
      </c>
      <c r="E2103">
        <v>53.12</v>
      </c>
      <c r="F2103">
        <v>61.06</v>
      </c>
      <c r="G2103">
        <v>78.17</v>
      </c>
      <c r="H2103">
        <v>64.67</v>
      </c>
      <c r="I2103">
        <v>62.84</v>
      </c>
      <c r="J2103">
        <v>119.67</v>
      </c>
      <c r="K2103">
        <v>33.9</v>
      </c>
    </row>
    <row r="2104" spans="1:11">
      <c r="A2104">
        <v>311.67</v>
      </c>
      <c r="B2104">
        <v>49.51</v>
      </c>
      <c r="C2104">
        <v>49.17</v>
      </c>
      <c r="D2104">
        <v>49.17</v>
      </c>
      <c r="E2104">
        <v>53.06</v>
      </c>
      <c r="F2104">
        <v>61.28</v>
      </c>
      <c r="G2104">
        <v>78.23</v>
      </c>
      <c r="H2104">
        <v>65.45</v>
      </c>
      <c r="I2104">
        <v>63.73</v>
      </c>
      <c r="J2104">
        <v>119.62</v>
      </c>
      <c r="K2104">
        <v>33.9</v>
      </c>
    </row>
    <row r="2105" spans="1:11">
      <c r="A2105">
        <v>311.83</v>
      </c>
      <c r="B2105">
        <v>48.23</v>
      </c>
      <c r="C2105">
        <v>48.84</v>
      </c>
      <c r="D2105">
        <v>48.9</v>
      </c>
      <c r="E2105">
        <v>52.45</v>
      </c>
      <c r="F2105">
        <v>61.67</v>
      </c>
      <c r="G2105">
        <v>78.17</v>
      </c>
      <c r="H2105">
        <v>66.17</v>
      </c>
      <c r="I2105">
        <v>64.34</v>
      </c>
      <c r="J2105">
        <v>119.45</v>
      </c>
      <c r="K2105">
        <v>33.9</v>
      </c>
    </row>
    <row r="2106" spans="1:11">
      <c r="A2106">
        <v>312</v>
      </c>
      <c r="B2106">
        <v>47.17</v>
      </c>
      <c r="C2106">
        <v>48.34</v>
      </c>
      <c r="D2106">
        <v>48.34</v>
      </c>
      <c r="E2106">
        <v>51.73</v>
      </c>
      <c r="F2106">
        <v>62.17</v>
      </c>
      <c r="G2106">
        <v>78.23</v>
      </c>
      <c r="H2106">
        <v>66.73</v>
      </c>
      <c r="I2106">
        <v>65.23</v>
      </c>
      <c r="J2106">
        <v>119.51</v>
      </c>
      <c r="K2106">
        <v>33.9</v>
      </c>
    </row>
    <row r="2107" spans="1:11">
      <c r="A2107">
        <v>312.17</v>
      </c>
      <c r="B2107">
        <v>45.45</v>
      </c>
      <c r="C2107">
        <v>47.84</v>
      </c>
      <c r="D2107">
        <v>47.84</v>
      </c>
      <c r="E2107">
        <v>51.4</v>
      </c>
      <c r="F2107">
        <v>62.62</v>
      </c>
      <c r="G2107">
        <v>78.23</v>
      </c>
      <c r="H2107">
        <v>67.56</v>
      </c>
      <c r="I2107">
        <v>66.17</v>
      </c>
      <c r="J2107">
        <v>119.34</v>
      </c>
      <c r="K2107">
        <v>33.9</v>
      </c>
    </row>
    <row r="2108" spans="1:11">
      <c r="A2108">
        <v>312.33</v>
      </c>
      <c r="B2108">
        <v>44.06</v>
      </c>
      <c r="C2108">
        <v>47.45</v>
      </c>
      <c r="D2108">
        <v>47.51</v>
      </c>
      <c r="E2108">
        <v>50.62</v>
      </c>
      <c r="F2108">
        <v>62.9</v>
      </c>
      <c r="G2108">
        <v>78.28</v>
      </c>
      <c r="H2108">
        <v>68.510000000000005</v>
      </c>
      <c r="I2108">
        <v>67.06</v>
      </c>
      <c r="J2108">
        <v>119.34</v>
      </c>
      <c r="K2108">
        <v>33.950000000000003</v>
      </c>
    </row>
    <row r="2109" spans="1:11">
      <c r="A2109">
        <v>312.5</v>
      </c>
      <c r="B2109">
        <v>42.67</v>
      </c>
      <c r="C2109">
        <v>47.23</v>
      </c>
      <c r="D2109">
        <v>47.17</v>
      </c>
      <c r="E2109">
        <v>49.73</v>
      </c>
      <c r="F2109">
        <v>63.4</v>
      </c>
      <c r="G2109">
        <v>78.400000000000006</v>
      </c>
      <c r="H2109">
        <v>69.010000000000005</v>
      </c>
      <c r="I2109">
        <v>67.95</v>
      </c>
      <c r="J2109">
        <v>119.28</v>
      </c>
      <c r="K2109">
        <v>33.950000000000003</v>
      </c>
    </row>
    <row r="2110" spans="1:11">
      <c r="A2110">
        <v>312.67</v>
      </c>
      <c r="B2110">
        <v>41.73</v>
      </c>
      <c r="C2110">
        <v>46.95</v>
      </c>
      <c r="D2110">
        <v>46.95</v>
      </c>
      <c r="E2110">
        <v>48.9</v>
      </c>
      <c r="F2110">
        <v>63.56</v>
      </c>
      <c r="G2110">
        <v>78.400000000000006</v>
      </c>
      <c r="H2110">
        <v>70.010000000000005</v>
      </c>
      <c r="I2110">
        <v>68.67</v>
      </c>
      <c r="J2110">
        <v>119.17</v>
      </c>
      <c r="K2110">
        <v>33.950000000000003</v>
      </c>
    </row>
    <row r="2111" spans="1:11">
      <c r="A2111">
        <v>312.83</v>
      </c>
      <c r="B2111">
        <v>40.9</v>
      </c>
      <c r="C2111">
        <v>46.51</v>
      </c>
      <c r="D2111">
        <v>46.62</v>
      </c>
      <c r="E2111">
        <v>48.23</v>
      </c>
      <c r="F2111">
        <v>64.06</v>
      </c>
      <c r="G2111">
        <v>78.62</v>
      </c>
      <c r="H2111">
        <v>70.62</v>
      </c>
      <c r="I2111">
        <v>69.67</v>
      </c>
      <c r="J2111">
        <v>119.17</v>
      </c>
      <c r="K2111">
        <v>33.950000000000003</v>
      </c>
    </row>
    <row r="2112" spans="1:11">
      <c r="A2112">
        <v>313</v>
      </c>
      <c r="B2112">
        <v>40.119999999999997</v>
      </c>
      <c r="C2112">
        <v>46.17</v>
      </c>
      <c r="D2112">
        <v>46.17</v>
      </c>
      <c r="E2112">
        <v>47.62</v>
      </c>
      <c r="F2112">
        <v>64.45</v>
      </c>
      <c r="G2112">
        <v>78.73</v>
      </c>
      <c r="H2112">
        <v>71.62</v>
      </c>
      <c r="I2112">
        <v>70.28</v>
      </c>
      <c r="J2112">
        <v>119.12</v>
      </c>
      <c r="K2112">
        <v>33.950000000000003</v>
      </c>
    </row>
    <row r="2113" spans="1:11">
      <c r="A2113">
        <v>313.17</v>
      </c>
      <c r="B2113">
        <v>39.51</v>
      </c>
      <c r="C2113">
        <v>45.78</v>
      </c>
      <c r="D2113">
        <v>45.78</v>
      </c>
      <c r="E2113">
        <v>46.9</v>
      </c>
      <c r="F2113">
        <v>64.73</v>
      </c>
      <c r="G2113">
        <v>78.84</v>
      </c>
      <c r="H2113">
        <v>72.28</v>
      </c>
      <c r="I2113">
        <v>71.12</v>
      </c>
      <c r="J2113">
        <v>119.01</v>
      </c>
      <c r="K2113">
        <v>33.950000000000003</v>
      </c>
    </row>
    <row r="2114" spans="1:11">
      <c r="A2114">
        <v>313.33</v>
      </c>
      <c r="B2114">
        <v>39.01</v>
      </c>
      <c r="C2114">
        <v>45.56</v>
      </c>
      <c r="D2114">
        <v>45.56</v>
      </c>
      <c r="E2114">
        <v>46.56</v>
      </c>
      <c r="F2114">
        <v>65.010000000000005</v>
      </c>
      <c r="G2114">
        <v>78.95</v>
      </c>
      <c r="H2114">
        <v>73.17</v>
      </c>
      <c r="I2114">
        <v>72.06</v>
      </c>
      <c r="J2114">
        <v>119.01</v>
      </c>
      <c r="K2114">
        <v>34.01</v>
      </c>
    </row>
    <row r="2115" spans="1:11">
      <c r="A2115">
        <v>313.5</v>
      </c>
      <c r="B2115">
        <v>38.840000000000003</v>
      </c>
      <c r="C2115">
        <v>45.34</v>
      </c>
      <c r="D2115">
        <v>45.4</v>
      </c>
      <c r="E2115">
        <v>46.28</v>
      </c>
      <c r="F2115">
        <v>65.23</v>
      </c>
      <c r="G2115">
        <v>79.17</v>
      </c>
      <c r="H2115">
        <v>73.78</v>
      </c>
      <c r="I2115">
        <v>73.010000000000005</v>
      </c>
      <c r="J2115">
        <v>119.01</v>
      </c>
      <c r="K2115">
        <v>34.01</v>
      </c>
    </row>
    <row r="2116" spans="1:11">
      <c r="A2116">
        <v>313.67</v>
      </c>
      <c r="B2116">
        <v>38.78</v>
      </c>
      <c r="C2116">
        <v>45.23</v>
      </c>
      <c r="D2116">
        <v>45.17</v>
      </c>
      <c r="E2116">
        <v>45.78</v>
      </c>
      <c r="F2116">
        <v>65.400000000000006</v>
      </c>
      <c r="G2116">
        <v>79.400000000000006</v>
      </c>
      <c r="H2116">
        <v>74.400000000000006</v>
      </c>
      <c r="I2116">
        <v>73.73</v>
      </c>
      <c r="J2116">
        <v>118.9</v>
      </c>
      <c r="K2116">
        <v>34.01</v>
      </c>
    </row>
    <row r="2117" spans="1:11">
      <c r="A2117">
        <v>313.83</v>
      </c>
      <c r="B2117">
        <v>38.950000000000003</v>
      </c>
      <c r="C2117">
        <v>45.23</v>
      </c>
      <c r="D2117">
        <v>45.17</v>
      </c>
      <c r="E2117">
        <v>45.28</v>
      </c>
      <c r="F2117">
        <v>65.62</v>
      </c>
      <c r="G2117">
        <v>79.510000000000005</v>
      </c>
      <c r="H2117">
        <v>74.67</v>
      </c>
      <c r="I2117">
        <v>74.06</v>
      </c>
      <c r="J2117">
        <v>118.73</v>
      </c>
      <c r="K2117">
        <v>34.01</v>
      </c>
    </row>
    <row r="2118" spans="1:11">
      <c r="A2118">
        <v>314</v>
      </c>
      <c r="B2118">
        <v>38.729999999999997</v>
      </c>
      <c r="C2118">
        <v>45.17</v>
      </c>
      <c r="D2118">
        <v>45.06</v>
      </c>
      <c r="E2118">
        <v>44.95</v>
      </c>
      <c r="F2118">
        <v>65.78</v>
      </c>
      <c r="G2118">
        <v>79.78</v>
      </c>
      <c r="H2118">
        <v>75.400000000000006</v>
      </c>
      <c r="I2118">
        <v>74.56</v>
      </c>
      <c r="J2118">
        <v>118.78</v>
      </c>
      <c r="K2118">
        <v>34.01</v>
      </c>
    </row>
    <row r="2119" spans="1:11">
      <c r="A2119">
        <v>314.17</v>
      </c>
      <c r="B2119">
        <v>38.56</v>
      </c>
      <c r="C2119">
        <v>45.17</v>
      </c>
      <c r="D2119">
        <v>45.12</v>
      </c>
      <c r="E2119">
        <v>44.62</v>
      </c>
      <c r="F2119">
        <v>65.95</v>
      </c>
      <c r="G2119">
        <v>79.84</v>
      </c>
      <c r="H2119">
        <v>75.900000000000006</v>
      </c>
      <c r="I2119">
        <v>75.17</v>
      </c>
      <c r="J2119">
        <v>118.67</v>
      </c>
      <c r="K2119">
        <v>34.01</v>
      </c>
    </row>
    <row r="2120" spans="1:11">
      <c r="A2120">
        <v>314.33</v>
      </c>
      <c r="B2120">
        <v>38.340000000000003</v>
      </c>
      <c r="C2120">
        <v>45.28</v>
      </c>
      <c r="D2120">
        <v>45.17</v>
      </c>
      <c r="E2120">
        <v>44.34</v>
      </c>
      <c r="F2120">
        <v>66.06</v>
      </c>
      <c r="G2120">
        <v>80.12</v>
      </c>
      <c r="H2120">
        <v>76.34</v>
      </c>
      <c r="I2120">
        <v>75.400000000000006</v>
      </c>
      <c r="J2120">
        <v>118.67</v>
      </c>
      <c r="K2120">
        <v>34.01</v>
      </c>
    </row>
    <row r="2121" spans="1:11">
      <c r="A2121">
        <v>314.5</v>
      </c>
      <c r="B2121">
        <v>38.119999999999997</v>
      </c>
      <c r="C2121">
        <v>45.34</v>
      </c>
      <c r="D2121">
        <v>45.17</v>
      </c>
      <c r="E2121">
        <v>44.45</v>
      </c>
      <c r="F2121">
        <v>66.510000000000005</v>
      </c>
      <c r="G2121">
        <v>80.28</v>
      </c>
      <c r="H2121">
        <v>76.95</v>
      </c>
      <c r="I2121">
        <v>75.62</v>
      </c>
      <c r="J2121">
        <v>118.62</v>
      </c>
      <c r="K2121">
        <v>34.01</v>
      </c>
    </row>
    <row r="2122" spans="1:11">
      <c r="A2122">
        <v>314.67</v>
      </c>
      <c r="B2122">
        <v>37.950000000000003</v>
      </c>
      <c r="C2122">
        <v>45.34</v>
      </c>
      <c r="D2122">
        <v>45.28</v>
      </c>
      <c r="E2122">
        <v>44.62</v>
      </c>
      <c r="F2122">
        <v>66.84</v>
      </c>
      <c r="G2122">
        <v>80.510000000000005</v>
      </c>
      <c r="H2122">
        <v>77.010000000000005</v>
      </c>
      <c r="I2122">
        <v>76.12</v>
      </c>
      <c r="J2122">
        <v>118.45</v>
      </c>
      <c r="K2122">
        <v>34.01</v>
      </c>
    </row>
    <row r="2123" spans="1:11">
      <c r="A2123">
        <v>314.83</v>
      </c>
      <c r="B2123">
        <v>37.840000000000003</v>
      </c>
      <c r="C2123">
        <v>45.23</v>
      </c>
      <c r="D2123">
        <v>45.17</v>
      </c>
      <c r="E2123">
        <v>44.45</v>
      </c>
      <c r="F2123">
        <v>67.06</v>
      </c>
      <c r="G2123">
        <v>80.67</v>
      </c>
      <c r="H2123">
        <v>77.45</v>
      </c>
      <c r="I2123">
        <v>76.510000000000005</v>
      </c>
      <c r="J2123">
        <v>118.4</v>
      </c>
      <c r="K2123">
        <v>34.01</v>
      </c>
    </row>
    <row r="2124" spans="1:11">
      <c r="A2124">
        <v>315</v>
      </c>
      <c r="B2124">
        <v>37.28</v>
      </c>
      <c r="C2124">
        <v>45.01</v>
      </c>
      <c r="D2124">
        <v>45.01</v>
      </c>
      <c r="E2124">
        <v>44.28</v>
      </c>
      <c r="F2124">
        <v>67.23</v>
      </c>
      <c r="G2124">
        <v>80.900000000000006</v>
      </c>
      <c r="H2124">
        <v>77.56</v>
      </c>
      <c r="I2124">
        <v>76.95</v>
      </c>
      <c r="J2124">
        <v>118.34</v>
      </c>
      <c r="K2124">
        <v>34.01</v>
      </c>
    </row>
    <row r="2125" spans="1:11">
      <c r="A2125">
        <v>315.17</v>
      </c>
      <c r="B2125">
        <v>36.950000000000003</v>
      </c>
      <c r="C2125">
        <v>44.9</v>
      </c>
      <c r="D2125">
        <v>44.84</v>
      </c>
      <c r="E2125">
        <v>43.9</v>
      </c>
      <c r="F2125">
        <v>67.400000000000006</v>
      </c>
      <c r="G2125">
        <v>81.06</v>
      </c>
      <c r="H2125">
        <v>77.900000000000006</v>
      </c>
      <c r="I2125">
        <v>77.17</v>
      </c>
      <c r="J2125">
        <v>118.34</v>
      </c>
      <c r="K2125">
        <v>34.01</v>
      </c>
    </row>
    <row r="2126" spans="1:11">
      <c r="A2126">
        <v>315.33</v>
      </c>
      <c r="B2126">
        <v>36.450000000000003</v>
      </c>
      <c r="C2126">
        <v>44.84</v>
      </c>
      <c r="D2126">
        <v>44.78</v>
      </c>
      <c r="E2126">
        <v>43.62</v>
      </c>
      <c r="F2126">
        <v>67.62</v>
      </c>
      <c r="G2126">
        <v>81.23</v>
      </c>
      <c r="H2126">
        <v>78.67</v>
      </c>
      <c r="I2126">
        <v>77.34</v>
      </c>
      <c r="J2126">
        <v>118.23</v>
      </c>
      <c r="K2126">
        <v>34.06</v>
      </c>
    </row>
    <row r="2127" spans="1:11">
      <c r="A2127">
        <v>315.5</v>
      </c>
      <c r="B2127">
        <v>36.119999999999997</v>
      </c>
      <c r="C2127">
        <v>44.84</v>
      </c>
      <c r="D2127">
        <v>44.78</v>
      </c>
      <c r="E2127">
        <v>43.34</v>
      </c>
      <c r="F2127">
        <v>67.95</v>
      </c>
      <c r="G2127">
        <v>81.34</v>
      </c>
      <c r="H2127">
        <v>78.78</v>
      </c>
      <c r="I2127">
        <v>77.84</v>
      </c>
      <c r="J2127">
        <v>118.23</v>
      </c>
      <c r="K2127">
        <v>34.06</v>
      </c>
    </row>
    <row r="2128" spans="1:11">
      <c r="A2128">
        <v>315.67</v>
      </c>
      <c r="B2128">
        <v>35.950000000000003</v>
      </c>
      <c r="C2128">
        <v>44.78</v>
      </c>
      <c r="D2128">
        <v>44.73</v>
      </c>
      <c r="E2128">
        <v>43.34</v>
      </c>
      <c r="F2128">
        <v>68.17</v>
      </c>
      <c r="G2128">
        <v>81.45</v>
      </c>
      <c r="H2128">
        <v>78.62</v>
      </c>
      <c r="I2128">
        <v>78.12</v>
      </c>
      <c r="J2128">
        <v>118.12</v>
      </c>
      <c r="K2128">
        <v>34.06</v>
      </c>
    </row>
    <row r="2129" spans="1:11">
      <c r="A2129">
        <v>315.83</v>
      </c>
      <c r="B2129">
        <v>35.9</v>
      </c>
      <c r="C2129">
        <v>44.67</v>
      </c>
      <c r="D2129">
        <v>44.56</v>
      </c>
      <c r="E2129">
        <v>43.34</v>
      </c>
      <c r="F2129">
        <v>68.400000000000006</v>
      </c>
      <c r="G2129">
        <v>81.56</v>
      </c>
      <c r="H2129">
        <v>78.78</v>
      </c>
      <c r="I2129">
        <v>78.45</v>
      </c>
      <c r="J2129">
        <v>118.06</v>
      </c>
      <c r="K2129">
        <v>34.06</v>
      </c>
    </row>
    <row r="2130" spans="1:11">
      <c r="A2130">
        <v>316</v>
      </c>
      <c r="B2130">
        <v>35.9</v>
      </c>
      <c r="C2130">
        <v>44.56</v>
      </c>
      <c r="D2130">
        <v>44.45</v>
      </c>
      <c r="E2130">
        <v>43.62</v>
      </c>
      <c r="F2130">
        <v>68.510000000000005</v>
      </c>
      <c r="G2130">
        <v>81.67</v>
      </c>
      <c r="H2130">
        <v>79.12</v>
      </c>
      <c r="I2130">
        <v>78.56</v>
      </c>
      <c r="J2130">
        <v>118.01</v>
      </c>
      <c r="K2130">
        <v>34.06</v>
      </c>
    </row>
    <row r="2131" spans="1:11">
      <c r="A2131">
        <v>316.17</v>
      </c>
      <c r="B2131">
        <v>36.06</v>
      </c>
      <c r="C2131">
        <v>44.56</v>
      </c>
      <c r="D2131">
        <v>44.45</v>
      </c>
      <c r="E2131">
        <v>43.9</v>
      </c>
      <c r="F2131">
        <v>68.62</v>
      </c>
      <c r="G2131">
        <v>81.78</v>
      </c>
      <c r="H2131">
        <v>79.400000000000006</v>
      </c>
      <c r="I2131">
        <v>78.73</v>
      </c>
      <c r="J2131">
        <v>117.95</v>
      </c>
      <c r="K2131">
        <v>34.06</v>
      </c>
    </row>
    <row r="2132" spans="1:11">
      <c r="A2132">
        <v>316.33</v>
      </c>
      <c r="B2132">
        <v>36.51</v>
      </c>
      <c r="C2132">
        <v>44.84</v>
      </c>
      <c r="D2132">
        <v>44.67</v>
      </c>
      <c r="E2132">
        <v>44.17</v>
      </c>
      <c r="F2132">
        <v>68.67</v>
      </c>
      <c r="G2132">
        <v>81.900000000000006</v>
      </c>
      <c r="H2132">
        <v>79.67</v>
      </c>
      <c r="I2132">
        <v>79.12</v>
      </c>
      <c r="J2132">
        <v>118.01</v>
      </c>
      <c r="K2132">
        <v>34.06</v>
      </c>
    </row>
    <row r="2133" spans="1:11">
      <c r="A2133">
        <v>316.5</v>
      </c>
      <c r="B2133">
        <v>37.119999999999997</v>
      </c>
      <c r="C2133">
        <v>45.34</v>
      </c>
      <c r="D2133">
        <v>45.17</v>
      </c>
      <c r="E2133">
        <v>44.4</v>
      </c>
      <c r="F2133">
        <v>68.67</v>
      </c>
      <c r="G2133">
        <v>81.900000000000006</v>
      </c>
      <c r="H2133">
        <v>79.78</v>
      </c>
      <c r="I2133">
        <v>79.17</v>
      </c>
      <c r="J2133">
        <v>117.84</v>
      </c>
      <c r="K2133">
        <v>34.06</v>
      </c>
    </row>
    <row r="2134" spans="1:11">
      <c r="A2134">
        <v>316.67</v>
      </c>
      <c r="B2134">
        <v>37.17</v>
      </c>
      <c r="C2134">
        <v>45.56</v>
      </c>
      <c r="D2134">
        <v>45.45</v>
      </c>
      <c r="E2134">
        <v>44.45</v>
      </c>
      <c r="F2134">
        <v>68.95</v>
      </c>
      <c r="G2134">
        <v>82.12</v>
      </c>
      <c r="H2134">
        <v>80.28</v>
      </c>
      <c r="I2134">
        <v>79.17</v>
      </c>
      <c r="J2134">
        <v>117.73</v>
      </c>
      <c r="K2134">
        <v>34.06</v>
      </c>
    </row>
    <row r="2135" spans="1:11">
      <c r="A2135">
        <v>316.83</v>
      </c>
      <c r="B2135">
        <v>37.450000000000003</v>
      </c>
      <c r="C2135">
        <v>45.56</v>
      </c>
      <c r="D2135">
        <v>45.51</v>
      </c>
      <c r="E2135">
        <v>44.9</v>
      </c>
      <c r="F2135">
        <v>69.12</v>
      </c>
      <c r="G2135">
        <v>82.17</v>
      </c>
      <c r="H2135">
        <v>79.900000000000006</v>
      </c>
      <c r="I2135">
        <v>79.400000000000006</v>
      </c>
      <c r="J2135">
        <v>117.73</v>
      </c>
      <c r="K2135">
        <v>34.06</v>
      </c>
    </row>
    <row r="2136" spans="1:11">
      <c r="A2136">
        <v>317</v>
      </c>
      <c r="B2136">
        <v>37.619999999999997</v>
      </c>
      <c r="C2136">
        <v>45.45</v>
      </c>
      <c r="D2136">
        <v>45.4</v>
      </c>
      <c r="E2136">
        <v>44.56</v>
      </c>
      <c r="F2136">
        <v>69.23</v>
      </c>
      <c r="G2136">
        <v>82.28</v>
      </c>
      <c r="H2136">
        <v>80.400000000000006</v>
      </c>
      <c r="I2136">
        <v>79.900000000000006</v>
      </c>
      <c r="J2136">
        <v>117.67</v>
      </c>
      <c r="K2136">
        <v>34.119999999999997</v>
      </c>
    </row>
    <row r="2137" spans="1:11">
      <c r="A2137">
        <v>317.17</v>
      </c>
      <c r="B2137">
        <v>38.01</v>
      </c>
      <c r="C2137">
        <v>45.45</v>
      </c>
      <c r="D2137">
        <v>45.34</v>
      </c>
      <c r="E2137">
        <v>44.4</v>
      </c>
      <c r="F2137">
        <v>69.34</v>
      </c>
      <c r="G2137">
        <v>82.45</v>
      </c>
      <c r="H2137">
        <v>80.78</v>
      </c>
      <c r="I2137">
        <v>80.06</v>
      </c>
      <c r="J2137">
        <v>117.62</v>
      </c>
      <c r="K2137">
        <v>34.119999999999997</v>
      </c>
    </row>
    <row r="2138" spans="1:11">
      <c r="A2138">
        <v>317.33</v>
      </c>
      <c r="B2138">
        <v>38.229999999999997</v>
      </c>
      <c r="C2138">
        <v>45.45</v>
      </c>
      <c r="D2138">
        <v>45.34</v>
      </c>
      <c r="E2138">
        <v>44.62</v>
      </c>
      <c r="F2138">
        <v>69.62</v>
      </c>
      <c r="G2138">
        <v>82.62</v>
      </c>
      <c r="H2138">
        <v>81.34</v>
      </c>
      <c r="I2138">
        <v>80.28</v>
      </c>
      <c r="J2138">
        <v>117.56</v>
      </c>
      <c r="K2138">
        <v>34.119999999999997</v>
      </c>
    </row>
    <row r="2139" spans="1:11">
      <c r="A2139">
        <v>317.5</v>
      </c>
      <c r="B2139">
        <v>38.450000000000003</v>
      </c>
      <c r="C2139">
        <v>45.23</v>
      </c>
      <c r="D2139">
        <v>45.17</v>
      </c>
      <c r="E2139">
        <v>44.45</v>
      </c>
      <c r="F2139">
        <v>69.62</v>
      </c>
      <c r="G2139">
        <v>82.73</v>
      </c>
      <c r="H2139">
        <v>81.95</v>
      </c>
      <c r="I2139">
        <v>80.67</v>
      </c>
      <c r="J2139">
        <v>117.56</v>
      </c>
      <c r="K2139">
        <v>34.119999999999997</v>
      </c>
    </row>
    <row r="2140" spans="1:11">
      <c r="A2140">
        <v>317.67</v>
      </c>
      <c r="B2140">
        <v>38.06</v>
      </c>
      <c r="C2140">
        <v>44.95</v>
      </c>
      <c r="D2140">
        <v>45.01</v>
      </c>
      <c r="E2140">
        <v>44.01</v>
      </c>
      <c r="F2140">
        <v>69.73</v>
      </c>
      <c r="G2140">
        <v>82.9</v>
      </c>
      <c r="H2140">
        <v>82.34</v>
      </c>
      <c r="I2140">
        <v>81.06</v>
      </c>
      <c r="J2140">
        <v>117.56</v>
      </c>
      <c r="K2140">
        <v>34.119999999999997</v>
      </c>
    </row>
    <row r="2141" spans="1:11">
      <c r="A2141">
        <v>317.83</v>
      </c>
      <c r="B2141">
        <v>37.51</v>
      </c>
      <c r="C2141">
        <v>44.73</v>
      </c>
      <c r="D2141">
        <v>44.78</v>
      </c>
      <c r="E2141">
        <v>43.62</v>
      </c>
      <c r="F2141">
        <v>69.900000000000006</v>
      </c>
      <c r="G2141">
        <v>83.01</v>
      </c>
      <c r="H2141">
        <v>82.73</v>
      </c>
      <c r="I2141">
        <v>81.12</v>
      </c>
      <c r="J2141">
        <v>117.45</v>
      </c>
      <c r="K2141">
        <v>34.119999999999997</v>
      </c>
    </row>
    <row r="2142" spans="1:11">
      <c r="A2142">
        <v>318</v>
      </c>
      <c r="B2142">
        <v>36.729999999999997</v>
      </c>
      <c r="C2142">
        <v>44.51</v>
      </c>
      <c r="D2142">
        <v>44.45</v>
      </c>
      <c r="E2142">
        <v>43.06</v>
      </c>
      <c r="F2142">
        <v>69.84</v>
      </c>
      <c r="G2142">
        <v>83.06</v>
      </c>
      <c r="H2142">
        <v>82.95</v>
      </c>
      <c r="I2142">
        <v>81.400000000000006</v>
      </c>
      <c r="J2142">
        <v>117.28</v>
      </c>
      <c r="K2142">
        <v>34.119999999999997</v>
      </c>
    </row>
    <row r="2143" spans="1:11">
      <c r="A2143">
        <v>318.17</v>
      </c>
      <c r="B2143">
        <v>36.56</v>
      </c>
      <c r="C2143">
        <v>44.23</v>
      </c>
      <c r="D2143">
        <v>44.28</v>
      </c>
      <c r="E2143">
        <v>42.73</v>
      </c>
      <c r="F2143">
        <v>69.95</v>
      </c>
      <c r="G2143">
        <v>83.23</v>
      </c>
      <c r="H2143">
        <v>83.23</v>
      </c>
      <c r="I2143">
        <v>81.73</v>
      </c>
      <c r="J2143">
        <v>117.4</v>
      </c>
      <c r="K2143">
        <v>34.119999999999997</v>
      </c>
    </row>
    <row r="2144" spans="1:11">
      <c r="A2144">
        <v>318.33</v>
      </c>
      <c r="B2144">
        <v>36.229999999999997</v>
      </c>
      <c r="C2144">
        <v>43.84</v>
      </c>
      <c r="D2144">
        <v>43.84</v>
      </c>
      <c r="E2144">
        <v>42.45</v>
      </c>
      <c r="F2144">
        <v>70.010000000000005</v>
      </c>
      <c r="G2144">
        <v>83.4</v>
      </c>
      <c r="H2144">
        <v>83.34</v>
      </c>
      <c r="I2144">
        <v>82.01</v>
      </c>
      <c r="J2144">
        <v>117.34</v>
      </c>
      <c r="K2144">
        <v>34.119999999999997</v>
      </c>
    </row>
    <row r="2145" spans="1:11">
      <c r="A2145">
        <v>318.5</v>
      </c>
      <c r="B2145">
        <v>36.229999999999997</v>
      </c>
      <c r="C2145">
        <v>43.9</v>
      </c>
      <c r="D2145">
        <v>43.73</v>
      </c>
      <c r="E2145">
        <v>43.23</v>
      </c>
      <c r="F2145">
        <v>70.17</v>
      </c>
      <c r="G2145">
        <v>83.45</v>
      </c>
      <c r="H2145">
        <v>83.4</v>
      </c>
      <c r="I2145">
        <v>82.06</v>
      </c>
      <c r="J2145">
        <v>117.23</v>
      </c>
      <c r="K2145">
        <v>34.119999999999997</v>
      </c>
    </row>
    <row r="2146" spans="1:11">
      <c r="A2146">
        <v>318.67</v>
      </c>
      <c r="B2146">
        <v>36.840000000000003</v>
      </c>
      <c r="C2146">
        <v>43.84</v>
      </c>
      <c r="D2146">
        <v>43.67</v>
      </c>
      <c r="E2146">
        <v>43.34</v>
      </c>
      <c r="F2146">
        <v>70.400000000000006</v>
      </c>
      <c r="G2146">
        <v>83.56</v>
      </c>
      <c r="H2146">
        <v>83.62</v>
      </c>
      <c r="I2146">
        <v>82.28</v>
      </c>
      <c r="J2146">
        <v>117.23</v>
      </c>
      <c r="K2146">
        <v>34.119999999999997</v>
      </c>
    </row>
    <row r="2147" spans="1:11">
      <c r="A2147">
        <v>318.83</v>
      </c>
      <c r="B2147">
        <v>37.51</v>
      </c>
      <c r="C2147">
        <v>43.78</v>
      </c>
      <c r="D2147">
        <v>43.56</v>
      </c>
      <c r="E2147">
        <v>43.45</v>
      </c>
      <c r="F2147">
        <v>70.510000000000005</v>
      </c>
      <c r="G2147">
        <v>83.62</v>
      </c>
      <c r="H2147">
        <v>83.4</v>
      </c>
      <c r="I2147">
        <v>82.01</v>
      </c>
      <c r="J2147">
        <v>117.12</v>
      </c>
      <c r="K2147">
        <v>34.119999999999997</v>
      </c>
    </row>
    <row r="2148" spans="1:11">
      <c r="A2148">
        <v>319</v>
      </c>
      <c r="B2148">
        <v>38.01</v>
      </c>
      <c r="C2148">
        <v>44.67</v>
      </c>
      <c r="D2148">
        <v>44.34</v>
      </c>
      <c r="E2148">
        <v>43.78</v>
      </c>
      <c r="F2148">
        <v>70.73</v>
      </c>
      <c r="G2148">
        <v>83.84</v>
      </c>
      <c r="H2148">
        <v>83.56</v>
      </c>
      <c r="I2148">
        <v>81.900000000000006</v>
      </c>
      <c r="J2148">
        <v>117.12</v>
      </c>
      <c r="K2148">
        <v>34.119999999999997</v>
      </c>
    </row>
    <row r="2149" spans="1:11">
      <c r="A2149">
        <v>319.17</v>
      </c>
      <c r="B2149">
        <v>37.9</v>
      </c>
      <c r="C2149">
        <v>44.78</v>
      </c>
      <c r="D2149">
        <v>44.62</v>
      </c>
      <c r="E2149">
        <v>44.17</v>
      </c>
      <c r="F2149">
        <v>70.900000000000006</v>
      </c>
      <c r="G2149">
        <v>83.9</v>
      </c>
      <c r="H2149">
        <v>83.84</v>
      </c>
      <c r="I2149">
        <v>82.06</v>
      </c>
      <c r="J2149">
        <v>117.06</v>
      </c>
      <c r="K2149">
        <v>34.17</v>
      </c>
    </row>
    <row r="2150" spans="1:11">
      <c r="A2150">
        <v>319.33</v>
      </c>
      <c r="B2150">
        <v>37.229999999999997</v>
      </c>
      <c r="C2150">
        <v>44.45</v>
      </c>
      <c r="D2150">
        <v>44.4</v>
      </c>
      <c r="E2150">
        <v>44.34</v>
      </c>
      <c r="F2150">
        <v>70.95</v>
      </c>
      <c r="G2150">
        <v>84.01</v>
      </c>
      <c r="H2150">
        <v>84.01</v>
      </c>
      <c r="I2150">
        <v>81.95</v>
      </c>
      <c r="J2150">
        <v>116.95</v>
      </c>
      <c r="K2150">
        <v>34.17</v>
      </c>
    </row>
    <row r="2151" spans="1:11">
      <c r="A2151">
        <v>319.5</v>
      </c>
      <c r="B2151">
        <v>38.01</v>
      </c>
      <c r="C2151">
        <v>44.9</v>
      </c>
      <c r="D2151">
        <v>44.73</v>
      </c>
      <c r="E2151">
        <v>45.06</v>
      </c>
      <c r="F2151">
        <v>71.12</v>
      </c>
      <c r="G2151">
        <v>84.17</v>
      </c>
      <c r="H2151">
        <v>84.34</v>
      </c>
      <c r="I2151">
        <v>81.900000000000006</v>
      </c>
      <c r="J2151">
        <v>116.95</v>
      </c>
      <c r="K2151">
        <v>34.17</v>
      </c>
    </row>
    <row r="2152" spans="1:11">
      <c r="A2152">
        <v>319.67</v>
      </c>
      <c r="B2152">
        <v>38.17</v>
      </c>
      <c r="C2152">
        <v>44.4</v>
      </c>
      <c r="D2152">
        <v>44.45</v>
      </c>
      <c r="E2152">
        <v>45.45</v>
      </c>
      <c r="F2152">
        <v>71.28</v>
      </c>
      <c r="G2152">
        <v>84.23</v>
      </c>
      <c r="H2152">
        <v>84.45</v>
      </c>
      <c r="I2152">
        <v>81.95</v>
      </c>
      <c r="J2152">
        <v>116.95</v>
      </c>
      <c r="K2152">
        <v>34.17</v>
      </c>
    </row>
    <row r="2153" spans="1:11">
      <c r="A2153">
        <v>319.83</v>
      </c>
      <c r="B2153">
        <v>38.17</v>
      </c>
      <c r="C2153">
        <v>44.28</v>
      </c>
      <c r="D2153">
        <v>44.23</v>
      </c>
      <c r="E2153">
        <v>45.17</v>
      </c>
      <c r="F2153">
        <v>71.510000000000005</v>
      </c>
      <c r="G2153">
        <v>84.4</v>
      </c>
      <c r="H2153">
        <v>84.95</v>
      </c>
      <c r="I2153">
        <v>81.900000000000006</v>
      </c>
      <c r="J2153">
        <v>117.06</v>
      </c>
      <c r="K2153">
        <v>34.17</v>
      </c>
    </row>
    <row r="2154" spans="1:11">
      <c r="A2154">
        <v>320</v>
      </c>
      <c r="B2154">
        <v>37.78</v>
      </c>
      <c r="C2154">
        <v>43.95</v>
      </c>
      <c r="D2154">
        <v>43.95</v>
      </c>
      <c r="E2154">
        <v>45.28</v>
      </c>
      <c r="F2154">
        <v>71.56</v>
      </c>
      <c r="G2154">
        <v>84.56</v>
      </c>
      <c r="H2154">
        <v>85.4</v>
      </c>
      <c r="I2154">
        <v>82.12</v>
      </c>
      <c r="J2154">
        <v>117.06</v>
      </c>
      <c r="K2154">
        <v>34.17</v>
      </c>
    </row>
    <row r="2155" spans="1:11">
      <c r="A2155">
        <v>320.17</v>
      </c>
      <c r="B2155">
        <v>37.450000000000003</v>
      </c>
      <c r="C2155">
        <v>43.45</v>
      </c>
      <c r="D2155">
        <v>43.45</v>
      </c>
      <c r="E2155">
        <v>44.95</v>
      </c>
      <c r="F2155">
        <v>71.400000000000006</v>
      </c>
      <c r="G2155">
        <v>84.56</v>
      </c>
      <c r="H2155">
        <v>85.67</v>
      </c>
      <c r="I2155">
        <v>82.12</v>
      </c>
      <c r="J2155">
        <v>116.9</v>
      </c>
      <c r="K2155">
        <v>34.17</v>
      </c>
    </row>
    <row r="2156" spans="1:11">
      <c r="A2156">
        <v>320.33</v>
      </c>
      <c r="B2156">
        <v>36.4</v>
      </c>
      <c r="C2156">
        <v>43.12</v>
      </c>
      <c r="D2156">
        <v>43.23</v>
      </c>
      <c r="E2156">
        <v>44.56</v>
      </c>
      <c r="F2156">
        <v>71.45</v>
      </c>
      <c r="G2156">
        <v>84.67</v>
      </c>
      <c r="H2156">
        <v>85.4</v>
      </c>
      <c r="I2156">
        <v>82.17</v>
      </c>
      <c r="J2156">
        <v>116.84</v>
      </c>
      <c r="K2156">
        <v>34.17</v>
      </c>
    </row>
    <row r="2157" spans="1:11">
      <c r="A2157">
        <v>320.5</v>
      </c>
      <c r="B2157">
        <v>35.78</v>
      </c>
      <c r="C2157">
        <v>42.51</v>
      </c>
      <c r="D2157">
        <v>42.62</v>
      </c>
      <c r="E2157">
        <v>44.12</v>
      </c>
      <c r="F2157">
        <v>71.56</v>
      </c>
      <c r="G2157">
        <v>84.73</v>
      </c>
      <c r="H2157">
        <v>85.51</v>
      </c>
      <c r="I2157">
        <v>82.06</v>
      </c>
      <c r="J2157">
        <v>116.73</v>
      </c>
      <c r="K2157">
        <v>34.17</v>
      </c>
    </row>
    <row r="2158" spans="1:11">
      <c r="A2158">
        <v>320.67</v>
      </c>
      <c r="B2158">
        <v>35.51</v>
      </c>
      <c r="C2158">
        <v>42.28</v>
      </c>
      <c r="D2158">
        <v>42.23</v>
      </c>
      <c r="E2158">
        <v>43.78</v>
      </c>
      <c r="F2158">
        <v>71.73</v>
      </c>
      <c r="G2158">
        <v>84.78</v>
      </c>
      <c r="H2158">
        <v>85.73</v>
      </c>
      <c r="I2158">
        <v>82.17</v>
      </c>
      <c r="J2158">
        <v>116.62</v>
      </c>
      <c r="K2158">
        <v>34.17</v>
      </c>
    </row>
    <row r="2159" spans="1:11">
      <c r="A2159">
        <v>320.83</v>
      </c>
      <c r="B2159">
        <v>35.06</v>
      </c>
      <c r="C2159">
        <v>42.34</v>
      </c>
      <c r="D2159">
        <v>42.23</v>
      </c>
      <c r="E2159">
        <v>43.4</v>
      </c>
      <c r="F2159">
        <v>71.73</v>
      </c>
      <c r="G2159">
        <v>84.9</v>
      </c>
      <c r="H2159">
        <v>85.9</v>
      </c>
      <c r="I2159">
        <v>82.06</v>
      </c>
      <c r="J2159">
        <v>116.62</v>
      </c>
      <c r="K2159">
        <v>34.17</v>
      </c>
    </row>
    <row r="2160" spans="1:11">
      <c r="A2160">
        <v>321</v>
      </c>
      <c r="B2160">
        <v>34.56</v>
      </c>
      <c r="C2160">
        <v>42.17</v>
      </c>
      <c r="D2160">
        <v>42.12</v>
      </c>
      <c r="E2160">
        <v>42.9</v>
      </c>
      <c r="F2160">
        <v>71.95</v>
      </c>
      <c r="G2160">
        <v>84.9</v>
      </c>
      <c r="H2160">
        <v>85.9</v>
      </c>
      <c r="I2160">
        <v>82.17</v>
      </c>
      <c r="J2160">
        <v>116.56</v>
      </c>
      <c r="K2160">
        <v>34.17</v>
      </c>
    </row>
    <row r="2161" spans="1:11">
      <c r="A2161">
        <v>321.17</v>
      </c>
      <c r="B2161">
        <v>34.229999999999997</v>
      </c>
      <c r="C2161">
        <v>41.95</v>
      </c>
      <c r="D2161">
        <v>41.95</v>
      </c>
      <c r="E2161">
        <v>42.67</v>
      </c>
      <c r="F2161">
        <v>72.23</v>
      </c>
      <c r="G2161">
        <v>84.84</v>
      </c>
      <c r="H2161">
        <v>85.95</v>
      </c>
      <c r="I2161">
        <v>82.06</v>
      </c>
      <c r="J2161">
        <v>116.56</v>
      </c>
      <c r="K2161">
        <v>34.17</v>
      </c>
    </row>
    <row r="2162" spans="1:11">
      <c r="A2162">
        <v>321.33</v>
      </c>
      <c r="B2162">
        <v>33.950000000000003</v>
      </c>
      <c r="C2162">
        <v>41.73</v>
      </c>
      <c r="D2162">
        <v>41.62</v>
      </c>
      <c r="E2162">
        <v>42.17</v>
      </c>
      <c r="F2162">
        <v>72.17</v>
      </c>
      <c r="G2162">
        <v>84.78</v>
      </c>
      <c r="H2162">
        <v>86.01</v>
      </c>
      <c r="I2162">
        <v>81.95</v>
      </c>
      <c r="J2162">
        <v>116.4</v>
      </c>
      <c r="K2162">
        <v>34.229999999999997</v>
      </c>
    </row>
    <row r="2163" spans="1:11">
      <c r="A2163">
        <v>321.5</v>
      </c>
      <c r="B2163">
        <v>33.78</v>
      </c>
      <c r="C2163">
        <v>41.62</v>
      </c>
      <c r="D2163">
        <v>41.45</v>
      </c>
      <c r="E2163">
        <v>41.9</v>
      </c>
      <c r="F2163">
        <v>72.400000000000006</v>
      </c>
      <c r="G2163">
        <v>84.78</v>
      </c>
      <c r="H2163">
        <v>86.12</v>
      </c>
      <c r="I2163">
        <v>81.900000000000006</v>
      </c>
      <c r="J2163">
        <v>116.4</v>
      </c>
      <c r="K2163">
        <v>34.229999999999997</v>
      </c>
    </row>
    <row r="2164" spans="1:11">
      <c r="A2164">
        <v>321.67</v>
      </c>
      <c r="B2164">
        <v>33.619999999999997</v>
      </c>
      <c r="C2164">
        <v>41.45</v>
      </c>
      <c r="D2164">
        <v>41.34</v>
      </c>
      <c r="E2164">
        <v>41.73</v>
      </c>
      <c r="F2164">
        <v>72.67</v>
      </c>
      <c r="G2164">
        <v>84.78</v>
      </c>
      <c r="H2164">
        <v>86.34</v>
      </c>
      <c r="I2164">
        <v>81.62</v>
      </c>
      <c r="J2164">
        <v>116.34</v>
      </c>
      <c r="K2164">
        <v>34.229999999999997</v>
      </c>
    </row>
    <row r="2165" spans="1:11">
      <c r="A2165">
        <v>321.83</v>
      </c>
      <c r="B2165">
        <v>33.229999999999997</v>
      </c>
      <c r="C2165">
        <v>41.17</v>
      </c>
      <c r="D2165">
        <v>41.06</v>
      </c>
      <c r="E2165">
        <v>41.17</v>
      </c>
      <c r="F2165">
        <v>72.67</v>
      </c>
      <c r="G2165">
        <v>84.62</v>
      </c>
      <c r="H2165">
        <v>86.45</v>
      </c>
      <c r="I2165">
        <v>81.34</v>
      </c>
      <c r="J2165">
        <v>116.17</v>
      </c>
      <c r="K2165">
        <v>34.229999999999997</v>
      </c>
    </row>
    <row r="2166" spans="1:11">
      <c r="A2166">
        <v>322</v>
      </c>
      <c r="B2166">
        <v>33.01</v>
      </c>
      <c r="C2166">
        <v>40.9</v>
      </c>
      <c r="D2166">
        <v>40.840000000000003</v>
      </c>
      <c r="E2166">
        <v>40.840000000000003</v>
      </c>
      <c r="F2166">
        <v>72.67</v>
      </c>
      <c r="G2166">
        <v>84.67</v>
      </c>
      <c r="H2166">
        <v>86.51</v>
      </c>
      <c r="I2166">
        <v>81.56</v>
      </c>
      <c r="J2166">
        <v>116.12</v>
      </c>
      <c r="K2166">
        <v>34.229999999999997</v>
      </c>
    </row>
    <row r="2167" spans="1:11">
      <c r="A2167">
        <v>322.17</v>
      </c>
      <c r="B2167">
        <v>32.78</v>
      </c>
      <c r="C2167">
        <v>40.78</v>
      </c>
      <c r="D2167">
        <v>40.56</v>
      </c>
      <c r="E2167">
        <v>40.729999999999997</v>
      </c>
      <c r="F2167">
        <v>72.73</v>
      </c>
      <c r="G2167">
        <v>84.56</v>
      </c>
      <c r="H2167">
        <v>86.9</v>
      </c>
      <c r="I2167">
        <v>81.510000000000005</v>
      </c>
      <c r="J2167">
        <v>116.17</v>
      </c>
      <c r="K2167">
        <v>34.229999999999997</v>
      </c>
    </row>
    <row r="2168" spans="1:11">
      <c r="A2168">
        <v>322.33</v>
      </c>
      <c r="B2168">
        <v>32.619999999999997</v>
      </c>
      <c r="C2168">
        <v>40.67</v>
      </c>
      <c r="D2168">
        <v>40.51</v>
      </c>
      <c r="E2168">
        <v>40.840000000000003</v>
      </c>
      <c r="F2168">
        <v>72.67</v>
      </c>
      <c r="G2168">
        <v>84.56</v>
      </c>
      <c r="H2168">
        <v>87.23</v>
      </c>
      <c r="I2168">
        <v>81.62</v>
      </c>
      <c r="J2168">
        <v>116.17</v>
      </c>
      <c r="K2168">
        <v>34.229999999999997</v>
      </c>
    </row>
    <row r="2169" spans="1:11">
      <c r="A2169">
        <v>322.5</v>
      </c>
      <c r="B2169">
        <v>32.340000000000003</v>
      </c>
      <c r="C2169">
        <v>40.56</v>
      </c>
      <c r="D2169">
        <v>40.450000000000003</v>
      </c>
      <c r="E2169">
        <v>41.01</v>
      </c>
      <c r="F2169">
        <v>72.67</v>
      </c>
      <c r="G2169">
        <v>84.56</v>
      </c>
      <c r="H2169">
        <v>87.23</v>
      </c>
      <c r="I2169">
        <v>81.95</v>
      </c>
      <c r="J2169">
        <v>116.12</v>
      </c>
      <c r="K2169">
        <v>34.229999999999997</v>
      </c>
    </row>
    <row r="2170" spans="1:11">
      <c r="A2170">
        <v>322.67</v>
      </c>
      <c r="B2170">
        <v>32.119999999999997</v>
      </c>
      <c r="C2170">
        <v>40.51</v>
      </c>
      <c r="D2170">
        <v>40.4</v>
      </c>
      <c r="E2170">
        <v>40.619999999999997</v>
      </c>
      <c r="F2170">
        <v>72.67</v>
      </c>
      <c r="G2170">
        <v>84.56</v>
      </c>
      <c r="H2170">
        <v>87.01</v>
      </c>
      <c r="I2170">
        <v>81.78</v>
      </c>
      <c r="J2170">
        <v>116.17</v>
      </c>
      <c r="K2170">
        <v>34.229999999999997</v>
      </c>
    </row>
    <row r="2171" spans="1:11">
      <c r="A2171">
        <v>322.83</v>
      </c>
      <c r="B2171">
        <v>32.06</v>
      </c>
      <c r="C2171">
        <v>40.340000000000003</v>
      </c>
      <c r="D2171">
        <v>40.340000000000003</v>
      </c>
      <c r="E2171">
        <v>40.229999999999997</v>
      </c>
      <c r="F2171">
        <v>72.62</v>
      </c>
      <c r="G2171">
        <v>84.56</v>
      </c>
      <c r="H2171">
        <v>87.17</v>
      </c>
      <c r="I2171">
        <v>81.78</v>
      </c>
      <c r="J2171">
        <v>116.01</v>
      </c>
      <c r="K2171">
        <v>34.229999999999997</v>
      </c>
    </row>
    <row r="2172" spans="1:11">
      <c r="A2172">
        <v>323</v>
      </c>
      <c r="B2172">
        <v>31.78</v>
      </c>
      <c r="C2172">
        <v>40.340000000000003</v>
      </c>
      <c r="D2172">
        <v>40.28</v>
      </c>
      <c r="E2172">
        <v>39.840000000000003</v>
      </c>
      <c r="F2172">
        <v>72.45</v>
      </c>
      <c r="G2172">
        <v>84.56</v>
      </c>
      <c r="H2172">
        <v>87.17</v>
      </c>
      <c r="I2172">
        <v>81.78</v>
      </c>
      <c r="J2172">
        <v>115.95</v>
      </c>
      <c r="K2172">
        <v>34.28</v>
      </c>
    </row>
    <row r="2173" spans="1:11">
      <c r="A2173">
        <v>323.17</v>
      </c>
      <c r="B2173">
        <v>31.62</v>
      </c>
      <c r="C2173">
        <v>40.340000000000003</v>
      </c>
      <c r="D2173">
        <v>40.340000000000003</v>
      </c>
      <c r="E2173">
        <v>39.51</v>
      </c>
      <c r="F2173">
        <v>72.62</v>
      </c>
      <c r="G2173">
        <v>84.56</v>
      </c>
      <c r="H2173">
        <v>87.01</v>
      </c>
      <c r="I2173">
        <v>81.900000000000006</v>
      </c>
      <c r="J2173">
        <v>115.95</v>
      </c>
      <c r="K2173">
        <v>34.28</v>
      </c>
    </row>
    <row r="2174" spans="1:11">
      <c r="A2174">
        <v>323.33</v>
      </c>
      <c r="B2174">
        <v>31.34</v>
      </c>
      <c r="C2174">
        <v>40.340000000000003</v>
      </c>
      <c r="D2174">
        <v>40.229999999999997</v>
      </c>
      <c r="E2174">
        <v>39.06</v>
      </c>
      <c r="F2174">
        <v>72.56</v>
      </c>
      <c r="G2174">
        <v>84.56</v>
      </c>
      <c r="H2174">
        <v>87.01</v>
      </c>
      <c r="I2174">
        <v>81.73</v>
      </c>
      <c r="J2174">
        <v>115.9</v>
      </c>
      <c r="K2174">
        <v>34.28</v>
      </c>
    </row>
    <row r="2175" spans="1:11">
      <c r="A2175">
        <v>323.5</v>
      </c>
      <c r="B2175">
        <v>31.12</v>
      </c>
      <c r="C2175">
        <v>40.340000000000003</v>
      </c>
      <c r="D2175">
        <v>40.17</v>
      </c>
      <c r="E2175">
        <v>39.06</v>
      </c>
      <c r="F2175">
        <v>72.45</v>
      </c>
      <c r="G2175">
        <v>84.62</v>
      </c>
      <c r="H2175">
        <v>87.01</v>
      </c>
      <c r="I2175">
        <v>81.400000000000006</v>
      </c>
      <c r="J2175">
        <v>115.84</v>
      </c>
      <c r="K2175">
        <v>34.28</v>
      </c>
    </row>
    <row r="2176" spans="1:11">
      <c r="A2176">
        <v>323.67</v>
      </c>
      <c r="B2176">
        <v>31.12</v>
      </c>
      <c r="C2176">
        <v>40.229999999999997</v>
      </c>
      <c r="D2176">
        <v>40.17</v>
      </c>
      <c r="E2176">
        <v>38.840000000000003</v>
      </c>
      <c r="F2176">
        <v>72.400000000000006</v>
      </c>
      <c r="G2176">
        <v>84.62</v>
      </c>
      <c r="H2176">
        <v>87.17</v>
      </c>
      <c r="I2176">
        <v>81.17</v>
      </c>
      <c r="J2176">
        <v>115.84</v>
      </c>
      <c r="K2176">
        <v>34.28</v>
      </c>
    </row>
    <row r="2177" spans="1:11">
      <c r="A2177">
        <v>323.83</v>
      </c>
      <c r="B2177">
        <v>30.9</v>
      </c>
      <c r="C2177">
        <v>40.4</v>
      </c>
      <c r="D2177">
        <v>40.340000000000003</v>
      </c>
      <c r="E2177">
        <v>38.950000000000003</v>
      </c>
      <c r="F2177">
        <v>72.400000000000006</v>
      </c>
      <c r="G2177">
        <v>84.62</v>
      </c>
      <c r="H2177">
        <v>87.4</v>
      </c>
      <c r="I2177">
        <v>81.17</v>
      </c>
      <c r="J2177">
        <v>115.73</v>
      </c>
      <c r="K2177">
        <v>34.28</v>
      </c>
    </row>
    <row r="2178" spans="1:11">
      <c r="A2178">
        <v>324</v>
      </c>
      <c r="B2178">
        <v>30.9</v>
      </c>
      <c r="C2178">
        <v>40.56</v>
      </c>
      <c r="D2178">
        <v>40.450000000000003</v>
      </c>
      <c r="E2178">
        <v>38.840000000000003</v>
      </c>
      <c r="F2178">
        <v>72.28</v>
      </c>
      <c r="G2178">
        <v>84.73</v>
      </c>
      <c r="H2178">
        <v>87.51</v>
      </c>
      <c r="I2178">
        <v>81.28</v>
      </c>
      <c r="J2178">
        <v>115.73</v>
      </c>
      <c r="K2178">
        <v>34.28</v>
      </c>
    </row>
    <row r="2179" spans="1:11">
      <c r="A2179">
        <v>324.17</v>
      </c>
      <c r="B2179">
        <v>30.73</v>
      </c>
      <c r="C2179">
        <v>40.67</v>
      </c>
      <c r="D2179">
        <v>40.619999999999997</v>
      </c>
      <c r="E2179">
        <v>38.51</v>
      </c>
      <c r="F2179">
        <v>72.23</v>
      </c>
      <c r="G2179">
        <v>84.62</v>
      </c>
      <c r="H2179">
        <v>87.56</v>
      </c>
      <c r="I2179">
        <v>81.23</v>
      </c>
      <c r="J2179">
        <v>115.67</v>
      </c>
      <c r="K2179">
        <v>34.28</v>
      </c>
    </row>
    <row r="2180" spans="1:11">
      <c r="A2180">
        <v>324.33</v>
      </c>
      <c r="B2180">
        <v>30.56</v>
      </c>
      <c r="C2180">
        <v>41.06</v>
      </c>
      <c r="D2180">
        <v>40.9</v>
      </c>
      <c r="E2180">
        <v>38.229999999999997</v>
      </c>
      <c r="F2180">
        <v>72.12</v>
      </c>
      <c r="G2180">
        <v>84.73</v>
      </c>
      <c r="H2180">
        <v>87.45</v>
      </c>
      <c r="I2180">
        <v>81.400000000000006</v>
      </c>
      <c r="J2180">
        <v>115.56</v>
      </c>
      <c r="K2180">
        <v>34.28</v>
      </c>
    </row>
    <row r="2181" spans="1:11">
      <c r="A2181">
        <v>324.5</v>
      </c>
      <c r="B2181">
        <v>30.34</v>
      </c>
      <c r="C2181">
        <v>41.17</v>
      </c>
      <c r="D2181">
        <v>41.06</v>
      </c>
      <c r="E2181">
        <v>38.17</v>
      </c>
      <c r="F2181">
        <v>72.06</v>
      </c>
      <c r="G2181">
        <v>84.73</v>
      </c>
      <c r="H2181">
        <v>87.12</v>
      </c>
      <c r="I2181">
        <v>81.73</v>
      </c>
      <c r="J2181">
        <v>115.51</v>
      </c>
      <c r="K2181">
        <v>34.28</v>
      </c>
    </row>
    <row r="2182" spans="1:11">
      <c r="A2182">
        <v>324.67</v>
      </c>
      <c r="B2182">
        <v>30.51</v>
      </c>
      <c r="C2182">
        <v>41.12</v>
      </c>
      <c r="D2182">
        <v>41.01</v>
      </c>
      <c r="E2182">
        <v>38.4</v>
      </c>
      <c r="F2182">
        <v>72.28</v>
      </c>
      <c r="G2182">
        <v>84.73</v>
      </c>
      <c r="H2182">
        <v>87.51</v>
      </c>
      <c r="I2182">
        <v>81.56</v>
      </c>
      <c r="J2182">
        <v>115.51</v>
      </c>
      <c r="K2182">
        <v>34.28</v>
      </c>
    </row>
    <row r="2183" spans="1:11">
      <c r="A2183">
        <v>324.83</v>
      </c>
      <c r="B2183">
        <v>30.34</v>
      </c>
      <c r="C2183">
        <v>41.12</v>
      </c>
      <c r="D2183">
        <v>41.06</v>
      </c>
      <c r="E2183">
        <v>38.119999999999997</v>
      </c>
      <c r="F2183">
        <v>72.28</v>
      </c>
      <c r="G2183">
        <v>84.78</v>
      </c>
      <c r="H2183">
        <v>87.56</v>
      </c>
      <c r="I2183">
        <v>81.73</v>
      </c>
      <c r="J2183">
        <v>115.45</v>
      </c>
      <c r="K2183">
        <v>34.28</v>
      </c>
    </row>
    <row r="2184" spans="1:11">
      <c r="A2184">
        <v>325</v>
      </c>
      <c r="B2184">
        <v>30.28</v>
      </c>
      <c r="C2184">
        <v>40.950000000000003</v>
      </c>
      <c r="D2184">
        <v>40.840000000000003</v>
      </c>
      <c r="E2184">
        <v>37.78</v>
      </c>
      <c r="F2184">
        <v>72.400000000000006</v>
      </c>
      <c r="G2184">
        <v>84.78</v>
      </c>
      <c r="H2184">
        <v>87.67</v>
      </c>
      <c r="I2184">
        <v>81.73</v>
      </c>
      <c r="J2184">
        <v>115.45</v>
      </c>
      <c r="K2184">
        <v>34.28</v>
      </c>
    </row>
    <row r="2185" spans="1:11">
      <c r="A2185">
        <v>325.17</v>
      </c>
      <c r="B2185">
        <v>30.06</v>
      </c>
      <c r="C2185">
        <v>40.78</v>
      </c>
      <c r="D2185">
        <v>40.67</v>
      </c>
      <c r="E2185">
        <v>37.729999999999997</v>
      </c>
      <c r="F2185">
        <v>72.400000000000006</v>
      </c>
      <c r="G2185">
        <v>84.78</v>
      </c>
      <c r="H2185">
        <v>87.62</v>
      </c>
      <c r="I2185">
        <v>81.95</v>
      </c>
      <c r="J2185">
        <v>115.34</v>
      </c>
      <c r="K2185">
        <v>34.340000000000003</v>
      </c>
    </row>
    <row r="2186" spans="1:11">
      <c r="A2186">
        <v>325.33</v>
      </c>
      <c r="B2186">
        <v>29.95</v>
      </c>
      <c r="C2186">
        <v>40.619999999999997</v>
      </c>
      <c r="D2186">
        <v>40.619999999999997</v>
      </c>
      <c r="E2186">
        <v>37.67</v>
      </c>
      <c r="F2186">
        <v>72.28</v>
      </c>
      <c r="G2186">
        <v>84.78</v>
      </c>
      <c r="H2186">
        <v>87.51</v>
      </c>
      <c r="I2186">
        <v>82.17</v>
      </c>
      <c r="J2186">
        <v>115.28</v>
      </c>
      <c r="K2186">
        <v>34.340000000000003</v>
      </c>
    </row>
    <row r="2187" spans="1:11">
      <c r="A2187">
        <v>325.5</v>
      </c>
      <c r="B2187">
        <v>29.78</v>
      </c>
      <c r="C2187">
        <v>40.67</v>
      </c>
      <c r="D2187">
        <v>40.67</v>
      </c>
      <c r="E2187">
        <v>37.56</v>
      </c>
      <c r="F2187">
        <v>72.400000000000006</v>
      </c>
      <c r="G2187">
        <v>84.78</v>
      </c>
      <c r="H2187">
        <v>87.62</v>
      </c>
      <c r="I2187">
        <v>81.95</v>
      </c>
      <c r="J2187">
        <v>115.28</v>
      </c>
      <c r="K2187">
        <v>34.340000000000003</v>
      </c>
    </row>
    <row r="2188" spans="1:11">
      <c r="A2188">
        <v>325.67</v>
      </c>
      <c r="B2188">
        <v>29.84</v>
      </c>
      <c r="C2188">
        <v>40.840000000000003</v>
      </c>
      <c r="D2188">
        <v>40.729999999999997</v>
      </c>
      <c r="E2188">
        <v>37.619999999999997</v>
      </c>
      <c r="F2188">
        <v>72.56</v>
      </c>
      <c r="G2188">
        <v>84.9</v>
      </c>
      <c r="H2188">
        <v>88.01</v>
      </c>
      <c r="I2188">
        <v>81.73</v>
      </c>
      <c r="J2188">
        <v>115.17</v>
      </c>
      <c r="K2188">
        <v>34.340000000000003</v>
      </c>
    </row>
    <row r="2189" spans="1:11">
      <c r="A2189">
        <v>325.83</v>
      </c>
      <c r="B2189">
        <v>29.62</v>
      </c>
      <c r="C2189">
        <v>40.729999999999997</v>
      </c>
      <c r="D2189">
        <v>40.67</v>
      </c>
      <c r="E2189">
        <v>37.56</v>
      </c>
      <c r="F2189">
        <v>72.73</v>
      </c>
      <c r="G2189">
        <v>84.9</v>
      </c>
      <c r="H2189">
        <v>88.06</v>
      </c>
      <c r="I2189">
        <v>81.73</v>
      </c>
      <c r="J2189">
        <v>115.17</v>
      </c>
      <c r="K2189">
        <v>34.340000000000003</v>
      </c>
    </row>
    <row r="2190" spans="1:11">
      <c r="A2190">
        <v>326</v>
      </c>
      <c r="B2190">
        <v>29.62</v>
      </c>
      <c r="C2190">
        <v>40.619999999999997</v>
      </c>
      <c r="D2190">
        <v>40.51</v>
      </c>
      <c r="E2190">
        <v>37.17</v>
      </c>
      <c r="F2190">
        <v>72.84</v>
      </c>
      <c r="G2190">
        <v>84.95</v>
      </c>
      <c r="H2190">
        <v>88.17</v>
      </c>
      <c r="I2190">
        <v>81.56</v>
      </c>
      <c r="J2190">
        <v>115.17</v>
      </c>
      <c r="K2190">
        <v>34.340000000000003</v>
      </c>
    </row>
    <row r="2191" spans="1:11">
      <c r="A2191">
        <v>326.17</v>
      </c>
      <c r="B2191">
        <v>29.56</v>
      </c>
      <c r="C2191">
        <v>40.4</v>
      </c>
      <c r="D2191">
        <v>40.229999999999997</v>
      </c>
      <c r="E2191">
        <v>36.67</v>
      </c>
      <c r="F2191">
        <v>72.84</v>
      </c>
      <c r="G2191">
        <v>84.95</v>
      </c>
      <c r="H2191">
        <v>88.12</v>
      </c>
      <c r="I2191">
        <v>81.23</v>
      </c>
      <c r="J2191">
        <v>115.01</v>
      </c>
      <c r="K2191">
        <v>34.340000000000003</v>
      </c>
    </row>
    <row r="2192" spans="1:11">
      <c r="A2192">
        <v>326.33</v>
      </c>
      <c r="B2192">
        <v>29.45</v>
      </c>
      <c r="C2192">
        <v>40.119999999999997</v>
      </c>
      <c r="D2192">
        <v>39.9</v>
      </c>
      <c r="E2192">
        <v>36.4</v>
      </c>
      <c r="F2192">
        <v>72.84</v>
      </c>
      <c r="G2192">
        <v>85.06</v>
      </c>
      <c r="H2192">
        <v>88.17</v>
      </c>
      <c r="I2192">
        <v>81.17</v>
      </c>
      <c r="J2192">
        <v>115.17</v>
      </c>
      <c r="K2192">
        <v>34.340000000000003</v>
      </c>
    </row>
    <row r="2193" spans="1:11">
      <c r="A2193">
        <v>326.5</v>
      </c>
      <c r="B2193">
        <v>29.34</v>
      </c>
      <c r="C2193">
        <v>39.840000000000003</v>
      </c>
      <c r="D2193">
        <v>39.729999999999997</v>
      </c>
      <c r="E2193">
        <v>36.119999999999997</v>
      </c>
      <c r="F2193">
        <v>72.95</v>
      </c>
      <c r="G2193">
        <v>85.06</v>
      </c>
      <c r="H2193">
        <v>88.4</v>
      </c>
      <c r="I2193">
        <v>81.17</v>
      </c>
      <c r="J2193">
        <v>115.01</v>
      </c>
      <c r="K2193">
        <v>34.340000000000003</v>
      </c>
    </row>
    <row r="2194" spans="1:11">
      <c r="A2194">
        <v>326.67</v>
      </c>
      <c r="B2194">
        <v>29.17</v>
      </c>
      <c r="C2194">
        <v>39.67</v>
      </c>
      <c r="D2194">
        <v>39.51</v>
      </c>
      <c r="E2194">
        <v>36.01</v>
      </c>
      <c r="F2194">
        <v>72.84</v>
      </c>
      <c r="G2194">
        <v>85.17</v>
      </c>
      <c r="H2194">
        <v>88.34</v>
      </c>
      <c r="I2194">
        <v>81.010000000000005</v>
      </c>
      <c r="J2194">
        <v>115.01</v>
      </c>
      <c r="K2194">
        <v>34.340000000000003</v>
      </c>
    </row>
    <row r="2195" spans="1:11">
      <c r="A2195">
        <v>326.83</v>
      </c>
      <c r="B2195">
        <v>29.12</v>
      </c>
      <c r="C2195">
        <v>39.450000000000003</v>
      </c>
      <c r="D2195">
        <v>39.4</v>
      </c>
      <c r="E2195">
        <v>35.9</v>
      </c>
      <c r="F2195">
        <v>72.900000000000006</v>
      </c>
      <c r="G2195">
        <v>85.17</v>
      </c>
      <c r="H2195">
        <v>88.28</v>
      </c>
      <c r="I2195">
        <v>81.17</v>
      </c>
      <c r="J2195">
        <v>115.01</v>
      </c>
      <c r="K2195">
        <v>34.340000000000003</v>
      </c>
    </row>
    <row r="2196" spans="1:11">
      <c r="A2196">
        <v>327</v>
      </c>
      <c r="B2196">
        <v>29.17</v>
      </c>
      <c r="C2196">
        <v>39.28</v>
      </c>
      <c r="D2196">
        <v>39.229999999999997</v>
      </c>
      <c r="E2196">
        <v>35.78</v>
      </c>
      <c r="F2196">
        <v>72.84</v>
      </c>
      <c r="G2196">
        <v>85.17</v>
      </c>
      <c r="H2196">
        <v>88.23</v>
      </c>
      <c r="I2196">
        <v>81.17</v>
      </c>
      <c r="J2196">
        <v>114.84</v>
      </c>
      <c r="K2196">
        <v>34.340000000000003</v>
      </c>
    </row>
    <row r="2197" spans="1:11">
      <c r="A2197">
        <v>327.17</v>
      </c>
      <c r="B2197">
        <v>29.23</v>
      </c>
      <c r="C2197">
        <v>39.229999999999997</v>
      </c>
      <c r="D2197">
        <v>39.119999999999997</v>
      </c>
      <c r="E2197">
        <v>35.67</v>
      </c>
      <c r="F2197">
        <v>72.84</v>
      </c>
      <c r="G2197">
        <v>85.12</v>
      </c>
      <c r="H2197">
        <v>88.4</v>
      </c>
      <c r="I2197">
        <v>80.84</v>
      </c>
      <c r="J2197">
        <v>114.9</v>
      </c>
      <c r="K2197">
        <v>34.4</v>
      </c>
    </row>
    <row r="2198" spans="1:11">
      <c r="A2198">
        <v>327.33</v>
      </c>
      <c r="B2198">
        <v>29.23</v>
      </c>
      <c r="C2198">
        <v>39.06</v>
      </c>
      <c r="D2198">
        <v>39.06</v>
      </c>
      <c r="E2198">
        <v>35.450000000000003</v>
      </c>
      <c r="F2198">
        <v>72.67</v>
      </c>
      <c r="G2198">
        <v>84.95</v>
      </c>
      <c r="H2198">
        <v>88.56</v>
      </c>
      <c r="I2198">
        <v>80.62</v>
      </c>
      <c r="J2198">
        <v>114.78</v>
      </c>
      <c r="K2198">
        <v>34.4</v>
      </c>
    </row>
    <row r="2199" spans="1:11">
      <c r="A2199">
        <v>327.5</v>
      </c>
      <c r="B2199">
        <v>29.17</v>
      </c>
      <c r="C2199">
        <v>39.229999999999997</v>
      </c>
      <c r="D2199">
        <v>39.119999999999997</v>
      </c>
      <c r="E2199">
        <v>35.56</v>
      </c>
      <c r="F2199">
        <v>72.73</v>
      </c>
      <c r="G2199">
        <v>84.95</v>
      </c>
      <c r="H2199">
        <v>88.51</v>
      </c>
      <c r="I2199">
        <v>80.67</v>
      </c>
      <c r="J2199">
        <v>114.73</v>
      </c>
      <c r="K2199">
        <v>34.4</v>
      </c>
    </row>
    <row r="2200" spans="1:11">
      <c r="A2200">
        <v>327.67</v>
      </c>
      <c r="B2200">
        <v>29.23</v>
      </c>
      <c r="C2200">
        <v>39.340000000000003</v>
      </c>
      <c r="D2200">
        <v>39.229999999999997</v>
      </c>
      <c r="E2200">
        <v>35.450000000000003</v>
      </c>
      <c r="F2200">
        <v>72.84</v>
      </c>
      <c r="G2200">
        <v>84.95</v>
      </c>
      <c r="H2200">
        <v>88.4</v>
      </c>
      <c r="I2200">
        <v>80.62</v>
      </c>
      <c r="J2200">
        <v>114.67</v>
      </c>
      <c r="K2200">
        <v>34.4</v>
      </c>
    </row>
    <row r="2201" spans="1:11">
      <c r="A2201">
        <v>327.83</v>
      </c>
      <c r="B2201">
        <v>29.28</v>
      </c>
      <c r="C2201">
        <v>39.119999999999997</v>
      </c>
      <c r="D2201">
        <v>39.119999999999997</v>
      </c>
      <c r="E2201">
        <v>35.17</v>
      </c>
      <c r="F2201">
        <v>72.84</v>
      </c>
      <c r="G2201">
        <v>84.78</v>
      </c>
      <c r="H2201">
        <v>87.78</v>
      </c>
      <c r="I2201">
        <v>80.73</v>
      </c>
      <c r="J2201">
        <v>114.67</v>
      </c>
      <c r="K2201">
        <v>34.4</v>
      </c>
    </row>
    <row r="2202" spans="1:11">
      <c r="A2202">
        <v>328</v>
      </c>
      <c r="B2202">
        <v>29.23</v>
      </c>
      <c r="C2202">
        <v>39.17</v>
      </c>
      <c r="D2202">
        <v>39.229999999999997</v>
      </c>
      <c r="E2202">
        <v>35.01</v>
      </c>
      <c r="F2202">
        <v>72.84</v>
      </c>
      <c r="G2202">
        <v>84.78</v>
      </c>
      <c r="H2202">
        <v>87.9</v>
      </c>
      <c r="I2202">
        <v>80.62</v>
      </c>
      <c r="J2202">
        <v>114.62</v>
      </c>
      <c r="K2202">
        <v>34.4</v>
      </c>
    </row>
    <row r="2203" spans="1:11">
      <c r="A2203">
        <v>328.17</v>
      </c>
      <c r="B2203">
        <v>29.01</v>
      </c>
      <c r="C2203">
        <v>39.06</v>
      </c>
      <c r="D2203">
        <v>39.06</v>
      </c>
      <c r="E2203">
        <v>35.01</v>
      </c>
      <c r="F2203">
        <v>72.73</v>
      </c>
      <c r="G2203">
        <v>84.78</v>
      </c>
      <c r="H2203">
        <v>88.12</v>
      </c>
      <c r="I2203">
        <v>80.510000000000005</v>
      </c>
      <c r="J2203">
        <v>114.62</v>
      </c>
      <c r="K2203">
        <v>34.4</v>
      </c>
    </row>
    <row r="2204" spans="1:11">
      <c r="A2204">
        <v>328.33</v>
      </c>
      <c r="B2204">
        <v>29.01</v>
      </c>
      <c r="C2204">
        <v>39.01</v>
      </c>
      <c r="D2204">
        <v>38.950000000000003</v>
      </c>
      <c r="E2204">
        <v>35.01</v>
      </c>
      <c r="F2204">
        <v>72.95</v>
      </c>
      <c r="G2204">
        <v>84.73</v>
      </c>
      <c r="H2204">
        <v>87.95</v>
      </c>
      <c r="I2204">
        <v>80.56</v>
      </c>
      <c r="J2204">
        <v>114.56</v>
      </c>
      <c r="K2204">
        <v>34.4</v>
      </c>
    </row>
    <row r="2205" spans="1:11">
      <c r="A2205">
        <v>328.5</v>
      </c>
      <c r="B2205">
        <v>28.95</v>
      </c>
      <c r="C2205">
        <v>38.950000000000003</v>
      </c>
      <c r="D2205">
        <v>38.950000000000003</v>
      </c>
      <c r="E2205">
        <v>34.729999999999997</v>
      </c>
      <c r="F2205">
        <v>72.95</v>
      </c>
      <c r="G2205">
        <v>84.73</v>
      </c>
      <c r="H2205">
        <v>88.17</v>
      </c>
      <c r="I2205">
        <v>80.400000000000006</v>
      </c>
      <c r="J2205">
        <v>114.51</v>
      </c>
      <c r="K2205">
        <v>34.4</v>
      </c>
    </row>
    <row r="2206" spans="1:11">
      <c r="A2206">
        <v>328.67</v>
      </c>
      <c r="B2206">
        <v>28.9</v>
      </c>
      <c r="C2206">
        <v>38.9</v>
      </c>
      <c r="D2206">
        <v>38.78</v>
      </c>
      <c r="E2206">
        <v>34.56</v>
      </c>
      <c r="F2206">
        <v>73.010000000000005</v>
      </c>
      <c r="G2206">
        <v>84.73</v>
      </c>
      <c r="H2206">
        <v>88.17</v>
      </c>
      <c r="I2206">
        <v>79.95</v>
      </c>
      <c r="J2206">
        <v>114.51</v>
      </c>
      <c r="K2206">
        <v>34.4</v>
      </c>
    </row>
    <row r="2207" spans="1:11">
      <c r="A2207">
        <v>328.83</v>
      </c>
      <c r="B2207">
        <v>28.67</v>
      </c>
      <c r="C2207">
        <v>38.729999999999997</v>
      </c>
      <c r="D2207">
        <v>38.56</v>
      </c>
      <c r="E2207">
        <v>34.28</v>
      </c>
      <c r="F2207">
        <v>73.010000000000005</v>
      </c>
      <c r="G2207">
        <v>84.73</v>
      </c>
      <c r="H2207">
        <v>88.06</v>
      </c>
      <c r="I2207">
        <v>79.95</v>
      </c>
      <c r="J2207">
        <v>114.4</v>
      </c>
      <c r="K2207">
        <v>34.4</v>
      </c>
    </row>
    <row r="2208" spans="1:11">
      <c r="A2208">
        <v>329</v>
      </c>
      <c r="B2208">
        <v>28.62</v>
      </c>
      <c r="C2208">
        <v>38.51</v>
      </c>
      <c r="D2208">
        <v>38.51</v>
      </c>
      <c r="E2208">
        <v>34.119999999999997</v>
      </c>
      <c r="F2208">
        <v>73.12</v>
      </c>
      <c r="G2208">
        <v>84.78</v>
      </c>
      <c r="H2208">
        <v>88.12</v>
      </c>
      <c r="I2208">
        <v>80.06</v>
      </c>
      <c r="J2208">
        <v>114.34</v>
      </c>
      <c r="K2208">
        <v>34.4</v>
      </c>
    </row>
    <row r="2209" spans="1:11">
      <c r="A2209">
        <v>329.17</v>
      </c>
      <c r="B2209">
        <v>28.51</v>
      </c>
      <c r="C2209">
        <v>38.28</v>
      </c>
      <c r="D2209">
        <v>38.28</v>
      </c>
      <c r="E2209">
        <v>33.950000000000003</v>
      </c>
      <c r="F2209">
        <v>72.78</v>
      </c>
      <c r="G2209">
        <v>84.78</v>
      </c>
      <c r="H2209">
        <v>88.28</v>
      </c>
      <c r="I2209">
        <v>80.06</v>
      </c>
      <c r="J2209">
        <v>114.34</v>
      </c>
      <c r="K2209">
        <v>34.4</v>
      </c>
    </row>
    <row r="2210" spans="1:11">
      <c r="A2210">
        <v>329.33</v>
      </c>
      <c r="B2210">
        <v>28.62</v>
      </c>
      <c r="C2210">
        <v>38.56</v>
      </c>
      <c r="D2210">
        <v>38.450000000000003</v>
      </c>
      <c r="E2210">
        <v>34.119999999999997</v>
      </c>
      <c r="F2210">
        <v>73.010000000000005</v>
      </c>
      <c r="G2210">
        <v>84.9</v>
      </c>
      <c r="H2210">
        <v>87.78</v>
      </c>
      <c r="I2210">
        <v>80.06</v>
      </c>
      <c r="J2210">
        <v>114.28</v>
      </c>
      <c r="K2210">
        <v>34.4</v>
      </c>
    </row>
    <row r="2211" spans="1:11">
      <c r="A2211">
        <v>329.5</v>
      </c>
      <c r="B2211">
        <v>28.62</v>
      </c>
      <c r="C2211">
        <v>38.56</v>
      </c>
      <c r="D2211">
        <v>38.450000000000003</v>
      </c>
      <c r="E2211">
        <v>34.229999999999997</v>
      </c>
      <c r="F2211">
        <v>73.010000000000005</v>
      </c>
      <c r="G2211">
        <v>84.78</v>
      </c>
      <c r="H2211">
        <v>87.9</v>
      </c>
      <c r="I2211">
        <v>79.73</v>
      </c>
      <c r="J2211">
        <v>114.23</v>
      </c>
      <c r="K2211">
        <v>34.450000000000003</v>
      </c>
    </row>
    <row r="2212" spans="1:11">
      <c r="A2212">
        <v>329.67</v>
      </c>
      <c r="B2212">
        <v>28.62</v>
      </c>
      <c r="C2212">
        <v>38.78</v>
      </c>
      <c r="D2212">
        <v>38.56</v>
      </c>
      <c r="E2212">
        <v>34.229999999999997</v>
      </c>
      <c r="F2212">
        <v>73.12</v>
      </c>
      <c r="G2212">
        <v>84.9</v>
      </c>
      <c r="H2212">
        <v>88.01</v>
      </c>
      <c r="I2212">
        <v>79.56</v>
      </c>
      <c r="J2212">
        <v>114.23</v>
      </c>
      <c r="K2212">
        <v>34.450000000000003</v>
      </c>
    </row>
    <row r="2213" spans="1:11">
      <c r="A2213">
        <v>329.83</v>
      </c>
      <c r="B2213">
        <v>28.62</v>
      </c>
      <c r="C2213">
        <v>38.9</v>
      </c>
      <c r="D2213">
        <v>38.78</v>
      </c>
      <c r="E2213">
        <v>33.950000000000003</v>
      </c>
      <c r="F2213">
        <v>73.17</v>
      </c>
      <c r="G2213">
        <v>84.78</v>
      </c>
      <c r="H2213">
        <v>88.17</v>
      </c>
      <c r="I2213">
        <v>79.62</v>
      </c>
      <c r="J2213">
        <v>114.17</v>
      </c>
      <c r="K2213">
        <v>34.450000000000003</v>
      </c>
    </row>
    <row r="2214" spans="1:11">
      <c r="A2214">
        <v>330</v>
      </c>
      <c r="B2214">
        <v>28.9</v>
      </c>
      <c r="C2214">
        <v>39.01</v>
      </c>
      <c r="D2214">
        <v>38.9</v>
      </c>
      <c r="E2214">
        <v>33.950000000000003</v>
      </c>
      <c r="F2214">
        <v>73.28</v>
      </c>
      <c r="G2214">
        <v>84.84</v>
      </c>
      <c r="H2214">
        <v>88.45</v>
      </c>
      <c r="I2214">
        <v>79.510000000000005</v>
      </c>
      <c r="J2214">
        <v>114.17</v>
      </c>
      <c r="K2214">
        <v>34.450000000000003</v>
      </c>
    </row>
    <row r="2215" spans="1:11">
      <c r="A2215">
        <v>330.17</v>
      </c>
      <c r="B2215">
        <v>28.95</v>
      </c>
      <c r="C2215">
        <v>38.950000000000003</v>
      </c>
      <c r="D2215">
        <v>38.950000000000003</v>
      </c>
      <c r="E2215">
        <v>33.78</v>
      </c>
      <c r="F2215">
        <v>73.34</v>
      </c>
      <c r="G2215">
        <v>84.9</v>
      </c>
      <c r="H2215">
        <v>88.17</v>
      </c>
      <c r="I2215">
        <v>79.510000000000005</v>
      </c>
      <c r="J2215">
        <v>114.12</v>
      </c>
      <c r="K2215">
        <v>34.450000000000003</v>
      </c>
    </row>
    <row r="2216" spans="1:11">
      <c r="A2216">
        <v>330.33</v>
      </c>
      <c r="B2216">
        <v>28.95</v>
      </c>
      <c r="C2216">
        <v>38.950000000000003</v>
      </c>
      <c r="D2216">
        <v>38.840000000000003</v>
      </c>
      <c r="E2216">
        <v>33.67</v>
      </c>
      <c r="F2216">
        <v>73.400000000000006</v>
      </c>
      <c r="G2216">
        <v>84.95</v>
      </c>
      <c r="H2216">
        <v>88.23</v>
      </c>
      <c r="I2216">
        <v>79.510000000000005</v>
      </c>
      <c r="J2216">
        <v>114.06</v>
      </c>
      <c r="K2216">
        <v>34.450000000000003</v>
      </c>
    </row>
    <row r="2217" spans="1:11">
      <c r="A2217">
        <v>330.5</v>
      </c>
      <c r="B2217">
        <v>28.95</v>
      </c>
      <c r="C2217">
        <v>39.119999999999997</v>
      </c>
      <c r="D2217">
        <v>38.950000000000003</v>
      </c>
      <c r="E2217">
        <v>33.56</v>
      </c>
      <c r="F2217">
        <v>73.400000000000006</v>
      </c>
      <c r="G2217">
        <v>84.95</v>
      </c>
      <c r="H2217">
        <v>88.34</v>
      </c>
      <c r="I2217">
        <v>79.510000000000005</v>
      </c>
      <c r="J2217">
        <v>113.95</v>
      </c>
      <c r="K2217">
        <v>34.450000000000003</v>
      </c>
    </row>
    <row r="2218" spans="1:11">
      <c r="A2218">
        <v>330.67</v>
      </c>
      <c r="B2218">
        <v>28.84</v>
      </c>
      <c r="C2218">
        <v>39.119999999999997</v>
      </c>
      <c r="D2218">
        <v>39.06</v>
      </c>
      <c r="E2218">
        <v>33.51</v>
      </c>
      <c r="F2218">
        <v>73.45</v>
      </c>
      <c r="G2218">
        <v>85.06</v>
      </c>
      <c r="H2218">
        <v>88.12</v>
      </c>
      <c r="I2218">
        <v>79.400000000000006</v>
      </c>
      <c r="J2218">
        <v>113.95</v>
      </c>
      <c r="K2218">
        <v>34.450000000000003</v>
      </c>
    </row>
    <row r="2219" spans="1:11">
      <c r="A2219">
        <v>330.83</v>
      </c>
      <c r="B2219">
        <v>29.01</v>
      </c>
      <c r="C2219">
        <v>39.119999999999997</v>
      </c>
      <c r="D2219">
        <v>39.01</v>
      </c>
      <c r="E2219">
        <v>33.340000000000003</v>
      </c>
      <c r="F2219">
        <v>73.510000000000005</v>
      </c>
      <c r="G2219">
        <v>85.06</v>
      </c>
      <c r="H2219">
        <v>88.23</v>
      </c>
      <c r="I2219">
        <v>79.67</v>
      </c>
      <c r="J2219">
        <v>113.9</v>
      </c>
      <c r="K2219">
        <v>34.450000000000003</v>
      </c>
    </row>
    <row r="2220" spans="1:11">
      <c r="A2220">
        <v>331</v>
      </c>
      <c r="B2220">
        <v>29.01</v>
      </c>
      <c r="C2220">
        <v>39.01</v>
      </c>
      <c r="D2220">
        <v>38.950000000000003</v>
      </c>
      <c r="E2220">
        <v>33.229999999999997</v>
      </c>
      <c r="F2220">
        <v>73.400000000000006</v>
      </c>
      <c r="G2220">
        <v>85.06</v>
      </c>
      <c r="H2220">
        <v>88.4</v>
      </c>
      <c r="I2220">
        <v>79.56</v>
      </c>
      <c r="J2220">
        <v>113.84</v>
      </c>
      <c r="K2220">
        <v>34.450000000000003</v>
      </c>
    </row>
    <row r="2221" spans="1:11">
      <c r="A2221">
        <v>331.17</v>
      </c>
      <c r="B2221">
        <v>29.23</v>
      </c>
      <c r="C2221">
        <v>39.119999999999997</v>
      </c>
      <c r="D2221">
        <v>39.01</v>
      </c>
      <c r="E2221">
        <v>33.01</v>
      </c>
      <c r="F2221">
        <v>73.34</v>
      </c>
      <c r="G2221">
        <v>85.01</v>
      </c>
      <c r="H2221">
        <v>88.34</v>
      </c>
      <c r="I2221">
        <v>79.67</v>
      </c>
      <c r="J2221">
        <v>113.78</v>
      </c>
      <c r="K2221">
        <v>34.51</v>
      </c>
    </row>
    <row r="2222" spans="1:11">
      <c r="A2222">
        <v>331.33</v>
      </c>
      <c r="B2222">
        <v>29.28</v>
      </c>
      <c r="C2222">
        <v>38.950000000000003</v>
      </c>
      <c r="D2222">
        <v>38.9</v>
      </c>
      <c r="E2222">
        <v>32.950000000000003</v>
      </c>
      <c r="F2222">
        <v>73.400000000000006</v>
      </c>
      <c r="G2222">
        <v>85.01</v>
      </c>
      <c r="H2222">
        <v>88.34</v>
      </c>
      <c r="I2222">
        <v>79.73</v>
      </c>
      <c r="J2222">
        <v>113.78</v>
      </c>
      <c r="K2222">
        <v>34.51</v>
      </c>
    </row>
    <row r="2223" spans="1:11">
      <c r="A2223">
        <v>331.5</v>
      </c>
      <c r="B2223">
        <v>29.12</v>
      </c>
      <c r="C2223">
        <v>38.78</v>
      </c>
      <c r="D2223">
        <v>38.67</v>
      </c>
      <c r="E2223">
        <v>32.840000000000003</v>
      </c>
      <c r="F2223">
        <v>73.23</v>
      </c>
      <c r="G2223">
        <v>85.01</v>
      </c>
      <c r="H2223">
        <v>88.51</v>
      </c>
      <c r="I2223">
        <v>79.78</v>
      </c>
      <c r="J2223">
        <v>113.67</v>
      </c>
      <c r="K2223">
        <v>34.51</v>
      </c>
    </row>
    <row r="2224" spans="1:11">
      <c r="A2224">
        <v>331.67</v>
      </c>
      <c r="B2224">
        <v>29.23</v>
      </c>
      <c r="C2224">
        <v>38.9</v>
      </c>
      <c r="D2224">
        <v>38.840000000000003</v>
      </c>
      <c r="E2224">
        <v>33.06</v>
      </c>
      <c r="F2224">
        <v>73.12</v>
      </c>
      <c r="G2224">
        <v>85.01</v>
      </c>
      <c r="H2224">
        <v>88.51</v>
      </c>
      <c r="I2224">
        <v>79.78</v>
      </c>
      <c r="J2224">
        <v>113.73</v>
      </c>
      <c r="K2224">
        <v>34.51</v>
      </c>
    </row>
    <row r="2225" spans="1:11">
      <c r="A2225">
        <v>331.83</v>
      </c>
      <c r="B2225">
        <v>29.23</v>
      </c>
      <c r="C2225">
        <v>38.950000000000003</v>
      </c>
      <c r="D2225">
        <v>38.9</v>
      </c>
      <c r="E2225">
        <v>33.28</v>
      </c>
      <c r="F2225">
        <v>72.95</v>
      </c>
      <c r="G2225">
        <v>84.95</v>
      </c>
      <c r="H2225">
        <v>88.45</v>
      </c>
      <c r="I2225">
        <v>79.73</v>
      </c>
      <c r="J2225">
        <v>113.67</v>
      </c>
      <c r="K2225">
        <v>34.51</v>
      </c>
    </row>
    <row r="2226" spans="1:11">
      <c r="A2226">
        <v>332</v>
      </c>
      <c r="B2226">
        <v>29.23</v>
      </c>
      <c r="C2226">
        <v>38.67</v>
      </c>
      <c r="D2226">
        <v>38.67</v>
      </c>
      <c r="E2226">
        <v>33.340000000000003</v>
      </c>
      <c r="F2226">
        <v>72.900000000000006</v>
      </c>
      <c r="G2226">
        <v>84.95</v>
      </c>
      <c r="H2226">
        <v>88.56</v>
      </c>
      <c r="I2226">
        <v>79.84</v>
      </c>
      <c r="J2226">
        <v>113.62</v>
      </c>
      <c r="K2226">
        <v>34.51</v>
      </c>
    </row>
    <row r="2227" spans="1:11">
      <c r="A2227">
        <v>332.17</v>
      </c>
      <c r="B2227">
        <v>29.17</v>
      </c>
      <c r="C2227">
        <v>38.619999999999997</v>
      </c>
      <c r="D2227">
        <v>38.56</v>
      </c>
      <c r="E2227">
        <v>33.51</v>
      </c>
      <c r="F2227">
        <v>73.17</v>
      </c>
      <c r="G2227">
        <v>85.01</v>
      </c>
      <c r="H2227">
        <v>88.78</v>
      </c>
      <c r="I2227">
        <v>79.900000000000006</v>
      </c>
      <c r="J2227">
        <v>113.62</v>
      </c>
      <c r="K2227">
        <v>34.51</v>
      </c>
    </row>
    <row r="2228" spans="1:11">
      <c r="A2228">
        <v>332.33</v>
      </c>
      <c r="B2228">
        <v>28.95</v>
      </c>
      <c r="C2228">
        <v>38.4</v>
      </c>
      <c r="D2228">
        <v>38.229999999999997</v>
      </c>
      <c r="E2228">
        <v>33.17</v>
      </c>
      <c r="F2228">
        <v>73.06</v>
      </c>
      <c r="G2228">
        <v>84.95</v>
      </c>
      <c r="H2228">
        <v>88.73</v>
      </c>
      <c r="I2228">
        <v>79.78</v>
      </c>
      <c r="J2228">
        <v>113.56</v>
      </c>
      <c r="K2228">
        <v>34.51</v>
      </c>
    </row>
    <row r="2229" spans="1:11">
      <c r="A2229">
        <v>332.5</v>
      </c>
      <c r="B2229">
        <v>28.73</v>
      </c>
      <c r="C2229">
        <v>38.119999999999997</v>
      </c>
      <c r="D2229">
        <v>38.119999999999997</v>
      </c>
      <c r="E2229">
        <v>33.119999999999997</v>
      </c>
      <c r="F2229">
        <v>73.12</v>
      </c>
      <c r="G2229">
        <v>84.95</v>
      </c>
      <c r="H2229">
        <v>88.73</v>
      </c>
      <c r="I2229">
        <v>79.34</v>
      </c>
      <c r="J2229">
        <v>113.45</v>
      </c>
      <c r="K2229">
        <v>34.51</v>
      </c>
    </row>
    <row r="2230" spans="1:11">
      <c r="A2230">
        <v>332.67</v>
      </c>
      <c r="B2230">
        <v>28.67</v>
      </c>
      <c r="C2230">
        <v>38.17</v>
      </c>
      <c r="D2230">
        <v>38.06</v>
      </c>
      <c r="E2230">
        <v>33.119999999999997</v>
      </c>
      <c r="F2230">
        <v>72.95</v>
      </c>
      <c r="G2230">
        <v>84.95</v>
      </c>
      <c r="H2230">
        <v>88.78</v>
      </c>
      <c r="I2230">
        <v>79.12</v>
      </c>
      <c r="J2230">
        <v>113.45</v>
      </c>
      <c r="K2230">
        <v>34.51</v>
      </c>
    </row>
    <row r="2231" spans="1:11">
      <c r="A2231">
        <v>332.83</v>
      </c>
      <c r="B2231">
        <v>28.51</v>
      </c>
      <c r="C2231">
        <v>38.4</v>
      </c>
      <c r="D2231">
        <v>38.340000000000003</v>
      </c>
      <c r="E2231">
        <v>32.950000000000003</v>
      </c>
      <c r="F2231">
        <v>72.78</v>
      </c>
      <c r="G2231">
        <v>85.06</v>
      </c>
      <c r="H2231">
        <v>88.95</v>
      </c>
      <c r="I2231">
        <v>79.23</v>
      </c>
      <c r="J2231">
        <v>113.45</v>
      </c>
      <c r="K2231">
        <v>34.51</v>
      </c>
    </row>
    <row r="2232" spans="1:11">
      <c r="A2232">
        <v>333</v>
      </c>
      <c r="B2232">
        <v>28.62</v>
      </c>
      <c r="C2232">
        <v>38.28</v>
      </c>
      <c r="D2232">
        <v>38.17</v>
      </c>
      <c r="E2232">
        <v>32.950000000000003</v>
      </c>
      <c r="F2232">
        <v>72.62</v>
      </c>
      <c r="G2232">
        <v>85.01</v>
      </c>
      <c r="H2232">
        <v>88.73</v>
      </c>
      <c r="I2232">
        <v>79.12</v>
      </c>
      <c r="J2232">
        <v>113.45</v>
      </c>
      <c r="K2232">
        <v>34.51</v>
      </c>
    </row>
    <row r="2233" spans="1:11">
      <c r="A2233">
        <v>333.17</v>
      </c>
      <c r="B2233">
        <v>28.73</v>
      </c>
      <c r="C2233">
        <v>38.340000000000003</v>
      </c>
      <c r="D2233">
        <v>38.28</v>
      </c>
      <c r="E2233">
        <v>32.840000000000003</v>
      </c>
      <c r="F2233">
        <v>72.67</v>
      </c>
      <c r="G2233">
        <v>84.95</v>
      </c>
      <c r="H2233">
        <v>88.84</v>
      </c>
      <c r="I2233">
        <v>78.56</v>
      </c>
      <c r="J2233">
        <v>113.34</v>
      </c>
      <c r="K2233">
        <v>34.51</v>
      </c>
    </row>
    <row r="2234" spans="1:11">
      <c r="A2234">
        <v>333.33</v>
      </c>
      <c r="B2234">
        <v>28.9</v>
      </c>
      <c r="C2234">
        <v>38.4</v>
      </c>
      <c r="D2234">
        <v>38.28</v>
      </c>
      <c r="E2234">
        <v>32.78</v>
      </c>
      <c r="F2234">
        <v>72.67</v>
      </c>
      <c r="G2234">
        <v>84.9</v>
      </c>
      <c r="H2234">
        <v>88.95</v>
      </c>
      <c r="I2234">
        <v>78.06</v>
      </c>
      <c r="J2234">
        <v>113.34</v>
      </c>
      <c r="K2234">
        <v>34.51</v>
      </c>
    </row>
    <row r="2235" spans="1:11">
      <c r="A2235">
        <v>333.5</v>
      </c>
      <c r="B2235">
        <v>28.95</v>
      </c>
      <c r="C2235">
        <v>38.4</v>
      </c>
      <c r="D2235">
        <v>38.340000000000003</v>
      </c>
      <c r="E2235">
        <v>32.67</v>
      </c>
      <c r="F2235">
        <v>72.400000000000006</v>
      </c>
      <c r="G2235">
        <v>84.9</v>
      </c>
      <c r="H2235">
        <v>88.56</v>
      </c>
      <c r="I2235">
        <v>78.34</v>
      </c>
      <c r="J2235">
        <v>113.28</v>
      </c>
      <c r="K2235">
        <v>34.51</v>
      </c>
    </row>
    <row r="2236" spans="1:11">
      <c r="A2236">
        <v>333.67</v>
      </c>
      <c r="B2236">
        <v>28.95</v>
      </c>
      <c r="C2236">
        <v>38.28</v>
      </c>
      <c r="D2236">
        <v>38.06</v>
      </c>
      <c r="E2236">
        <v>33.01</v>
      </c>
      <c r="F2236">
        <v>72.06</v>
      </c>
      <c r="G2236">
        <v>84.78</v>
      </c>
      <c r="H2236">
        <v>88.45</v>
      </c>
      <c r="I2236">
        <v>78.62</v>
      </c>
      <c r="J2236">
        <v>113.23</v>
      </c>
      <c r="K2236">
        <v>34.51</v>
      </c>
    </row>
    <row r="2237" spans="1:11">
      <c r="A2237">
        <v>333.83</v>
      </c>
      <c r="B2237">
        <v>28.84</v>
      </c>
      <c r="C2237">
        <v>38.229999999999997</v>
      </c>
      <c r="D2237">
        <v>38.119999999999997</v>
      </c>
      <c r="E2237">
        <v>33.119999999999997</v>
      </c>
      <c r="F2237">
        <v>71.900000000000006</v>
      </c>
      <c r="G2237">
        <v>84.73</v>
      </c>
      <c r="H2237">
        <v>88.34</v>
      </c>
      <c r="I2237">
        <v>78.84</v>
      </c>
      <c r="J2237">
        <v>113.23</v>
      </c>
      <c r="K2237">
        <v>34.51</v>
      </c>
    </row>
    <row r="2238" spans="1:11">
      <c r="A2238">
        <v>334</v>
      </c>
      <c r="B2238">
        <v>28.73</v>
      </c>
      <c r="C2238">
        <v>38.119999999999997</v>
      </c>
      <c r="D2238">
        <v>38.01</v>
      </c>
      <c r="E2238">
        <v>33.28</v>
      </c>
      <c r="F2238">
        <v>71.84</v>
      </c>
      <c r="G2238">
        <v>84.62</v>
      </c>
      <c r="H2238">
        <v>88.01</v>
      </c>
      <c r="I2238">
        <v>78.62</v>
      </c>
      <c r="J2238">
        <v>113.12</v>
      </c>
      <c r="K2238">
        <v>34.51</v>
      </c>
    </row>
    <row r="2239" spans="1:11">
      <c r="A2239">
        <v>334.17</v>
      </c>
      <c r="B2239">
        <v>28.56</v>
      </c>
      <c r="C2239">
        <v>38.01</v>
      </c>
      <c r="D2239">
        <v>37.9</v>
      </c>
      <c r="E2239">
        <v>33.28</v>
      </c>
      <c r="F2239">
        <v>71.900000000000006</v>
      </c>
      <c r="G2239">
        <v>84.45</v>
      </c>
      <c r="H2239">
        <v>88.01</v>
      </c>
      <c r="I2239">
        <v>78.62</v>
      </c>
      <c r="J2239">
        <v>113.12</v>
      </c>
      <c r="K2239">
        <v>34.51</v>
      </c>
    </row>
    <row r="2240" spans="1:11">
      <c r="A2240">
        <v>334.33</v>
      </c>
      <c r="B2240">
        <v>28.78</v>
      </c>
      <c r="C2240">
        <v>38.119999999999997</v>
      </c>
      <c r="D2240">
        <v>38.01</v>
      </c>
      <c r="E2240">
        <v>33.56</v>
      </c>
      <c r="F2240">
        <v>72.12</v>
      </c>
      <c r="G2240">
        <v>84.4</v>
      </c>
      <c r="H2240">
        <v>87.84</v>
      </c>
      <c r="I2240">
        <v>79.010000000000005</v>
      </c>
      <c r="J2240">
        <v>113.06</v>
      </c>
      <c r="K2240">
        <v>34.56</v>
      </c>
    </row>
    <row r="2241" spans="1:11">
      <c r="A2241">
        <v>334.5</v>
      </c>
      <c r="B2241">
        <v>28.84</v>
      </c>
      <c r="C2241">
        <v>38.340000000000003</v>
      </c>
      <c r="D2241">
        <v>38.119999999999997</v>
      </c>
      <c r="E2241">
        <v>33.340000000000003</v>
      </c>
      <c r="F2241">
        <v>72.17</v>
      </c>
      <c r="G2241">
        <v>84.34</v>
      </c>
      <c r="H2241">
        <v>87.95</v>
      </c>
      <c r="I2241">
        <v>78.67</v>
      </c>
      <c r="J2241">
        <v>112.95</v>
      </c>
      <c r="K2241">
        <v>34.56</v>
      </c>
    </row>
    <row r="2242" spans="1:11">
      <c r="A2242">
        <v>334.67</v>
      </c>
      <c r="B2242">
        <v>28.95</v>
      </c>
      <c r="C2242">
        <v>38.56</v>
      </c>
      <c r="D2242">
        <v>38.28</v>
      </c>
      <c r="E2242">
        <v>33.340000000000003</v>
      </c>
      <c r="F2242">
        <v>72.28</v>
      </c>
      <c r="G2242">
        <v>84.34</v>
      </c>
      <c r="H2242">
        <v>88.17</v>
      </c>
      <c r="I2242">
        <v>78.56</v>
      </c>
      <c r="J2242">
        <v>113.12</v>
      </c>
      <c r="K2242">
        <v>34.56</v>
      </c>
    </row>
    <row r="2243" spans="1:11">
      <c r="A2243">
        <v>334.83</v>
      </c>
      <c r="B2243">
        <v>28.78</v>
      </c>
      <c r="C2243">
        <v>38.28</v>
      </c>
      <c r="D2243">
        <v>38.119999999999997</v>
      </c>
      <c r="E2243">
        <v>33.01</v>
      </c>
      <c r="F2243">
        <v>72.28</v>
      </c>
      <c r="G2243">
        <v>84.23</v>
      </c>
      <c r="H2243">
        <v>88.01</v>
      </c>
      <c r="I2243">
        <v>78.12</v>
      </c>
      <c r="J2243">
        <v>112.9</v>
      </c>
      <c r="K2243">
        <v>34.56</v>
      </c>
    </row>
    <row r="2244" spans="1:11">
      <c r="A2244">
        <v>335</v>
      </c>
      <c r="B2244">
        <v>28.67</v>
      </c>
      <c r="C2244">
        <v>38.119999999999997</v>
      </c>
      <c r="D2244">
        <v>38.06</v>
      </c>
      <c r="E2244">
        <v>33.01</v>
      </c>
      <c r="F2244">
        <v>72.010000000000005</v>
      </c>
      <c r="G2244">
        <v>84.23</v>
      </c>
      <c r="H2244">
        <v>87.95</v>
      </c>
      <c r="I2244">
        <v>78.06</v>
      </c>
      <c r="J2244">
        <v>112.84</v>
      </c>
      <c r="K2244">
        <v>34.56</v>
      </c>
    </row>
    <row r="2245" spans="1:11">
      <c r="A2245">
        <v>335.17</v>
      </c>
      <c r="B2245">
        <v>28.56</v>
      </c>
      <c r="C2245">
        <v>38.01</v>
      </c>
      <c r="D2245">
        <v>38.06</v>
      </c>
      <c r="E2245">
        <v>33.06</v>
      </c>
      <c r="F2245">
        <v>71.84</v>
      </c>
      <c r="G2245">
        <v>84.17</v>
      </c>
      <c r="H2245">
        <v>87.95</v>
      </c>
      <c r="I2245">
        <v>78.06</v>
      </c>
      <c r="J2245">
        <v>112.84</v>
      </c>
      <c r="K2245">
        <v>34.56</v>
      </c>
    </row>
    <row r="2246" spans="1:11">
      <c r="A2246">
        <v>335.33</v>
      </c>
      <c r="B2246">
        <v>28.34</v>
      </c>
      <c r="C2246">
        <v>37.9</v>
      </c>
      <c r="D2246">
        <v>37.9</v>
      </c>
      <c r="E2246">
        <v>32.950000000000003</v>
      </c>
      <c r="F2246">
        <v>71.84</v>
      </c>
      <c r="G2246">
        <v>84.01</v>
      </c>
      <c r="H2246">
        <v>87.56</v>
      </c>
      <c r="I2246">
        <v>78.06</v>
      </c>
      <c r="J2246">
        <v>112.78</v>
      </c>
      <c r="K2246">
        <v>34.56</v>
      </c>
    </row>
    <row r="2247" spans="1:11">
      <c r="A2247">
        <v>335.5</v>
      </c>
      <c r="B2247">
        <v>28.34</v>
      </c>
      <c r="C2247">
        <v>37.9</v>
      </c>
      <c r="D2247">
        <v>37.840000000000003</v>
      </c>
      <c r="E2247">
        <v>32.67</v>
      </c>
      <c r="F2247">
        <v>71.73</v>
      </c>
      <c r="G2247">
        <v>84.01</v>
      </c>
      <c r="H2247">
        <v>87.45</v>
      </c>
      <c r="I2247">
        <v>78.400000000000006</v>
      </c>
      <c r="J2247">
        <v>112.78</v>
      </c>
      <c r="K2247">
        <v>34.56</v>
      </c>
    </row>
    <row r="2248" spans="1:11">
      <c r="A2248">
        <v>335.67</v>
      </c>
      <c r="B2248">
        <v>28.23</v>
      </c>
      <c r="C2248">
        <v>38.01</v>
      </c>
      <c r="D2248">
        <v>37.9</v>
      </c>
      <c r="E2248">
        <v>32.51</v>
      </c>
      <c r="F2248">
        <v>71.84</v>
      </c>
      <c r="G2248">
        <v>83.9</v>
      </c>
      <c r="H2248">
        <v>87.56</v>
      </c>
      <c r="I2248">
        <v>78.62</v>
      </c>
      <c r="J2248">
        <v>112.67</v>
      </c>
      <c r="K2248">
        <v>34.56</v>
      </c>
    </row>
    <row r="2249" spans="1:11">
      <c r="A2249">
        <v>335.83</v>
      </c>
      <c r="B2249">
        <v>28.28</v>
      </c>
      <c r="C2249">
        <v>38.01</v>
      </c>
      <c r="D2249">
        <v>37.9</v>
      </c>
      <c r="E2249">
        <v>32.340000000000003</v>
      </c>
      <c r="F2249">
        <v>72.010000000000005</v>
      </c>
      <c r="G2249">
        <v>83.78</v>
      </c>
      <c r="H2249">
        <v>87.34</v>
      </c>
      <c r="I2249">
        <v>78.73</v>
      </c>
      <c r="J2249">
        <v>112.62</v>
      </c>
      <c r="K2249">
        <v>34.56</v>
      </c>
    </row>
    <row r="2250" spans="1:11">
      <c r="A2250">
        <v>336</v>
      </c>
      <c r="B2250">
        <v>28.28</v>
      </c>
      <c r="C2250">
        <v>37.9</v>
      </c>
      <c r="D2250">
        <v>37.840000000000003</v>
      </c>
      <c r="E2250">
        <v>32.229999999999997</v>
      </c>
      <c r="F2250">
        <v>71.84</v>
      </c>
      <c r="G2250">
        <v>83.73</v>
      </c>
      <c r="H2250">
        <v>87.23</v>
      </c>
      <c r="I2250">
        <v>78.400000000000006</v>
      </c>
      <c r="J2250">
        <v>112.62</v>
      </c>
      <c r="K2250">
        <v>34.56</v>
      </c>
    </row>
    <row r="2251" spans="1:11">
      <c r="A2251">
        <v>336.17</v>
      </c>
      <c r="B2251">
        <v>28.17</v>
      </c>
      <c r="C2251">
        <v>37.729999999999997</v>
      </c>
      <c r="D2251">
        <v>37.67</v>
      </c>
      <c r="E2251">
        <v>32.340000000000003</v>
      </c>
      <c r="F2251">
        <v>71.78</v>
      </c>
      <c r="G2251">
        <v>83.67</v>
      </c>
      <c r="H2251">
        <v>87.06</v>
      </c>
      <c r="I2251">
        <v>78.17</v>
      </c>
      <c r="J2251">
        <v>112.56</v>
      </c>
      <c r="K2251">
        <v>34.56</v>
      </c>
    </row>
    <row r="2252" spans="1:11">
      <c r="A2252">
        <v>336.33</v>
      </c>
      <c r="B2252">
        <v>28.17</v>
      </c>
      <c r="C2252">
        <v>37.67</v>
      </c>
      <c r="D2252">
        <v>37.67</v>
      </c>
      <c r="E2252">
        <v>32.67</v>
      </c>
      <c r="F2252">
        <v>71.84</v>
      </c>
      <c r="G2252">
        <v>83.62</v>
      </c>
      <c r="H2252">
        <v>87.4</v>
      </c>
      <c r="I2252">
        <v>78.12</v>
      </c>
      <c r="J2252">
        <v>112.51</v>
      </c>
      <c r="K2252">
        <v>34.56</v>
      </c>
    </row>
    <row r="2253" spans="1:11">
      <c r="A2253">
        <v>336.5</v>
      </c>
      <c r="B2253">
        <v>28.17</v>
      </c>
      <c r="C2253">
        <v>37.51</v>
      </c>
      <c r="D2253">
        <v>37.56</v>
      </c>
      <c r="E2253">
        <v>32.67</v>
      </c>
      <c r="F2253">
        <v>71.78</v>
      </c>
      <c r="G2253">
        <v>83.56</v>
      </c>
      <c r="H2253">
        <v>87.28</v>
      </c>
      <c r="I2253">
        <v>78.28</v>
      </c>
      <c r="J2253">
        <v>112.51</v>
      </c>
      <c r="K2253">
        <v>34.56</v>
      </c>
    </row>
    <row r="2254" spans="1:11">
      <c r="A2254">
        <v>336.67</v>
      </c>
      <c r="B2254">
        <v>28.34</v>
      </c>
      <c r="C2254">
        <v>37.4</v>
      </c>
      <c r="D2254">
        <v>37.340000000000003</v>
      </c>
      <c r="E2254">
        <v>32.67</v>
      </c>
      <c r="F2254">
        <v>71.84</v>
      </c>
      <c r="G2254">
        <v>83.45</v>
      </c>
      <c r="H2254">
        <v>87.45</v>
      </c>
      <c r="I2254">
        <v>78.010000000000005</v>
      </c>
      <c r="J2254">
        <v>112.4</v>
      </c>
      <c r="K2254">
        <v>34.56</v>
      </c>
    </row>
    <row r="2255" spans="1:11">
      <c r="A2255">
        <v>336.83</v>
      </c>
      <c r="B2255">
        <v>28.51</v>
      </c>
      <c r="C2255">
        <v>37.56</v>
      </c>
      <c r="D2255">
        <v>37.450000000000003</v>
      </c>
      <c r="E2255">
        <v>32.67</v>
      </c>
      <c r="F2255">
        <v>72.010000000000005</v>
      </c>
      <c r="G2255">
        <v>83.56</v>
      </c>
      <c r="H2255">
        <v>87.51</v>
      </c>
      <c r="I2255">
        <v>78.12</v>
      </c>
      <c r="J2255">
        <v>112.4</v>
      </c>
      <c r="K2255">
        <v>34.56</v>
      </c>
    </row>
    <row r="2256" spans="1:11">
      <c r="A2256">
        <v>337</v>
      </c>
      <c r="B2256">
        <v>28.51</v>
      </c>
      <c r="C2256">
        <v>37.78</v>
      </c>
      <c r="D2256">
        <v>37.56</v>
      </c>
      <c r="E2256">
        <v>32.67</v>
      </c>
      <c r="F2256">
        <v>72.06</v>
      </c>
      <c r="G2256">
        <v>83.45</v>
      </c>
      <c r="H2256">
        <v>87.78</v>
      </c>
      <c r="I2256">
        <v>77.900000000000006</v>
      </c>
      <c r="J2256">
        <v>112.4</v>
      </c>
      <c r="K2256">
        <v>34.619999999999997</v>
      </c>
    </row>
    <row r="2257" spans="1:11">
      <c r="A2257">
        <v>337.17</v>
      </c>
      <c r="B2257">
        <v>28.23</v>
      </c>
      <c r="C2257">
        <v>37.67</v>
      </c>
      <c r="D2257">
        <v>37.51</v>
      </c>
      <c r="E2257">
        <v>32.840000000000003</v>
      </c>
      <c r="F2257">
        <v>72.06</v>
      </c>
      <c r="G2257">
        <v>83.45</v>
      </c>
      <c r="H2257">
        <v>88.12</v>
      </c>
      <c r="I2257">
        <v>77.84</v>
      </c>
      <c r="J2257">
        <v>112.28</v>
      </c>
      <c r="K2257">
        <v>34.56</v>
      </c>
    </row>
    <row r="2258" spans="1:11">
      <c r="A2258">
        <v>337.33</v>
      </c>
      <c r="B2258">
        <v>28.17</v>
      </c>
      <c r="C2258">
        <v>37.56</v>
      </c>
      <c r="D2258">
        <v>37.4</v>
      </c>
      <c r="E2258">
        <v>32.78</v>
      </c>
      <c r="F2258">
        <v>72.12</v>
      </c>
      <c r="G2258">
        <v>83.51</v>
      </c>
      <c r="H2258">
        <v>88.45</v>
      </c>
      <c r="I2258">
        <v>77.84</v>
      </c>
      <c r="J2258">
        <v>112.34</v>
      </c>
      <c r="K2258">
        <v>34.56</v>
      </c>
    </row>
    <row r="2259" spans="1:11">
      <c r="A2259">
        <v>337.5</v>
      </c>
      <c r="B2259">
        <v>28.06</v>
      </c>
      <c r="C2259">
        <v>37.450000000000003</v>
      </c>
      <c r="D2259">
        <v>37.450000000000003</v>
      </c>
      <c r="E2259">
        <v>32.51</v>
      </c>
      <c r="F2259">
        <v>72.17</v>
      </c>
      <c r="G2259">
        <v>83.45</v>
      </c>
      <c r="H2259">
        <v>88.4</v>
      </c>
      <c r="I2259">
        <v>77.510000000000005</v>
      </c>
      <c r="J2259">
        <v>112.23</v>
      </c>
      <c r="K2259">
        <v>34.619999999999997</v>
      </c>
    </row>
    <row r="2260" spans="1:11">
      <c r="A2260">
        <v>337.67</v>
      </c>
      <c r="B2260">
        <v>27.9</v>
      </c>
      <c r="C2260">
        <v>37.450000000000003</v>
      </c>
      <c r="D2260">
        <v>37.340000000000003</v>
      </c>
      <c r="E2260">
        <v>32.340000000000003</v>
      </c>
      <c r="F2260">
        <v>72.17</v>
      </c>
      <c r="G2260">
        <v>83.45</v>
      </c>
      <c r="H2260">
        <v>88.45</v>
      </c>
      <c r="I2260">
        <v>77.34</v>
      </c>
      <c r="J2260">
        <v>112.17</v>
      </c>
      <c r="K2260">
        <v>34.619999999999997</v>
      </c>
    </row>
    <row r="2261" spans="1:11">
      <c r="A2261">
        <v>337.83</v>
      </c>
      <c r="B2261">
        <v>27.78</v>
      </c>
      <c r="C2261">
        <v>37.51</v>
      </c>
      <c r="D2261">
        <v>37.450000000000003</v>
      </c>
      <c r="E2261">
        <v>32.17</v>
      </c>
      <c r="F2261">
        <v>72.17</v>
      </c>
      <c r="G2261">
        <v>83.45</v>
      </c>
      <c r="H2261">
        <v>88.56</v>
      </c>
      <c r="I2261">
        <v>77.67</v>
      </c>
      <c r="J2261">
        <v>112.01</v>
      </c>
      <c r="K2261">
        <v>34.619999999999997</v>
      </c>
    </row>
    <row r="2262" spans="1:11">
      <c r="A2262">
        <v>338</v>
      </c>
      <c r="B2262">
        <v>27.73</v>
      </c>
      <c r="C2262">
        <v>37.9</v>
      </c>
      <c r="D2262">
        <v>37.729999999999997</v>
      </c>
      <c r="E2262">
        <v>32.17</v>
      </c>
      <c r="F2262">
        <v>72.28</v>
      </c>
      <c r="G2262">
        <v>83.56</v>
      </c>
      <c r="H2262">
        <v>88.62</v>
      </c>
      <c r="I2262">
        <v>77.900000000000006</v>
      </c>
      <c r="J2262">
        <v>112.12</v>
      </c>
      <c r="K2262">
        <v>34.619999999999997</v>
      </c>
    </row>
    <row r="2263" spans="1:11">
      <c r="A2263">
        <v>338.17</v>
      </c>
      <c r="B2263">
        <v>27.56</v>
      </c>
      <c r="C2263">
        <v>37.840000000000003</v>
      </c>
      <c r="D2263">
        <v>37.729999999999997</v>
      </c>
      <c r="E2263">
        <v>31.9</v>
      </c>
      <c r="F2263">
        <v>72.06</v>
      </c>
      <c r="G2263">
        <v>83.45</v>
      </c>
      <c r="H2263">
        <v>88.67</v>
      </c>
      <c r="I2263">
        <v>77.67</v>
      </c>
      <c r="J2263">
        <v>112.01</v>
      </c>
      <c r="K2263">
        <v>34.619999999999997</v>
      </c>
    </row>
    <row r="2264" spans="1:11">
      <c r="A2264">
        <v>338.33</v>
      </c>
      <c r="B2264">
        <v>27.45</v>
      </c>
      <c r="C2264">
        <v>37.840000000000003</v>
      </c>
      <c r="D2264">
        <v>37.67</v>
      </c>
      <c r="E2264">
        <v>31.78</v>
      </c>
      <c r="F2264">
        <v>72.010000000000005</v>
      </c>
      <c r="G2264">
        <v>83.56</v>
      </c>
      <c r="H2264">
        <v>88.62</v>
      </c>
      <c r="I2264">
        <v>77.84</v>
      </c>
      <c r="J2264">
        <v>112.01</v>
      </c>
      <c r="K2264">
        <v>34.619999999999997</v>
      </c>
    </row>
    <row r="2265" spans="1:11">
      <c r="A2265">
        <v>338.5</v>
      </c>
      <c r="B2265">
        <v>27.62</v>
      </c>
      <c r="C2265">
        <v>37.9</v>
      </c>
      <c r="D2265">
        <v>37.78</v>
      </c>
      <c r="E2265">
        <v>32.119999999999997</v>
      </c>
      <c r="F2265">
        <v>72.06</v>
      </c>
      <c r="G2265">
        <v>83.67</v>
      </c>
      <c r="H2265">
        <v>88.9</v>
      </c>
      <c r="I2265">
        <v>78.17</v>
      </c>
      <c r="J2265">
        <v>112.01</v>
      </c>
      <c r="K2265">
        <v>34.619999999999997</v>
      </c>
    </row>
    <row r="2266" spans="1:11">
      <c r="A2266">
        <v>338.67</v>
      </c>
      <c r="B2266">
        <v>27.73</v>
      </c>
      <c r="C2266">
        <v>37.56</v>
      </c>
      <c r="D2266">
        <v>37.619999999999997</v>
      </c>
      <c r="E2266">
        <v>31.84</v>
      </c>
      <c r="F2266">
        <v>71.900000000000006</v>
      </c>
      <c r="G2266">
        <v>83.62</v>
      </c>
      <c r="H2266">
        <v>88.78</v>
      </c>
      <c r="I2266">
        <v>77.900000000000006</v>
      </c>
      <c r="J2266">
        <v>111.9</v>
      </c>
      <c r="K2266">
        <v>34.619999999999997</v>
      </c>
    </row>
    <row r="2267" spans="1:11">
      <c r="A2267">
        <v>338.83</v>
      </c>
      <c r="B2267">
        <v>27.67</v>
      </c>
      <c r="C2267">
        <v>37.729999999999997</v>
      </c>
      <c r="D2267">
        <v>37.56</v>
      </c>
      <c r="E2267">
        <v>31.78</v>
      </c>
      <c r="F2267">
        <v>71.78</v>
      </c>
      <c r="G2267">
        <v>83.62</v>
      </c>
      <c r="H2267">
        <v>88.56</v>
      </c>
      <c r="I2267">
        <v>78.12</v>
      </c>
      <c r="J2267">
        <v>111.84</v>
      </c>
      <c r="K2267">
        <v>34.619999999999997</v>
      </c>
    </row>
    <row r="2268" spans="1:11">
      <c r="A2268">
        <v>339</v>
      </c>
      <c r="B2268">
        <v>27.62</v>
      </c>
      <c r="C2268">
        <v>37.729999999999997</v>
      </c>
      <c r="D2268">
        <v>37.67</v>
      </c>
      <c r="E2268">
        <v>31.9</v>
      </c>
      <c r="F2268">
        <v>71.73</v>
      </c>
      <c r="G2268">
        <v>83.78</v>
      </c>
      <c r="H2268">
        <v>88.17</v>
      </c>
      <c r="I2268">
        <v>78.06</v>
      </c>
      <c r="J2268">
        <v>111.84</v>
      </c>
      <c r="K2268">
        <v>34.619999999999997</v>
      </c>
    </row>
    <row r="2269" spans="1:11">
      <c r="A2269">
        <v>339.17</v>
      </c>
      <c r="B2269">
        <v>27.51</v>
      </c>
      <c r="C2269">
        <v>37.56</v>
      </c>
      <c r="D2269">
        <v>37.619999999999997</v>
      </c>
      <c r="E2269">
        <v>31.84</v>
      </c>
      <c r="F2269">
        <v>71.67</v>
      </c>
      <c r="G2269">
        <v>83.62</v>
      </c>
      <c r="H2269">
        <v>87.84</v>
      </c>
      <c r="I2269">
        <v>78.23</v>
      </c>
      <c r="J2269">
        <v>111.73</v>
      </c>
      <c r="K2269">
        <v>34.619999999999997</v>
      </c>
    </row>
    <row r="2270" spans="1:11">
      <c r="A2270">
        <v>339.33</v>
      </c>
      <c r="B2270">
        <v>27.56</v>
      </c>
      <c r="C2270">
        <v>37.56</v>
      </c>
      <c r="D2270">
        <v>37.56</v>
      </c>
      <c r="E2270">
        <v>32.119999999999997</v>
      </c>
      <c r="F2270">
        <v>71.78</v>
      </c>
      <c r="G2270">
        <v>83.67</v>
      </c>
      <c r="H2270">
        <v>87.67</v>
      </c>
      <c r="I2270">
        <v>78.34</v>
      </c>
      <c r="J2270">
        <v>111.84</v>
      </c>
      <c r="K2270">
        <v>34.619999999999997</v>
      </c>
    </row>
    <row r="2271" spans="1:11">
      <c r="A2271">
        <v>339.5</v>
      </c>
      <c r="B2271">
        <v>27.51</v>
      </c>
      <c r="C2271">
        <v>37.51</v>
      </c>
      <c r="D2271">
        <v>37.450000000000003</v>
      </c>
      <c r="E2271">
        <v>32.06</v>
      </c>
      <c r="F2271">
        <v>71.84</v>
      </c>
      <c r="G2271">
        <v>83.62</v>
      </c>
      <c r="H2271">
        <v>87.23</v>
      </c>
      <c r="I2271">
        <v>78.28</v>
      </c>
      <c r="J2271">
        <v>111.67</v>
      </c>
      <c r="K2271">
        <v>34.619999999999997</v>
      </c>
    </row>
    <row r="2272" spans="1:11">
      <c r="A2272">
        <v>339.67</v>
      </c>
      <c r="B2272">
        <v>27.51</v>
      </c>
      <c r="C2272">
        <v>37.56</v>
      </c>
      <c r="D2272">
        <v>37.450000000000003</v>
      </c>
      <c r="E2272">
        <v>31.9</v>
      </c>
      <c r="F2272">
        <v>71.84</v>
      </c>
      <c r="G2272">
        <v>83.56</v>
      </c>
      <c r="H2272">
        <v>87.06</v>
      </c>
      <c r="I2272">
        <v>78.45</v>
      </c>
      <c r="J2272">
        <v>111.67</v>
      </c>
      <c r="K2272">
        <v>34.619999999999997</v>
      </c>
    </row>
    <row r="2273" spans="1:11">
      <c r="A2273">
        <v>339.83</v>
      </c>
      <c r="B2273">
        <v>27.51</v>
      </c>
      <c r="C2273">
        <v>37.619999999999997</v>
      </c>
      <c r="D2273">
        <v>37.51</v>
      </c>
      <c r="E2273">
        <v>32.119999999999997</v>
      </c>
      <c r="F2273">
        <v>71.67</v>
      </c>
      <c r="G2273">
        <v>83.45</v>
      </c>
      <c r="H2273">
        <v>86.95</v>
      </c>
      <c r="I2273">
        <v>78.73</v>
      </c>
      <c r="J2273">
        <v>111.62</v>
      </c>
      <c r="K2273">
        <v>34.619999999999997</v>
      </c>
    </row>
    <row r="2274" spans="1:11">
      <c r="A2274">
        <v>340</v>
      </c>
      <c r="B2274">
        <v>27.4</v>
      </c>
      <c r="C2274">
        <v>37.67</v>
      </c>
      <c r="D2274">
        <v>37.67</v>
      </c>
      <c r="E2274">
        <v>31.95</v>
      </c>
      <c r="F2274">
        <v>71.73</v>
      </c>
      <c r="G2274">
        <v>83.62</v>
      </c>
      <c r="H2274">
        <v>87.28</v>
      </c>
      <c r="I2274">
        <v>79.06</v>
      </c>
      <c r="J2274">
        <v>111.51</v>
      </c>
      <c r="K2274">
        <v>34.619999999999997</v>
      </c>
    </row>
    <row r="2275" spans="1:11">
      <c r="A2275">
        <v>340.17</v>
      </c>
      <c r="B2275">
        <v>27.45</v>
      </c>
      <c r="C2275">
        <v>37.619999999999997</v>
      </c>
      <c r="D2275">
        <v>37.56</v>
      </c>
      <c r="E2275">
        <v>32.17</v>
      </c>
      <c r="F2275">
        <v>71.67</v>
      </c>
      <c r="G2275">
        <v>83.62</v>
      </c>
      <c r="H2275">
        <v>87.28</v>
      </c>
      <c r="I2275">
        <v>79.12</v>
      </c>
      <c r="J2275">
        <v>111.56</v>
      </c>
      <c r="K2275">
        <v>34.619999999999997</v>
      </c>
    </row>
    <row r="2276" spans="1:11">
      <c r="A2276">
        <v>340.33</v>
      </c>
      <c r="B2276">
        <v>27.34</v>
      </c>
      <c r="C2276">
        <v>37.56</v>
      </c>
      <c r="D2276">
        <v>37.729999999999997</v>
      </c>
      <c r="E2276">
        <v>32.51</v>
      </c>
      <c r="F2276">
        <v>71.900000000000006</v>
      </c>
      <c r="G2276">
        <v>83.51</v>
      </c>
      <c r="H2276">
        <v>87.34</v>
      </c>
      <c r="I2276">
        <v>79.17</v>
      </c>
      <c r="J2276">
        <v>111.51</v>
      </c>
      <c r="K2276">
        <v>34.619999999999997</v>
      </c>
    </row>
    <row r="2277" spans="1:11">
      <c r="A2277">
        <v>340.5</v>
      </c>
      <c r="B2277">
        <v>27.34</v>
      </c>
      <c r="C2277">
        <v>37.78</v>
      </c>
      <c r="D2277">
        <v>37.619999999999997</v>
      </c>
      <c r="E2277">
        <v>32.51</v>
      </c>
      <c r="F2277">
        <v>72.12</v>
      </c>
      <c r="G2277">
        <v>83.62</v>
      </c>
      <c r="H2277">
        <v>87.45</v>
      </c>
      <c r="I2277">
        <v>79.17</v>
      </c>
      <c r="J2277">
        <v>111.51</v>
      </c>
      <c r="K2277">
        <v>34.619999999999997</v>
      </c>
    </row>
    <row r="2278" spans="1:11">
      <c r="A2278">
        <v>340.67</v>
      </c>
      <c r="B2278">
        <v>27.51</v>
      </c>
      <c r="C2278">
        <v>37.619999999999997</v>
      </c>
      <c r="D2278">
        <v>37.67</v>
      </c>
      <c r="E2278">
        <v>32.4</v>
      </c>
      <c r="F2278">
        <v>72.06</v>
      </c>
      <c r="G2278">
        <v>83.51</v>
      </c>
      <c r="H2278">
        <v>87.67</v>
      </c>
      <c r="I2278">
        <v>79.400000000000006</v>
      </c>
      <c r="J2278">
        <v>111.4</v>
      </c>
      <c r="K2278">
        <v>34.67</v>
      </c>
    </row>
    <row r="2279" spans="1:11">
      <c r="A2279">
        <v>340.83</v>
      </c>
      <c r="B2279">
        <v>27.51</v>
      </c>
      <c r="C2279">
        <v>37.78</v>
      </c>
      <c r="D2279">
        <v>37.67</v>
      </c>
      <c r="E2279">
        <v>32.229999999999997</v>
      </c>
      <c r="F2279">
        <v>71.900000000000006</v>
      </c>
      <c r="G2279">
        <v>83.51</v>
      </c>
      <c r="H2279">
        <v>87.4</v>
      </c>
      <c r="I2279">
        <v>79.45</v>
      </c>
      <c r="J2279">
        <v>111.4</v>
      </c>
      <c r="K2279">
        <v>34.67</v>
      </c>
    </row>
    <row r="2280" spans="1:11">
      <c r="A2280">
        <v>341</v>
      </c>
      <c r="B2280">
        <v>27.67</v>
      </c>
      <c r="C2280">
        <v>37.840000000000003</v>
      </c>
      <c r="D2280">
        <v>37.67</v>
      </c>
      <c r="E2280">
        <v>32.119999999999997</v>
      </c>
      <c r="F2280">
        <v>71.84</v>
      </c>
      <c r="G2280">
        <v>83.45</v>
      </c>
      <c r="H2280">
        <v>87.45</v>
      </c>
      <c r="I2280">
        <v>79.34</v>
      </c>
      <c r="J2280">
        <v>111.34</v>
      </c>
      <c r="K2280">
        <v>34.67</v>
      </c>
    </row>
    <row r="2281" spans="1:11">
      <c r="A2281">
        <v>341.17</v>
      </c>
      <c r="B2281">
        <v>27.67</v>
      </c>
      <c r="C2281">
        <v>37.840000000000003</v>
      </c>
      <c r="D2281">
        <v>37.729999999999997</v>
      </c>
      <c r="E2281">
        <v>32.06</v>
      </c>
      <c r="F2281">
        <v>71.900000000000006</v>
      </c>
      <c r="G2281">
        <v>83.4</v>
      </c>
      <c r="H2281">
        <v>87.12</v>
      </c>
      <c r="I2281">
        <v>78.62</v>
      </c>
      <c r="J2281">
        <v>111.34</v>
      </c>
      <c r="K2281">
        <v>34.67</v>
      </c>
    </row>
    <row r="2282" spans="1:11">
      <c r="A2282">
        <v>341.33</v>
      </c>
      <c r="B2282">
        <v>27.73</v>
      </c>
      <c r="C2282">
        <v>37.9</v>
      </c>
      <c r="D2282">
        <v>37.729999999999997</v>
      </c>
      <c r="E2282">
        <v>32.229999999999997</v>
      </c>
      <c r="F2282">
        <v>72.12</v>
      </c>
      <c r="G2282">
        <v>83.4</v>
      </c>
      <c r="H2282">
        <v>87.06</v>
      </c>
      <c r="I2282">
        <v>78.78</v>
      </c>
      <c r="J2282">
        <v>111.23</v>
      </c>
      <c r="K2282">
        <v>34.67</v>
      </c>
    </row>
    <row r="2283" spans="1:11">
      <c r="A2283">
        <v>341.5</v>
      </c>
      <c r="B2283">
        <v>27.73</v>
      </c>
      <c r="C2283">
        <v>37.450000000000003</v>
      </c>
      <c r="D2283">
        <v>37.51</v>
      </c>
      <c r="E2283">
        <v>32.17</v>
      </c>
      <c r="F2283">
        <v>72.23</v>
      </c>
      <c r="G2283">
        <v>83.23</v>
      </c>
      <c r="H2283">
        <v>87.06</v>
      </c>
      <c r="I2283">
        <v>78.900000000000006</v>
      </c>
      <c r="J2283">
        <v>111.23</v>
      </c>
      <c r="K2283">
        <v>34.67</v>
      </c>
    </row>
    <row r="2284" spans="1:11">
      <c r="A2284">
        <v>341.67</v>
      </c>
      <c r="B2284">
        <v>27.56</v>
      </c>
      <c r="C2284">
        <v>37.450000000000003</v>
      </c>
      <c r="D2284">
        <v>37.619999999999997</v>
      </c>
      <c r="E2284">
        <v>31.9</v>
      </c>
      <c r="F2284">
        <v>72.12</v>
      </c>
      <c r="G2284">
        <v>83.23</v>
      </c>
      <c r="H2284">
        <v>86.9</v>
      </c>
      <c r="I2284">
        <v>78.400000000000006</v>
      </c>
      <c r="J2284">
        <v>111.17</v>
      </c>
      <c r="K2284">
        <v>34.67</v>
      </c>
    </row>
    <row r="2285" spans="1:11">
      <c r="A2285">
        <v>341.83</v>
      </c>
      <c r="B2285">
        <v>27.62</v>
      </c>
      <c r="C2285">
        <v>37.51</v>
      </c>
      <c r="D2285">
        <v>37.4</v>
      </c>
      <c r="E2285">
        <v>31.67</v>
      </c>
      <c r="F2285">
        <v>72.23</v>
      </c>
      <c r="G2285">
        <v>83.28</v>
      </c>
      <c r="H2285">
        <v>86.78</v>
      </c>
      <c r="I2285">
        <v>78.28</v>
      </c>
      <c r="J2285">
        <v>111.17</v>
      </c>
      <c r="K2285">
        <v>34.67</v>
      </c>
    </row>
    <row r="2286" spans="1:11">
      <c r="A2286">
        <v>342</v>
      </c>
      <c r="B2286">
        <v>27.56</v>
      </c>
      <c r="C2286">
        <v>37.4</v>
      </c>
      <c r="D2286">
        <v>37.4</v>
      </c>
      <c r="E2286">
        <v>31.67</v>
      </c>
      <c r="F2286">
        <v>72.12</v>
      </c>
      <c r="G2286">
        <v>83.23</v>
      </c>
      <c r="H2286">
        <v>86.84</v>
      </c>
      <c r="I2286">
        <v>78.400000000000006</v>
      </c>
      <c r="J2286">
        <v>111.12</v>
      </c>
      <c r="K2286">
        <v>34.67</v>
      </c>
    </row>
    <row r="2287" spans="1:11">
      <c r="A2287">
        <v>342.17</v>
      </c>
      <c r="B2287">
        <v>27.62</v>
      </c>
      <c r="C2287">
        <v>37.229999999999997</v>
      </c>
      <c r="D2287">
        <v>37.119999999999997</v>
      </c>
      <c r="E2287">
        <v>31.67</v>
      </c>
      <c r="F2287">
        <v>71.84</v>
      </c>
      <c r="G2287">
        <v>83.06</v>
      </c>
      <c r="H2287">
        <v>86.9</v>
      </c>
      <c r="I2287">
        <v>78.17</v>
      </c>
      <c r="J2287">
        <v>111.06</v>
      </c>
      <c r="K2287">
        <v>34.67</v>
      </c>
    </row>
    <row r="2288" spans="1:11">
      <c r="A2288">
        <v>342.33</v>
      </c>
      <c r="B2288">
        <v>27.51</v>
      </c>
      <c r="C2288">
        <v>37.06</v>
      </c>
      <c r="D2288">
        <v>37.06</v>
      </c>
      <c r="E2288">
        <v>31.62</v>
      </c>
      <c r="F2288">
        <v>71.73</v>
      </c>
      <c r="G2288">
        <v>83.06</v>
      </c>
      <c r="H2288">
        <v>86.51</v>
      </c>
      <c r="I2288">
        <v>78.12</v>
      </c>
      <c r="J2288">
        <v>111.01</v>
      </c>
      <c r="K2288">
        <v>34.67</v>
      </c>
    </row>
    <row r="2289" spans="1:11">
      <c r="A2289">
        <v>342.5</v>
      </c>
      <c r="B2289">
        <v>27.51</v>
      </c>
      <c r="C2289">
        <v>36.950000000000003</v>
      </c>
      <c r="D2289">
        <v>37.01</v>
      </c>
      <c r="E2289">
        <v>31.45</v>
      </c>
      <c r="F2289">
        <v>72.06</v>
      </c>
      <c r="G2289">
        <v>83.06</v>
      </c>
      <c r="H2289">
        <v>86.51</v>
      </c>
      <c r="I2289">
        <v>77.900000000000006</v>
      </c>
      <c r="J2289">
        <v>111.01</v>
      </c>
      <c r="K2289">
        <v>34.67</v>
      </c>
    </row>
    <row r="2290" spans="1:11">
      <c r="A2290">
        <v>342.67</v>
      </c>
      <c r="B2290">
        <v>27.34</v>
      </c>
      <c r="C2290">
        <v>37.229999999999997</v>
      </c>
      <c r="D2290">
        <v>37.119999999999997</v>
      </c>
      <c r="E2290">
        <v>31.23</v>
      </c>
      <c r="F2290">
        <v>72.010000000000005</v>
      </c>
      <c r="G2290">
        <v>83.06</v>
      </c>
      <c r="H2290">
        <v>86.51</v>
      </c>
      <c r="I2290">
        <v>78.010000000000005</v>
      </c>
      <c r="J2290">
        <v>110.9</v>
      </c>
      <c r="K2290">
        <v>34.67</v>
      </c>
    </row>
    <row r="2291" spans="1:11">
      <c r="A2291">
        <v>342.83</v>
      </c>
      <c r="B2291">
        <v>27.4</v>
      </c>
      <c r="C2291">
        <v>37.119999999999997</v>
      </c>
      <c r="D2291">
        <v>37.119999999999997</v>
      </c>
      <c r="E2291">
        <v>31.17</v>
      </c>
      <c r="F2291">
        <v>72.12</v>
      </c>
      <c r="G2291">
        <v>83.06</v>
      </c>
      <c r="H2291">
        <v>86.62</v>
      </c>
      <c r="I2291">
        <v>78.010000000000005</v>
      </c>
      <c r="J2291">
        <v>110.95</v>
      </c>
      <c r="K2291">
        <v>34.67</v>
      </c>
    </row>
    <row r="2292" spans="1:11">
      <c r="A2292">
        <v>343</v>
      </c>
      <c r="B2292">
        <v>27.28</v>
      </c>
      <c r="C2292">
        <v>37.01</v>
      </c>
      <c r="D2292">
        <v>37.119999999999997</v>
      </c>
      <c r="E2292">
        <v>31.56</v>
      </c>
      <c r="F2292">
        <v>72.12</v>
      </c>
      <c r="G2292">
        <v>83.06</v>
      </c>
      <c r="H2292">
        <v>86.51</v>
      </c>
      <c r="I2292">
        <v>78.12</v>
      </c>
      <c r="J2292">
        <v>110.84</v>
      </c>
      <c r="K2292">
        <v>34.67</v>
      </c>
    </row>
    <row r="2293" spans="1:11">
      <c r="A2293">
        <v>343.17</v>
      </c>
      <c r="B2293">
        <v>27.56</v>
      </c>
      <c r="C2293">
        <v>37.119999999999997</v>
      </c>
      <c r="D2293">
        <v>36.950000000000003</v>
      </c>
      <c r="E2293">
        <v>31.62</v>
      </c>
      <c r="F2293">
        <v>72.12</v>
      </c>
      <c r="G2293">
        <v>83.06</v>
      </c>
      <c r="H2293">
        <v>86.4</v>
      </c>
      <c r="I2293">
        <v>78.28</v>
      </c>
      <c r="J2293">
        <v>110.78</v>
      </c>
      <c r="K2293">
        <v>34.67</v>
      </c>
    </row>
    <row r="2294" spans="1:11">
      <c r="A2294">
        <v>343.33</v>
      </c>
      <c r="B2294">
        <v>27.73</v>
      </c>
      <c r="C2294">
        <v>36.840000000000003</v>
      </c>
      <c r="D2294">
        <v>36.9</v>
      </c>
      <c r="E2294">
        <v>31.67</v>
      </c>
      <c r="F2294">
        <v>72.06</v>
      </c>
      <c r="G2294">
        <v>83.06</v>
      </c>
      <c r="H2294">
        <v>86.23</v>
      </c>
      <c r="I2294">
        <v>78.28</v>
      </c>
      <c r="J2294">
        <v>110.84</v>
      </c>
      <c r="K2294">
        <v>34.67</v>
      </c>
    </row>
    <row r="2295" spans="1:11">
      <c r="A2295">
        <v>343.5</v>
      </c>
      <c r="B2295">
        <v>27.95</v>
      </c>
      <c r="C2295">
        <v>37.119999999999997</v>
      </c>
      <c r="D2295">
        <v>37.06</v>
      </c>
      <c r="E2295">
        <v>31.56</v>
      </c>
      <c r="F2295">
        <v>71.84</v>
      </c>
      <c r="G2295">
        <v>83.06</v>
      </c>
      <c r="H2295">
        <v>86.28</v>
      </c>
      <c r="I2295">
        <v>78.45</v>
      </c>
      <c r="J2295">
        <v>110.62</v>
      </c>
      <c r="K2295">
        <v>34.67</v>
      </c>
    </row>
    <row r="2296" spans="1:11">
      <c r="A2296">
        <v>343.67</v>
      </c>
      <c r="B2296">
        <v>28.12</v>
      </c>
      <c r="C2296">
        <v>37.229999999999997</v>
      </c>
      <c r="D2296">
        <v>36.950000000000003</v>
      </c>
      <c r="E2296">
        <v>31.51</v>
      </c>
      <c r="F2296">
        <v>72.23</v>
      </c>
      <c r="G2296">
        <v>83.17</v>
      </c>
      <c r="H2296">
        <v>86.51</v>
      </c>
      <c r="I2296">
        <v>78.56</v>
      </c>
      <c r="J2296">
        <v>110.67</v>
      </c>
      <c r="K2296">
        <v>34.67</v>
      </c>
    </row>
    <row r="2297" spans="1:11">
      <c r="A2297">
        <v>343.83</v>
      </c>
      <c r="B2297">
        <v>27.9</v>
      </c>
      <c r="C2297">
        <v>36.950000000000003</v>
      </c>
      <c r="D2297">
        <v>37.01</v>
      </c>
      <c r="E2297">
        <v>31.28</v>
      </c>
      <c r="F2297">
        <v>72.28</v>
      </c>
      <c r="G2297">
        <v>83.17</v>
      </c>
      <c r="H2297">
        <v>86.84</v>
      </c>
      <c r="I2297">
        <v>78.56</v>
      </c>
      <c r="J2297">
        <v>110.56</v>
      </c>
      <c r="K2297">
        <v>34.729999999999997</v>
      </c>
    </row>
    <row r="2298" spans="1:11">
      <c r="A2298">
        <v>344</v>
      </c>
      <c r="B2298">
        <v>27.84</v>
      </c>
      <c r="C2298">
        <v>36.9</v>
      </c>
      <c r="D2298">
        <v>36.729999999999997</v>
      </c>
      <c r="E2298">
        <v>31.4</v>
      </c>
      <c r="F2298">
        <v>72.56</v>
      </c>
      <c r="G2298">
        <v>83.17</v>
      </c>
      <c r="H2298">
        <v>86.84</v>
      </c>
      <c r="I2298">
        <v>78.62</v>
      </c>
      <c r="J2298">
        <v>110.62</v>
      </c>
      <c r="K2298">
        <v>34.729999999999997</v>
      </c>
    </row>
    <row r="2299" spans="1:11">
      <c r="A2299">
        <v>344.17</v>
      </c>
      <c r="B2299">
        <v>27.51</v>
      </c>
      <c r="C2299">
        <v>36.67</v>
      </c>
      <c r="D2299">
        <v>36.78</v>
      </c>
      <c r="E2299">
        <v>31.45</v>
      </c>
      <c r="F2299">
        <v>72.56</v>
      </c>
      <c r="G2299">
        <v>83.23</v>
      </c>
      <c r="H2299">
        <v>86.9</v>
      </c>
      <c r="I2299">
        <v>78.56</v>
      </c>
      <c r="J2299">
        <v>110.45</v>
      </c>
      <c r="K2299">
        <v>34.729999999999997</v>
      </c>
    </row>
    <row r="2300" spans="1:11">
      <c r="A2300">
        <v>344.33</v>
      </c>
      <c r="B2300">
        <v>27.45</v>
      </c>
      <c r="C2300">
        <v>36.619999999999997</v>
      </c>
      <c r="D2300">
        <v>36.619999999999997</v>
      </c>
      <c r="E2300">
        <v>31.51</v>
      </c>
      <c r="F2300">
        <v>72.62</v>
      </c>
      <c r="G2300">
        <v>83.28</v>
      </c>
      <c r="H2300">
        <v>87.01</v>
      </c>
      <c r="I2300">
        <v>78.45</v>
      </c>
      <c r="J2300">
        <v>110.56</v>
      </c>
      <c r="K2300">
        <v>34.729999999999997</v>
      </c>
    </row>
    <row r="2301" spans="1:11">
      <c r="A2301">
        <v>344.5</v>
      </c>
      <c r="B2301">
        <v>27.34</v>
      </c>
      <c r="C2301">
        <v>36.56</v>
      </c>
      <c r="D2301">
        <v>36.56</v>
      </c>
      <c r="E2301">
        <v>32.01</v>
      </c>
      <c r="F2301">
        <v>72.56</v>
      </c>
      <c r="G2301">
        <v>83.28</v>
      </c>
      <c r="H2301">
        <v>86.78</v>
      </c>
      <c r="I2301">
        <v>78.56</v>
      </c>
      <c r="J2301">
        <v>110.56</v>
      </c>
      <c r="K2301">
        <v>34.729999999999997</v>
      </c>
    </row>
    <row r="2302" spans="1:11">
      <c r="A2302">
        <v>344.67</v>
      </c>
      <c r="B2302">
        <v>27.34</v>
      </c>
      <c r="C2302">
        <v>36.340000000000003</v>
      </c>
      <c r="D2302">
        <v>36.340000000000003</v>
      </c>
      <c r="E2302">
        <v>32.06</v>
      </c>
      <c r="F2302">
        <v>72.62</v>
      </c>
      <c r="G2302">
        <v>83.28</v>
      </c>
      <c r="H2302">
        <v>86.73</v>
      </c>
      <c r="I2302">
        <v>78.28</v>
      </c>
      <c r="J2302">
        <v>110.51</v>
      </c>
      <c r="K2302">
        <v>34.729999999999997</v>
      </c>
    </row>
    <row r="2303" spans="1:11">
      <c r="A2303">
        <v>344.83</v>
      </c>
      <c r="B2303">
        <v>27.12</v>
      </c>
      <c r="C2303">
        <v>36.340000000000003</v>
      </c>
      <c r="D2303">
        <v>36.619999999999997</v>
      </c>
      <c r="E2303">
        <v>32.17</v>
      </c>
      <c r="F2303">
        <v>72.56</v>
      </c>
      <c r="G2303">
        <v>83.28</v>
      </c>
      <c r="H2303">
        <v>87.06</v>
      </c>
      <c r="I2303">
        <v>78.17</v>
      </c>
      <c r="J2303">
        <v>110.45</v>
      </c>
      <c r="K2303">
        <v>34.729999999999997</v>
      </c>
    </row>
    <row r="2304" spans="1:11">
      <c r="A2304">
        <v>345</v>
      </c>
      <c r="B2304">
        <v>27.23</v>
      </c>
      <c r="C2304">
        <v>36.51</v>
      </c>
      <c r="D2304">
        <v>36.51</v>
      </c>
      <c r="E2304">
        <v>32.119999999999997</v>
      </c>
      <c r="F2304">
        <v>72.510000000000005</v>
      </c>
      <c r="G2304">
        <v>83.28</v>
      </c>
      <c r="H2304">
        <v>86.62</v>
      </c>
      <c r="I2304">
        <v>78.17</v>
      </c>
      <c r="J2304">
        <v>110.45</v>
      </c>
      <c r="K2304">
        <v>34.729999999999997</v>
      </c>
    </row>
    <row r="2305" spans="1:11">
      <c r="A2305">
        <v>345.17</v>
      </c>
      <c r="B2305">
        <v>27.4</v>
      </c>
      <c r="C2305">
        <v>36.56</v>
      </c>
      <c r="D2305">
        <v>36.340000000000003</v>
      </c>
      <c r="E2305">
        <v>31.9</v>
      </c>
      <c r="F2305">
        <v>72.400000000000006</v>
      </c>
      <c r="G2305">
        <v>83.12</v>
      </c>
      <c r="H2305">
        <v>86.62</v>
      </c>
      <c r="I2305">
        <v>77.95</v>
      </c>
      <c r="J2305">
        <v>110.34</v>
      </c>
      <c r="K2305">
        <v>34.729999999999997</v>
      </c>
    </row>
    <row r="2306" spans="1:11">
      <c r="A2306">
        <v>345.33</v>
      </c>
      <c r="B2306">
        <v>27.4</v>
      </c>
      <c r="C2306">
        <v>36.56</v>
      </c>
      <c r="D2306">
        <v>36.340000000000003</v>
      </c>
      <c r="E2306">
        <v>31.67</v>
      </c>
      <c r="F2306">
        <v>72.34</v>
      </c>
      <c r="G2306">
        <v>83.12</v>
      </c>
      <c r="H2306">
        <v>86.4</v>
      </c>
      <c r="I2306">
        <v>77.84</v>
      </c>
      <c r="J2306">
        <v>110.34</v>
      </c>
      <c r="K2306">
        <v>34.729999999999997</v>
      </c>
    </row>
    <row r="2307" spans="1:11">
      <c r="A2307">
        <v>345.5</v>
      </c>
      <c r="B2307">
        <v>27.17</v>
      </c>
      <c r="C2307">
        <v>36.51</v>
      </c>
      <c r="D2307">
        <v>36.4</v>
      </c>
      <c r="E2307">
        <v>31.51</v>
      </c>
      <c r="F2307">
        <v>72.06</v>
      </c>
      <c r="G2307">
        <v>83.06</v>
      </c>
      <c r="H2307">
        <v>86.78</v>
      </c>
      <c r="I2307">
        <v>78.010000000000005</v>
      </c>
      <c r="J2307">
        <v>110.23</v>
      </c>
      <c r="K2307">
        <v>34.729999999999997</v>
      </c>
    </row>
    <row r="2308" spans="1:11">
      <c r="A2308">
        <v>345.67</v>
      </c>
      <c r="B2308">
        <v>27.34</v>
      </c>
      <c r="C2308">
        <v>36.619999999999997</v>
      </c>
      <c r="D2308">
        <v>36.4</v>
      </c>
      <c r="E2308">
        <v>31.45</v>
      </c>
      <c r="F2308">
        <v>72.34</v>
      </c>
      <c r="G2308">
        <v>83.01</v>
      </c>
      <c r="H2308">
        <v>86.78</v>
      </c>
      <c r="I2308">
        <v>77.900000000000006</v>
      </c>
      <c r="J2308">
        <v>110.28</v>
      </c>
      <c r="K2308">
        <v>34.729999999999997</v>
      </c>
    </row>
    <row r="2309" spans="1:11">
      <c r="A2309">
        <v>345.83</v>
      </c>
      <c r="B2309">
        <v>27.23</v>
      </c>
      <c r="C2309">
        <v>36.619999999999997</v>
      </c>
      <c r="D2309">
        <v>36.56</v>
      </c>
      <c r="E2309">
        <v>31.56</v>
      </c>
      <c r="F2309">
        <v>72.23</v>
      </c>
      <c r="G2309">
        <v>83.01</v>
      </c>
      <c r="H2309">
        <v>86.9</v>
      </c>
      <c r="I2309">
        <v>78.06</v>
      </c>
      <c r="J2309">
        <v>110.12</v>
      </c>
      <c r="K2309">
        <v>34.729999999999997</v>
      </c>
    </row>
    <row r="2310" spans="1:11">
      <c r="A2310">
        <v>346</v>
      </c>
      <c r="B2310">
        <v>27.45</v>
      </c>
      <c r="C2310">
        <v>36.619999999999997</v>
      </c>
      <c r="D2310">
        <v>36.619999999999997</v>
      </c>
      <c r="E2310">
        <v>31.51</v>
      </c>
      <c r="F2310">
        <v>72.400000000000006</v>
      </c>
      <c r="G2310">
        <v>83.01</v>
      </c>
      <c r="H2310">
        <v>86.78</v>
      </c>
      <c r="I2310">
        <v>78.17</v>
      </c>
      <c r="J2310">
        <v>110.28</v>
      </c>
      <c r="K2310">
        <v>34.729999999999997</v>
      </c>
    </row>
    <row r="2311" spans="1:11">
      <c r="A2311">
        <v>346.17</v>
      </c>
      <c r="B2311">
        <v>27.4</v>
      </c>
      <c r="C2311">
        <v>36.340000000000003</v>
      </c>
      <c r="D2311">
        <v>36.619999999999997</v>
      </c>
      <c r="E2311">
        <v>31.73</v>
      </c>
      <c r="F2311">
        <v>72.400000000000006</v>
      </c>
      <c r="G2311">
        <v>82.84</v>
      </c>
      <c r="H2311">
        <v>87.01</v>
      </c>
      <c r="I2311">
        <v>78.23</v>
      </c>
      <c r="J2311">
        <v>110.17</v>
      </c>
      <c r="K2311">
        <v>34.729999999999997</v>
      </c>
    </row>
    <row r="2312" spans="1:11">
      <c r="A2312">
        <v>346.33</v>
      </c>
      <c r="B2312">
        <v>27.56</v>
      </c>
      <c r="C2312">
        <v>36.56</v>
      </c>
      <c r="D2312">
        <v>36.67</v>
      </c>
      <c r="E2312">
        <v>31.78</v>
      </c>
      <c r="F2312">
        <v>72.56</v>
      </c>
      <c r="G2312">
        <v>82.9</v>
      </c>
      <c r="H2312">
        <v>87.06</v>
      </c>
      <c r="I2312">
        <v>78.23</v>
      </c>
      <c r="J2312">
        <v>110.12</v>
      </c>
      <c r="K2312">
        <v>34.729999999999997</v>
      </c>
    </row>
    <row r="2313" spans="1:11">
      <c r="A2313">
        <v>346.5</v>
      </c>
      <c r="B2313">
        <v>27.56</v>
      </c>
      <c r="C2313">
        <v>36.78</v>
      </c>
      <c r="D2313">
        <v>36.78</v>
      </c>
      <c r="E2313">
        <v>31.95</v>
      </c>
      <c r="F2313">
        <v>72.28</v>
      </c>
      <c r="G2313">
        <v>82.9</v>
      </c>
      <c r="H2313">
        <v>87.28</v>
      </c>
      <c r="I2313">
        <v>78.010000000000005</v>
      </c>
      <c r="J2313">
        <v>110.06</v>
      </c>
      <c r="K2313">
        <v>34.729999999999997</v>
      </c>
    </row>
    <row r="2314" spans="1:11">
      <c r="A2314">
        <v>346.67</v>
      </c>
      <c r="B2314">
        <v>27.73</v>
      </c>
      <c r="C2314">
        <v>36.619999999999997</v>
      </c>
      <c r="D2314">
        <v>36.840000000000003</v>
      </c>
      <c r="E2314">
        <v>31.84</v>
      </c>
      <c r="F2314">
        <v>72.34</v>
      </c>
      <c r="G2314">
        <v>82.84</v>
      </c>
      <c r="H2314">
        <v>86.84</v>
      </c>
      <c r="I2314">
        <v>77.84</v>
      </c>
      <c r="J2314">
        <v>110.12</v>
      </c>
      <c r="K2314">
        <v>34.78</v>
      </c>
    </row>
    <row r="2315" spans="1:11">
      <c r="A2315">
        <v>346.83</v>
      </c>
      <c r="B2315">
        <v>27.73</v>
      </c>
      <c r="C2315">
        <v>36.78</v>
      </c>
      <c r="D2315">
        <v>36.729999999999997</v>
      </c>
      <c r="E2315">
        <v>31.78</v>
      </c>
      <c r="F2315">
        <v>72.34</v>
      </c>
      <c r="G2315">
        <v>82.9</v>
      </c>
      <c r="H2315">
        <v>86.78</v>
      </c>
      <c r="I2315">
        <v>77.67</v>
      </c>
      <c r="J2315">
        <v>109.95</v>
      </c>
      <c r="K2315">
        <v>34.78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25846-7399-4E50-95AB-DF51B0E1101B}">
  <sheetPr>
    <tabColor theme="1" tint="0.34998626667073579"/>
  </sheetPr>
  <dimension ref="A1:Z2106"/>
  <sheetViews>
    <sheetView zoomScale="115" zoomScaleNormal="115" workbookViewId="0">
      <pane xSplit="27456" ySplit="7560" topLeftCell="K899"/>
      <selection activeCell="L15" sqref="L15"/>
      <selection pane="topRight" activeCell="K2" sqref="K2"/>
      <selection pane="bottomLeft" activeCell="M901" sqref="M901"/>
      <selection pane="bottomRight" activeCell="K23" sqref="K23"/>
    </sheetView>
  </sheetViews>
  <sheetFormatPr defaultRowHeight="15"/>
  <cols>
    <col min="1" max="1" width="8.7109375" customWidth="1"/>
    <col min="2" max="2" width="19.85546875" customWidth="1"/>
    <col min="3" max="3" width="11.140625" customWidth="1"/>
    <col min="4" max="4" width="29.42578125" customWidth="1"/>
    <col min="5" max="5" width="9.42578125" customWidth="1"/>
    <col min="6" max="6" width="7.85546875" bestFit="1" customWidth="1"/>
    <col min="7" max="7" width="8.42578125" bestFit="1" customWidth="1"/>
    <col min="8" max="8" width="10.7109375" bestFit="1" customWidth="1"/>
    <col min="9" max="9" width="12" customWidth="1"/>
    <col min="10" max="10" width="8.140625" bestFit="1" customWidth="1"/>
    <col min="13" max="13" width="11" customWidth="1"/>
    <col min="14" max="14" width="18.28515625" customWidth="1"/>
    <col min="15" max="15" width="13" customWidth="1"/>
    <col min="18" max="18" width="12.28515625" customWidth="1"/>
    <col min="21" max="21" width="4.85546875" bestFit="1" customWidth="1"/>
    <col min="22" max="22" width="23" customWidth="1"/>
    <col min="24" max="24" width="19.42578125" customWidth="1"/>
  </cols>
  <sheetData>
    <row r="1" spans="1:26" s="1" customFormat="1" ht="15.75" thickBot="1">
      <c r="D1" s="1" t="s">
        <v>188</v>
      </c>
      <c r="L1" s="26" t="s">
        <v>21</v>
      </c>
      <c r="M1" s="26" t="s">
        <v>24</v>
      </c>
      <c r="T1"/>
      <c r="U1"/>
      <c r="V1"/>
      <c r="W1"/>
      <c r="X1"/>
      <c r="Y1"/>
      <c r="Z1"/>
    </row>
    <row r="2" spans="1:26" ht="15.75" thickBot="1">
      <c r="A2" s="81">
        <v>20</v>
      </c>
      <c r="B2" s="33" t="s">
        <v>216</v>
      </c>
      <c r="D2" s="60" t="s">
        <v>16</v>
      </c>
      <c r="E2" s="61" t="s">
        <v>19</v>
      </c>
      <c r="F2" s="61"/>
      <c r="G2" s="61"/>
      <c r="H2" s="63"/>
      <c r="I2" s="63"/>
      <c r="J2" s="64"/>
      <c r="M2" s="72" t="s">
        <v>214</v>
      </c>
      <c r="N2" s="1"/>
      <c r="O2" s="1"/>
      <c r="P2" s="1"/>
      <c r="Q2" s="1"/>
      <c r="X2" s="1"/>
    </row>
    <row r="3" spans="1:26" ht="15.75" thickBot="1">
      <c r="A3" s="14">
        <v>24</v>
      </c>
      <c r="B3" s="10" t="s">
        <v>217</v>
      </c>
      <c r="D3" s="58" t="s">
        <v>171</v>
      </c>
      <c r="E3" s="59" t="s">
        <v>5</v>
      </c>
      <c r="F3" s="59" t="s">
        <v>6</v>
      </c>
      <c r="G3" s="59" t="s">
        <v>7</v>
      </c>
      <c r="H3" s="59" t="s">
        <v>8</v>
      </c>
      <c r="I3" s="59" t="s">
        <v>9</v>
      </c>
      <c r="J3" s="65" t="s">
        <v>10</v>
      </c>
      <c r="M3" s="31" t="s">
        <v>204</v>
      </c>
      <c r="N3" s="32" t="s">
        <v>201</v>
      </c>
      <c r="O3" s="32" t="s">
        <v>202</v>
      </c>
      <c r="P3" s="32" t="s">
        <v>203</v>
      </c>
      <c r="Q3" s="33" t="s">
        <v>205</v>
      </c>
    </row>
    <row r="4" spans="1:26" ht="19.5" thickBot="1">
      <c r="A4" s="14">
        <v>5</v>
      </c>
      <c r="B4" s="10" t="s">
        <v>218</v>
      </c>
      <c r="D4" s="54" t="s">
        <v>189</v>
      </c>
      <c r="E4" s="55">
        <f t="shared" ref="E4:J4" ca="1" si="0">ROUND(IF((E5-E11)*$A$26&gt;4.5,(E5-E11)*$A$26/2,(E8-E11)*$A$26),2)</f>
        <v>1.7</v>
      </c>
      <c r="F4" s="55">
        <f t="shared" ca="1" si="0"/>
        <v>1.7</v>
      </c>
      <c r="G4" s="55">
        <f t="shared" ca="1" si="0"/>
        <v>1.36</v>
      </c>
      <c r="H4" s="55">
        <f t="shared" ca="1" si="0"/>
        <v>19.809999999999999</v>
      </c>
      <c r="I4" s="55">
        <f t="shared" ca="1" si="0"/>
        <v>133.03</v>
      </c>
      <c r="J4" s="68">
        <f t="shared" ca="1" si="0"/>
        <v>47.52</v>
      </c>
      <c r="M4" s="9" t="s">
        <v>189</v>
      </c>
      <c r="N4" s="70">
        <v>0</v>
      </c>
      <c r="O4">
        <f>(N4+P4)/2</f>
        <v>2.5</v>
      </c>
      <c r="P4" s="70">
        <v>5</v>
      </c>
      <c r="Q4" s="10">
        <f>(P4-N4)</f>
        <v>5</v>
      </c>
    </row>
    <row r="5" spans="1:26" ht="16.5" customHeight="1" thickBot="1">
      <c r="A5" s="14">
        <v>50</v>
      </c>
      <c r="B5" s="10" t="s">
        <v>219</v>
      </c>
      <c r="D5" s="9" t="s">
        <v>11</v>
      </c>
      <c r="E5">
        <f t="shared" ref="E5" ca="1" si="1">E8+E6</f>
        <v>866</v>
      </c>
      <c r="F5">
        <f t="shared" ref="F5:J5" ca="1" si="2">F8+F6</f>
        <v>866</v>
      </c>
      <c r="G5">
        <f t="shared" ca="1" si="2"/>
        <v>866</v>
      </c>
      <c r="H5">
        <f t="shared" ca="1" si="2"/>
        <v>2080</v>
      </c>
      <c r="I5">
        <f t="shared" ca="1" si="2"/>
        <v>2080</v>
      </c>
      <c r="J5" s="10">
        <f t="shared" ca="1" si="2"/>
        <v>2080</v>
      </c>
      <c r="M5" s="11" t="s">
        <v>192</v>
      </c>
      <c r="N5" s="71">
        <v>0</v>
      </c>
      <c r="O5" s="12">
        <f>(N5+P5)/2</f>
        <v>2.5</v>
      </c>
      <c r="P5" s="71">
        <v>5</v>
      </c>
      <c r="Q5" s="13">
        <f>(P5-N5)</f>
        <v>5</v>
      </c>
    </row>
    <row r="6" spans="1:26" ht="13.5" customHeight="1" thickBot="1">
      <c r="A6" s="82">
        <v>4</v>
      </c>
      <c r="B6" s="13" t="s">
        <v>220</v>
      </c>
      <c r="D6" s="9" t="s">
        <v>14</v>
      </c>
      <c r="E6">
        <f ca="1">MATCH(E7,INDIRECT(ADDRESS($A$3+VALUE(E8),11)):INDIRECT(ADDRESS($A$3+VALUE(E8)+$E$10,11)),-1)-1</f>
        <v>3</v>
      </c>
      <c r="F6">
        <f ca="1">MATCH(F7,INDIRECT(ADDRESS($A$3+VALUE(F8),11)):INDIRECT(ADDRESS($A$3+VALUE(F8)+$E$10,11)),-1)-1</f>
        <v>3</v>
      </c>
      <c r="G6">
        <f ca="1">MATCH(G7,INDIRECT(ADDRESS($A$3+VALUE(G8),11)):INDIRECT(ADDRESS($A$3+VALUE(G8)+$E$10,11)),-1)-1</f>
        <v>4</v>
      </c>
      <c r="H6">
        <f ca="1">MATCH(H7,INDIRECT(ADDRESS($A$3+VALUE(H8),11)):INDIRECT(ADDRESS($A$3+VALUE(H8)+$E$10,11)),-1)-1</f>
        <v>775</v>
      </c>
      <c r="I6">
        <f ca="1">MATCH(I7,INDIRECT(ADDRESS($A$3+VALUE(I8),11)):INDIRECT(ADDRESS($A$3+VALUE(I8)+$E$10,11)),-1)-1</f>
        <v>775</v>
      </c>
      <c r="J6" s="10">
        <f ca="1">MATCH(J7,INDIRECT(ADDRESS($A$3+VALUE(J8),11)):INDIRECT(ADDRESS($A$3+VALUE(J8)+$E$10,11)),-1)-1</f>
        <v>793</v>
      </c>
    </row>
    <row r="7" spans="1:26">
      <c r="D7" s="9" t="s">
        <v>15</v>
      </c>
      <c r="E7">
        <f ca="1">MIN(INDIRECT(ADDRESS($A$3+VALUE(E8),11)):INDIRECT(ADDRESS($A$3+VALUE(E8)+$E$10,11)))</f>
        <v>-25.000000000000028</v>
      </c>
      <c r="F7">
        <f ca="1">MIN(INDIRECT(ADDRESS($A$3+VALUE(F8),11)):INDIRECT(ADDRESS($A$3+VALUE(F8)+$E$10,11)))</f>
        <v>-25.000000000000028</v>
      </c>
      <c r="G7">
        <f ca="1">MIN(INDIRECT(ADDRESS($A$3+VALUE(G8),11)):INDIRECT(ADDRESS($A$3+VALUE(G8)+$E$10,11)))</f>
        <v>-25.000000000000028</v>
      </c>
      <c r="H7">
        <f ca="1">MIN(INDIRECT(ADDRESS($A$3+VALUE(H8),11)):INDIRECT(ADDRESS($A$3+VALUE(H8)+$E$10,11)))</f>
        <v>-36.78</v>
      </c>
      <c r="I7">
        <f ca="1">MIN(INDIRECT(ADDRESS($A$3+VALUE(I8),11)):INDIRECT(ADDRESS($A$3+VALUE(I8)+$E$10,11)))</f>
        <v>-36.78</v>
      </c>
      <c r="J7" s="10">
        <f ca="1">MIN(INDIRECT(ADDRESS($A$3+VALUE(J8),11)):INDIRECT(ADDRESS($A$3+VALUE(J8)+$E$10,11)))</f>
        <v>-36.78</v>
      </c>
      <c r="M7" s="46"/>
      <c r="N7" s="75" t="s">
        <v>189</v>
      </c>
      <c r="O7" s="76"/>
      <c r="P7" s="77" t="s">
        <v>192</v>
      </c>
      <c r="Q7" s="78"/>
    </row>
    <row r="8" spans="1:26">
      <c r="D8" s="9" t="s">
        <v>12</v>
      </c>
      <c r="E8">
        <f t="shared" ref="E8" si="3">MATCH(E9,C25:C10000,0)</f>
        <v>863</v>
      </c>
      <c r="F8">
        <f t="shared" ref="F8" si="4">MATCH(F9,D25:D10000,0)</f>
        <v>863</v>
      </c>
      <c r="G8">
        <f t="shared" ref="G8" si="5">MATCH(G9,E25:E10000,0)</f>
        <v>862</v>
      </c>
      <c r="H8">
        <f t="shared" ref="H8" si="6">MATCH(H9,F25:F10000,0)</f>
        <v>1305</v>
      </c>
      <c r="I8">
        <f t="shared" ref="I8" si="7">MATCH(I9,G25:G10000,0)</f>
        <v>1305</v>
      </c>
      <c r="J8" s="10">
        <f t="shared" ref="J8" si="8">MATCH(J9,H25:H10000,0)</f>
        <v>1287</v>
      </c>
      <c r="M8" s="47" t="s">
        <v>194</v>
      </c>
      <c r="N8" s="44" t="s">
        <v>206</v>
      </c>
      <c r="O8" s="44" t="s">
        <v>207</v>
      </c>
      <c r="P8" s="45" t="s">
        <v>206</v>
      </c>
      <c r="Q8" s="48" t="s">
        <v>207</v>
      </c>
    </row>
    <row r="9" spans="1:26">
      <c r="D9" s="9" t="s">
        <v>1</v>
      </c>
      <c r="E9">
        <f t="shared" ref="E9" si="9">MAX(C25:C10000)</f>
        <v>269.56</v>
      </c>
      <c r="F9">
        <f t="shared" ref="F9" si="10">MAX(D25:D10000)</f>
        <v>269.89999999999998</v>
      </c>
      <c r="G9">
        <f t="shared" ref="G9" si="11">MAX(E25:E10000)</f>
        <v>269.89999999999998</v>
      </c>
      <c r="H9">
        <f t="shared" ref="H9" si="12">MAX(F25:F10000)</f>
        <v>126.23</v>
      </c>
      <c r="I9">
        <f t="shared" ref="I9" si="13">MAX(G25:G10000)</f>
        <v>132.01</v>
      </c>
      <c r="J9" s="10">
        <f t="shared" ref="J9" si="14">MAX(H25:H10000)</f>
        <v>122.73</v>
      </c>
      <c r="M9" s="30" t="s">
        <v>196</v>
      </c>
      <c r="N9" s="43">
        <f ca="1">$E$4</f>
        <v>1.7</v>
      </c>
      <c r="O9" s="43">
        <f t="shared" ref="O9:O14" ca="1" si="15">100*((N9-$O$4)/$Q$4)/2</f>
        <v>-8</v>
      </c>
      <c r="P9" s="43">
        <f ca="1">$E$13</f>
        <v>9.01</v>
      </c>
      <c r="Q9" s="49">
        <f t="shared" ref="Q9:Q14" ca="1" si="16">100*((P9-$O$5)/$Q$5)/2</f>
        <v>65.100000000000009</v>
      </c>
    </row>
    <row r="10" spans="1:26">
      <c r="D10" s="9" t="s">
        <v>213</v>
      </c>
      <c r="E10">
        <f>MATCH(VALUE(REPT(9,255)),A25:A10000)-F8-$A$3</f>
        <v>1195</v>
      </c>
      <c r="J10" s="10"/>
      <c r="M10" s="30" t="s">
        <v>195</v>
      </c>
      <c r="N10" s="43">
        <f ca="1">$F$4</f>
        <v>1.7</v>
      </c>
      <c r="O10" s="43">
        <f t="shared" ca="1" si="15"/>
        <v>-8</v>
      </c>
      <c r="P10" s="43">
        <f ca="1">$F$13</f>
        <v>9.01</v>
      </c>
      <c r="Q10" s="49">
        <f t="shared" ca="1" si="16"/>
        <v>65.100000000000009</v>
      </c>
    </row>
    <row r="11" spans="1:26">
      <c r="D11" s="9" t="s">
        <v>13</v>
      </c>
      <c r="E11">
        <f t="shared" ref="E11" si="17">MATCH(E12,K25:K10000,0)</f>
        <v>853</v>
      </c>
      <c r="F11">
        <f t="shared" ref="F11" si="18">MATCH(F12,L25:L10000,0)</f>
        <v>853</v>
      </c>
      <c r="G11">
        <f t="shared" ref="G11" si="19">MATCH(G12,M25:M10000,0)</f>
        <v>854</v>
      </c>
      <c r="H11">
        <f t="shared" ref="H11" si="20">MATCH(H12,N25:N10000,0)</f>
        <v>1847</v>
      </c>
      <c r="I11">
        <f t="shared" ref="I11" si="21">MATCH(I12,O25:O10000,0)</f>
        <v>515</v>
      </c>
      <c r="J11" s="10">
        <f t="shared" ref="J11" si="22">MATCH(J12,P25:P10000,0)</f>
        <v>1521</v>
      </c>
      <c r="M11" s="30" t="s">
        <v>197</v>
      </c>
      <c r="N11" s="43">
        <f ca="1">$G$4</f>
        <v>1.36</v>
      </c>
      <c r="O11" s="43">
        <f t="shared" ca="1" si="15"/>
        <v>-11.399999999999999</v>
      </c>
      <c r="P11" s="43">
        <f ca="1">$G$13</f>
        <v>9.01</v>
      </c>
      <c r="Q11" s="49">
        <f t="shared" ca="1" si="16"/>
        <v>65.100000000000009</v>
      </c>
    </row>
    <row r="12" spans="1:26" ht="15.75" thickBot="1">
      <c r="D12" s="9" t="s">
        <v>2</v>
      </c>
      <c r="E12">
        <f>MAX(K25:K10000)</f>
        <v>103.99999999999997</v>
      </c>
      <c r="F12">
        <f t="shared" ref="F12:J12" si="23">MAX(L25:L10000)</f>
        <v>99.950000000000017</v>
      </c>
      <c r="G12">
        <f t="shared" si="23"/>
        <v>99.389999999999986</v>
      </c>
      <c r="H12">
        <f t="shared" si="23"/>
        <v>1.720000000000006</v>
      </c>
      <c r="I12">
        <f t="shared" si="23"/>
        <v>0.67000000000000171</v>
      </c>
      <c r="J12" s="10">
        <f t="shared" si="23"/>
        <v>2.7199999999999989</v>
      </c>
      <c r="M12" s="30" t="s">
        <v>198</v>
      </c>
      <c r="N12" s="43">
        <f ca="1">$H$4</f>
        <v>19.809999999999999</v>
      </c>
      <c r="O12" s="43">
        <f t="shared" ca="1" si="15"/>
        <v>173.1</v>
      </c>
      <c r="P12" s="43">
        <f ca="1">$H$13</f>
        <v>-166.77</v>
      </c>
      <c r="Q12" s="49">
        <f t="shared" ca="1" si="16"/>
        <v>-1692.7</v>
      </c>
    </row>
    <row r="13" spans="1:26" ht="19.5" thickBot="1">
      <c r="D13" s="56" t="s">
        <v>192</v>
      </c>
      <c r="E13" s="57">
        <f ca="1">(E14-E20)*$A$26</f>
        <v>9.01</v>
      </c>
      <c r="F13" s="57">
        <f ca="1">(F14-F20)*$A$26</f>
        <v>9.01</v>
      </c>
      <c r="G13" s="57">
        <f t="shared" ref="G13:J13" ca="1" si="24">(G14-G20)*$A$26</f>
        <v>9.01</v>
      </c>
      <c r="H13" s="57">
        <f t="shared" ca="1" si="24"/>
        <v>-166.77</v>
      </c>
      <c r="I13" s="57">
        <f t="shared" ca="1" si="24"/>
        <v>266.05</v>
      </c>
      <c r="J13" s="69">
        <f t="shared" ca="1" si="24"/>
        <v>95.03</v>
      </c>
      <c r="M13" s="30" t="s">
        <v>199</v>
      </c>
      <c r="N13" s="43">
        <f ca="1">$I$4</f>
        <v>133.03</v>
      </c>
      <c r="O13" s="43">
        <f t="shared" ca="1" si="15"/>
        <v>1305.3000000000002</v>
      </c>
      <c r="P13" s="43">
        <f ca="1">$I$13</f>
        <v>266.05</v>
      </c>
      <c r="Q13" s="49">
        <f t="shared" ca="1" si="16"/>
        <v>2635.5</v>
      </c>
    </row>
    <row r="14" spans="1:26" ht="15.75" thickBot="1">
      <c r="D14" s="9" t="s">
        <v>11</v>
      </c>
      <c r="E14">
        <f ca="1">E17+E15</f>
        <v>959</v>
      </c>
      <c r="F14">
        <f t="shared" ref="F14:G14" ca="1" si="25">F17+F15</f>
        <v>959</v>
      </c>
      <c r="G14">
        <f t="shared" ca="1" si="25"/>
        <v>959</v>
      </c>
      <c r="H14">
        <f t="shared" ref="H14:I14" ca="1" si="26">H17+H15</f>
        <v>890</v>
      </c>
      <c r="I14">
        <f t="shared" ca="1" si="26"/>
        <v>2104</v>
      </c>
      <c r="J14" s="10">
        <f t="shared" ref="J14" ca="1" si="27">J17+J15</f>
        <v>2104</v>
      </c>
      <c r="M14" s="50" t="s">
        <v>200</v>
      </c>
      <c r="N14" s="51">
        <f ca="1">$J$4</f>
        <v>47.52</v>
      </c>
      <c r="O14" s="51">
        <f t="shared" ca="1" si="15"/>
        <v>450.20000000000005</v>
      </c>
      <c r="P14" s="51">
        <f ca="1">$J$13</f>
        <v>95.03</v>
      </c>
      <c r="Q14" s="52">
        <f t="shared" ca="1" si="16"/>
        <v>925.3</v>
      </c>
    </row>
    <row r="15" spans="1:26" ht="15.75" thickBot="1">
      <c r="D15" s="9" t="s">
        <v>14</v>
      </c>
      <c r="E15">
        <f ca="1">MATCH(E16,INDIRECT(ADDRESS(VALUE(E17),11)):INDIRECT(ADDRESS(VALUE(E17)+$E$19,11)),-1)-1</f>
        <v>41</v>
      </c>
      <c r="F15">
        <f ca="1">MATCH(F16,INDIRECT(ADDRESS(VALUE(F17),11)):INDIRECT(ADDRESS(VALUE(F17)+$E$19,11)),-1)-1</f>
        <v>29</v>
      </c>
      <c r="G15">
        <f ca="1">MATCH(G16,INDIRECT(ADDRESS(VALUE(G17),11)):INDIRECT(ADDRESS(VALUE(G17)+$E$19,11)),-1)-1</f>
        <v>30</v>
      </c>
      <c r="H15">
        <f ca="1">MATCH(H16,INDIRECT(ADDRESS(VALUE(H17),11)):INDIRECT(ADDRESS(VALUE(H17)+$E$19,11)),-1)-1</f>
        <v>52</v>
      </c>
      <c r="I15">
        <f ca="1">MATCH(I16,INDIRECT(ADDRESS(VALUE(I17),11)):INDIRECT(ADDRESS(VALUE(I17)+$E$19,11)),-1)-1</f>
        <v>770</v>
      </c>
      <c r="J15" s="10">
        <f ca="1">MATCH(J16,INDIRECT(ADDRESS(VALUE(J17),11)):INDIRECT(ADDRESS(VALUE(J17)+$E$19,11)),-1)-1</f>
        <v>797</v>
      </c>
    </row>
    <row r="16" spans="1:26">
      <c r="D16" s="9" t="s">
        <v>211</v>
      </c>
      <c r="E16">
        <f ca="1">MIN(INDIRECT(ADDRESS($A$3+VALUE(E17),11)):INDIRECT(ADDRESS($A$3+VALUE(E17)+$E$19-$A$6,11)))</f>
        <v>-16.390000000000015</v>
      </c>
      <c r="F16">
        <f ca="1">MIN(INDIRECT(ADDRESS($A$3+VALUE(F17),11)):INDIRECT(ADDRESS($A$3+VALUE(F17)+$E$19-$A$6,11)))</f>
        <v>-16.390000000000015</v>
      </c>
      <c r="G16">
        <f ca="1">MIN(INDIRECT(ADDRESS($A$3+VALUE(G17),11)):INDIRECT(ADDRESS($A$3+VALUE(G17)+$E$19-$A$6,11)))</f>
        <v>-16.390000000000015</v>
      </c>
      <c r="H16">
        <f ca="1">MIN(INDIRECT(ADDRESS($A$3+VALUE(H17),11)):INDIRECT(ADDRESS($A$3+VALUE(H17)+$E$19-$A$6,11)))</f>
        <v>-25.000000000000028</v>
      </c>
      <c r="I16">
        <f ca="1">MIN(INDIRECT(ADDRESS($A$3+VALUE(I17),11)):INDIRECT(ADDRESS($A$3+VALUE(I17)+$E$19-$A$6,11)))</f>
        <v>-36.78</v>
      </c>
      <c r="J16" s="10">
        <f ca="1">MIN(INDIRECT(ADDRESS($A$3+VALUE(J17),11)):INDIRECT(ADDRESS($A$3+VALUE(J17)+$E$19-$A$6,11)))</f>
        <v>-36.78</v>
      </c>
      <c r="M16" s="6" t="s">
        <v>208</v>
      </c>
      <c r="N16" s="7" t="s">
        <v>25</v>
      </c>
      <c r="O16" s="8" t="s">
        <v>26</v>
      </c>
    </row>
    <row r="17" spans="1:16">
      <c r="D17" s="9" t="s">
        <v>12</v>
      </c>
      <c r="E17" s="36">
        <f>MATCH(E18,C25:C10000,0)+$A$3</f>
        <v>918</v>
      </c>
      <c r="F17" s="36">
        <f>MATCH(F18,D25:D10000,0)+$A$3</f>
        <v>930</v>
      </c>
      <c r="G17" s="36">
        <f t="shared" ref="G17:J17" si="28">MATCH(G18,E25:E10000,0)+$A$3</f>
        <v>929</v>
      </c>
      <c r="H17" s="36">
        <f t="shared" si="28"/>
        <v>838</v>
      </c>
      <c r="I17" s="36">
        <f t="shared" si="28"/>
        <v>1334</v>
      </c>
      <c r="J17" s="66">
        <f t="shared" si="28"/>
        <v>1307</v>
      </c>
      <c r="M17" s="22" t="s">
        <v>191</v>
      </c>
      <c r="N17" s="23">
        <f ca="1">E13</f>
        <v>9.01</v>
      </c>
      <c r="O17" s="24">
        <f ca="1">F13</f>
        <v>9.01</v>
      </c>
    </row>
    <row r="18" spans="1:16" ht="15.75" thickBot="1">
      <c r="D18" s="9" t="s">
        <v>1</v>
      </c>
      <c r="E18" s="36">
        <f>MAX(INDEX(C:C,$A$3+MATCH(E9, C25:C10000, 0)+$A$4) : C10000)</f>
        <v>269.45</v>
      </c>
      <c r="F18" s="36">
        <f>MAX(INDEX(D:D,$A$3+MATCH(F9, D25:D10000, 0)+$A$4) : D10000)</f>
        <v>269.73</v>
      </c>
      <c r="G18" s="36">
        <f>MAX(INDEX(E:E,$A$3+MATCH(G9, E25:E10000, 0)+$A$4) : E10000)</f>
        <v>269.67</v>
      </c>
      <c r="H18" s="36">
        <f>MAX(INDEX(F:F,$A$3+MATCH(H9, F25:F10000, 0)+$A$4) : F10000)</f>
        <v>124.34</v>
      </c>
      <c r="I18" s="36">
        <f>MAX(INDEX(G:G,$A$3+MATCH(I9, G25:G10000, 0)+$A$4) : G10000)</f>
        <v>131.72999999999999</v>
      </c>
      <c r="J18" s="66">
        <f>MAX(INDEX(H:H,$A$3+MATCH(J9, H25:H10000, 0)+$A$4) : H10000)</f>
        <v>122.06</v>
      </c>
      <c r="M18" s="22" t="s">
        <v>0</v>
      </c>
      <c r="N18" s="23">
        <f ca="1">N17-O17</f>
        <v>0</v>
      </c>
      <c r="O18" s="25"/>
    </row>
    <row r="19" spans="1:16">
      <c r="D19" s="9" t="s">
        <v>213</v>
      </c>
      <c r="E19">
        <f>MATCH(VALUE(REPT(9,255)),A25:A10000)-F17</f>
        <v>1152</v>
      </c>
      <c r="J19" s="10"/>
      <c r="M19" s="6" t="s">
        <v>190</v>
      </c>
      <c r="N19" s="7" t="s">
        <v>25</v>
      </c>
      <c r="O19" s="8" t="s">
        <v>26</v>
      </c>
    </row>
    <row r="20" spans="1:16">
      <c r="D20" s="9" t="s">
        <v>13</v>
      </c>
      <c r="E20" s="36">
        <f>MATCH(E21,K25:K10000,0)+$A$3</f>
        <v>906</v>
      </c>
      <c r="F20" s="36">
        <f t="shared" ref="F20:J20" si="29">MATCH(F21,L25:L10000,0)+$A$3</f>
        <v>906</v>
      </c>
      <c r="G20" s="36">
        <f t="shared" ca="1" si="29"/>
        <v>906</v>
      </c>
      <c r="H20" s="36">
        <f t="shared" ca="1" si="29"/>
        <v>1871</v>
      </c>
      <c r="I20" s="36">
        <f t="shared" ca="1" si="29"/>
        <v>539</v>
      </c>
      <c r="J20" s="66">
        <f t="shared" ca="1" si="29"/>
        <v>1545</v>
      </c>
      <c r="M20" s="22" t="s">
        <v>191</v>
      </c>
      <c r="N20" s="23">
        <f ca="1">E4</f>
        <v>1.7</v>
      </c>
      <c r="O20" s="24">
        <f ca="1">F4</f>
        <v>1.7</v>
      </c>
    </row>
    <row r="21" spans="1:16" ht="15.75" thickBot="1">
      <c r="D21" s="11" t="s">
        <v>2</v>
      </c>
      <c r="E21" s="12">
        <f>MAX(INDEX(K:K, $A$4+MATCH(E9, C:C, 0)):K10004)</f>
        <v>67.559999999999974</v>
      </c>
      <c r="F21" s="12">
        <f>MAX(INDEX(L:L, $A$4+MATCH(F9, D:D, 0)):L10004)</f>
        <v>62</v>
      </c>
      <c r="G21" s="12">
        <f ca="1">MAX(INDEX(M:M, $A$4+MATCH(G9, E:E, 0)):M10004)</f>
        <v>51.550000000000011</v>
      </c>
      <c r="H21" s="12">
        <f ca="1">MAX(INDEX(N:N, $A$4+MATCH(H9, F:F, 0)):N10004)</f>
        <v>1.720000000000006</v>
      </c>
      <c r="I21" s="12">
        <f ca="1">MAX(INDEX(O:O, $A$4+MATCH(I9, G:G, 0)):O10004)</f>
        <v>0.67000000000000171</v>
      </c>
      <c r="J21" s="13">
        <f ca="1">MAX(INDEX(P:P, $A$4+MATCH(J9, H:H, 0)):P10004)</f>
        <v>2.7199999999999989</v>
      </c>
      <c r="M21" s="22" t="s">
        <v>0</v>
      </c>
      <c r="N21" s="23">
        <f ca="1">N20-O20</f>
        <v>0</v>
      </c>
      <c r="O21" s="25"/>
    </row>
    <row r="22" spans="1:16" ht="15.75" thickBot="1"/>
    <row r="23" spans="1:16" ht="15.75" thickBot="1">
      <c r="A23" s="19" t="s">
        <v>17</v>
      </c>
      <c r="B23" s="20"/>
      <c r="C23" s="20"/>
      <c r="D23" s="20"/>
      <c r="E23" s="20"/>
      <c r="F23" s="20"/>
      <c r="G23" s="20"/>
      <c r="H23" s="21"/>
      <c r="K23" s="16">
        <v>11</v>
      </c>
      <c r="L23" s="17">
        <v>12</v>
      </c>
      <c r="M23" s="87" t="s">
        <v>18</v>
      </c>
      <c r="N23" s="87"/>
      <c r="O23" s="17">
        <v>15</v>
      </c>
      <c r="P23" s="18">
        <v>16</v>
      </c>
    </row>
    <row r="24" spans="1:16" ht="15.75" thickBot="1">
      <c r="A24" s="5" t="s">
        <v>3</v>
      </c>
      <c r="B24" s="41" t="s">
        <v>4</v>
      </c>
      <c r="C24" s="5" t="s">
        <v>5</v>
      </c>
      <c r="D24" s="5" t="s">
        <v>6</v>
      </c>
      <c r="E24" s="5" t="s">
        <v>7</v>
      </c>
      <c r="F24" s="5" t="s">
        <v>8</v>
      </c>
      <c r="G24" s="5" t="s">
        <v>9</v>
      </c>
      <c r="H24" s="5" t="s">
        <v>10</v>
      </c>
      <c r="K24" s="14" t="s">
        <v>5</v>
      </c>
      <c r="L24" s="1" t="s">
        <v>6</v>
      </c>
      <c r="M24" s="1" t="s">
        <v>7</v>
      </c>
      <c r="N24" s="1" t="s">
        <v>8</v>
      </c>
      <c r="O24" s="1" t="s">
        <v>9</v>
      </c>
      <c r="P24" s="15" t="s">
        <v>10</v>
      </c>
    </row>
    <row r="25" spans="1:16">
      <c r="A25">
        <v>0</v>
      </c>
      <c r="B25" s="42">
        <v>43.73</v>
      </c>
      <c r="C25">
        <v>37.51</v>
      </c>
      <c r="D25">
        <v>37.729999999999997</v>
      </c>
      <c r="E25">
        <v>41.73</v>
      </c>
      <c r="F25">
        <v>30.23</v>
      </c>
      <c r="G25">
        <v>30.17</v>
      </c>
      <c r="H25">
        <v>31.01</v>
      </c>
      <c r="K25" s="31">
        <f t="shared" ref="K25:K88" si="30">C28-C25</f>
        <v>2.4400000000000048</v>
      </c>
      <c r="L25" s="32">
        <f t="shared" ref="L25:L88" si="31">D28-D25</f>
        <v>2.3900000000000006</v>
      </c>
      <c r="M25" s="32">
        <f t="shared" ref="M25:M88" si="32">E28-E25</f>
        <v>1</v>
      </c>
      <c r="N25" s="32">
        <f t="shared" ref="N25:N88" si="33">F28-F25</f>
        <v>5.0000000000000711E-2</v>
      </c>
      <c r="O25" s="32">
        <f t="shared" ref="O25:O88" si="34">G28-G25</f>
        <v>0.16999999999999815</v>
      </c>
      <c r="P25" s="33">
        <f t="shared" ref="P25:P88" si="35">H28-H25</f>
        <v>0.26999999999999957</v>
      </c>
    </row>
    <row r="26" spans="1:16">
      <c r="A26" s="1">
        <v>0.17</v>
      </c>
      <c r="B26" s="42">
        <v>46.4</v>
      </c>
      <c r="C26">
        <v>38.450000000000003</v>
      </c>
      <c r="D26">
        <v>38.729999999999997</v>
      </c>
      <c r="E26">
        <v>41.62</v>
      </c>
      <c r="F26">
        <v>30.23</v>
      </c>
      <c r="G26">
        <v>30.28</v>
      </c>
      <c r="H26">
        <v>31.06</v>
      </c>
      <c r="K26" s="9">
        <f t="shared" si="30"/>
        <v>2.1699999999999946</v>
      </c>
      <c r="L26">
        <f t="shared" si="31"/>
        <v>2.0500000000000043</v>
      </c>
      <c r="M26">
        <f t="shared" si="32"/>
        <v>1.720000000000006</v>
      </c>
      <c r="N26">
        <f t="shared" si="33"/>
        <v>0.10999999999999943</v>
      </c>
      <c r="O26">
        <f t="shared" si="34"/>
        <v>0.16999999999999815</v>
      </c>
      <c r="P26" s="10">
        <f t="shared" si="35"/>
        <v>0.22000000000000242</v>
      </c>
    </row>
    <row r="27" spans="1:16">
      <c r="A27">
        <v>0.33</v>
      </c>
      <c r="B27" s="42">
        <v>50.01</v>
      </c>
      <c r="C27">
        <v>39.340000000000003</v>
      </c>
      <c r="D27">
        <v>39.51</v>
      </c>
      <c r="E27">
        <v>42.17</v>
      </c>
      <c r="F27">
        <v>30.34</v>
      </c>
      <c r="G27">
        <v>30.34</v>
      </c>
      <c r="H27">
        <v>31.23</v>
      </c>
      <c r="K27" s="9">
        <f t="shared" si="30"/>
        <v>2.3299999999999983</v>
      </c>
      <c r="L27">
        <f t="shared" si="31"/>
        <v>2</v>
      </c>
      <c r="M27">
        <f t="shared" si="32"/>
        <v>2.1700000000000017</v>
      </c>
      <c r="N27">
        <f t="shared" si="33"/>
        <v>0.17000000000000171</v>
      </c>
      <c r="O27">
        <f t="shared" si="34"/>
        <v>0.17000000000000171</v>
      </c>
      <c r="P27" s="10">
        <f t="shared" si="35"/>
        <v>0.16999999999999815</v>
      </c>
    </row>
    <row r="28" spans="1:16">
      <c r="A28">
        <v>0.5</v>
      </c>
      <c r="B28" s="42">
        <v>52.12</v>
      </c>
      <c r="C28">
        <v>39.950000000000003</v>
      </c>
      <c r="D28">
        <v>40.119999999999997</v>
      </c>
      <c r="E28">
        <v>42.73</v>
      </c>
      <c r="F28">
        <v>30.28</v>
      </c>
      <c r="G28">
        <v>30.34</v>
      </c>
      <c r="H28">
        <v>31.28</v>
      </c>
      <c r="K28" s="9">
        <f t="shared" si="30"/>
        <v>5.6099999999999994</v>
      </c>
      <c r="L28">
        <f t="shared" si="31"/>
        <v>4.720000000000006</v>
      </c>
      <c r="M28">
        <f t="shared" si="32"/>
        <v>2.4400000000000048</v>
      </c>
      <c r="N28">
        <f t="shared" si="33"/>
        <v>0.23000000000000043</v>
      </c>
      <c r="O28">
        <f t="shared" si="34"/>
        <v>0.28000000000000114</v>
      </c>
      <c r="P28" s="10">
        <f t="shared" si="35"/>
        <v>0.16999999999999815</v>
      </c>
    </row>
    <row r="29" spans="1:16">
      <c r="A29">
        <v>0.67</v>
      </c>
      <c r="B29" s="42">
        <v>52.9</v>
      </c>
      <c r="C29">
        <v>40.619999999999997</v>
      </c>
      <c r="D29">
        <v>40.78</v>
      </c>
      <c r="E29">
        <v>43.34</v>
      </c>
      <c r="F29">
        <v>30.34</v>
      </c>
      <c r="G29">
        <v>30.45</v>
      </c>
      <c r="H29">
        <v>31.28</v>
      </c>
      <c r="K29" s="9">
        <f t="shared" si="30"/>
        <v>10.220000000000006</v>
      </c>
      <c r="L29">
        <f t="shared" si="31"/>
        <v>8.9499999999999957</v>
      </c>
      <c r="M29">
        <f t="shared" si="32"/>
        <v>2.279999999999994</v>
      </c>
      <c r="N29">
        <f t="shared" si="33"/>
        <v>0.17000000000000171</v>
      </c>
      <c r="O29">
        <f t="shared" si="34"/>
        <v>0.17000000000000171</v>
      </c>
      <c r="P29" s="10">
        <f t="shared" si="35"/>
        <v>0.16999999999999815</v>
      </c>
    </row>
    <row r="30" spans="1:16">
      <c r="A30">
        <v>0.83</v>
      </c>
      <c r="B30" s="42">
        <v>53.84</v>
      </c>
      <c r="C30">
        <v>41.67</v>
      </c>
      <c r="D30">
        <v>41.51</v>
      </c>
      <c r="E30">
        <v>44.34</v>
      </c>
      <c r="F30">
        <v>30.51</v>
      </c>
      <c r="G30">
        <v>30.51</v>
      </c>
      <c r="H30">
        <v>31.4</v>
      </c>
      <c r="K30" s="9">
        <f t="shared" si="30"/>
        <v>13.39</v>
      </c>
      <c r="L30">
        <f t="shared" si="31"/>
        <v>12.940000000000005</v>
      </c>
      <c r="M30">
        <f t="shared" si="32"/>
        <v>2.1099999999999994</v>
      </c>
      <c r="N30">
        <f t="shared" si="33"/>
        <v>0.10999999999999943</v>
      </c>
      <c r="O30">
        <f t="shared" si="34"/>
        <v>0.10999999999999943</v>
      </c>
      <c r="P30" s="10">
        <f t="shared" si="35"/>
        <v>0.11000000000000298</v>
      </c>
    </row>
    <row r="31" spans="1:16">
      <c r="A31">
        <v>1</v>
      </c>
      <c r="B31" s="42">
        <v>54.51</v>
      </c>
      <c r="C31">
        <v>45.56</v>
      </c>
      <c r="D31">
        <v>44.84</v>
      </c>
      <c r="E31">
        <v>45.17</v>
      </c>
      <c r="F31">
        <v>30.51</v>
      </c>
      <c r="G31">
        <v>30.62</v>
      </c>
      <c r="H31">
        <v>31.45</v>
      </c>
      <c r="K31" s="9">
        <f t="shared" si="30"/>
        <v>10.839999999999996</v>
      </c>
      <c r="L31">
        <f t="shared" si="31"/>
        <v>11.559999999999995</v>
      </c>
      <c r="M31">
        <f t="shared" si="32"/>
        <v>2.3399999999999963</v>
      </c>
      <c r="N31">
        <f t="shared" si="33"/>
        <v>0.16000000000000014</v>
      </c>
      <c r="O31">
        <f t="shared" si="34"/>
        <v>0.10999999999999943</v>
      </c>
      <c r="P31" s="10">
        <f t="shared" si="35"/>
        <v>0.17000000000000171</v>
      </c>
    </row>
    <row r="32" spans="1:16">
      <c r="A32">
        <v>1.17</v>
      </c>
      <c r="B32" s="42">
        <v>55.4</v>
      </c>
      <c r="C32">
        <v>50.84</v>
      </c>
      <c r="D32">
        <v>49.73</v>
      </c>
      <c r="E32">
        <v>45.62</v>
      </c>
      <c r="F32">
        <v>30.51</v>
      </c>
      <c r="G32">
        <v>30.62</v>
      </c>
      <c r="H32">
        <v>31.45</v>
      </c>
      <c r="K32" s="9">
        <f t="shared" si="30"/>
        <v>6.2199999999999989</v>
      </c>
      <c r="L32">
        <f t="shared" si="31"/>
        <v>7.5500000000000043</v>
      </c>
      <c r="M32">
        <f t="shared" si="32"/>
        <v>3.4400000000000048</v>
      </c>
      <c r="N32">
        <f t="shared" si="33"/>
        <v>0.26999999999999957</v>
      </c>
      <c r="O32">
        <f t="shared" si="34"/>
        <v>0.10999999999999943</v>
      </c>
      <c r="P32" s="10">
        <f t="shared" si="35"/>
        <v>0.22000000000000242</v>
      </c>
    </row>
    <row r="33" spans="1:16">
      <c r="A33">
        <v>1.33</v>
      </c>
      <c r="B33" s="42">
        <v>56.01</v>
      </c>
      <c r="C33">
        <v>55.06</v>
      </c>
      <c r="D33">
        <v>54.45</v>
      </c>
      <c r="E33">
        <v>46.45</v>
      </c>
      <c r="F33">
        <v>30.62</v>
      </c>
      <c r="G33">
        <v>30.62</v>
      </c>
      <c r="H33">
        <v>31.51</v>
      </c>
      <c r="K33" s="9">
        <f t="shared" si="30"/>
        <v>2.3900000000000006</v>
      </c>
      <c r="L33">
        <f t="shared" si="31"/>
        <v>3.3299999999999983</v>
      </c>
      <c r="M33">
        <f t="shared" si="32"/>
        <v>4.3900000000000006</v>
      </c>
      <c r="N33">
        <f t="shared" si="33"/>
        <v>0.16000000000000014</v>
      </c>
      <c r="O33">
        <f t="shared" si="34"/>
        <v>0.16000000000000014</v>
      </c>
      <c r="P33" s="10">
        <f t="shared" si="35"/>
        <v>0.16000000000000014</v>
      </c>
    </row>
    <row r="34" spans="1:16">
      <c r="A34">
        <v>1.5</v>
      </c>
      <c r="B34" s="42">
        <v>56.84</v>
      </c>
      <c r="C34">
        <v>56.4</v>
      </c>
      <c r="D34">
        <v>56.4</v>
      </c>
      <c r="E34">
        <v>47.51</v>
      </c>
      <c r="F34">
        <v>30.67</v>
      </c>
      <c r="G34">
        <v>30.73</v>
      </c>
      <c r="H34">
        <v>31.62</v>
      </c>
      <c r="K34" s="9">
        <f t="shared" si="30"/>
        <v>1.3800000000000026</v>
      </c>
      <c r="L34">
        <f t="shared" si="31"/>
        <v>1.7700000000000031</v>
      </c>
      <c r="M34">
        <f t="shared" si="32"/>
        <v>4.7199999999999989</v>
      </c>
      <c r="N34">
        <f t="shared" si="33"/>
        <v>0.22999999999999687</v>
      </c>
      <c r="O34">
        <f t="shared" si="34"/>
        <v>0.16999999999999815</v>
      </c>
      <c r="P34" s="10">
        <f t="shared" si="35"/>
        <v>5.0000000000000711E-2</v>
      </c>
    </row>
    <row r="35" spans="1:16">
      <c r="A35">
        <v>1.67</v>
      </c>
      <c r="B35" s="42">
        <v>57.67</v>
      </c>
      <c r="C35">
        <v>57.06</v>
      </c>
      <c r="D35">
        <v>57.28</v>
      </c>
      <c r="E35">
        <v>49.06</v>
      </c>
      <c r="F35">
        <v>30.78</v>
      </c>
      <c r="G35">
        <v>30.73</v>
      </c>
      <c r="H35">
        <v>31.67</v>
      </c>
      <c r="K35" s="9">
        <f t="shared" si="30"/>
        <v>1.3399999999999963</v>
      </c>
      <c r="L35">
        <f t="shared" si="31"/>
        <v>1.3900000000000006</v>
      </c>
      <c r="M35">
        <f t="shared" si="32"/>
        <v>4</v>
      </c>
      <c r="N35">
        <f t="shared" si="33"/>
        <v>0.11999999999999744</v>
      </c>
      <c r="O35">
        <f t="shared" si="34"/>
        <v>0.21999999999999886</v>
      </c>
      <c r="P35" s="10">
        <f t="shared" si="35"/>
        <v>0</v>
      </c>
    </row>
    <row r="36" spans="1:16">
      <c r="A36">
        <v>1.83</v>
      </c>
      <c r="B36" s="42">
        <v>58.51</v>
      </c>
      <c r="C36">
        <v>57.45</v>
      </c>
      <c r="D36">
        <v>57.78</v>
      </c>
      <c r="E36">
        <v>50.84</v>
      </c>
      <c r="F36">
        <v>30.78</v>
      </c>
      <c r="G36">
        <v>30.78</v>
      </c>
      <c r="H36">
        <v>31.67</v>
      </c>
      <c r="K36" s="9">
        <f t="shared" si="30"/>
        <v>1.1699999999999946</v>
      </c>
      <c r="L36">
        <f t="shared" si="31"/>
        <v>1.1700000000000017</v>
      </c>
      <c r="M36">
        <f t="shared" si="32"/>
        <v>3.3299999999999983</v>
      </c>
      <c r="N36">
        <f t="shared" si="33"/>
        <v>0.23000000000000043</v>
      </c>
      <c r="O36">
        <f t="shared" si="34"/>
        <v>0.27999999999999758</v>
      </c>
      <c r="P36" s="10">
        <f t="shared" si="35"/>
        <v>5.9999999999998721E-2</v>
      </c>
    </row>
    <row r="37" spans="1:16">
      <c r="A37">
        <v>2</v>
      </c>
      <c r="B37" s="42">
        <v>59.45</v>
      </c>
      <c r="C37">
        <v>57.78</v>
      </c>
      <c r="D37">
        <v>58.17</v>
      </c>
      <c r="E37">
        <v>52.23</v>
      </c>
      <c r="F37">
        <v>30.9</v>
      </c>
      <c r="G37">
        <v>30.9</v>
      </c>
      <c r="H37">
        <v>31.67</v>
      </c>
      <c r="K37" s="9">
        <f t="shared" si="30"/>
        <v>1.2299999999999969</v>
      </c>
      <c r="L37">
        <f t="shared" si="31"/>
        <v>1.1700000000000017</v>
      </c>
      <c r="M37">
        <f t="shared" si="32"/>
        <v>3.7800000000000011</v>
      </c>
      <c r="N37">
        <f t="shared" si="33"/>
        <v>0.22000000000000242</v>
      </c>
      <c r="O37">
        <f t="shared" si="34"/>
        <v>0.22000000000000242</v>
      </c>
      <c r="P37" s="10">
        <f t="shared" si="35"/>
        <v>0.16999999999999815</v>
      </c>
    </row>
    <row r="38" spans="1:16">
      <c r="A38">
        <v>2.17</v>
      </c>
      <c r="B38" s="42">
        <v>60.01</v>
      </c>
      <c r="C38">
        <v>58.4</v>
      </c>
      <c r="D38">
        <v>58.67</v>
      </c>
      <c r="E38">
        <v>53.06</v>
      </c>
      <c r="F38">
        <v>30.9</v>
      </c>
      <c r="G38">
        <v>30.95</v>
      </c>
      <c r="H38">
        <v>31.67</v>
      </c>
      <c r="K38" s="9">
        <f t="shared" si="30"/>
        <v>1.2199999999999989</v>
      </c>
      <c r="L38">
        <f t="shared" si="31"/>
        <v>1.2299999999999969</v>
      </c>
      <c r="M38">
        <f t="shared" si="32"/>
        <v>8.3399999999999963</v>
      </c>
      <c r="N38">
        <f t="shared" si="33"/>
        <v>0.27000000000000313</v>
      </c>
      <c r="O38">
        <f t="shared" si="34"/>
        <v>0.28000000000000114</v>
      </c>
      <c r="P38" s="10">
        <f t="shared" si="35"/>
        <v>0.22999999999999687</v>
      </c>
    </row>
    <row r="39" spans="1:16">
      <c r="A39">
        <v>2.33</v>
      </c>
      <c r="B39" s="42">
        <v>60.62</v>
      </c>
      <c r="C39">
        <v>58.62</v>
      </c>
      <c r="D39">
        <v>58.95</v>
      </c>
      <c r="E39">
        <v>54.17</v>
      </c>
      <c r="F39">
        <v>31.01</v>
      </c>
      <c r="G39">
        <v>31.06</v>
      </c>
      <c r="H39">
        <v>31.73</v>
      </c>
      <c r="K39" s="9">
        <f t="shared" si="30"/>
        <v>2</v>
      </c>
      <c r="L39">
        <f t="shared" si="31"/>
        <v>1.779999999999994</v>
      </c>
      <c r="M39">
        <f t="shared" si="32"/>
        <v>8.8399999999999963</v>
      </c>
      <c r="N39">
        <f t="shared" si="33"/>
        <v>0.21999999999999886</v>
      </c>
      <c r="O39">
        <f t="shared" si="34"/>
        <v>0.22000000000000242</v>
      </c>
      <c r="P39" s="10">
        <f t="shared" si="35"/>
        <v>0.27999999999999758</v>
      </c>
    </row>
    <row r="40" spans="1:16">
      <c r="A40">
        <v>2.5</v>
      </c>
      <c r="B40" s="42">
        <v>61.67</v>
      </c>
      <c r="C40">
        <v>59.01</v>
      </c>
      <c r="D40">
        <v>59.34</v>
      </c>
      <c r="E40">
        <v>56.01</v>
      </c>
      <c r="F40">
        <v>31.12</v>
      </c>
      <c r="G40">
        <v>31.12</v>
      </c>
      <c r="H40">
        <v>31.84</v>
      </c>
      <c r="K40" s="9">
        <f t="shared" si="30"/>
        <v>2.7700000000000031</v>
      </c>
      <c r="L40">
        <f t="shared" si="31"/>
        <v>2.7199999999999989</v>
      </c>
      <c r="M40">
        <f t="shared" si="32"/>
        <v>9.0000000000000071</v>
      </c>
      <c r="N40">
        <f t="shared" si="33"/>
        <v>0.16000000000000014</v>
      </c>
      <c r="O40">
        <f t="shared" si="34"/>
        <v>0.21999999999999886</v>
      </c>
      <c r="P40" s="10">
        <f t="shared" si="35"/>
        <v>0.22000000000000242</v>
      </c>
    </row>
    <row r="41" spans="1:16">
      <c r="A41">
        <v>2.67</v>
      </c>
      <c r="B41" s="42">
        <v>62.62</v>
      </c>
      <c r="C41">
        <v>59.62</v>
      </c>
      <c r="D41">
        <v>59.9</v>
      </c>
      <c r="E41">
        <v>61.4</v>
      </c>
      <c r="F41">
        <v>31.17</v>
      </c>
      <c r="G41">
        <v>31.23</v>
      </c>
      <c r="H41">
        <v>31.9</v>
      </c>
      <c r="K41" s="9">
        <f t="shared" si="30"/>
        <v>3.0500000000000043</v>
      </c>
      <c r="L41">
        <f t="shared" si="31"/>
        <v>2.9400000000000048</v>
      </c>
      <c r="M41">
        <f t="shared" si="32"/>
        <v>4.1600000000000037</v>
      </c>
      <c r="N41">
        <f t="shared" si="33"/>
        <v>0.10999999999999943</v>
      </c>
      <c r="O41">
        <f t="shared" si="34"/>
        <v>0.10999999999999943</v>
      </c>
      <c r="P41" s="10">
        <f t="shared" si="35"/>
        <v>0.21999999999999886</v>
      </c>
    </row>
    <row r="42" spans="1:16">
      <c r="A42">
        <v>2.83</v>
      </c>
      <c r="B42" s="42">
        <v>64.84</v>
      </c>
      <c r="C42">
        <v>60.62</v>
      </c>
      <c r="D42">
        <v>60.73</v>
      </c>
      <c r="E42">
        <v>63.01</v>
      </c>
      <c r="F42">
        <v>31.23</v>
      </c>
      <c r="G42">
        <v>31.28</v>
      </c>
      <c r="H42">
        <v>32.01</v>
      </c>
      <c r="K42" s="9">
        <f t="shared" si="30"/>
        <v>3.1600000000000037</v>
      </c>
      <c r="L42">
        <f t="shared" si="31"/>
        <v>3.1100000000000065</v>
      </c>
      <c r="M42">
        <f t="shared" si="32"/>
        <v>3.6100000000000065</v>
      </c>
      <c r="N42">
        <f t="shared" si="33"/>
        <v>0.21999999999999886</v>
      </c>
      <c r="O42">
        <f t="shared" si="34"/>
        <v>0.23000000000000043</v>
      </c>
      <c r="P42" s="10">
        <f t="shared" si="35"/>
        <v>0.21999999999999886</v>
      </c>
    </row>
    <row r="43" spans="1:16">
      <c r="A43">
        <v>3</v>
      </c>
      <c r="B43" s="42">
        <v>69.95</v>
      </c>
      <c r="C43">
        <v>61.78</v>
      </c>
      <c r="D43">
        <v>62.06</v>
      </c>
      <c r="E43">
        <v>65.010000000000005</v>
      </c>
      <c r="F43">
        <v>31.28</v>
      </c>
      <c r="G43">
        <v>31.34</v>
      </c>
      <c r="H43">
        <v>32.06</v>
      </c>
      <c r="K43" s="9">
        <f t="shared" si="30"/>
        <v>3.0600000000000023</v>
      </c>
      <c r="L43">
        <f t="shared" si="31"/>
        <v>2.6700000000000017</v>
      </c>
      <c r="M43">
        <f t="shared" si="32"/>
        <v>2.8299999999999983</v>
      </c>
      <c r="N43">
        <f t="shared" si="33"/>
        <v>0.23000000000000043</v>
      </c>
      <c r="O43">
        <f t="shared" si="34"/>
        <v>0.21999999999999886</v>
      </c>
      <c r="P43" s="10">
        <f t="shared" si="35"/>
        <v>0.21999999999999886</v>
      </c>
    </row>
    <row r="44" spans="1:16">
      <c r="A44">
        <v>3.17</v>
      </c>
      <c r="B44" s="42">
        <v>76.400000000000006</v>
      </c>
      <c r="C44">
        <v>62.67</v>
      </c>
      <c r="D44">
        <v>62.84</v>
      </c>
      <c r="E44">
        <v>65.56</v>
      </c>
      <c r="F44">
        <v>31.28</v>
      </c>
      <c r="G44">
        <v>31.34</v>
      </c>
      <c r="H44">
        <v>32.119999999999997</v>
      </c>
      <c r="K44" s="9">
        <f t="shared" si="30"/>
        <v>3.4500000000000028</v>
      </c>
      <c r="L44">
        <f t="shared" si="31"/>
        <v>2.9399999999999977</v>
      </c>
      <c r="M44">
        <f t="shared" si="32"/>
        <v>3.1700000000000017</v>
      </c>
      <c r="N44">
        <f t="shared" si="33"/>
        <v>0.27999999999999758</v>
      </c>
      <c r="O44">
        <f t="shared" si="34"/>
        <v>0.33000000000000185</v>
      </c>
      <c r="P44" s="10">
        <f t="shared" si="35"/>
        <v>0.16000000000000369</v>
      </c>
    </row>
    <row r="45" spans="1:16">
      <c r="A45">
        <v>3.33</v>
      </c>
      <c r="B45" s="42">
        <v>78.900000000000006</v>
      </c>
      <c r="C45">
        <v>63.78</v>
      </c>
      <c r="D45">
        <v>63.84</v>
      </c>
      <c r="E45">
        <v>66.62</v>
      </c>
      <c r="F45">
        <v>31.45</v>
      </c>
      <c r="G45">
        <v>31.51</v>
      </c>
      <c r="H45">
        <v>32.229999999999997</v>
      </c>
      <c r="K45" s="9">
        <f t="shared" si="30"/>
        <v>6.4500000000000028</v>
      </c>
      <c r="L45">
        <f t="shared" si="31"/>
        <v>5.8299999999999983</v>
      </c>
      <c r="M45">
        <f t="shared" si="32"/>
        <v>3.0499999999999972</v>
      </c>
      <c r="N45">
        <f t="shared" si="33"/>
        <v>0.17000000000000171</v>
      </c>
      <c r="O45">
        <f t="shared" si="34"/>
        <v>0.16000000000000014</v>
      </c>
      <c r="P45" s="10">
        <f t="shared" si="35"/>
        <v>0.11000000000000654</v>
      </c>
    </row>
    <row r="46" spans="1:16">
      <c r="A46">
        <v>3.5</v>
      </c>
      <c r="B46" s="42">
        <v>79.95</v>
      </c>
      <c r="C46">
        <v>64.84</v>
      </c>
      <c r="D46">
        <v>64.73</v>
      </c>
      <c r="E46">
        <v>67.84</v>
      </c>
      <c r="F46">
        <v>31.51</v>
      </c>
      <c r="G46">
        <v>31.56</v>
      </c>
      <c r="H46">
        <v>32.28</v>
      </c>
      <c r="K46" s="9">
        <f t="shared" si="30"/>
        <v>12.39</v>
      </c>
      <c r="L46">
        <f t="shared" si="31"/>
        <v>12.439999999999998</v>
      </c>
      <c r="M46">
        <f t="shared" si="32"/>
        <v>2.5</v>
      </c>
      <c r="N46">
        <f t="shared" si="33"/>
        <v>0.16000000000000014</v>
      </c>
      <c r="O46">
        <f t="shared" si="34"/>
        <v>0.22000000000000242</v>
      </c>
      <c r="P46" s="10">
        <f t="shared" si="35"/>
        <v>0.22999999999999687</v>
      </c>
    </row>
    <row r="47" spans="1:16">
      <c r="A47">
        <v>3.67</v>
      </c>
      <c r="B47" s="42">
        <v>80.23</v>
      </c>
      <c r="C47">
        <v>66.12</v>
      </c>
      <c r="D47">
        <v>65.78</v>
      </c>
      <c r="E47">
        <v>68.73</v>
      </c>
      <c r="F47">
        <v>31.56</v>
      </c>
      <c r="G47">
        <v>31.67</v>
      </c>
      <c r="H47">
        <v>32.28</v>
      </c>
      <c r="K47" s="9">
        <f t="shared" si="30"/>
        <v>12.280000000000001</v>
      </c>
      <c r="L47">
        <f t="shared" si="31"/>
        <v>13.5</v>
      </c>
      <c r="M47">
        <f t="shared" si="32"/>
        <v>2.0499999999999972</v>
      </c>
      <c r="N47">
        <f t="shared" si="33"/>
        <v>0.22000000000000242</v>
      </c>
      <c r="O47">
        <f t="shared" si="34"/>
        <v>0.22999999999999687</v>
      </c>
      <c r="P47" s="10">
        <f t="shared" si="35"/>
        <v>0.22999999999999687</v>
      </c>
    </row>
    <row r="48" spans="1:16">
      <c r="A48">
        <v>3.83</v>
      </c>
      <c r="B48" s="42">
        <v>80.62</v>
      </c>
      <c r="C48">
        <v>70.23</v>
      </c>
      <c r="D48">
        <v>69.67</v>
      </c>
      <c r="E48">
        <v>69.67</v>
      </c>
      <c r="F48">
        <v>31.62</v>
      </c>
      <c r="G48">
        <v>31.67</v>
      </c>
      <c r="H48">
        <v>32.340000000000003</v>
      </c>
      <c r="K48" s="9">
        <f t="shared" si="30"/>
        <v>8.89</v>
      </c>
      <c r="L48">
        <f t="shared" si="31"/>
        <v>10.560000000000002</v>
      </c>
      <c r="M48">
        <f t="shared" si="32"/>
        <v>2.2800000000000011</v>
      </c>
      <c r="N48">
        <f t="shared" si="33"/>
        <v>0.27999999999999758</v>
      </c>
      <c r="O48">
        <f t="shared" si="34"/>
        <v>0.39000000000000057</v>
      </c>
      <c r="P48" s="10">
        <f t="shared" si="35"/>
        <v>0.32999999999999829</v>
      </c>
    </row>
    <row r="49" spans="1:16">
      <c r="A49">
        <v>4</v>
      </c>
      <c r="B49" s="42">
        <v>81.17</v>
      </c>
      <c r="C49">
        <v>77.23</v>
      </c>
      <c r="D49">
        <v>77.17</v>
      </c>
      <c r="E49">
        <v>70.34</v>
      </c>
      <c r="F49">
        <v>31.67</v>
      </c>
      <c r="G49">
        <v>31.78</v>
      </c>
      <c r="H49">
        <v>32.51</v>
      </c>
      <c r="K49" s="9">
        <f t="shared" si="30"/>
        <v>1.9399999999999977</v>
      </c>
      <c r="L49">
        <f t="shared" si="31"/>
        <v>3.2800000000000011</v>
      </c>
      <c r="M49">
        <f t="shared" si="32"/>
        <v>3.2800000000000011</v>
      </c>
      <c r="N49">
        <f t="shared" si="33"/>
        <v>0.22999999999999687</v>
      </c>
      <c r="O49">
        <f t="shared" si="34"/>
        <v>0.33999999999999631</v>
      </c>
      <c r="P49" s="10">
        <f t="shared" si="35"/>
        <v>0.27000000000000313</v>
      </c>
    </row>
    <row r="50" spans="1:16">
      <c r="A50">
        <v>4.17</v>
      </c>
      <c r="B50" s="42">
        <v>81.45</v>
      </c>
      <c r="C50">
        <v>78.400000000000006</v>
      </c>
      <c r="D50">
        <v>79.28</v>
      </c>
      <c r="E50">
        <v>70.78</v>
      </c>
      <c r="F50">
        <v>31.78</v>
      </c>
      <c r="G50">
        <v>31.9</v>
      </c>
      <c r="H50">
        <v>32.51</v>
      </c>
      <c r="K50" s="9">
        <f t="shared" si="30"/>
        <v>1.269999999999996</v>
      </c>
      <c r="L50">
        <f t="shared" si="31"/>
        <v>1.3900000000000006</v>
      </c>
      <c r="M50">
        <f t="shared" si="32"/>
        <v>4.4500000000000028</v>
      </c>
      <c r="N50">
        <f t="shared" si="33"/>
        <v>0.33999999999999631</v>
      </c>
      <c r="O50">
        <f t="shared" si="34"/>
        <v>0.32999999999999829</v>
      </c>
      <c r="P50" s="10">
        <f t="shared" si="35"/>
        <v>0.27000000000000313</v>
      </c>
    </row>
    <row r="51" spans="1:16">
      <c r="A51">
        <v>4.33</v>
      </c>
      <c r="B51" s="42">
        <v>81.510000000000005</v>
      </c>
      <c r="C51">
        <v>79.12</v>
      </c>
      <c r="D51">
        <v>80.23</v>
      </c>
      <c r="E51">
        <v>71.95</v>
      </c>
      <c r="F51">
        <v>31.9</v>
      </c>
      <c r="G51">
        <v>32.06</v>
      </c>
      <c r="H51">
        <v>32.67</v>
      </c>
      <c r="K51" s="9">
        <f t="shared" si="30"/>
        <v>1</v>
      </c>
      <c r="L51">
        <f t="shared" si="31"/>
        <v>0.93999999999999773</v>
      </c>
      <c r="M51">
        <f t="shared" si="32"/>
        <v>5</v>
      </c>
      <c r="N51">
        <f t="shared" si="33"/>
        <v>0.27000000000000313</v>
      </c>
      <c r="O51">
        <f t="shared" si="34"/>
        <v>0.28000000000000114</v>
      </c>
      <c r="P51" s="10">
        <f t="shared" si="35"/>
        <v>0.28000000000000114</v>
      </c>
    </row>
    <row r="52" spans="1:16">
      <c r="A52">
        <v>4.5</v>
      </c>
      <c r="B52" s="42">
        <v>82.01</v>
      </c>
      <c r="C52">
        <v>79.17</v>
      </c>
      <c r="D52">
        <v>80.45</v>
      </c>
      <c r="E52">
        <v>73.62</v>
      </c>
      <c r="F52">
        <v>31.9</v>
      </c>
      <c r="G52">
        <v>32.119999999999997</v>
      </c>
      <c r="H52">
        <v>32.78</v>
      </c>
      <c r="K52" s="9">
        <f t="shared" si="30"/>
        <v>1.7800000000000011</v>
      </c>
      <c r="L52">
        <f t="shared" si="31"/>
        <v>1.3299999999999983</v>
      </c>
      <c r="M52">
        <f t="shared" si="32"/>
        <v>4.7800000000000011</v>
      </c>
      <c r="N52">
        <f t="shared" si="33"/>
        <v>0.38000000000000256</v>
      </c>
      <c r="O52">
        <f t="shared" si="34"/>
        <v>0.28000000000000114</v>
      </c>
      <c r="P52" s="10">
        <f t="shared" si="35"/>
        <v>0.33999999999999631</v>
      </c>
    </row>
    <row r="53" spans="1:16">
      <c r="A53">
        <v>4.67</v>
      </c>
      <c r="B53" s="42">
        <v>82.84</v>
      </c>
      <c r="C53">
        <v>79.67</v>
      </c>
      <c r="D53">
        <v>80.67</v>
      </c>
      <c r="E53">
        <v>75.23</v>
      </c>
      <c r="F53">
        <v>32.119999999999997</v>
      </c>
      <c r="G53">
        <v>32.229999999999997</v>
      </c>
      <c r="H53">
        <v>32.78</v>
      </c>
      <c r="K53" s="9">
        <f t="shared" si="30"/>
        <v>1.9500000000000028</v>
      </c>
      <c r="L53">
        <f t="shared" si="31"/>
        <v>1.8400000000000034</v>
      </c>
      <c r="M53">
        <f t="shared" si="32"/>
        <v>4.2800000000000011</v>
      </c>
      <c r="N53">
        <f t="shared" si="33"/>
        <v>0.28000000000000114</v>
      </c>
      <c r="O53">
        <f t="shared" si="34"/>
        <v>0.28000000000000114</v>
      </c>
      <c r="P53" s="10">
        <f t="shared" si="35"/>
        <v>0.33999999999999631</v>
      </c>
    </row>
    <row r="54" spans="1:16">
      <c r="A54">
        <v>4.83</v>
      </c>
      <c r="B54" s="42">
        <v>83.62</v>
      </c>
      <c r="C54">
        <v>80.12</v>
      </c>
      <c r="D54">
        <v>81.17</v>
      </c>
      <c r="E54">
        <v>76.95</v>
      </c>
      <c r="F54">
        <v>32.17</v>
      </c>
      <c r="G54">
        <v>32.340000000000003</v>
      </c>
      <c r="H54">
        <v>32.950000000000003</v>
      </c>
      <c r="K54" s="9">
        <f t="shared" si="30"/>
        <v>1.8900000000000006</v>
      </c>
      <c r="L54">
        <f t="shared" si="31"/>
        <v>1.7800000000000011</v>
      </c>
      <c r="M54">
        <f t="shared" si="32"/>
        <v>3.6099999999999994</v>
      </c>
      <c r="N54">
        <f t="shared" si="33"/>
        <v>0.22999999999999687</v>
      </c>
      <c r="O54">
        <f t="shared" si="34"/>
        <v>0.27999999999999403</v>
      </c>
      <c r="P54" s="10">
        <f t="shared" si="35"/>
        <v>0.21999999999999886</v>
      </c>
    </row>
    <row r="55" spans="1:16">
      <c r="A55">
        <v>5</v>
      </c>
      <c r="B55" s="42">
        <v>84.06</v>
      </c>
      <c r="C55">
        <v>80.95</v>
      </c>
      <c r="D55">
        <v>81.78</v>
      </c>
      <c r="E55">
        <v>78.400000000000006</v>
      </c>
      <c r="F55">
        <v>32.28</v>
      </c>
      <c r="G55">
        <v>32.4</v>
      </c>
      <c r="H55">
        <v>33.119999999999997</v>
      </c>
      <c r="K55" s="9">
        <f t="shared" si="30"/>
        <v>1.7800000000000011</v>
      </c>
      <c r="L55">
        <f t="shared" si="31"/>
        <v>1.7800000000000011</v>
      </c>
      <c r="M55">
        <f t="shared" si="32"/>
        <v>4.0499999999999972</v>
      </c>
      <c r="N55">
        <f t="shared" si="33"/>
        <v>0.22999999999999687</v>
      </c>
      <c r="O55">
        <f t="shared" si="34"/>
        <v>0.32999999999999829</v>
      </c>
      <c r="P55" s="10">
        <f t="shared" si="35"/>
        <v>0.10999999999999943</v>
      </c>
    </row>
    <row r="56" spans="1:16">
      <c r="A56">
        <v>5.17</v>
      </c>
      <c r="B56" s="42">
        <v>84.62</v>
      </c>
      <c r="C56">
        <v>81.62</v>
      </c>
      <c r="D56">
        <v>82.51</v>
      </c>
      <c r="E56">
        <v>79.510000000000005</v>
      </c>
      <c r="F56">
        <v>32.4</v>
      </c>
      <c r="G56">
        <v>32.51</v>
      </c>
      <c r="H56">
        <v>33.119999999999997</v>
      </c>
      <c r="K56" s="9">
        <f t="shared" si="30"/>
        <v>1.6599999999999966</v>
      </c>
      <c r="L56">
        <f t="shared" si="31"/>
        <v>1.6099999999999994</v>
      </c>
      <c r="M56">
        <f t="shared" si="32"/>
        <v>8.6599999999999966</v>
      </c>
      <c r="N56">
        <f t="shared" si="33"/>
        <v>0.21999999999999886</v>
      </c>
      <c r="O56">
        <f t="shared" si="34"/>
        <v>0.27000000000000313</v>
      </c>
      <c r="P56" s="10">
        <f t="shared" si="35"/>
        <v>0.16000000000000369</v>
      </c>
    </row>
    <row r="57" spans="1:16">
      <c r="A57">
        <v>5.33</v>
      </c>
      <c r="B57" s="42">
        <v>85.34</v>
      </c>
      <c r="C57">
        <v>82.01</v>
      </c>
      <c r="D57">
        <v>82.95</v>
      </c>
      <c r="E57">
        <v>80.56</v>
      </c>
      <c r="F57">
        <v>32.4</v>
      </c>
      <c r="G57">
        <v>32.619999999999997</v>
      </c>
      <c r="H57">
        <v>33.17</v>
      </c>
      <c r="K57" s="9">
        <f t="shared" si="30"/>
        <v>1.8900000000000006</v>
      </c>
      <c r="L57">
        <f t="shared" si="31"/>
        <v>1.6700000000000017</v>
      </c>
      <c r="M57">
        <f t="shared" si="32"/>
        <v>9.2800000000000011</v>
      </c>
      <c r="N57">
        <f t="shared" si="33"/>
        <v>0.32999999999999829</v>
      </c>
      <c r="O57">
        <f t="shared" si="34"/>
        <v>0.3300000000000054</v>
      </c>
      <c r="P57" s="10">
        <f t="shared" si="35"/>
        <v>0.17000000000000171</v>
      </c>
    </row>
    <row r="58" spans="1:16">
      <c r="A58">
        <v>5.5</v>
      </c>
      <c r="B58" s="42">
        <v>86.17</v>
      </c>
      <c r="C58">
        <v>82.73</v>
      </c>
      <c r="D58">
        <v>83.56</v>
      </c>
      <c r="E58">
        <v>82.45</v>
      </c>
      <c r="F58">
        <v>32.51</v>
      </c>
      <c r="G58">
        <v>32.729999999999997</v>
      </c>
      <c r="H58">
        <v>33.229999999999997</v>
      </c>
      <c r="K58" s="9">
        <f t="shared" si="30"/>
        <v>2</v>
      </c>
      <c r="L58">
        <f t="shared" si="31"/>
        <v>1.6099999999999994</v>
      </c>
      <c r="M58">
        <f t="shared" si="32"/>
        <v>8.1700000000000017</v>
      </c>
      <c r="N58">
        <f t="shared" si="33"/>
        <v>0.39000000000000057</v>
      </c>
      <c r="O58">
        <f t="shared" si="34"/>
        <v>0.39000000000000057</v>
      </c>
      <c r="P58" s="10">
        <f t="shared" si="35"/>
        <v>0.28000000000000114</v>
      </c>
    </row>
    <row r="59" spans="1:16">
      <c r="A59">
        <v>5.67</v>
      </c>
      <c r="B59" s="42">
        <v>87.01</v>
      </c>
      <c r="C59">
        <v>83.28</v>
      </c>
      <c r="D59">
        <v>84.12</v>
      </c>
      <c r="E59">
        <v>88.17</v>
      </c>
      <c r="F59">
        <v>32.619999999999997</v>
      </c>
      <c r="G59">
        <v>32.78</v>
      </c>
      <c r="H59">
        <v>33.28</v>
      </c>
      <c r="K59" s="9">
        <f t="shared" si="30"/>
        <v>2.5600000000000023</v>
      </c>
      <c r="L59">
        <f t="shared" si="31"/>
        <v>1.6599999999999966</v>
      </c>
      <c r="M59">
        <f t="shared" si="32"/>
        <v>3.5600000000000023</v>
      </c>
      <c r="N59">
        <f t="shared" si="33"/>
        <v>0.44000000000000483</v>
      </c>
      <c r="O59">
        <f t="shared" si="34"/>
        <v>0.44999999999999574</v>
      </c>
      <c r="P59" s="10">
        <f t="shared" si="35"/>
        <v>0.28000000000000114</v>
      </c>
    </row>
    <row r="60" spans="1:16">
      <c r="A60">
        <v>5.83</v>
      </c>
      <c r="B60" s="42">
        <v>88.4</v>
      </c>
      <c r="C60">
        <v>83.9</v>
      </c>
      <c r="D60">
        <v>84.62</v>
      </c>
      <c r="E60">
        <v>89.84</v>
      </c>
      <c r="F60">
        <v>32.729999999999997</v>
      </c>
      <c r="G60">
        <v>32.950000000000003</v>
      </c>
      <c r="H60">
        <v>33.340000000000003</v>
      </c>
      <c r="K60" s="9">
        <f t="shared" si="30"/>
        <v>2.7199999999999989</v>
      </c>
      <c r="L60">
        <f t="shared" si="31"/>
        <v>1.8299999999999983</v>
      </c>
      <c r="M60">
        <f t="shared" si="32"/>
        <v>2.8900000000000006</v>
      </c>
      <c r="N60">
        <f t="shared" si="33"/>
        <v>0.39000000000000057</v>
      </c>
      <c r="O60">
        <f t="shared" si="34"/>
        <v>0.32999999999999829</v>
      </c>
      <c r="P60" s="10">
        <f t="shared" si="35"/>
        <v>0.21999999999999886</v>
      </c>
    </row>
    <row r="61" spans="1:16">
      <c r="A61">
        <v>6</v>
      </c>
      <c r="B61" s="42">
        <v>93.73</v>
      </c>
      <c r="C61">
        <v>84.73</v>
      </c>
      <c r="D61">
        <v>85.17</v>
      </c>
      <c r="E61">
        <v>90.62</v>
      </c>
      <c r="F61">
        <v>32.9</v>
      </c>
      <c r="G61">
        <v>33.119999999999997</v>
      </c>
      <c r="H61">
        <v>33.51</v>
      </c>
      <c r="K61" s="9">
        <f t="shared" si="30"/>
        <v>2.8900000000000006</v>
      </c>
      <c r="L61">
        <f t="shared" si="31"/>
        <v>2.3900000000000006</v>
      </c>
      <c r="M61">
        <f t="shared" si="32"/>
        <v>3.0499999999999972</v>
      </c>
      <c r="N61">
        <f t="shared" si="33"/>
        <v>0.44000000000000483</v>
      </c>
      <c r="O61">
        <f t="shared" si="34"/>
        <v>0.28000000000000114</v>
      </c>
      <c r="P61" s="10">
        <f t="shared" si="35"/>
        <v>0.21999999999999886</v>
      </c>
    </row>
    <row r="62" spans="1:16">
      <c r="A62">
        <v>6.17</v>
      </c>
      <c r="B62" s="42">
        <v>96.67</v>
      </c>
      <c r="C62">
        <v>85.84</v>
      </c>
      <c r="D62">
        <v>85.78</v>
      </c>
      <c r="E62">
        <v>91.73</v>
      </c>
      <c r="F62">
        <v>33.06</v>
      </c>
      <c r="G62">
        <v>33.229999999999997</v>
      </c>
      <c r="H62">
        <v>33.56</v>
      </c>
      <c r="K62" s="9">
        <f t="shared" si="30"/>
        <v>6.5600000000000023</v>
      </c>
      <c r="L62">
        <f t="shared" si="31"/>
        <v>5.9500000000000028</v>
      </c>
      <c r="M62">
        <f t="shared" si="32"/>
        <v>2.7800000000000011</v>
      </c>
      <c r="N62">
        <f t="shared" si="33"/>
        <v>0.33999999999999631</v>
      </c>
      <c r="O62">
        <f t="shared" si="34"/>
        <v>0.3300000000000054</v>
      </c>
      <c r="P62" s="10">
        <f t="shared" si="35"/>
        <v>0.28000000000000114</v>
      </c>
    </row>
    <row r="63" spans="1:16">
      <c r="A63">
        <v>6.33</v>
      </c>
      <c r="B63" s="42">
        <v>97.06</v>
      </c>
      <c r="C63">
        <v>86.62</v>
      </c>
      <c r="D63">
        <v>86.45</v>
      </c>
      <c r="E63">
        <v>92.73</v>
      </c>
      <c r="F63">
        <v>33.119999999999997</v>
      </c>
      <c r="G63">
        <v>33.28</v>
      </c>
      <c r="H63">
        <v>33.56</v>
      </c>
      <c r="K63" s="9">
        <f t="shared" si="30"/>
        <v>11.659999999999997</v>
      </c>
      <c r="L63">
        <f t="shared" si="31"/>
        <v>11.060000000000002</v>
      </c>
      <c r="M63">
        <f t="shared" si="32"/>
        <v>2.2199999999999989</v>
      </c>
      <c r="N63">
        <f t="shared" si="33"/>
        <v>0.28000000000000114</v>
      </c>
      <c r="O63">
        <f t="shared" si="34"/>
        <v>0.33999999999999631</v>
      </c>
      <c r="P63" s="10">
        <f t="shared" si="35"/>
        <v>0.33999999999999631</v>
      </c>
    </row>
    <row r="64" spans="1:16">
      <c r="A64">
        <v>6.5</v>
      </c>
      <c r="B64" s="42">
        <v>97.9</v>
      </c>
      <c r="C64">
        <v>87.62</v>
      </c>
      <c r="D64">
        <v>87.56</v>
      </c>
      <c r="E64">
        <v>93.67</v>
      </c>
      <c r="F64">
        <v>33.340000000000003</v>
      </c>
      <c r="G64">
        <v>33.4</v>
      </c>
      <c r="H64">
        <v>33.729999999999997</v>
      </c>
      <c r="K64" s="9">
        <f t="shared" si="30"/>
        <v>12.280000000000001</v>
      </c>
      <c r="L64">
        <f t="shared" si="31"/>
        <v>12.450000000000003</v>
      </c>
      <c r="M64">
        <f t="shared" si="32"/>
        <v>1.6700000000000017</v>
      </c>
      <c r="N64">
        <f t="shared" si="33"/>
        <v>0.27999999999999403</v>
      </c>
      <c r="O64">
        <f t="shared" si="34"/>
        <v>0.27000000000000313</v>
      </c>
      <c r="P64" s="10">
        <f t="shared" si="35"/>
        <v>0.28000000000000114</v>
      </c>
    </row>
    <row r="65" spans="1:16">
      <c r="A65">
        <v>6.67</v>
      </c>
      <c r="B65" s="42">
        <v>98.62</v>
      </c>
      <c r="C65">
        <v>92.4</v>
      </c>
      <c r="D65">
        <v>91.73</v>
      </c>
      <c r="E65">
        <v>94.51</v>
      </c>
      <c r="F65">
        <v>33.4</v>
      </c>
      <c r="G65">
        <v>33.56</v>
      </c>
      <c r="H65">
        <v>33.840000000000003</v>
      </c>
      <c r="K65" s="9">
        <f t="shared" si="30"/>
        <v>7.8799999999999955</v>
      </c>
      <c r="L65">
        <f t="shared" si="31"/>
        <v>8.9399999999999977</v>
      </c>
      <c r="M65">
        <f t="shared" si="32"/>
        <v>1.8299999999999983</v>
      </c>
      <c r="N65">
        <f t="shared" si="33"/>
        <v>0.32999999999999829</v>
      </c>
      <c r="O65">
        <f t="shared" si="34"/>
        <v>0.28000000000000114</v>
      </c>
      <c r="P65" s="10">
        <f t="shared" si="35"/>
        <v>0.32999999999999829</v>
      </c>
    </row>
    <row r="66" spans="1:16">
      <c r="A66">
        <v>6.83</v>
      </c>
      <c r="B66" s="42">
        <v>99.34</v>
      </c>
      <c r="C66">
        <v>98.28</v>
      </c>
      <c r="D66">
        <v>97.51</v>
      </c>
      <c r="E66">
        <v>94.95</v>
      </c>
      <c r="F66">
        <v>33.4</v>
      </c>
      <c r="G66">
        <v>33.619999999999997</v>
      </c>
      <c r="H66">
        <v>33.9</v>
      </c>
      <c r="K66" s="9">
        <f t="shared" si="30"/>
        <v>2</v>
      </c>
      <c r="L66">
        <f t="shared" si="31"/>
        <v>3.5</v>
      </c>
      <c r="M66">
        <f t="shared" si="32"/>
        <v>2.3900000000000006</v>
      </c>
      <c r="N66">
        <f t="shared" si="33"/>
        <v>0.44000000000000483</v>
      </c>
      <c r="O66">
        <f t="shared" si="34"/>
        <v>0.3300000000000054</v>
      </c>
      <c r="P66" s="10">
        <f t="shared" si="35"/>
        <v>0.27000000000000313</v>
      </c>
    </row>
    <row r="67" spans="1:16">
      <c r="A67">
        <v>7</v>
      </c>
      <c r="B67" s="42">
        <v>100.06</v>
      </c>
      <c r="C67">
        <v>99.9</v>
      </c>
      <c r="D67">
        <v>100.01</v>
      </c>
      <c r="E67">
        <v>95.34</v>
      </c>
      <c r="F67">
        <v>33.619999999999997</v>
      </c>
      <c r="G67">
        <v>33.67</v>
      </c>
      <c r="H67">
        <v>34.01</v>
      </c>
      <c r="K67" s="9">
        <f t="shared" si="30"/>
        <v>0.71999999999999886</v>
      </c>
      <c r="L67">
        <f t="shared" si="31"/>
        <v>1.3900000000000006</v>
      </c>
      <c r="M67">
        <f t="shared" si="32"/>
        <v>3.2800000000000011</v>
      </c>
      <c r="N67">
        <f t="shared" si="33"/>
        <v>0.3300000000000054</v>
      </c>
      <c r="O67">
        <f t="shared" si="34"/>
        <v>0.39000000000000057</v>
      </c>
      <c r="P67" s="10">
        <f t="shared" si="35"/>
        <v>0.21999999999999886</v>
      </c>
    </row>
    <row r="68" spans="1:16">
      <c r="A68">
        <v>7.17</v>
      </c>
      <c r="B68" s="42">
        <v>100.67</v>
      </c>
      <c r="C68">
        <v>100.28</v>
      </c>
      <c r="D68">
        <v>100.67</v>
      </c>
      <c r="E68">
        <v>96.34</v>
      </c>
      <c r="F68">
        <v>33.729999999999997</v>
      </c>
      <c r="G68">
        <v>33.840000000000003</v>
      </c>
      <c r="H68">
        <v>34.17</v>
      </c>
      <c r="K68" s="9">
        <f t="shared" si="30"/>
        <v>0.84000000000000341</v>
      </c>
      <c r="L68">
        <f t="shared" si="31"/>
        <v>1.230000000000004</v>
      </c>
      <c r="M68">
        <f t="shared" si="32"/>
        <v>3.6700000000000017</v>
      </c>
      <c r="N68">
        <f t="shared" si="33"/>
        <v>0.39000000000000057</v>
      </c>
      <c r="O68">
        <f t="shared" si="34"/>
        <v>0.32999999999999829</v>
      </c>
      <c r="P68" s="10">
        <f t="shared" si="35"/>
        <v>0.22999999999999687</v>
      </c>
    </row>
    <row r="69" spans="1:16">
      <c r="A69">
        <v>7.33</v>
      </c>
      <c r="B69" s="42">
        <v>101.34</v>
      </c>
      <c r="C69">
        <v>100.28</v>
      </c>
      <c r="D69">
        <v>101.01</v>
      </c>
      <c r="E69">
        <v>97.34</v>
      </c>
      <c r="F69">
        <v>33.840000000000003</v>
      </c>
      <c r="G69">
        <v>33.950000000000003</v>
      </c>
      <c r="H69">
        <v>34.17</v>
      </c>
      <c r="K69" s="9">
        <f t="shared" si="30"/>
        <v>1.0600000000000023</v>
      </c>
      <c r="L69">
        <f t="shared" si="31"/>
        <v>1.1099999999999994</v>
      </c>
      <c r="M69">
        <f t="shared" si="32"/>
        <v>4.1099999999999994</v>
      </c>
      <c r="N69">
        <f t="shared" si="33"/>
        <v>0.32999999999999829</v>
      </c>
      <c r="O69">
        <f t="shared" si="34"/>
        <v>0.21999999999999886</v>
      </c>
      <c r="P69" s="10">
        <f t="shared" si="35"/>
        <v>0.22999999999999687</v>
      </c>
    </row>
    <row r="70" spans="1:16">
      <c r="A70">
        <v>7.5</v>
      </c>
      <c r="B70" s="42">
        <v>101.23</v>
      </c>
      <c r="C70">
        <v>100.62</v>
      </c>
      <c r="D70">
        <v>101.4</v>
      </c>
      <c r="E70">
        <v>98.62</v>
      </c>
      <c r="F70">
        <v>33.950000000000003</v>
      </c>
      <c r="G70">
        <v>34.06</v>
      </c>
      <c r="H70">
        <v>34.229999999999997</v>
      </c>
      <c r="K70" s="9">
        <f t="shared" si="30"/>
        <v>1.1099999999999994</v>
      </c>
      <c r="L70">
        <f t="shared" si="31"/>
        <v>1</v>
      </c>
      <c r="M70">
        <f t="shared" si="32"/>
        <v>4.2199999999999989</v>
      </c>
      <c r="N70">
        <f t="shared" si="33"/>
        <v>0.39000000000000057</v>
      </c>
      <c r="O70">
        <f t="shared" si="34"/>
        <v>0.21999999999999886</v>
      </c>
      <c r="P70" s="10">
        <f t="shared" si="35"/>
        <v>0.39000000000000057</v>
      </c>
    </row>
    <row r="71" spans="1:16">
      <c r="A71">
        <v>7.67</v>
      </c>
      <c r="B71" s="42">
        <v>101.28</v>
      </c>
      <c r="C71">
        <v>101.12</v>
      </c>
      <c r="D71">
        <v>101.9</v>
      </c>
      <c r="E71">
        <v>100.01</v>
      </c>
      <c r="F71">
        <v>34.119999999999997</v>
      </c>
      <c r="G71">
        <v>34.17</v>
      </c>
      <c r="H71">
        <v>34.4</v>
      </c>
      <c r="K71" s="9">
        <f t="shared" si="30"/>
        <v>0.82999999999999829</v>
      </c>
      <c r="L71">
        <f t="shared" si="31"/>
        <v>0.82999999999999829</v>
      </c>
      <c r="M71">
        <f t="shared" si="32"/>
        <v>3.9399999999999977</v>
      </c>
      <c r="N71">
        <f t="shared" si="33"/>
        <v>0.22000000000000597</v>
      </c>
      <c r="O71">
        <f t="shared" si="34"/>
        <v>0.10999999999999943</v>
      </c>
      <c r="P71" s="10">
        <f t="shared" si="35"/>
        <v>0.27000000000000313</v>
      </c>
    </row>
    <row r="72" spans="1:16">
      <c r="A72">
        <v>7.83</v>
      </c>
      <c r="B72" s="42">
        <v>101.62</v>
      </c>
      <c r="C72">
        <v>101.34</v>
      </c>
      <c r="D72">
        <v>102.12</v>
      </c>
      <c r="E72">
        <v>101.45</v>
      </c>
      <c r="F72">
        <v>34.17</v>
      </c>
      <c r="G72">
        <v>34.17</v>
      </c>
      <c r="H72">
        <v>34.4</v>
      </c>
      <c r="K72" s="9">
        <f t="shared" si="30"/>
        <v>0.78000000000000114</v>
      </c>
      <c r="L72">
        <f t="shared" si="31"/>
        <v>0.78000000000000114</v>
      </c>
      <c r="M72">
        <f t="shared" si="32"/>
        <v>3.5600000000000023</v>
      </c>
      <c r="N72">
        <f t="shared" si="33"/>
        <v>0.33999999999999631</v>
      </c>
      <c r="O72">
        <f t="shared" si="34"/>
        <v>0.22999999999999687</v>
      </c>
      <c r="P72" s="10">
        <f t="shared" si="35"/>
        <v>0.32999999999999829</v>
      </c>
    </row>
    <row r="73" spans="1:16">
      <c r="A73">
        <v>8</v>
      </c>
      <c r="B73" s="42">
        <v>101.9</v>
      </c>
      <c r="C73">
        <v>101.73</v>
      </c>
      <c r="D73">
        <v>102.4</v>
      </c>
      <c r="E73">
        <v>102.84</v>
      </c>
      <c r="F73">
        <v>34.340000000000003</v>
      </c>
      <c r="G73">
        <v>34.28</v>
      </c>
      <c r="H73">
        <v>34.619999999999997</v>
      </c>
      <c r="K73" s="9">
        <f t="shared" si="30"/>
        <v>0.5</v>
      </c>
      <c r="L73">
        <f t="shared" si="31"/>
        <v>0.65999999999999659</v>
      </c>
      <c r="M73">
        <f t="shared" si="32"/>
        <v>4.5</v>
      </c>
      <c r="N73">
        <f t="shared" si="33"/>
        <v>0.32999999999999829</v>
      </c>
      <c r="O73">
        <f t="shared" si="34"/>
        <v>0.28000000000000114</v>
      </c>
      <c r="P73" s="10">
        <f t="shared" si="35"/>
        <v>0.28000000000000114</v>
      </c>
    </row>
    <row r="74" spans="1:16">
      <c r="A74">
        <v>8.17</v>
      </c>
      <c r="B74" s="42">
        <v>102.45</v>
      </c>
      <c r="C74">
        <v>101.95</v>
      </c>
      <c r="D74">
        <v>102.73</v>
      </c>
      <c r="E74">
        <v>103.95</v>
      </c>
      <c r="F74">
        <v>34.340000000000003</v>
      </c>
      <c r="G74">
        <v>34.28</v>
      </c>
      <c r="H74">
        <v>34.67</v>
      </c>
      <c r="K74" s="9">
        <f t="shared" si="30"/>
        <v>-4.9999999999997158E-2</v>
      </c>
      <c r="L74">
        <f t="shared" si="31"/>
        <v>4.9999999999997158E-2</v>
      </c>
      <c r="M74">
        <f t="shared" si="32"/>
        <v>8.0600000000000023</v>
      </c>
      <c r="N74">
        <f t="shared" si="33"/>
        <v>0.38999999999999346</v>
      </c>
      <c r="O74">
        <f t="shared" si="34"/>
        <v>0.28000000000000114</v>
      </c>
      <c r="P74" s="10">
        <f t="shared" si="35"/>
        <v>0.22999999999999687</v>
      </c>
    </row>
    <row r="75" spans="1:16">
      <c r="A75">
        <v>8.33</v>
      </c>
      <c r="B75" s="42">
        <v>103.17</v>
      </c>
      <c r="C75">
        <v>102.12</v>
      </c>
      <c r="D75">
        <v>102.9</v>
      </c>
      <c r="E75">
        <v>105.01</v>
      </c>
      <c r="F75">
        <v>34.51</v>
      </c>
      <c r="G75">
        <v>34.4</v>
      </c>
      <c r="H75">
        <v>34.729999999999997</v>
      </c>
      <c r="K75" s="9">
        <f t="shared" si="30"/>
        <v>-0.56000000000000227</v>
      </c>
      <c r="L75">
        <f t="shared" si="31"/>
        <v>-0.5</v>
      </c>
      <c r="M75">
        <f t="shared" si="32"/>
        <v>8.6599999999999966</v>
      </c>
      <c r="N75">
        <f t="shared" si="33"/>
        <v>0.27000000000000313</v>
      </c>
      <c r="O75">
        <f t="shared" si="34"/>
        <v>0.32999999999999829</v>
      </c>
      <c r="P75" s="10">
        <f t="shared" si="35"/>
        <v>0.28000000000000114</v>
      </c>
    </row>
    <row r="76" spans="1:16">
      <c r="A76">
        <v>8.5</v>
      </c>
      <c r="B76" s="42">
        <v>104.34</v>
      </c>
      <c r="C76">
        <v>102.23</v>
      </c>
      <c r="D76">
        <v>103.06</v>
      </c>
      <c r="E76">
        <v>107.34</v>
      </c>
      <c r="F76">
        <v>34.67</v>
      </c>
      <c r="G76">
        <v>34.56</v>
      </c>
      <c r="H76">
        <v>34.9</v>
      </c>
      <c r="K76" s="9">
        <f t="shared" si="30"/>
        <v>-0.32999999999999829</v>
      </c>
      <c r="L76">
        <f t="shared" si="31"/>
        <v>-0.43999999999999773</v>
      </c>
      <c r="M76">
        <f t="shared" si="32"/>
        <v>7.1099999999999994</v>
      </c>
      <c r="N76">
        <f t="shared" si="33"/>
        <v>0.33999999999999631</v>
      </c>
      <c r="O76">
        <f t="shared" si="34"/>
        <v>0.21999999999999886</v>
      </c>
      <c r="P76" s="10">
        <f t="shared" si="35"/>
        <v>0.10999999999999943</v>
      </c>
    </row>
    <row r="77" spans="1:16">
      <c r="A77">
        <v>8.67</v>
      </c>
      <c r="B77" s="42">
        <v>105.06</v>
      </c>
      <c r="C77">
        <v>101.9</v>
      </c>
      <c r="D77">
        <v>102.78</v>
      </c>
      <c r="E77">
        <v>112.01</v>
      </c>
      <c r="F77">
        <v>34.729999999999997</v>
      </c>
      <c r="G77">
        <v>34.56</v>
      </c>
      <c r="H77">
        <v>34.9</v>
      </c>
      <c r="K77" s="9">
        <f t="shared" si="30"/>
        <v>0.65999999999999659</v>
      </c>
      <c r="L77">
        <f t="shared" si="31"/>
        <v>0.28000000000000114</v>
      </c>
      <c r="M77">
        <f t="shared" si="32"/>
        <v>3.1599999999999966</v>
      </c>
      <c r="N77">
        <f t="shared" si="33"/>
        <v>0.39000000000000057</v>
      </c>
      <c r="O77">
        <f t="shared" si="34"/>
        <v>0.44999999999999574</v>
      </c>
      <c r="P77" s="10">
        <f t="shared" si="35"/>
        <v>0.27000000000000313</v>
      </c>
    </row>
    <row r="78" spans="1:16">
      <c r="A78">
        <v>8.83</v>
      </c>
      <c r="B78" s="42">
        <v>104.67</v>
      </c>
      <c r="C78">
        <v>101.56</v>
      </c>
      <c r="D78">
        <v>102.4</v>
      </c>
      <c r="E78">
        <v>113.67</v>
      </c>
      <c r="F78">
        <v>34.78</v>
      </c>
      <c r="G78">
        <v>34.729999999999997</v>
      </c>
      <c r="H78">
        <v>35.01</v>
      </c>
      <c r="K78" s="9">
        <f t="shared" si="30"/>
        <v>1.5600000000000023</v>
      </c>
      <c r="L78">
        <f t="shared" si="31"/>
        <v>0.93999999999999773</v>
      </c>
      <c r="M78">
        <f t="shared" si="32"/>
        <v>2.1099999999999994</v>
      </c>
      <c r="N78">
        <f t="shared" si="33"/>
        <v>0.44999999999999574</v>
      </c>
      <c r="O78">
        <f t="shared" si="34"/>
        <v>0.28000000000000114</v>
      </c>
      <c r="P78" s="10">
        <f t="shared" si="35"/>
        <v>0.16000000000000369</v>
      </c>
    </row>
    <row r="79" spans="1:16">
      <c r="A79">
        <v>9</v>
      </c>
      <c r="B79" s="42">
        <v>104.78</v>
      </c>
      <c r="C79">
        <v>101.9</v>
      </c>
      <c r="D79">
        <v>102.62</v>
      </c>
      <c r="E79">
        <v>114.45</v>
      </c>
      <c r="F79">
        <v>35.01</v>
      </c>
      <c r="G79">
        <v>34.78</v>
      </c>
      <c r="H79">
        <v>35.01</v>
      </c>
      <c r="K79" s="9">
        <f t="shared" si="30"/>
        <v>1.8299999999999983</v>
      </c>
      <c r="L79">
        <f t="shared" si="31"/>
        <v>1.1599999999999966</v>
      </c>
      <c r="M79">
        <f t="shared" si="32"/>
        <v>1.8900000000000006</v>
      </c>
      <c r="N79">
        <f t="shared" si="33"/>
        <v>0.27000000000000313</v>
      </c>
      <c r="O79">
        <f t="shared" si="34"/>
        <v>0.39000000000000057</v>
      </c>
      <c r="P79" s="10">
        <f t="shared" si="35"/>
        <v>0.27000000000000313</v>
      </c>
    </row>
    <row r="80" spans="1:16">
      <c r="A80">
        <v>9.17</v>
      </c>
      <c r="B80" s="42">
        <v>105.45</v>
      </c>
      <c r="C80">
        <v>102.56</v>
      </c>
      <c r="D80">
        <v>103.06</v>
      </c>
      <c r="E80">
        <v>115.17</v>
      </c>
      <c r="F80">
        <v>35.119999999999997</v>
      </c>
      <c r="G80">
        <v>35.01</v>
      </c>
      <c r="H80">
        <v>35.17</v>
      </c>
      <c r="K80" s="9">
        <f t="shared" si="30"/>
        <v>2.8900000000000006</v>
      </c>
      <c r="L80">
        <f t="shared" si="31"/>
        <v>2.2199999999999989</v>
      </c>
      <c r="M80">
        <f t="shared" si="32"/>
        <v>1.8900000000000006</v>
      </c>
      <c r="N80">
        <f t="shared" si="33"/>
        <v>0.3300000000000054</v>
      </c>
      <c r="O80">
        <f t="shared" si="34"/>
        <v>0.27000000000000313</v>
      </c>
      <c r="P80" s="10">
        <f t="shared" si="35"/>
        <v>0.28000000000000114</v>
      </c>
    </row>
    <row r="81" spans="1:16">
      <c r="A81">
        <v>9.33</v>
      </c>
      <c r="B81" s="42">
        <v>105.45</v>
      </c>
      <c r="C81">
        <v>103.12</v>
      </c>
      <c r="D81">
        <v>103.34</v>
      </c>
      <c r="E81">
        <v>115.78</v>
      </c>
      <c r="F81">
        <v>35.229999999999997</v>
      </c>
      <c r="G81">
        <v>35.01</v>
      </c>
      <c r="H81">
        <v>35.17</v>
      </c>
      <c r="K81" s="9">
        <f t="shared" si="30"/>
        <v>7.9399999999999977</v>
      </c>
      <c r="L81">
        <f t="shared" si="31"/>
        <v>6.5600000000000023</v>
      </c>
      <c r="M81">
        <f t="shared" si="32"/>
        <v>1.8400000000000034</v>
      </c>
      <c r="N81">
        <f t="shared" si="33"/>
        <v>0.3300000000000054</v>
      </c>
      <c r="O81">
        <f t="shared" si="34"/>
        <v>0.44000000000000483</v>
      </c>
      <c r="P81" s="10">
        <f t="shared" si="35"/>
        <v>0.28000000000000114</v>
      </c>
    </row>
    <row r="82" spans="1:16">
      <c r="A82">
        <v>9.5</v>
      </c>
      <c r="B82" s="42">
        <v>104.78</v>
      </c>
      <c r="C82">
        <v>103.73</v>
      </c>
      <c r="D82">
        <v>103.78</v>
      </c>
      <c r="E82">
        <v>116.34</v>
      </c>
      <c r="F82">
        <v>35.28</v>
      </c>
      <c r="G82">
        <v>35.17</v>
      </c>
      <c r="H82">
        <v>35.28</v>
      </c>
      <c r="K82" s="9">
        <f t="shared" si="30"/>
        <v>10.170000000000002</v>
      </c>
      <c r="L82">
        <f t="shared" si="31"/>
        <v>9.0600000000000023</v>
      </c>
      <c r="M82">
        <f t="shared" si="32"/>
        <v>1.8299999999999983</v>
      </c>
      <c r="N82">
        <f t="shared" si="33"/>
        <v>0.33999999999999631</v>
      </c>
      <c r="O82">
        <f t="shared" si="34"/>
        <v>0.39000000000000057</v>
      </c>
      <c r="P82" s="10">
        <f t="shared" si="35"/>
        <v>0.22999999999999687</v>
      </c>
    </row>
    <row r="83" spans="1:16">
      <c r="A83">
        <v>9.67</v>
      </c>
      <c r="B83" s="42">
        <v>105.51</v>
      </c>
      <c r="C83">
        <v>105.45</v>
      </c>
      <c r="D83">
        <v>105.28</v>
      </c>
      <c r="E83">
        <v>117.06</v>
      </c>
      <c r="F83">
        <v>35.450000000000003</v>
      </c>
      <c r="G83">
        <v>35.28</v>
      </c>
      <c r="H83">
        <v>35.450000000000003</v>
      </c>
      <c r="K83" s="9">
        <f t="shared" si="30"/>
        <v>8</v>
      </c>
      <c r="L83">
        <f t="shared" si="31"/>
        <v>7.8400000000000034</v>
      </c>
      <c r="M83">
        <f t="shared" si="32"/>
        <v>1.7800000000000011</v>
      </c>
      <c r="N83">
        <f t="shared" si="33"/>
        <v>0.32999999999999829</v>
      </c>
      <c r="O83">
        <f t="shared" si="34"/>
        <v>0.39000000000000057</v>
      </c>
      <c r="P83" s="10">
        <f t="shared" si="35"/>
        <v>0.10999999999999943</v>
      </c>
    </row>
    <row r="84" spans="1:16">
      <c r="A84">
        <v>9.83</v>
      </c>
      <c r="B84" s="42">
        <v>106.56</v>
      </c>
      <c r="C84">
        <v>111.06</v>
      </c>
      <c r="D84">
        <v>109.9</v>
      </c>
      <c r="E84">
        <v>117.62</v>
      </c>
      <c r="F84">
        <v>35.56</v>
      </c>
      <c r="G84">
        <v>35.450000000000003</v>
      </c>
      <c r="H84">
        <v>35.450000000000003</v>
      </c>
      <c r="K84" s="9">
        <f t="shared" si="30"/>
        <v>2.0600000000000023</v>
      </c>
      <c r="L84">
        <f t="shared" si="31"/>
        <v>3.3299999999999983</v>
      </c>
      <c r="M84">
        <f t="shared" si="32"/>
        <v>1.8900000000000006</v>
      </c>
      <c r="N84">
        <f t="shared" si="33"/>
        <v>0.33999999999999631</v>
      </c>
      <c r="O84">
        <f t="shared" si="34"/>
        <v>0.32999999999999829</v>
      </c>
      <c r="P84" s="10">
        <f t="shared" si="35"/>
        <v>0.1699999999999946</v>
      </c>
    </row>
    <row r="85" spans="1:16">
      <c r="A85">
        <v>10</v>
      </c>
      <c r="B85" s="42">
        <v>107.95</v>
      </c>
      <c r="C85">
        <v>113.9</v>
      </c>
      <c r="D85">
        <v>112.84</v>
      </c>
      <c r="E85">
        <v>118.17</v>
      </c>
      <c r="F85">
        <v>35.619999999999997</v>
      </c>
      <c r="G85">
        <v>35.56</v>
      </c>
      <c r="H85">
        <v>35.51</v>
      </c>
      <c r="K85" s="9">
        <f t="shared" si="30"/>
        <v>-0.78000000000000114</v>
      </c>
      <c r="L85">
        <f t="shared" si="31"/>
        <v>0.60999999999999943</v>
      </c>
      <c r="M85">
        <f t="shared" si="32"/>
        <v>2.0600000000000023</v>
      </c>
      <c r="N85">
        <f t="shared" si="33"/>
        <v>0.44000000000000483</v>
      </c>
      <c r="O85">
        <f t="shared" si="34"/>
        <v>0.44999999999999574</v>
      </c>
      <c r="P85" s="10">
        <f t="shared" si="35"/>
        <v>0.3300000000000054</v>
      </c>
    </row>
    <row r="86" spans="1:16">
      <c r="A86">
        <v>10.17</v>
      </c>
      <c r="B86" s="42">
        <v>108.28</v>
      </c>
      <c r="C86">
        <v>113.45</v>
      </c>
      <c r="D86">
        <v>113.12</v>
      </c>
      <c r="E86">
        <v>118.84</v>
      </c>
      <c r="F86">
        <v>35.78</v>
      </c>
      <c r="G86">
        <v>35.67</v>
      </c>
      <c r="H86">
        <v>35.56</v>
      </c>
      <c r="K86" s="9">
        <f t="shared" si="30"/>
        <v>-0.17000000000000171</v>
      </c>
      <c r="L86">
        <f t="shared" si="31"/>
        <v>0.60999999999999943</v>
      </c>
      <c r="M86">
        <f t="shared" si="32"/>
        <v>1.9399999999999977</v>
      </c>
      <c r="N86">
        <f t="shared" si="33"/>
        <v>0.33999999999999631</v>
      </c>
      <c r="O86">
        <f t="shared" si="34"/>
        <v>0.39000000000000057</v>
      </c>
      <c r="P86" s="10">
        <f t="shared" si="35"/>
        <v>0.33999999999999631</v>
      </c>
    </row>
    <row r="87" spans="1:16">
      <c r="A87">
        <v>10.33</v>
      </c>
      <c r="B87" s="42">
        <v>107.34</v>
      </c>
      <c r="C87">
        <v>113.12</v>
      </c>
      <c r="D87">
        <v>113.23</v>
      </c>
      <c r="E87">
        <v>119.51</v>
      </c>
      <c r="F87">
        <v>35.9</v>
      </c>
      <c r="G87">
        <v>35.78</v>
      </c>
      <c r="H87">
        <v>35.619999999999997</v>
      </c>
      <c r="K87" s="9">
        <f t="shared" si="30"/>
        <v>0.43999999999999773</v>
      </c>
      <c r="L87">
        <f t="shared" si="31"/>
        <v>0.93999999999999773</v>
      </c>
      <c r="M87">
        <f t="shared" si="32"/>
        <v>1.8900000000000006</v>
      </c>
      <c r="N87">
        <f t="shared" si="33"/>
        <v>0.5</v>
      </c>
      <c r="O87">
        <f t="shared" si="34"/>
        <v>0.56000000000000227</v>
      </c>
      <c r="P87" s="10">
        <f t="shared" si="35"/>
        <v>0.5</v>
      </c>
    </row>
    <row r="88" spans="1:16">
      <c r="A88">
        <v>10.5</v>
      </c>
      <c r="B88" s="42">
        <v>106.62</v>
      </c>
      <c r="C88">
        <v>113.12</v>
      </c>
      <c r="D88">
        <v>113.45</v>
      </c>
      <c r="E88">
        <v>120.23</v>
      </c>
      <c r="F88">
        <v>36.06</v>
      </c>
      <c r="G88">
        <v>36.01</v>
      </c>
      <c r="H88">
        <v>35.840000000000003</v>
      </c>
      <c r="K88" s="9">
        <f t="shared" si="30"/>
        <v>0.78000000000000114</v>
      </c>
      <c r="L88">
        <f t="shared" si="31"/>
        <v>1</v>
      </c>
      <c r="M88">
        <f t="shared" si="32"/>
        <v>1.5499999999999972</v>
      </c>
      <c r="N88">
        <f t="shared" si="33"/>
        <v>0.39000000000000057</v>
      </c>
      <c r="O88">
        <f t="shared" si="34"/>
        <v>0.3300000000000054</v>
      </c>
      <c r="P88" s="10">
        <f t="shared" si="35"/>
        <v>0.27999999999999403</v>
      </c>
    </row>
    <row r="89" spans="1:16">
      <c r="A89">
        <v>10.67</v>
      </c>
      <c r="B89" s="42">
        <v>104.62</v>
      </c>
      <c r="C89">
        <v>113.28</v>
      </c>
      <c r="D89">
        <v>113.73</v>
      </c>
      <c r="E89">
        <v>120.78</v>
      </c>
      <c r="F89">
        <v>36.119999999999997</v>
      </c>
      <c r="G89">
        <v>36.06</v>
      </c>
      <c r="H89">
        <v>35.9</v>
      </c>
      <c r="K89" s="9">
        <f t="shared" ref="K89:K152" si="36">C92-C89</f>
        <v>0.89000000000000057</v>
      </c>
      <c r="L89">
        <f t="shared" ref="L89:L152" si="37">D92-D89</f>
        <v>1</v>
      </c>
      <c r="M89">
        <f t="shared" ref="M89:M152" si="38">E92-E89</f>
        <v>1.4500000000000028</v>
      </c>
      <c r="N89">
        <f t="shared" ref="N89:N152" si="39">F92-F89</f>
        <v>0.44000000000000483</v>
      </c>
      <c r="O89">
        <f t="shared" ref="O89:O152" si="40">G92-G89</f>
        <v>0.44999999999999574</v>
      </c>
      <c r="P89" s="10">
        <f t="shared" ref="P89:P152" si="41">H92-H89</f>
        <v>0.27000000000000313</v>
      </c>
    </row>
    <row r="90" spans="1:16">
      <c r="A90">
        <v>10.83</v>
      </c>
      <c r="B90" s="42">
        <v>103.34</v>
      </c>
      <c r="C90">
        <v>113.56</v>
      </c>
      <c r="D90">
        <v>114.17</v>
      </c>
      <c r="E90">
        <v>121.4</v>
      </c>
      <c r="F90">
        <v>36.4</v>
      </c>
      <c r="G90">
        <v>36.340000000000003</v>
      </c>
      <c r="H90">
        <v>36.119999999999997</v>
      </c>
      <c r="K90" s="9">
        <f t="shared" si="36"/>
        <v>0.95000000000000284</v>
      </c>
      <c r="L90">
        <f t="shared" si="37"/>
        <v>0.84000000000000341</v>
      </c>
      <c r="M90">
        <f t="shared" si="38"/>
        <v>1.269999999999996</v>
      </c>
      <c r="N90">
        <f t="shared" si="39"/>
        <v>0.32999999999999829</v>
      </c>
      <c r="O90">
        <f t="shared" si="40"/>
        <v>0.27999999999999403</v>
      </c>
      <c r="P90" s="10">
        <f t="shared" si="41"/>
        <v>0.22000000000000597</v>
      </c>
    </row>
    <row r="91" spans="1:16">
      <c r="A91">
        <v>11</v>
      </c>
      <c r="B91" s="42">
        <v>102.12</v>
      </c>
      <c r="C91">
        <v>113.9</v>
      </c>
      <c r="D91">
        <v>114.45</v>
      </c>
      <c r="E91">
        <v>121.78</v>
      </c>
      <c r="F91">
        <v>36.450000000000003</v>
      </c>
      <c r="G91">
        <v>36.340000000000003</v>
      </c>
      <c r="H91">
        <v>36.119999999999997</v>
      </c>
      <c r="K91" s="9">
        <f t="shared" si="36"/>
        <v>0.76999999999999602</v>
      </c>
      <c r="L91">
        <f t="shared" si="37"/>
        <v>0.89000000000000057</v>
      </c>
      <c r="M91">
        <f t="shared" si="38"/>
        <v>2.0600000000000023</v>
      </c>
      <c r="N91">
        <f t="shared" si="39"/>
        <v>0.39000000000000057</v>
      </c>
      <c r="O91">
        <f t="shared" si="40"/>
        <v>0.43999999999999773</v>
      </c>
      <c r="P91" s="10">
        <f t="shared" si="41"/>
        <v>0.3300000000000054</v>
      </c>
    </row>
    <row r="92" spans="1:16">
      <c r="A92">
        <v>11.17</v>
      </c>
      <c r="B92" s="42">
        <v>102.06</v>
      </c>
      <c r="C92">
        <v>114.17</v>
      </c>
      <c r="D92">
        <v>114.73</v>
      </c>
      <c r="E92">
        <v>122.23</v>
      </c>
      <c r="F92">
        <v>36.56</v>
      </c>
      <c r="G92">
        <v>36.51</v>
      </c>
      <c r="H92">
        <v>36.17</v>
      </c>
      <c r="K92" s="9">
        <f t="shared" si="36"/>
        <v>0.67000000000000171</v>
      </c>
      <c r="L92">
        <f t="shared" si="37"/>
        <v>0.78000000000000114</v>
      </c>
      <c r="M92">
        <f t="shared" si="38"/>
        <v>5.5</v>
      </c>
      <c r="N92">
        <f t="shared" si="39"/>
        <v>0.44999999999999574</v>
      </c>
      <c r="O92">
        <f t="shared" si="40"/>
        <v>0.44000000000000483</v>
      </c>
      <c r="P92" s="10">
        <f t="shared" si="41"/>
        <v>0.44999999999999574</v>
      </c>
    </row>
    <row r="93" spans="1:16">
      <c r="A93">
        <v>11.33</v>
      </c>
      <c r="B93" s="42">
        <v>102.95</v>
      </c>
      <c r="C93">
        <v>114.51</v>
      </c>
      <c r="D93">
        <v>115.01</v>
      </c>
      <c r="E93">
        <v>122.67</v>
      </c>
      <c r="F93">
        <v>36.729999999999997</v>
      </c>
      <c r="G93">
        <v>36.619999999999997</v>
      </c>
      <c r="H93">
        <v>36.340000000000003</v>
      </c>
      <c r="K93" s="9">
        <f t="shared" si="36"/>
        <v>-0.28000000000000114</v>
      </c>
      <c r="L93">
        <f t="shared" si="37"/>
        <v>0</v>
      </c>
      <c r="M93">
        <f t="shared" si="38"/>
        <v>6.0599999999999881</v>
      </c>
      <c r="N93">
        <f t="shared" si="39"/>
        <v>0.39000000000000057</v>
      </c>
      <c r="O93">
        <f t="shared" si="40"/>
        <v>0.44000000000000483</v>
      </c>
      <c r="P93" s="10">
        <f t="shared" si="41"/>
        <v>0.32999999999999829</v>
      </c>
    </row>
    <row r="94" spans="1:16">
      <c r="A94">
        <v>11.5</v>
      </c>
      <c r="B94" s="42">
        <v>104.17</v>
      </c>
      <c r="C94">
        <v>114.67</v>
      </c>
      <c r="D94">
        <v>115.34</v>
      </c>
      <c r="E94">
        <v>123.84</v>
      </c>
      <c r="F94">
        <v>36.840000000000003</v>
      </c>
      <c r="G94">
        <v>36.78</v>
      </c>
      <c r="H94">
        <v>36.450000000000003</v>
      </c>
      <c r="K94" s="9">
        <f t="shared" si="36"/>
        <v>-0.39000000000000057</v>
      </c>
      <c r="L94">
        <f t="shared" si="37"/>
        <v>-0.32999999999999829</v>
      </c>
      <c r="M94">
        <f t="shared" si="38"/>
        <v>5.0600000000000023</v>
      </c>
      <c r="N94">
        <f t="shared" si="39"/>
        <v>0.38999999999999346</v>
      </c>
      <c r="O94">
        <f t="shared" si="40"/>
        <v>0.33999999999999631</v>
      </c>
      <c r="P94" s="10">
        <f t="shared" si="41"/>
        <v>0.21999999999999886</v>
      </c>
    </row>
    <row r="95" spans="1:16">
      <c r="A95">
        <v>11.67</v>
      </c>
      <c r="B95" s="42">
        <v>104.67</v>
      </c>
      <c r="C95">
        <v>114.84</v>
      </c>
      <c r="D95">
        <v>115.51</v>
      </c>
      <c r="E95">
        <v>127.73</v>
      </c>
      <c r="F95">
        <v>37.01</v>
      </c>
      <c r="G95">
        <v>36.950000000000003</v>
      </c>
      <c r="H95">
        <v>36.619999999999997</v>
      </c>
      <c r="K95" s="9">
        <f t="shared" si="36"/>
        <v>-0.28000000000000114</v>
      </c>
      <c r="L95">
        <f t="shared" si="37"/>
        <v>-0.5</v>
      </c>
      <c r="M95">
        <f t="shared" si="38"/>
        <v>1.7799999999999869</v>
      </c>
      <c r="N95">
        <f t="shared" si="39"/>
        <v>0.44000000000000483</v>
      </c>
      <c r="O95">
        <f t="shared" si="40"/>
        <v>0.39000000000000057</v>
      </c>
      <c r="P95" s="10">
        <f t="shared" si="41"/>
        <v>0.3300000000000054</v>
      </c>
    </row>
    <row r="96" spans="1:16">
      <c r="A96">
        <v>11.83</v>
      </c>
      <c r="B96" s="42">
        <v>105.12</v>
      </c>
      <c r="C96">
        <v>114.23</v>
      </c>
      <c r="D96">
        <v>115.01</v>
      </c>
      <c r="E96">
        <v>128.72999999999999</v>
      </c>
      <c r="F96">
        <v>37.119999999999997</v>
      </c>
      <c r="G96">
        <v>37.06</v>
      </c>
      <c r="H96">
        <v>36.67</v>
      </c>
      <c r="K96" s="9">
        <f t="shared" si="36"/>
        <v>0.54999999999999716</v>
      </c>
      <c r="L96">
        <f t="shared" si="37"/>
        <v>0</v>
      </c>
      <c r="M96">
        <f t="shared" si="38"/>
        <v>1</v>
      </c>
      <c r="N96">
        <f t="shared" si="39"/>
        <v>0.39000000000000057</v>
      </c>
      <c r="O96">
        <f t="shared" si="40"/>
        <v>0.33999999999999631</v>
      </c>
      <c r="P96" s="10">
        <f t="shared" si="41"/>
        <v>0.44999999999999574</v>
      </c>
    </row>
    <row r="97" spans="1:16">
      <c r="A97">
        <v>12</v>
      </c>
      <c r="B97" s="42">
        <v>106.4</v>
      </c>
      <c r="C97">
        <v>114.28</v>
      </c>
      <c r="D97">
        <v>115.01</v>
      </c>
      <c r="E97">
        <v>128.9</v>
      </c>
      <c r="F97">
        <v>37.229999999999997</v>
      </c>
      <c r="G97">
        <v>37.119999999999997</v>
      </c>
      <c r="H97">
        <v>36.67</v>
      </c>
      <c r="K97" s="9">
        <f t="shared" si="36"/>
        <v>0.89000000000000057</v>
      </c>
      <c r="L97">
        <f t="shared" si="37"/>
        <v>0.39000000000000057</v>
      </c>
      <c r="M97">
        <f t="shared" si="38"/>
        <v>1.2699999999999818</v>
      </c>
      <c r="N97">
        <f t="shared" si="39"/>
        <v>0.61000000000000654</v>
      </c>
      <c r="O97">
        <f t="shared" si="40"/>
        <v>0.55000000000000426</v>
      </c>
      <c r="P97" s="10">
        <f t="shared" si="41"/>
        <v>0.55999999999999517</v>
      </c>
    </row>
    <row r="98" spans="1:16">
      <c r="A98">
        <v>12.17</v>
      </c>
      <c r="B98" s="42">
        <v>107.67</v>
      </c>
      <c r="C98">
        <v>114.56</v>
      </c>
      <c r="D98">
        <v>115.01</v>
      </c>
      <c r="E98">
        <v>129.51</v>
      </c>
      <c r="F98">
        <v>37.450000000000003</v>
      </c>
      <c r="G98">
        <v>37.340000000000003</v>
      </c>
      <c r="H98">
        <v>36.950000000000003</v>
      </c>
      <c r="K98" s="9">
        <f t="shared" si="36"/>
        <v>1.0600000000000023</v>
      </c>
      <c r="L98">
        <f t="shared" si="37"/>
        <v>0.65999999999999659</v>
      </c>
      <c r="M98">
        <f t="shared" si="38"/>
        <v>1</v>
      </c>
      <c r="N98">
        <f t="shared" si="39"/>
        <v>0.39000000000000057</v>
      </c>
      <c r="O98">
        <f t="shared" si="40"/>
        <v>0.38999999999999346</v>
      </c>
      <c r="P98" s="10">
        <f t="shared" si="41"/>
        <v>0.32999999999999829</v>
      </c>
    </row>
    <row r="99" spans="1:16">
      <c r="A99">
        <v>12.33</v>
      </c>
      <c r="B99" s="42">
        <v>107.84</v>
      </c>
      <c r="C99">
        <v>114.78</v>
      </c>
      <c r="D99">
        <v>115.01</v>
      </c>
      <c r="E99">
        <v>129.72999999999999</v>
      </c>
      <c r="F99">
        <v>37.51</v>
      </c>
      <c r="G99">
        <v>37.4</v>
      </c>
      <c r="H99">
        <v>37.119999999999997</v>
      </c>
      <c r="K99" s="9">
        <f t="shared" si="36"/>
        <v>3.7800000000000011</v>
      </c>
      <c r="L99">
        <f t="shared" si="37"/>
        <v>2.5499999999999972</v>
      </c>
      <c r="M99">
        <f t="shared" si="38"/>
        <v>1.1700000000000159</v>
      </c>
      <c r="N99">
        <f t="shared" si="39"/>
        <v>0.55000000000000426</v>
      </c>
      <c r="O99">
        <f t="shared" si="40"/>
        <v>0.5</v>
      </c>
      <c r="P99" s="10">
        <f t="shared" si="41"/>
        <v>0.39000000000000057</v>
      </c>
    </row>
    <row r="100" spans="1:16">
      <c r="A100">
        <v>12.5</v>
      </c>
      <c r="B100" s="42">
        <v>108.12</v>
      </c>
      <c r="C100">
        <v>115.17</v>
      </c>
      <c r="D100">
        <v>115.4</v>
      </c>
      <c r="E100">
        <v>130.16999999999999</v>
      </c>
      <c r="F100">
        <v>37.840000000000003</v>
      </c>
      <c r="G100">
        <v>37.67</v>
      </c>
      <c r="H100">
        <v>37.229999999999997</v>
      </c>
      <c r="K100" s="9">
        <f t="shared" si="36"/>
        <v>6.9500000000000028</v>
      </c>
      <c r="L100">
        <f t="shared" si="37"/>
        <v>5.2199999999999989</v>
      </c>
      <c r="M100">
        <f t="shared" si="38"/>
        <v>0.89000000000001478</v>
      </c>
      <c r="N100">
        <f t="shared" si="39"/>
        <v>0.43999999999999773</v>
      </c>
      <c r="O100">
        <f t="shared" si="40"/>
        <v>0.33999999999999631</v>
      </c>
      <c r="P100" s="10">
        <f t="shared" si="41"/>
        <v>0.28000000000000114</v>
      </c>
    </row>
    <row r="101" spans="1:16">
      <c r="A101">
        <v>12.67</v>
      </c>
      <c r="B101" s="42">
        <v>107.84</v>
      </c>
      <c r="C101">
        <v>115.62</v>
      </c>
      <c r="D101">
        <v>115.67</v>
      </c>
      <c r="E101">
        <v>130.51</v>
      </c>
      <c r="F101">
        <v>37.840000000000003</v>
      </c>
      <c r="G101">
        <v>37.729999999999997</v>
      </c>
      <c r="H101">
        <v>37.28</v>
      </c>
      <c r="K101" s="9">
        <f t="shared" si="36"/>
        <v>7.6599999999999966</v>
      </c>
      <c r="L101">
        <f t="shared" si="37"/>
        <v>6.730000000000004</v>
      </c>
      <c r="M101">
        <f t="shared" si="38"/>
        <v>1</v>
      </c>
      <c r="N101">
        <f t="shared" si="39"/>
        <v>0.60999999999999943</v>
      </c>
      <c r="O101">
        <f t="shared" si="40"/>
        <v>0.61000000000000654</v>
      </c>
      <c r="P101" s="10">
        <f t="shared" si="41"/>
        <v>0.44999999999999574</v>
      </c>
    </row>
    <row r="102" spans="1:16">
      <c r="A102">
        <v>12.83</v>
      </c>
      <c r="B102" s="42">
        <v>108.4</v>
      </c>
      <c r="C102">
        <v>118.56</v>
      </c>
      <c r="D102">
        <v>117.56</v>
      </c>
      <c r="E102">
        <v>130.9</v>
      </c>
      <c r="F102">
        <v>38.06</v>
      </c>
      <c r="G102">
        <v>37.9</v>
      </c>
      <c r="H102">
        <v>37.51</v>
      </c>
      <c r="K102" s="9">
        <f t="shared" si="36"/>
        <v>4.2199999999999989</v>
      </c>
      <c r="L102">
        <f t="shared" si="37"/>
        <v>5</v>
      </c>
      <c r="M102">
        <f t="shared" si="38"/>
        <v>0.93999999999999773</v>
      </c>
      <c r="N102">
        <f t="shared" si="39"/>
        <v>0.5</v>
      </c>
      <c r="O102">
        <f t="shared" si="40"/>
        <v>0.5</v>
      </c>
      <c r="P102" s="10">
        <f t="shared" si="41"/>
        <v>0.3300000000000054</v>
      </c>
    </row>
    <row r="103" spans="1:16">
      <c r="A103">
        <v>13</v>
      </c>
      <c r="B103" s="42">
        <v>109.45</v>
      </c>
      <c r="C103">
        <v>122.12</v>
      </c>
      <c r="D103">
        <v>120.62</v>
      </c>
      <c r="E103">
        <v>131.06</v>
      </c>
      <c r="F103">
        <v>38.28</v>
      </c>
      <c r="G103">
        <v>38.01</v>
      </c>
      <c r="H103">
        <v>37.51</v>
      </c>
      <c r="K103" s="9">
        <f t="shared" si="36"/>
        <v>0.39000000000000057</v>
      </c>
      <c r="L103">
        <f t="shared" si="37"/>
        <v>2.0499999999999972</v>
      </c>
      <c r="M103">
        <f t="shared" si="38"/>
        <v>1.0600000000000023</v>
      </c>
      <c r="N103">
        <f t="shared" si="39"/>
        <v>0.5</v>
      </c>
      <c r="O103">
        <f t="shared" si="40"/>
        <v>0.5</v>
      </c>
      <c r="P103" s="10">
        <f t="shared" si="41"/>
        <v>0.44000000000000483</v>
      </c>
    </row>
    <row r="104" spans="1:16">
      <c r="A104">
        <v>13.17</v>
      </c>
      <c r="B104" s="42">
        <v>110.51</v>
      </c>
      <c r="C104">
        <v>123.28</v>
      </c>
      <c r="D104">
        <v>122.4</v>
      </c>
      <c r="E104">
        <v>131.51</v>
      </c>
      <c r="F104">
        <v>38.450000000000003</v>
      </c>
      <c r="G104">
        <v>38.340000000000003</v>
      </c>
      <c r="H104">
        <v>37.729999999999997</v>
      </c>
      <c r="K104" s="9">
        <f t="shared" si="36"/>
        <v>-0.71999999999999886</v>
      </c>
      <c r="L104">
        <f t="shared" si="37"/>
        <v>0.5</v>
      </c>
      <c r="M104">
        <f t="shared" si="38"/>
        <v>0.65999999999999659</v>
      </c>
      <c r="N104">
        <f t="shared" si="39"/>
        <v>0.5</v>
      </c>
      <c r="O104">
        <f t="shared" si="40"/>
        <v>0.32999999999999829</v>
      </c>
      <c r="P104" s="10">
        <f t="shared" si="41"/>
        <v>0.39000000000000057</v>
      </c>
    </row>
    <row r="105" spans="1:16">
      <c r="A105">
        <v>13.33</v>
      </c>
      <c r="B105" s="42">
        <v>110.4</v>
      </c>
      <c r="C105">
        <v>122.78</v>
      </c>
      <c r="D105">
        <v>122.56</v>
      </c>
      <c r="E105">
        <v>131.84</v>
      </c>
      <c r="F105">
        <v>38.56</v>
      </c>
      <c r="G105">
        <v>38.4</v>
      </c>
      <c r="H105">
        <v>37.840000000000003</v>
      </c>
      <c r="K105" s="9">
        <f t="shared" si="36"/>
        <v>-4.9999999999997158E-2</v>
      </c>
      <c r="L105">
        <f t="shared" si="37"/>
        <v>0.60999999999999943</v>
      </c>
      <c r="M105">
        <f t="shared" si="38"/>
        <v>0.71999999999999886</v>
      </c>
      <c r="N105">
        <f t="shared" si="39"/>
        <v>0.6699999999999946</v>
      </c>
      <c r="O105">
        <f t="shared" si="40"/>
        <v>0.55000000000000426</v>
      </c>
      <c r="P105" s="10">
        <f t="shared" si="41"/>
        <v>0.27999999999999403</v>
      </c>
    </row>
    <row r="106" spans="1:16">
      <c r="A106">
        <v>13.5</v>
      </c>
      <c r="B106" s="42">
        <v>109.62</v>
      </c>
      <c r="C106">
        <v>122.51</v>
      </c>
      <c r="D106">
        <v>122.67</v>
      </c>
      <c r="E106">
        <v>132.12</v>
      </c>
      <c r="F106">
        <v>38.78</v>
      </c>
      <c r="G106">
        <v>38.51</v>
      </c>
      <c r="H106">
        <v>37.950000000000003</v>
      </c>
      <c r="K106" s="9">
        <f t="shared" si="36"/>
        <v>0.39000000000000057</v>
      </c>
      <c r="L106">
        <f t="shared" si="37"/>
        <v>0.67000000000000171</v>
      </c>
      <c r="M106">
        <f t="shared" si="38"/>
        <v>0.43999999999999773</v>
      </c>
      <c r="N106">
        <f t="shared" si="39"/>
        <v>0.56000000000000227</v>
      </c>
      <c r="O106">
        <f t="shared" si="40"/>
        <v>0.55000000000000426</v>
      </c>
      <c r="P106" s="10">
        <f t="shared" si="41"/>
        <v>0.32999999999999829</v>
      </c>
    </row>
    <row r="107" spans="1:16">
      <c r="A107">
        <v>13.67</v>
      </c>
      <c r="B107" s="42">
        <v>108.73</v>
      </c>
      <c r="C107">
        <v>122.56</v>
      </c>
      <c r="D107">
        <v>122.9</v>
      </c>
      <c r="E107">
        <v>132.16999999999999</v>
      </c>
      <c r="F107">
        <v>38.950000000000003</v>
      </c>
      <c r="G107">
        <v>38.67</v>
      </c>
      <c r="H107">
        <v>38.119999999999997</v>
      </c>
      <c r="K107" s="9">
        <f t="shared" si="36"/>
        <v>0.60999999999999943</v>
      </c>
      <c r="L107">
        <f t="shared" si="37"/>
        <v>0.82999999999999829</v>
      </c>
      <c r="M107">
        <f t="shared" si="38"/>
        <v>0.89000000000001478</v>
      </c>
      <c r="N107">
        <f t="shared" si="39"/>
        <v>0.55999999999999517</v>
      </c>
      <c r="O107">
        <f t="shared" si="40"/>
        <v>0.55999999999999517</v>
      </c>
      <c r="P107" s="10">
        <f t="shared" si="41"/>
        <v>0.3300000000000054</v>
      </c>
    </row>
    <row r="108" spans="1:16">
      <c r="A108">
        <v>13.83</v>
      </c>
      <c r="B108" s="42">
        <v>108.17</v>
      </c>
      <c r="C108">
        <v>122.73</v>
      </c>
      <c r="D108">
        <v>123.17</v>
      </c>
      <c r="E108">
        <v>132.56</v>
      </c>
      <c r="F108">
        <v>39.229999999999997</v>
      </c>
      <c r="G108">
        <v>38.950000000000003</v>
      </c>
      <c r="H108">
        <v>38.119999999999997</v>
      </c>
      <c r="K108" s="9">
        <f t="shared" si="36"/>
        <v>0.60999999999999943</v>
      </c>
      <c r="L108">
        <f t="shared" si="37"/>
        <v>0.78000000000000114</v>
      </c>
      <c r="M108">
        <f t="shared" si="38"/>
        <v>0.78000000000000114</v>
      </c>
      <c r="N108">
        <f t="shared" si="39"/>
        <v>0.55000000000000426</v>
      </c>
      <c r="O108">
        <f t="shared" si="40"/>
        <v>0.44999999999999574</v>
      </c>
      <c r="P108" s="10">
        <f t="shared" si="41"/>
        <v>0.44000000000000483</v>
      </c>
    </row>
    <row r="109" spans="1:16">
      <c r="A109">
        <v>14</v>
      </c>
      <c r="B109" s="42">
        <v>107.17</v>
      </c>
      <c r="C109">
        <v>122.9</v>
      </c>
      <c r="D109">
        <v>123.34</v>
      </c>
      <c r="E109">
        <v>132.56</v>
      </c>
      <c r="F109">
        <v>39.340000000000003</v>
      </c>
      <c r="G109">
        <v>39.06</v>
      </c>
      <c r="H109">
        <v>38.28</v>
      </c>
      <c r="K109" s="9">
        <f t="shared" si="36"/>
        <v>0.60999999999999943</v>
      </c>
      <c r="L109">
        <f t="shared" si="37"/>
        <v>0.78000000000000114</v>
      </c>
      <c r="M109">
        <f t="shared" si="38"/>
        <v>2.4499999999999886</v>
      </c>
      <c r="N109">
        <f t="shared" si="39"/>
        <v>0.43999999999999773</v>
      </c>
      <c r="O109">
        <f t="shared" si="40"/>
        <v>0.44999999999999574</v>
      </c>
      <c r="P109" s="10">
        <f t="shared" si="41"/>
        <v>0.39000000000000057</v>
      </c>
    </row>
    <row r="110" spans="1:16">
      <c r="A110">
        <v>14.17</v>
      </c>
      <c r="B110" s="42">
        <v>106.67</v>
      </c>
      <c r="C110">
        <v>123.17</v>
      </c>
      <c r="D110">
        <v>123.73</v>
      </c>
      <c r="E110">
        <v>133.06</v>
      </c>
      <c r="F110">
        <v>39.51</v>
      </c>
      <c r="G110">
        <v>39.229999999999997</v>
      </c>
      <c r="H110">
        <v>38.450000000000003</v>
      </c>
      <c r="K110" s="9">
        <f t="shared" si="36"/>
        <v>0.60999999999999943</v>
      </c>
      <c r="L110">
        <f t="shared" si="37"/>
        <v>0.67000000000000171</v>
      </c>
      <c r="M110">
        <f t="shared" si="38"/>
        <v>5.9499999999999886</v>
      </c>
      <c r="N110">
        <f t="shared" si="39"/>
        <v>0.55000000000000426</v>
      </c>
      <c r="O110">
        <f t="shared" si="40"/>
        <v>0.5</v>
      </c>
      <c r="P110" s="10">
        <f t="shared" si="41"/>
        <v>0.44999999999999574</v>
      </c>
    </row>
    <row r="111" spans="1:16">
      <c r="A111">
        <v>14.33</v>
      </c>
      <c r="B111" s="42">
        <v>107.01</v>
      </c>
      <c r="C111">
        <v>123.34</v>
      </c>
      <c r="D111">
        <v>123.95</v>
      </c>
      <c r="E111">
        <v>133.34</v>
      </c>
      <c r="F111">
        <v>39.78</v>
      </c>
      <c r="G111">
        <v>39.4</v>
      </c>
      <c r="H111">
        <v>38.56</v>
      </c>
      <c r="K111" s="9">
        <f t="shared" si="36"/>
        <v>0.28000000000000114</v>
      </c>
      <c r="L111">
        <f t="shared" si="37"/>
        <v>0.21999999999999886</v>
      </c>
      <c r="M111">
        <f t="shared" si="38"/>
        <v>6.5600000000000023</v>
      </c>
      <c r="N111">
        <f t="shared" si="39"/>
        <v>0.44999999999999574</v>
      </c>
      <c r="O111">
        <f t="shared" si="40"/>
        <v>0.38000000000000256</v>
      </c>
      <c r="P111" s="10">
        <f t="shared" si="41"/>
        <v>0.44999999999999574</v>
      </c>
    </row>
    <row r="112" spans="1:16">
      <c r="A112">
        <v>14.5</v>
      </c>
      <c r="B112" s="42">
        <v>108.17</v>
      </c>
      <c r="C112">
        <v>123.51</v>
      </c>
      <c r="D112">
        <v>124.12</v>
      </c>
      <c r="E112">
        <v>135.01</v>
      </c>
      <c r="F112">
        <v>39.78</v>
      </c>
      <c r="G112">
        <v>39.51</v>
      </c>
      <c r="H112">
        <v>38.67</v>
      </c>
      <c r="K112" s="9">
        <f t="shared" si="36"/>
        <v>-0.60999999999999943</v>
      </c>
      <c r="L112">
        <f t="shared" si="37"/>
        <v>-0.56000000000000227</v>
      </c>
      <c r="M112">
        <f t="shared" si="38"/>
        <v>4.8300000000000125</v>
      </c>
      <c r="N112">
        <f t="shared" si="39"/>
        <v>0.56000000000000227</v>
      </c>
      <c r="O112">
        <f t="shared" si="40"/>
        <v>0.39000000000000057</v>
      </c>
      <c r="P112" s="10">
        <f t="shared" si="41"/>
        <v>0.55999999999999517</v>
      </c>
    </row>
    <row r="113" spans="1:16">
      <c r="A113">
        <v>14.67</v>
      </c>
      <c r="B113" s="42">
        <v>108.95</v>
      </c>
      <c r="C113">
        <v>123.78</v>
      </c>
      <c r="D113">
        <v>124.4</v>
      </c>
      <c r="E113">
        <v>139.01</v>
      </c>
      <c r="F113">
        <v>40.06</v>
      </c>
      <c r="G113">
        <v>39.729999999999997</v>
      </c>
      <c r="H113">
        <v>38.9</v>
      </c>
      <c r="K113" s="9">
        <f t="shared" si="36"/>
        <v>-0.87999999999999545</v>
      </c>
      <c r="L113">
        <f t="shared" si="37"/>
        <v>-0.73000000000000398</v>
      </c>
      <c r="M113">
        <f t="shared" si="38"/>
        <v>0.89000000000001478</v>
      </c>
      <c r="N113">
        <f t="shared" si="39"/>
        <v>0.5</v>
      </c>
      <c r="O113">
        <f t="shared" si="40"/>
        <v>0.3300000000000054</v>
      </c>
      <c r="P113" s="10">
        <f t="shared" si="41"/>
        <v>0.5</v>
      </c>
    </row>
    <row r="114" spans="1:16">
      <c r="A114">
        <v>14.83</v>
      </c>
      <c r="B114" s="42">
        <v>110.28</v>
      </c>
      <c r="C114">
        <v>123.62</v>
      </c>
      <c r="D114">
        <v>124.17</v>
      </c>
      <c r="E114">
        <v>139.9</v>
      </c>
      <c r="F114">
        <v>40.229999999999997</v>
      </c>
      <c r="G114">
        <v>39.78</v>
      </c>
      <c r="H114">
        <v>39.01</v>
      </c>
      <c r="K114" s="9">
        <f t="shared" si="36"/>
        <v>-0.78000000000000114</v>
      </c>
      <c r="L114">
        <f t="shared" si="37"/>
        <v>-0.60999999999999943</v>
      </c>
      <c r="M114">
        <f t="shared" si="38"/>
        <v>4.9999999999982947E-2</v>
      </c>
      <c r="N114">
        <f t="shared" si="39"/>
        <v>0.61000000000000654</v>
      </c>
      <c r="O114">
        <f t="shared" si="40"/>
        <v>0.56000000000000227</v>
      </c>
      <c r="P114" s="10">
        <f t="shared" si="41"/>
        <v>0.5</v>
      </c>
    </row>
    <row r="115" spans="1:16">
      <c r="A115">
        <v>15</v>
      </c>
      <c r="B115" s="42">
        <v>111.62</v>
      </c>
      <c r="C115">
        <v>122.9</v>
      </c>
      <c r="D115">
        <v>123.56</v>
      </c>
      <c r="E115">
        <v>139.84</v>
      </c>
      <c r="F115">
        <v>40.340000000000003</v>
      </c>
      <c r="G115">
        <v>39.9</v>
      </c>
      <c r="H115">
        <v>39.229999999999997</v>
      </c>
      <c r="K115" s="9">
        <f t="shared" si="36"/>
        <v>0.26999999999999602</v>
      </c>
      <c r="L115">
        <f t="shared" si="37"/>
        <v>0.28000000000000114</v>
      </c>
      <c r="M115">
        <f t="shared" si="38"/>
        <v>0.16999999999998749</v>
      </c>
      <c r="N115">
        <f t="shared" si="39"/>
        <v>0.55999999999999517</v>
      </c>
      <c r="O115">
        <f t="shared" si="40"/>
        <v>0.5</v>
      </c>
      <c r="P115" s="10">
        <f t="shared" si="41"/>
        <v>0.28000000000000114</v>
      </c>
    </row>
    <row r="116" spans="1:16">
      <c r="A116">
        <v>15.17</v>
      </c>
      <c r="B116" s="42">
        <v>111.73</v>
      </c>
      <c r="C116">
        <v>122.9</v>
      </c>
      <c r="D116">
        <v>123.67</v>
      </c>
      <c r="E116">
        <v>139.9</v>
      </c>
      <c r="F116">
        <v>40.56</v>
      </c>
      <c r="G116">
        <v>40.06</v>
      </c>
      <c r="H116">
        <v>39.4</v>
      </c>
      <c r="K116" s="9">
        <f t="shared" si="36"/>
        <v>2.2199999999999989</v>
      </c>
      <c r="L116">
        <f t="shared" si="37"/>
        <v>1.3900000000000006</v>
      </c>
      <c r="M116">
        <f t="shared" si="38"/>
        <v>0.10999999999998522</v>
      </c>
      <c r="N116">
        <f t="shared" si="39"/>
        <v>0.55999999999999517</v>
      </c>
      <c r="O116">
        <f t="shared" si="40"/>
        <v>0.55999999999999517</v>
      </c>
      <c r="P116" s="10">
        <f t="shared" si="41"/>
        <v>0.27000000000000313</v>
      </c>
    </row>
    <row r="117" spans="1:16">
      <c r="A117">
        <v>15.33</v>
      </c>
      <c r="B117" s="42">
        <v>112.67</v>
      </c>
      <c r="C117">
        <v>122.84</v>
      </c>
      <c r="D117">
        <v>123.56</v>
      </c>
      <c r="E117">
        <v>139.94999999999999</v>
      </c>
      <c r="F117">
        <v>40.840000000000003</v>
      </c>
      <c r="G117">
        <v>40.340000000000003</v>
      </c>
      <c r="H117">
        <v>39.51</v>
      </c>
      <c r="K117" s="9">
        <f t="shared" si="36"/>
        <v>5.6099999999999852</v>
      </c>
      <c r="L117">
        <f t="shared" si="37"/>
        <v>3.9500000000000028</v>
      </c>
      <c r="M117">
        <f t="shared" si="38"/>
        <v>0.21999999999999886</v>
      </c>
      <c r="N117">
        <f t="shared" si="39"/>
        <v>0.38999999999999346</v>
      </c>
      <c r="O117">
        <f t="shared" si="40"/>
        <v>0.32999999999999829</v>
      </c>
      <c r="P117" s="10">
        <f t="shared" si="41"/>
        <v>0.21999999999999886</v>
      </c>
    </row>
    <row r="118" spans="1:16">
      <c r="A118">
        <v>15.5</v>
      </c>
      <c r="B118" s="42">
        <v>113.56</v>
      </c>
      <c r="C118">
        <v>123.17</v>
      </c>
      <c r="D118">
        <v>123.84</v>
      </c>
      <c r="E118">
        <v>140.01</v>
      </c>
      <c r="F118">
        <v>40.9</v>
      </c>
      <c r="G118">
        <v>40.4</v>
      </c>
      <c r="H118">
        <v>39.51</v>
      </c>
      <c r="K118" s="9">
        <f t="shared" si="36"/>
        <v>6.9999999999999858</v>
      </c>
      <c r="L118">
        <f t="shared" si="37"/>
        <v>5.6699999999999875</v>
      </c>
      <c r="M118">
        <f t="shared" si="38"/>
        <v>0.43999999999999773</v>
      </c>
      <c r="N118">
        <f t="shared" si="39"/>
        <v>0.60999999999999943</v>
      </c>
      <c r="O118">
        <f t="shared" si="40"/>
        <v>0.44000000000000483</v>
      </c>
      <c r="P118" s="10">
        <f t="shared" si="41"/>
        <v>0.3300000000000054</v>
      </c>
    </row>
    <row r="119" spans="1:16">
      <c r="A119">
        <v>15.67</v>
      </c>
      <c r="B119" s="42">
        <v>113.45</v>
      </c>
      <c r="C119">
        <v>125.12</v>
      </c>
      <c r="D119">
        <v>125.06</v>
      </c>
      <c r="E119">
        <v>140.01</v>
      </c>
      <c r="F119">
        <v>41.12</v>
      </c>
      <c r="G119">
        <v>40.619999999999997</v>
      </c>
      <c r="H119">
        <v>39.67</v>
      </c>
      <c r="K119" s="9">
        <f t="shared" si="36"/>
        <v>5.3899999999999864</v>
      </c>
      <c r="L119">
        <f t="shared" si="37"/>
        <v>5.3899999999999864</v>
      </c>
      <c r="M119">
        <f t="shared" si="38"/>
        <v>0.55000000000001137</v>
      </c>
      <c r="N119">
        <f t="shared" si="39"/>
        <v>0.60999999999999943</v>
      </c>
      <c r="O119">
        <f t="shared" si="40"/>
        <v>0.44000000000000483</v>
      </c>
      <c r="P119" s="10">
        <f t="shared" si="41"/>
        <v>0.28000000000000114</v>
      </c>
    </row>
    <row r="120" spans="1:16">
      <c r="A120">
        <v>15.83</v>
      </c>
      <c r="B120" s="42">
        <v>114.23</v>
      </c>
      <c r="C120">
        <v>128.44999999999999</v>
      </c>
      <c r="D120">
        <v>127.51</v>
      </c>
      <c r="E120">
        <v>140.16999999999999</v>
      </c>
      <c r="F120">
        <v>41.23</v>
      </c>
      <c r="G120">
        <v>40.67</v>
      </c>
      <c r="H120">
        <v>39.729999999999997</v>
      </c>
      <c r="K120" s="9">
        <f t="shared" si="36"/>
        <v>1.8900000000000148</v>
      </c>
      <c r="L120">
        <f t="shared" si="37"/>
        <v>3.0499999999999972</v>
      </c>
      <c r="M120">
        <f t="shared" si="38"/>
        <v>0.5</v>
      </c>
      <c r="N120">
        <f t="shared" si="39"/>
        <v>0.55000000000000426</v>
      </c>
      <c r="O120">
        <f t="shared" si="40"/>
        <v>0.55999999999999517</v>
      </c>
      <c r="P120" s="10">
        <f t="shared" si="41"/>
        <v>0.3300000000000054</v>
      </c>
    </row>
    <row r="121" spans="1:16">
      <c r="A121">
        <v>16</v>
      </c>
      <c r="B121" s="42">
        <v>115.17</v>
      </c>
      <c r="C121">
        <v>130.16999999999999</v>
      </c>
      <c r="D121">
        <v>129.51</v>
      </c>
      <c r="E121">
        <v>140.44999999999999</v>
      </c>
      <c r="F121">
        <v>41.51</v>
      </c>
      <c r="G121">
        <v>40.840000000000003</v>
      </c>
      <c r="H121">
        <v>39.840000000000003</v>
      </c>
      <c r="K121" s="9">
        <f t="shared" si="36"/>
        <v>0</v>
      </c>
      <c r="L121">
        <f t="shared" si="37"/>
        <v>1</v>
      </c>
      <c r="M121">
        <f t="shared" si="38"/>
        <v>0.17000000000001592</v>
      </c>
      <c r="N121">
        <f t="shared" si="39"/>
        <v>0.5</v>
      </c>
      <c r="O121">
        <f t="shared" si="40"/>
        <v>0.5</v>
      </c>
      <c r="P121" s="10">
        <f t="shared" si="41"/>
        <v>0.38999999999999346</v>
      </c>
    </row>
    <row r="122" spans="1:16">
      <c r="A122">
        <v>16.170000000000002</v>
      </c>
      <c r="B122" s="42">
        <v>116.17</v>
      </c>
      <c r="C122">
        <v>130.51</v>
      </c>
      <c r="D122">
        <v>130.44999999999999</v>
      </c>
      <c r="E122">
        <v>140.56</v>
      </c>
      <c r="F122">
        <v>41.73</v>
      </c>
      <c r="G122">
        <v>41.06</v>
      </c>
      <c r="H122">
        <v>39.950000000000003</v>
      </c>
      <c r="K122" s="9">
        <f t="shared" si="36"/>
        <v>-0.10999999999998522</v>
      </c>
      <c r="L122">
        <f t="shared" si="37"/>
        <v>0.17000000000001592</v>
      </c>
      <c r="M122">
        <f t="shared" si="38"/>
        <v>-5.0000000000011369E-2</v>
      </c>
      <c r="N122">
        <f t="shared" si="39"/>
        <v>0.44000000000000483</v>
      </c>
      <c r="O122">
        <f t="shared" si="40"/>
        <v>0.44999999999999574</v>
      </c>
      <c r="P122" s="10">
        <f t="shared" si="41"/>
        <v>0.39000000000000057</v>
      </c>
    </row>
    <row r="123" spans="1:16">
      <c r="A123">
        <v>16.329999999999998</v>
      </c>
      <c r="B123" s="42">
        <v>116.67</v>
      </c>
      <c r="C123">
        <v>130.34</v>
      </c>
      <c r="D123">
        <v>130.56</v>
      </c>
      <c r="E123">
        <v>140.66999999999999</v>
      </c>
      <c r="F123">
        <v>41.78</v>
      </c>
      <c r="G123">
        <v>41.23</v>
      </c>
      <c r="H123">
        <v>40.06</v>
      </c>
      <c r="K123" s="9">
        <f t="shared" si="36"/>
        <v>0</v>
      </c>
      <c r="L123">
        <f t="shared" si="37"/>
        <v>0.21999999999999886</v>
      </c>
      <c r="M123">
        <f t="shared" si="38"/>
        <v>-0.21999999999999886</v>
      </c>
      <c r="N123">
        <f t="shared" si="39"/>
        <v>0.56000000000000227</v>
      </c>
      <c r="O123">
        <f t="shared" si="40"/>
        <v>0.5</v>
      </c>
      <c r="P123" s="10">
        <f t="shared" si="41"/>
        <v>0.44999999999999574</v>
      </c>
    </row>
    <row r="124" spans="1:16">
      <c r="A124">
        <v>16.5</v>
      </c>
      <c r="B124" s="42">
        <v>117.06</v>
      </c>
      <c r="C124">
        <v>130.16999999999999</v>
      </c>
      <c r="D124">
        <v>130.51</v>
      </c>
      <c r="E124">
        <v>140.62</v>
      </c>
      <c r="F124">
        <v>42.01</v>
      </c>
      <c r="G124">
        <v>41.34</v>
      </c>
      <c r="H124">
        <v>40.229999999999997</v>
      </c>
      <c r="K124" s="9">
        <f t="shared" si="36"/>
        <v>0.34000000000000341</v>
      </c>
      <c r="L124">
        <f t="shared" si="37"/>
        <v>0.43999999999999773</v>
      </c>
      <c r="M124">
        <f t="shared" si="38"/>
        <v>-0.21999999999999886</v>
      </c>
      <c r="N124">
        <f t="shared" si="39"/>
        <v>0.60999999999999943</v>
      </c>
      <c r="O124">
        <f t="shared" si="40"/>
        <v>0.55999999999999517</v>
      </c>
      <c r="P124" s="10">
        <f t="shared" si="41"/>
        <v>0.39000000000000057</v>
      </c>
    </row>
    <row r="125" spans="1:16">
      <c r="A125">
        <v>16.670000000000002</v>
      </c>
      <c r="B125" s="42">
        <v>117.06</v>
      </c>
      <c r="C125">
        <v>130.4</v>
      </c>
      <c r="D125">
        <v>130.62</v>
      </c>
      <c r="E125">
        <v>140.51</v>
      </c>
      <c r="F125">
        <v>42.17</v>
      </c>
      <c r="G125">
        <v>41.51</v>
      </c>
      <c r="H125">
        <v>40.340000000000003</v>
      </c>
      <c r="K125" s="9">
        <f t="shared" si="36"/>
        <v>0.10999999999998522</v>
      </c>
      <c r="L125">
        <f t="shared" si="37"/>
        <v>0.32999999999998408</v>
      </c>
      <c r="M125">
        <f t="shared" si="38"/>
        <v>-0.10999999999998522</v>
      </c>
      <c r="N125">
        <f t="shared" si="39"/>
        <v>0.55999999999999517</v>
      </c>
      <c r="O125">
        <f t="shared" si="40"/>
        <v>0.5</v>
      </c>
      <c r="P125" s="10">
        <f t="shared" si="41"/>
        <v>0.32999999999999829</v>
      </c>
    </row>
    <row r="126" spans="1:16">
      <c r="A126">
        <v>16.829999999999998</v>
      </c>
      <c r="B126" s="42">
        <v>117.56</v>
      </c>
      <c r="C126">
        <v>130.34</v>
      </c>
      <c r="D126">
        <v>130.78</v>
      </c>
      <c r="E126">
        <v>140.44999999999999</v>
      </c>
      <c r="F126">
        <v>42.34</v>
      </c>
      <c r="G126">
        <v>41.73</v>
      </c>
      <c r="H126">
        <v>40.51</v>
      </c>
      <c r="K126" s="9">
        <f t="shared" si="36"/>
        <v>0.16999999999998749</v>
      </c>
      <c r="L126">
        <f t="shared" si="37"/>
        <v>0.16999999999998749</v>
      </c>
      <c r="M126">
        <f t="shared" si="38"/>
        <v>0.33000000000001251</v>
      </c>
      <c r="N126">
        <f t="shared" si="39"/>
        <v>0.55999999999999517</v>
      </c>
      <c r="O126">
        <f t="shared" si="40"/>
        <v>0.39000000000000057</v>
      </c>
      <c r="P126" s="10">
        <f t="shared" si="41"/>
        <v>0.3300000000000054</v>
      </c>
    </row>
    <row r="127" spans="1:16">
      <c r="A127">
        <v>17</v>
      </c>
      <c r="B127" s="42">
        <v>118.17</v>
      </c>
      <c r="C127">
        <v>130.51</v>
      </c>
      <c r="D127">
        <v>130.94999999999999</v>
      </c>
      <c r="E127">
        <v>140.4</v>
      </c>
      <c r="F127">
        <v>42.62</v>
      </c>
      <c r="G127">
        <v>41.9</v>
      </c>
      <c r="H127">
        <v>40.619999999999997</v>
      </c>
      <c r="K127" s="9">
        <f t="shared" si="36"/>
        <v>0.21999999999999886</v>
      </c>
      <c r="L127">
        <f t="shared" si="37"/>
        <v>0.21999999999999886</v>
      </c>
      <c r="M127">
        <f t="shared" si="38"/>
        <v>2.9399999999999977</v>
      </c>
      <c r="N127">
        <f t="shared" si="39"/>
        <v>0.55000000000000426</v>
      </c>
      <c r="O127">
        <f t="shared" si="40"/>
        <v>0.5</v>
      </c>
      <c r="P127" s="10">
        <f t="shared" si="41"/>
        <v>0.39000000000000057</v>
      </c>
    </row>
    <row r="128" spans="1:16">
      <c r="A128">
        <v>17.170000000000002</v>
      </c>
      <c r="B128" s="42">
        <v>117.78</v>
      </c>
      <c r="C128">
        <v>130.51</v>
      </c>
      <c r="D128">
        <v>130.94999999999999</v>
      </c>
      <c r="E128">
        <v>140.4</v>
      </c>
      <c r="F128">
        <v>42.73</v>
      </c>
      <c r="G128">
        <v>42.01</v>
      </c>
      <c r="H128">
        <v>40.67</v>
      </c>
      <c r="K128" s="9">
        <f t="shared" si="36"/>
        <v>0.11000000000001364</v>
      </c>
      <c r="L128">
        <f t="shared" si="37"/>
        <v>6.0000000000002274E-2</v>
      </c>
      <c r="M128">
        <f t="shared" si="38"/>
        <v>4.8799999999999955</v>
      </c>
      <c r="N128">
        <f t="shared" si="39"/>
        <v>0.61000000000000654</v>
      </c>
      <c r="O128">
        <f t="shared" si="40"/>
        <v>0.55000000000000426</v>
      </c>
      <c r="P128" s="10">
        <f t="shared" si="41"/>
        <v>0.5</v>
      </c>
    </row>
    <row r="129" spans="1:16">
      <c r="A129">
        <v>17.329999999999998</v>
      </c>
      <c r="B129" s="42">
        <v>118.4</v>
      </c>
      <c r="C129">
        <v>130.51</v>
      </c>
      <c r="D129">
        <v>130.94999999999999</v>
      </c>
      <c r="E129">
        <v>140.78</v>
      </c>
      <c r="F129">
        <v>42.9</v>
      </c>
      <c r="G129">
        <v>42.12</v>
      </c>
      <c r="H129">
        <v>40.840000000000003</v>
      </c>
      <c r="K129" s="9">
        <f t="shared" si="36"/>
        <v>-0.66999999999998749</v>
      </c>
      <c r="L129">
        <f t="shared" si="37"/>
        <v>-0.54999999999998295</v>
      </c>
      <c r="M129">
        <f t="shared" si="38"/>
        <v>4.5600000000000023</v>
      </c>
      <c r="N129">
        <f t="shared" si="39"/>
        <v>0.5</v>
      </c>
      <c r="O129">
        <f t="shared" si="40"/>
        <v>0.55000000000000426</v>
      </c>
      <c r="P129" s="10">
        <f t="shared" si="41"/>
        <v>0.38999999999999346</v>
      </c>
    </row>
    <row r="130" spans="1:16">
      <c r="A130">
        <v>17.5</v>
      </c>
      <c r="B130" s="42">
        <v>119.01</v>
      </c>
      <c r="C130">
        <v>130.72999999999999</v>
      </c>
      <c r="D130">
        <v>131.16999999999999</v>
      </c>
      <c r="E130">
        <v>143.34</v>
      </c>
      <c r="F130">
        <v>43.17</v>
      </c>
      <c r="G130">
        <v>42.4</v>
      </c>
      <c r="H130">
        <v>41.01</v>
      </c>
      <c r="K130" s="9">
        <f t="shared" si="36"/>
        <v>-0.78000000000000114</v>
      </c>
      <c r="L130">
        <f t="shared" si="37"/>
        <v>-0.65999999999999659</v>
      </c>
      <c r="M130">
        <f t="shared" si="38"/>
        <v>2</v>
      </c>
      <c r="N130">
        <f t="shared" si="39"/>
        <v>0.5</v>
      </c>
      <c r="O130">
        <f t="shared" si="40"/>
        <v>0.38000000000000256</v>
      </c>
      <c r="P130" s="10">
        <f t="shared" si="41"/>
        <v>0.39000000000000057</v>
      </c>
    </row>
    <row r="131" spans="1:16">
      <c r="A131">
        <v>17.670000000000002</v>
      </c>
      <c r="B131" s="42">
        <v>119.78</v>
      </c>
      <c r="C131">
        <v>130.62</v>
      </c>
      <c r="D131">
        <v>131.01</v>
      </c>
      <c r="E131">
        <v>145.28</v>
      </c>
      <c r="F131">
        <v>43.34</v>
      </c>
      <c r="G131">
        <v>42.56</v>
      </c>
      <c r="H131">
        <v>41.17</v>
      </c>
      <c r="K131" s="9">
        <f t="shared" si="36"/>
        <v>-0.28000000000000114</v>
      </c>
      <c r="L131">
        <f t="shared" si="37"/>
        <v>-0.38999999999998636</v>
      </c>
      <c r="M131">
        <f t="shared" si="38"/>
        <v>0</v>
      </c>
      <c r="N131">
        <f t="shared" si="39"/>
        <v>0.55999999999999517</v>
      </c>
      <c r="O131">
        <f t="shared" si="40"/>
        <v>0.39000000000000057</v>
      </c>
      <c r="P131" s="10">
        <f t="shared" si="41"/>
        <v>0.39000000000000057</v>
      </c>
    </row>
    <row r="132" spans="1:16">
      <c r="A132">
        <v>17.829999999999998</v>
      </c>
      <c r="B132" s="42">
        <v>120.62</v>
      </c>
      <c r="C132">
        <v>129.84</v>
      </c>
      <c r="D132">
        <v>130.4</v>
      </c>
      <c r="E132">
        <v>145.34</v>
      </c>
      <c r="F132">
        <v>43.4</v>
      </c>
      <c r="G132">
        <v>42.67</v>
      </c>
      <c r="H132">
        <v>41.23</v>
      </c>
      <c r="K132" s="9">
        <f t="shared" si="36"/>
        <v>0.78000000000000114</v>
      </c>
      <c r="L132">
        <f t="shared" si="37"/>
        <v>0.37999999999999545</v>
      </c>
      <c r="M132">
        <f t="shared" si="38"/>
        <v>-0.28000000000000114</v>
      </c>
      <c r="N132">
        <f t="shared" si="39"/>
        <v>0.66000000000000369</v>
      </c>
      <c r="O132">
        <f t="shared" si="40"/>
        <v>0.39000000000000057</v>
      </c>
      <c r="P132" s="10">
        <f t="shared" si="41"/>
        <v>0.39000000000000057</v>
      </c>
    </row>
    <row r="133" spans="1:16">
      <c r="A133">
        <v>18</v>
      </c>
      <c r="B133" s="42">
        <v>121.78</v>
      </c>
      <c r="C133">
        <v>129.94999999999999</v>
      </c>
      <c r="D133">
        <v>130.51</v>
      </c>
      <c r="E133">
        <v>145.34</v>
      </c>
      <c r="F133">
        <v>43.67</v>
      </c>
      <c r="G133">
        <v>42.78</v>
      </c>
      <c r="H133">
        <v>41.4</v>
      </c>
      <c r="K133" s="9">
        <f t="shared" si="36"/>
        <v>1</v>
      </c>
      <c r="L133">
        <f t="shared" si="37"/>
        <v>0.43999999999999773</v>
      </c>
      <c r="M133">
        <f t="shared" si="38"/>
        <v>-0.33000000000001251</v>
      </c>
      <c r="N133">
        <f t="shared" si="39"/>
        <v>0.67000000000000171</v>
      </c>
      <c r="O133">
        <f t="shared" si="40"/>
        <v>0.5</v>
      </c>
      <c r="P133" s="10">
        <f t="shared" si="41"/>
        <v>0.44000000000000483</v>
      </c>
    </row>
    <row r="134" spans="1:16">
      <c r="A134">
        <v>18.170000000000002</v>
      </c>
      <c r="B134" s="42">
        <v>122.28</v>
      </c>
      <c r="C134">
        <v>130.34</v>
      </c>
      <c r="D134">
        <v>130.62</v>
      </c>
      <c r="E134">
        <v>145.28</v>
      </c>
      <c r="F134">
        <v>43.9</v>
      </c>
      <c r="G134">
        <v>42.95</v>
      </c>
      <c r="H134">
        <v>41.56</v>
      </c>
      <c r="K134" s="9">
        <f t="shared" si="36"/>
        <v>2.2199999999999989</v>
      </c>
      <c r="L134">
        <f t="shared" si="37"/>
        <v>1.5499999999999829</v>
      </c>
      <c r="M134">
        <f t="shared" si="38"/>
        <v>-0.37999999999999545</v>
      </c>
      <c r="N134">
        <f t="shared" si="39"/>
        <v>0.55000000000000426</v>
      </c>
      <c r="O134">
        <f t="shared" si="40"/>
        <v>0.39000000000000057</v>
      </c>
      <c r="P134" s="10">
        <f t="shared" si="41"/>
        <v>0.33999999999999631</v>
      </c>
    </row>
    <row r="135" spans="1:16">
      <c r="A135">
        <v>18.329999999999998</v>
      </c>
      <c r="B135" s="42">
        <v>121.95</v>
      </c>
      <c r="C135">
        <v>130.62</v>
      </c>
      <c r="D135">
        <v>130.78</v>
      </c>
      <c r="E135">
        <v>145.06</v>
      </c>
      <c r="F135">
        <v>44.06</v>
      </c>
      <c r="G135">
        <v>43.06</v>
      </c>
      <c r="H135">
        <v>41.62</v>
      </c>
      <c r="K135" s="9">
        <f t="shared" si="36"/>
        <v>6.8899999999999864</v>
      </c>
      <c r="L135">
        <f t="shared" si="37"/>
        <v>5.5</v>
      </c>
      <c r="M135">
        <f t="shared" si="38"/>
        <v>0</v>
      </c>
      <c r="N135">
        <f t="shared" si="39"/>
        <v>0.78000000000000114</v>
      </c>
      <c r="O135">
        <f t="shared" si="40"/>
        <v>0.55999999999999517</v>
      </c>
      <c r="P135" s="10">
        <f t="shared" si="41"/>
        <v>0.39000000000000057</v>
      </c>
    </row>
    <row r="136" spans="1:16">
      <c r="A136">
        <v>18.5</v>
      </c>
      <c r="B136" s="42">
        <v>121.67</v>
      </c>
      <c r="C136">
        <v>130.94999999999999</v>
      </c>
      <c r="D136">
        <v>130.94999999999999</v>
      </c>
      <c r="E136">
        <v>145.01</v>
      </c>
      <c r="F136">
        <v>44.34</v>
      </c>
      <c r="G136">
        <v>43.28</v>
      </c>
      <c r="H136">
        <v>41.84</v>
      </c>
      <c r="K136" s="9">
        <f t="shared" si="36"/>
        <v>7.6100000000000136</v>
      </c>
      <c r="L136">
        <f t="shared" si="37"/>
        <v>6.8300000000000125</v>
      </c>
      <c r="M136">
        <f t="shared" si="38"/>
        <v>-0.10999999999998522</v>
      </c>
      <c r="N136">
        <f t="shared" si="39"/>
        <v>0.6699999999999946</v>
      </c>
      <c r="O136">
        <f t="shared" si="40"/>
        <v>0.44999999999999574</v>
      </c>
      <c r="P136" s="10">
        <f t="shared" si="41"/>
        <v>0.21999999999999886</v>
      </c>
    </row>
    <row r="137" spans="1:16">
      <c r="A137">
        <v>18.670000000000002</v>
      </c>
      <c r="B137" s="42">
        <v>121.95</v>
      </c>
      <c r="C137">
        <v>132.56</v>
      </c>
      <c r="D137">
        <v>132.16999999999999</v>
      </c>
      <c r="E137">
        <v>144.9</v>
      </c>
      <c r="F137">
        <v>44.45</v>
      </c>
      <c r="G137">
        <v>43.34</v>
      </c>
      <c r="H137">
        <v>41.9</v>
      </c>
      <c r="K137" s="9">
        <f t="shared" si="36"/>
        <v>5.9499999999999886</v>
      </c>
      <c r="L137">
        <f t="shared" si="37"/>
        <v>6.3400000000000034</v>
      </c>
      <c r="M137">
        <f t="shared" si="38"/>
        <v>0</v>
      </c>
      <c r="N137">
        <f t="shared" si="39"/>
        <v>0.71999999999999886</v>
      </c>
      <c r="O137">
        <f t="shared" si="40"/>
        <v>0.55999999999999517</v>
      </c>
      <c r="P137" s="10">
        <f t="shared" si="41"/>
        <v>0.38000000000000256</v>
      </c>
    </row>
    <row r="138" spans="1:16">
      <c r="A138">
        <v>18.829999999999998</v>
      </c>
      <c r="B138" s="42">
        <v>122.9</v>
      </c>
      <c r="C138">
        <v>137.51</v>
      </c>
      <c r="D138">
        <v>136.28</v>
      </c>
      <c r="E138">
        <v>145.06</v>
      </c>
      <c r="F138">
        <v>44.84</v>
      </c>
      <c r="G138">
        <v>43.62</v>
      </c>
      <c r="H138">
        <v>42.01</v>
      </c>
      <c r="K138" s="9">
        <f t="shared" si="36"/>
        <v>0.39000000000001478</v>
      </c>
      <c r="L138">
        <f t="shared" si="37"/>
        <v>1.9499999999999886</v>
      </c>
      <c r="M138">
        <f t="shared" si="38"/>
        <v>-0.43999999999999773</v>
      </c>
      <c r="N138">
        <f t="shared" si="39"/>
        <v>0.5</v>
      </c>
      <c r="O138">
        <f t="shared" si="40"/>
        <v>0.55000000000000426</v>
      </c>
      <c r="P138" s="10">
        <f t="shared" si="41"/>
        <v>0.27000000000000313</v>
      </c>
    </row>
    <row r="139" spans="1:16">
      <c r="A139">
        <v>19</v>
      </c>
      <c r="B139" s="42">
        <v>123.78</v>
      </c>
      <c r="C139">
        <v>138.56</v>
      </c>
      <c r="D139">
        <v>137.78</v>
      </c>
      <c r="E139">
        <v>144.9</v>
      </c>
      <c r="F139">
        <v>45.01</v>
      </c>
      <c r="G139">
        <v>43.73</v>
      </c>
      <c r="H139">
        <v>42.06</v>
      </c>
      <c r="K139" s="9">
        <f t="shared" si="36"/>
        <v>-1</v>
      </c>
      <c r="L139">
        <f t="shared" si="37"/>
        <v>0.16999999999998749</v>
      </c>
      <c r="M139">
        <f t="shared" si="38"/>
        <v>-0.39000000000001478</v>
      </c>
      <c r="N139">
        <f t="shared" si="39"/>
        <v>0.55000000000000426</v>
      </c>
      <c r="O139">
        <f t="shared" si="40"/>
        <v>0.55000000000000426</v>
      </c>
      <c r="P139" s="10">
        <f t="shared" si="41"/>
        <v>0.44999999999999574</v>
      </c>
    </row>
    <row r="140" spans="1:16">
      <c r="A140">
        <v>19.170000000000002</v>
      </c>
      <c r="B140" s="42">
        <v>124.84</v>
      </c>
      <c r="C140">
        <v>138.51</v>
      </c>
      <c r="D140">
        <v>138.51</v>
      </c>
      <c r="E140">
        <v>144.9</v>
      </c>
      <c r="F140">
        <v>45.17</v>
      </c>
      <c r="G140">
        <v>43.9</v>
      </c>
      <c r="H140">
        <v>42.28</v>
      </c>
      <c r="K140" s="9">
        <f t="shared" si="36"/>
        <v>-1.1699999999999875</v>
      </c>
      <c r="L140">
        <f t="shared" si="37"/>
        <v>-0.60999999999998522</v>
      </c>
      <c r="M140">
        <f t="shared" si="38"/>
        <v>-0.5</v>
      </c>
      <c r="N140">
        <f t="shared" si="39"/>
        <v>0.67000000000000171</v>
      </c>
      <c r="O140">
        <f t="shared" si="40"/>
        <v>0.66000000000000369</v>
      </c>
      <c r="P140" s="10">
        <f t="shared" si="41"/>
        <v>0.33999999999999631</v>
      </c>
    </row>
    <row r="141" spans="1:16">
      <c r="A141">
        <v>19.329999999999998</v>
      </c>
      <c r="B141" s="42">
        <v>125.01</v>
      </c>
      <c r="C141">
        <v>137.9</v>
      </c>
      <c r="D141">
        <v>138.22999999999999</v>
      </c>
      <c r="E141">
        <v>144.62</v>
      </c>
      <c r="F141">
        <v>45.34</v>
      </c>
      <c r="G141">
        <v>44.17</v>
      </c>
      <c r="H141">
        <v>42.28</v>
      </c>
      <c r="K141" s="9">
        <f t="shared" si="36"/>
        <v>-0.62000000000000455</v>
      </c>
      <c r="L141">
        <f t="shared" si="37"/>
        <v>-0.5</v>
      </c>
      <c r="M141">
        <f t="shared" si="38"/>
        <v>-0.39000000000001478</v>
      </c>
      <c r="N141">
        <f t="shared" si="39"/>
        <v>0.6699999999999946</v>
      </c>
      <c r="O141">
        <f t="shared" si="40"/>
        <v>0.55999999999999517</v>
      </c>
      <c r="P141" s="10">
        <f t="shared" si="41"/>
        <v>0.5</v>
      </c>
    </row>
    <row r="142" spans="1:16">
      <c r="A142">
        <v>19.5</v>
      </c>
      <c r="B142" s="42">
        <v>124.78</v>
      </c>
      <c r="C142">
        <v>137.56</v>
      </c>
      <c r="D142">
        <v>137.94999999999999</v>
      </c>
      <c r="E142">
        <v>144.51</v>
      </c>
      <c r="F142">
        <v>45.56</v>
      </c>
      <c r="G142">
        <v>44.28</v>
      </c>
      <c r="H142">
        <v>42.51</v>
      </c>
      <c r="K142" s="9">
        <f t="shared" si="36"/>
        <v>-0.43999999999999773</v>
      </c>
      <c r="L142">
        <f t="shared" si="37"/>
        <v>-0.38999999999998636</v>
      </c>
      <c r="M142">
        <f t="shared" si="38"/>
        <v>-0.28000000000000114</v>
      </c>
      <c r="N142">
        <f t="shared" si="39"/>
        <v>0.6699999999999946</v>
      </c>
      <c r="O142">
        <f t="shared" si="40"/>
        <v>0.61999999999999744</v>
      </c>
      <c r="P142" s="10">
        <f t="shared" si="41"/>
        <v>0.3300000000000054</v>
      </c>
    </row>
    <row r="143" spans="1:16">
      <c r="A143">
        <v>19.670000000000002</v>
      </c>
      <c r="B143" s="42">
        <v>125.01</v>
      </c>
      <c r="C143">
        <v>137.34</v>
      </c>
      <c r="D143">
        <v>137.9</v>
      </c>
      <c r="E143">
        <v>144.4</v>
      </c>
      <c r="F143">
        <v>45.84</v>
      </c>
      <c r="G143">
        <v>44.56</v>
      </c>
      <c r="H143">
        <v>42.62</v>
      </c>
      <c r="K143" s="9">
        <f t="shared" si="36"/>
        <v>-0.21999999999999886</v>
      </c>
      <c r="L143">
        <f t="shared" si="37"/>
        <v>-0.34000000000000341</v>
      </c>
      <c r="M143">
        <f t="shared" si="38"/>
        <v>-0.12000000000000455</v>
      </c>
      <c r="N143">
        <f t="shared" si="39"/>
        <v>0.60999999999999943</v>
      </c>
      <c r="O143">
        <f t="shared" si="40"/>
        <v>0.5</v>
      </c>
      <c r="P143" s="10">
        <f t="shared" si="41"/>
        <v>0.3300000000000054</v>
      </c>
    </row>
    <row r="144" spans="1:16">
      <c r="A144">
        <v>19.829999999999998</v>
      </c>
      <c r="B144" s="42">
        <v>123.84</v>
      </c>
      <c r="C144">
        <v>137.28</v>
      </c>
      <c r="D144">
        <v>137.72999999999999</v>
      </c>
      <c r="E144">
        <v>144.22999999999999</v>
      </c>
      <c r="F144">
        <v>46.01</v>
      </c>
      <c r="G144">
        <v>44.73</v>
      </c>
      <c r="H144">
        <v>42.78</v>
      </c>
      <c r="K144" s="9">
        <f t="shared" si="36"/>
        <v>-0.21999999999999886</v>
      </c>
      <c r="L144">
        <f t="shared" si="37"/>
        <v>-0.16999999999998749</v>
      </c>
      <c r="M144">
        <f t="shared" si="38"/>
        <v>0.5</v>
      </c>
      <c r="N144">
        <f t="shared" si="39"/>
        <v>0.66000000000000369</v>
      </c>
      <c r="O144">
        <f t="shared" si="40"/>
        <v>0.55000000000000426</v>
      </c>
      <c r="P144" s="10">
        <f t="shared" si="41"/>
        <v>0.22999999999999687</v>
      </c>
    </row>
    <row r="145" spans="1:16">
      <c r="A145">
        <v>20</v>
      </c>
      <c r="B145" s="42">
        <v>124.51</v>
      </c>
      <c r="C145">
        <v>137.12</v>
      </c>
      <c r="D145">
        <v>137.56</v>
      </c>
      <c r="E145">
        <v>144.22999999999999</v>
      </c>
      <c r="F145">
        <v>46.23</v>
      </c>
      <c r="G145">
        <v>44.9</v>
      </c>
      <c r="H145">
        <v>42.84</v>
      </c>
      <c r="K145" s="9">
        <f t="shared" si="36"/>
        <v>-0.17000000000001592</v>
      </c>
      <c r="L145">
        <f t="shared" si="37"/>
        <v>-0.15999999999999659</v>
      </c>
      <c r="M145">
        <f t="shared" si="38"/>
        <v>2</v>
      </c>
      <c r="N145">
        <f t="shared" si="39"/>
        <v>0.55000000000000426</v>
      </c>
      <c r="O145">
        <f t="shared" si="40"/>
        <v>0.5</v>
      </c>
      <c r="P145" s="10">
        <f t="shared" si="41"/>
        <v>0.27999999999999403</v>
      </c>
    </row>
    <row r="146" spans="1:16">
      <c r="A146">
        <v>20.170000000000002</v>
      </c>
      <c r="B146" s="42">
        <v>124.78</v>
      </c>
      <c r="C146">
        <v>137.12</v>
      </c>
      <c r="D146">
        <v>137.56</v>
      </c>
      <c r="E146">
        <v>144.28</v>
      </c>
      <c r="F146">
        <v>46.45</v>
      </c>
      <c r="G146">
        <v>45.06</v>
      </c>
      <c r="H146">
        <v>42.95</v>
      </c>
      <c r="K146" s="9">
        <f t="shared" si="36"/>
        <v>-0.5</v>
      </c>
      <c r="L146">
        <f t="shared" si="37"/>
        <v>-0.39000000000001478</v>
      </c>
      <c r="M146">
        <f t="shared" si="38"/>
        <v>4.3400000000000034</v>
      </c>
      <c r="N146">
        <f t="shared" si="39"/>
        <v>0.55999999999999517</v>
      </c>
      <c r="O146">
        <f t="shared" si="40"/>
        <v>0.5</v>
      </c>
      <c r="P146" s="10">
        <f t="shared" si="41"/>
        <v>0.27999999999999403</v>
      </c>
    </row>
    <row r="147" spans="1:16">
      <c r="A147">
        <v>20.329999999999998</v>
      </c>
      <c r="B147" s="42">
        <v>125.45</v>
      </c>
      <c r="C147">
        <v>137.06</v>
      </c>
      <c r="D147">
        <v>137.56</v>
      </c>
      <c r="E147">
        <v>144.72999999999999</v>
      </c>
      <c r="F147">
        <v>46.67</v>
      </c>
      <c r="G147">
        <v>45.28</v>
      </c>
      <c r="H147">
        <v>43.01</v>
      </c>
      <c r="K147" s="9">
        <f t="shared" si="36"/>
        <v>-0.43999999999999773</v>
      </c>
      <c r="L147">
        <f t="shared" si="37"/>
        <v>-0.43999999999999773</v>
      </c>
      <c r="M147">
        <f t="shared" si="38"/>
        <v>4.1100000000000136</v>
      </c>
      <c r="N147">
        <f t="shared" si="39"/>
        <v>0.60999999999999943</v>
      </c>
      <c r="O147">
        <f t="shared" si="40"/>
        <v>0.5</v>
      </c>
      <c r="P147" s="10">
        <f t="shared" si="41"/>
        <v>0.39000000000000057</v>
      </c>
    </row>
    <row r="148" spans="1:16">
      <c r="A148">
        <v>20.5</v>
      </c>
      <c r="B148" s="42">
        <v>126.23</v>
      </c>
      <c r="C148">
        <v>136.94999999999999</v>
      </c>
      <c r="D148">
        <v>137.4</v>
      </c>
      <c r="E148">
        <v>146.22999999999999</v>
      </c>
      <c r="F148">
        <v>46.78</v>
      </c>
      <c r="G148">
        <v>45.4</v>
      </c>
      <c r="H148">
        <v>43.12</v>
      </c>
      <c r="K148" s="9">
        <f t="shared" si="36"/>
        <v>-0.5</v>
      </c>
      <c r="L148">
        <f t="shared" si="37"/>
        <v>-0.5</v>
      </c>
      <c r="M148">
        <f t="shared" si="38"/>
        <v>2.5500000000000114</v>
      </c>
      <c r="N148">
        <f t="shared" si="39"/>
        <v>0.72999999999999687</v>
      </c>
      <c r="O148">
        <f t="shared" si="40"/>
        <v>0.5</v>
      </c>
      <c r="P148" s="10">
        <f t="shared" si="41"/>
        <v>0.3300000000000054</v>
      </c>
    </row>
    <row r="149" spans="1:16">
      <c r="A149">
        <v>20.67</v>
      </c>
      <c r="B149" s="42">
        <v>126.95</v>
      </c>
      <c r="C149">
        <v>136.62</v>
      </c>
      <c r="D149">
        <v>137.16999999999999</v>
      </c>
      <c r="E149">
        <v>148.62</v>
      </c>
      <c r="F149">
        <v>47.01</v>
      </c>
      <c r="G149">
        <v>45.56</v>
      </c>
      <c r="H149">
        <v>43.23</v>
      </c>
      <c r="K149" s="9">
        <f t="shared" si="36"/>
        <v>-6.0000000000002274E-2</v>
      </c>
      <c r="L149">
        <f t="shared" si="37"/>
        <v>-0.26999999999998181</v>
      </c>
      <c r="M149">
        <f t="shared" si="38"/>
        <v>4.9999999999982947E-2</v>
      </c>
      <c r="N149">
        <f t="shared" si="39"/>
        <v>0.66000000000000369</v>
      </c>
      <c r="O149">
        <f t="shared" si="40"/>
        <v>0.5</v>
      </c>
      <c r="P149" s="10">
        <f t="shared" si="41"/>
        <v>0.39000000000000057</v>
      </c>
    </row>
    <row r="150" spans="1:16">
      <c r="A150">
        <v>20.83</v>
      </c>
      <c r="B150" s="42">
        <v>127.06</v>
      </c>
      <c r="C150">
        <v>136.62</v>
      </c>
      <c r="D150">
        <v>137.12</v>
      </c>
      <c r="E150">
        <v>148.84</v>
      </c>
      <c r="F150">
        <v>47.28</v>
      </c>
      <c r="G150">
        <v>45.78</v>
      </c>
      <c r="H150">
        <v>43.4</v>
      </c>
      <c r="K150" s="9">
        <f t="shared" si="36"/>
        <v>-6.0000000000002274E-2</v>
      </c>
      <c r="L150">
        <f t="shared" si="37"/>
        <v>-0.34000000000000341</v>
      </c>
      <c r="M150">
        <f t="shared" si="38"/>
        <v>-0.33000000000001251</v>
      </c>
      <c r="N150">
        <f t="shared" si="39"/>
        <v>0.56000000000000227</v>
      </c>
      <c r="O150">
        <f t="shared" si="40"/>
        <v>0.39000000000000057</v>
      </c>
      <c r="P150" s="10">
        <f t="shared" si="41"/>
        <v>0.27000000000000313</v>
      </c>
    </row>
    <row r="151" spans="1:16">
      <c r="A151">
        <v>21</v>
      </c>
      <c r="B151" s="42">
        <v>128.4</v>
      </c>
      <c r="C151">
        <v>136.44999999999999</v>
      </c>
      <c r="D151">
        <v>136.9</v>
      </c>
      <c r="E151">
        <v>148.78</v>
      </c>
      <c r="F151">
        <v>47.51</v>
      </c>
      <c r="G151">
        <v>45.9</v>
      </c>
      <c r="H151">
        <v>43.45</v>
      </c>
      <c r="K151" s="9">
        <f t="shared" si="36"/>
        <v>0.28000000000000114</v>
      </c>
      <c r="L151">
        <f t="shared" si="37"/>
        <v>-6.0000000000002274E-2</v>
      </c>
      <c r="M151">
        <f t="shared" si="38"/>
        <v>-0.27000000000001023</v>
      </c>
      <c r="N151">
        <f t="shared" si="39"/>
        <v>0.55000000000000426</v>
      </c>
      <c r="O151">
        <f t="shared" si="40"/>
        <v>0.44000000000000483</v>
      </c>
      <c r="P151" s="10">
        <f t="shared" si="41"/>
        <v>0.32999999999999829</v>
      </c>
    </row>
    <row r="152" spans="1:16">
      <c r="A152">
        <v>21.17</v>
      </c>
      <c r="B152" s="42">
        <v>130.01</v>
      </c>
      <c r="C152">
        <v>136.56</v>
      </c>
      <c r="D152">
        <v>136.9</v>
      </c>
      <c r="E152">
        <v>148.66999999999999</v>
      </c>
      <c r="F152">
        <v>47.67</v>
      </c>
      <c r="G152">
        <v>46.06</v>
      </c>
      <c r="H152">
        <v>43.62</v>
      </c>
      <c r="K152" s="9">
        <f t="shared" si="36"/>
        <v>0.78000000000000114</v>
      </c>
      <c r="L152">
        <f t="shared" si="37"/>
        <v>0.5</v>
      </c>
      <c r="M152">
        <f t="shared" si="38"/>
        <v>-0.32999999999998408</v>
      </c>
      <c r="N152">
        <f t="shared" si="39"/>
        <v>0.60999999999999943</v>
      </c>
      <c r="O152">
        <f t="shared" si="40"/>
        <v>0.39000000000000057</v>
      </c>
      <c r="P152" s="10">
        <f t="shared" si="41"/>
        <v>0.3300000000000054</v>
      </c>
    </row>
    <row r="153" spans="1:16">
      <c r="A153">
        <v>21.33</v>
      </c>
      <c r="B153" s="42">
        <v>129.94999999999999</v>
      </c>
      <c r="C153">
        <v>136.56</v>
      </c>
      <c r="D153">
        <v>136.78</v>
      </c>
      <c r="E153">
        <v>148.51</v>
      </c>
      <c r="F153">
        <v>47.84</v>
      </c>
      <c r="G153">
        <v>46.17</v>
      </c>
      <c r="H153">
        <v>43.67</v>
      </c>
      <c r="K153" s="9">
        <f t="shared" ref="K153:K216" si="42">C156-C153</f>
        <v>5.8899999999999864</v>
      </c>
      <c r="L153">
        <f t="shared" ref="L153:L216" si="43">D156-D153</f>
        <v>5.3400000000000034</v>
      </c>
      <c r="M153">
        <f t="shared" ref="M153:M216" si="44">E156-E153</f>
        <v>-6.0000000000002274E-2</v>
      </c>
      <c r="N153">
        <f t="shared" ref="N153:N216" si="45">F156-F153</f>
        <v>0.6699999999999946</v>
      </c>
      <c r="O153">
        <f t="shared" ref="O153:O216" si="46">G156-G153</f>
        <v>0.44999999999999574</v>
      </c>
      <c r="P153" s="10">
        <f t="shared" ref="P153:P216" si="47">H156-H153</f>
        <v>0.5</v>
      </c>
    </row>
    <row r="154" spans="1:16">
      <c r="A154">
        <v>21.5</v>
      </c>
      <c r="B154" s="42">
        <v>130.51</v>
      </c>
      <c r="C154">
        <v>136.72999999999999</v>
      </c>
      <c r="D154">
        <v>136.84</v>
      </c>
      <c r="E154">
        <v>148.51</v>
      </c>
      <c r="F154">
        <v>48.06</v>
      </c>
      <c r="G154">
        <v>46.34</v>
      </c>
      <c r="H154">
        <v>43.78</v>
      </c>
      <c r="K154" s="9">
        <f t="shared" si="42"/>
        <v>8</v>
      </c>
      <c r="L154">
        <f t="shared" si="43"/>
        <v>7.6099999999999852</v>
      </c>
      <c r="M154">
        <f t="shared" si="44"/>
        <v>-0.10999999999998522</v>
      </c>
      <c r="N154">
        <f t="shared" si="45"/>
        <v>0.60999999999999943</v>
      </c>
      <c r="O154">
        <f t="shared" si="46"/>
        <v>0.38999999999999346</v>
      </c>
      <c r="P154" s="10">
        <f t="shared" si="47"/>
        <v>0.39000000000000057</v>
      </c>
    </row>
    <row r="155" spans="1:16">
      <c r="A155">
        <v>21.67</v>
      </c>
      <c r="B155" s="42">
        <v>130.62</v>
      </c>
      <c r="C155">
        <v>137.34</v>
      </c>
      <c r="D155">
        <v>137.4</v>
      </c>
      <c r="E155">
        <v>148.34</v>
      </c>
      <c r="F155">
        <v>48.28</v>
      </c>
      <c r="G155">
        <v>46.45</v>
      </c>
      <c r="H155">
        <v>43.95</v>
      </c>
      <c r="K155" s="9">
        <f t="shared" si="42"/>
        <v>7.1699999999999875</v>
      </c>
      <c r="L155">
        <f t="shared" si="43"/>
        <v>7.3299999999999841</v>
      </c>
      <c r="M155">
        <f t="shared" si="44"/>
        <v>0</v>
      </c>
      <c r="N155">
        <f t="shared" si="45"/>
        <v>0.61999999999999744</v>
      </c>
      <c r="O155">
        <f t="shared" si="46"/>
        <v>0.5</v>
      </c>
      <c r="P155" s="10">
        <f t="shared" si="47"/>
        <v>0.39000000000000057</v>
      </c>
    </row>
    <row r="156" spans="1:16">
      <c r="A156">
        <v>21.83</v>
      </c>
      <c r="B156" s="42">
        <v>130.84</v>
      </c>
      <c r="C156">
        <v>142.44999999999999</v>
      </c>
      <c r="D156">
        <v>142.12</v>
      </c>
      <c r="E156">
        <v>148.44999999999999</v>
      </c>
      <c r="F156">
        <v>48.51</v>
      </c>
      <c r="G156">
        <v>46.62</v>
      </c>
      <c r="H156">
        <v>44.17</v>
      </c>
      <c r="K156" s="9">
        <f t="shared" si="42"/>
        <v>1.5600000000000023</v>
      </c>
      <c r="L156">
        <f t="shared" si="43"/>
        <v>2.3899999999999864</v>
      </c>
      <c r="M156">
        <f t="shared" si="44"/>
        <v>-0.21999999999999886</v>
      </c>
      <c r="N156">
        <f t="shared" si="45"/>
        <v>0.71999999999999886</v>
      </c>
      <c r="O156">
        <f t="shared" si="46"/>
        <v>0.5</v>
      </c>
      <c r="P156" s="10">
        <f t="shared" si="47"/>
        <v>0.33999999999999631</v>
      </c>
    </row>
    <row r="157" spans="1:16">
      <c r="A157">
        <v>22</v>
      </c>
      <c r="B157" s="42">
        <v>131.56</v>
      </c>
      <c r="C157">
        <v>144.72999999999999</v>
      </c>
      <c r="D157">
        <v>144.44999999999999</v>
      </c>
      <c r="E157">
        <v>148.4</v>
      </c>
      <c r="F157">
        <v>48.67</v>
      </c>
      <c r="G157">
        <v>46.73</v>
      </c>
      <c r="H157">
        <v>44.17</v>
      </c>
      <c r="K157" s="9">
        <f t="shared" si="42"/>
        <v>-1.3299999999999841</v>
      </c>
      <c r="L157">
        <f t="shared" si="43"/>
        <v>-0.38999999999998636</v>
      </c>
      <c r="M157">
        <f t="shared" si="44"/>
        <v>-0.23000000000001819</v>
      </c>
      <c r="N157">
        <f t="shared" si="45"/>
        <v>0.55999999999999517</v>
      </c>
      <c r="O157">
        <f t="shared" si="46"/>
        <v>0.44000000000000483</v>
      </c>
      <c r="P157" s="10">
        <f t="shared" si="47"/>
        <v>0.44999999999999574</v>
      </c>
    </row>
    <row r="158" spans="1:16">
      <c r="A158">
        <v>22.17</v>
      </c>
      <c r="B158" s="42">
        <v>132.28</v>
      </c>
      <c r="C158">
        <v>144.51</v>
      </c>
      <c r="D158">
        <v>144.72999999999999</v>
      </c>
      <c r="E158">
        <v>148.34</v>
      </c>
      <c r="F158">
        <v>48.9</v>
      </c>
      <c r="G158">
        <v>46.95</v>
      </c>
      <c r="H158">
        <v>44.34</v>
      </c>
      <c r="K158" s="9">
        <f t="shared" si="42"/>
        <v>-1.5600000000000023</v>
      </c>
      <c r="L158">
        <f t="shared" si="43"/>
        <v>-1.0600000000000023</v>
      </c>
      <c r="M158">
        <f t="shared" si="44"/>
        <v>-0.17000000000001592</v>
      </c>
      <c r="N158">
        <f t="shared" si="45"/>
        <v>0.60999999999999943</v>
      </c>
      <c r="O158">
        <f t="shared" si="46"/>
        <v>0.44999999999999574</v>
      </c>
      <c r="P158" s="10">
        <f t="shared" si="47"/>
        <v>0.38999999999999346</v>
      </c>
    </row>
    <row r="159" spans="1:16">
      <c r="A159">
        <v>22.33</v>
      </c>
      <c r="B159" s="42">
        <v>132.56</v>
      </c>
      <c r="C159">
        <v>144.01</v>
      </c>
      <c r="D159">
        <v>144.51</v>
      </c>
      <c r="E159">
        <v>148.22999999999999</v>
      </c>
      <c r="F159">
        <v>49.23</v>
      </c>
      <c r="G159">
        <v>47.12</v>
      </c>
      <c r="H159">
        <v>44.51</v>
      </c>
      <c r="K159" s="9">
        <f t="shared" si="42"/>
        <v>-1.2299999999999898</v>
      </c>
      <c r="L159">
        <f t="shared" si="43"/>
        <v>-1.1099999999999852</v>
      </c>
      <c r="M159">
        <f t="shared" si="44"/>
        <v>-6.0000000000002274E-2</v>
      </c>
      <c r="N159">
        <f t="shared" si="45"/>
        <v>0.44000000000000483</v>
      </c>
      <c r="O159">
        <f t="shared" si="46"/>
        <v>0.39000000000000057</v>
      </c>
      <c r="P159" s="10">
        <f t="shared" si="47"/>
        <v>0.39000000000000057</v>
      </c>
    </row>
    <row r="160" spans="1:16">
      <c r="A160">
        <v>22.5</v>
      </c>
      <c r="B160" s="42">
        <v>133.01</v>
      </c>
      <c r="C160">
        <v>143.4</v>
      </c>
      <c r="D160">
        <v>144.06</v>
      </c>
      <c r="E160">
        <v>148.16999999999999</v>
      </c>
      <c r="F160">
        <v>49.23</v>
      </c>
      <c r="G160">
        <v>47.17</v>
      </c>
      <c r="H160">
        <v>44.62</v>
      </c>
      <c r="K160" s="9">
        <f t="shared" si="42"/>
        <v>-0.78000000000000114</v>
      </c>
      <c r="L160">
        <f t="shared" si="43"/>
        <v>-0.78000000000000114</v>
      </c>
      <c r="M160">
        <f t="shared" si="44"/>
        <v>-0.10999999999998522</v>
      </c>
      <c r="N160">
        <f t="shared" si="45"/>
        <v>0.55000000000000426</v>
      </c>
      <c r="O160">
        <f t="shared" si="46"/>
        <v>0.39000000000000057</v>
      </c>
      <c r="P160" s="10">
        <f t="shared" si="47"/>
        <v>0.28000000000000114</v>
      </c>
    </row>
    <row r="161" spans="1:16">
      <c r="A161">
        <v>22.67</v>
      </c>
      <c r="B161" s="42">
        <v>132.94999999999999</v>
      </c>
      <c r="C161">
        <v>142.94999999999999</v>
      </c>
      <c r="D161">
        <v>143.66999999999999</v>
      </c>
      <c r="E161">
        <v>148.16999999999999</v>
      </c>
      <c r="F161">
        <v>49.51</v>
      </c>
      <c r="G161">
        <v>47.4</v>
      </c>
      <c r="H161">
        <v>44.73</v>
      </c>
      <c r="K161" s="9">
        <f t="shared" si="42"/>
        <v>-0.5</v>
      </c>
      <c r="L161">
        <f t="shared" si="43"/>
        <v>-0.60999999999998522</v>
      </c>
      <c r="M161">
        <f t="shared" si="44"/>
        <v>0</v>
      </c>
      <c r="N161">
        <f t="shared" si="45"/>
        <v>0.55000000000000426</v>
      </c>
      <c r="O161">
        <f t="shared" si="46"/>
        <v>0.38000000000000256</v>
      </c>
      <c r="P161" s="10">
        <f t="shared" si="47"/>
        <v>0.28000000000000114</v>
      </c>
    </row>
    <row r="162" spans="1:16">
      <c r="A162">
        <v>22.83</v>
      </c>
      <c r="B162" s="42">
        <v>133.06</v>
      </c>
      <c r="C162">
        <v>142.78</v>
      </c>
      <c r="D162">
        <v>143.4</v>
      </c>
      <c r="E162">
        <v>148.16999999999999</v>
      </c>
      <c r="F162">
        <v>49.67</v>
      </c>
      <c r="G162">
        <v>47.51</v>
      </c>
      <c r="H162">
        <v>44.9</v>
      </c>
      <c r="K162" s="9">
        <f t="shared" si="42"/>
        <v>-0.33000000000001251</v>
      </c>
      <c r="L162">
        <f t="shared" si="43"/>
        <v>-0.34000000000000341</v>
      </c>
      <c r="M162">
        <f t="shared" si="44"/>
        <v>0.39000000000001478</v>
      </c>
      <c r="N162">
        <f t="shared" si="45"/>
        <v>0.67000000000000171</v>
      </c>
      <c r="O162">
        <f t="shared" si="46"/>
        <v>0.44000000000000483</v>
      </c>
      <c r="P162" s="10">
        <f t="shared" si="47"/>
        <v>0.27000000000000313</v>
      </c>
    </row>
    <row r="163" spans="1:16">
      <c r="A163">
        <v>23</v>
      </c>
      <c r="B163" s="42">
        <v>133.28</v>
      </c>
      <c r="C163">
        <v>142.62</v>
      </c>
      <c r="D163">
        <v>143.28</v>
      </c>
      <c r="E163">
        <v>148.06</v>
      </c>
      <c r="F163">
        <v>49.78</v>
      </c>
      <c r="G163">
        <v>47.56</v>
      </c>
      <c r="H163">
        <v>44.9</v>
      </c>
      <c r="K163" s="9">
        <f t="shared" si="42"/>
        <v>-0.21999999999999886</v>
      </c>
      <c r="L163">
        <f t="shared" si="43"/>
        <v>-0.33000000000001251</v>
      </c>
      <c r="M163">
        <f t="shared" si="44"/>
        <v>1.6099999999999852</v>
      </c>
      <c r="N163">
        <f t="shared" si="45"/>
        <v>0.78000000000000114</v>
      </c>
      <c r="O163">
        <f t="shared" si="46"/>
        <v>0.55999999999999517</v>
      </c>
      <c r="P163" s="10">
        <f t="shared" si="47"/>
        <v>0.38000000000000256</v>
      </c>
    </row>
    <row r="164" spans="1:16">
      <c r="A164">
        <v>23.17</v>
      </c>
      <c r="B164" s="42">
        <v>133.72999999999999</v>
      </c>
      <c r="C164">
        <v>142.44999999999999</v>
      </c>
      <c r="D164">
        <v>143.06</v>
      </c>
      <c r="E164">
        <v>148.16999999999999</v>
      </c>
      <c r="F164">
        <v>50.06</v>
      </c>
      <c r="G164">
        <v>47.78</v>
      </c>
      <c r="H164">
        <v>45.01</v>
      </c>
      <c r="K164" s="9">
        <f t="shared" si="42"/>
        <v>-0.21999999999999886</v>
      </c>
      <c r="L164">
        <f t="shared" si="43"/>
        <v>-0.21999999999999886</v>
      </c>
      <c r="M164">
        <f t="shared" si="44"/>
        <v>2.9500000000000171</v>
      </c>
      <c r="N164">
        <f t="shared" si="45"/>
        <v>0.6699999999999946</v>
      </c>
      <c r="O164">
        <f t="shared" si="46"/>
        <v>0.44999999999999574</v>
      </c>
      <c r="P164" s="10">
        <f t="shared" si="47"/>
        <v>0.3300000000000054</v>
      </c>
    </row>
    <row r="165" spans="1:16">
      <c r="A165">
        <v>23.33</v>
      </c>
      <c r="B165" s="42">
        <v>134.4</v>
      </c>
      <c r="C165">
        <v>142.44999999999999</v>
      </c>
      <c r="D165">
        <v>143.06</v>
      </c>
      <c r="E165">
        <v>148.56</v>
      </c>
      <c r="F165">
        <v>50.34</v>
      </c>
      <c r="G165">
        <v>47.95</v>
      </c>
      <c r="H165">
        <v>45.17</v>
      </c>
      <c r="K165" s="9">
        <f t="shared" si="42"/>
        <v>-0.28000000000000114</v>
      </c>
      <c r="L165">
        <f t="shared" si="43"/>
        <v>-0.39000000000001478</v>
      </c>
      <c r="M165">
        <f t="shared" si="44"/>
        <v>2.9499999999999886</v>
      </c>
      <c r="N165">
        <f t="shared" si="45"/>
        <v>0.55999999999999517</v>
      </c>
      <c r="O165">
        <f t="shared" si="46"/>
        <v>0.44999999999999574</v>
      </c>
      <c r="P165" s="10">
        <f t="shared" si="47"/>
        <v>0.17000000000000171</v>
      </c>
    </row>
    <row r="166" spans="1:16">
      <c r="A166">
        <v>23.5</v>
      </c>
      <c r="B166" s="42">
        <v>134.62</v>
      </c>
      <c r="C166">
        <v>142.4</v>
      </c>
      <c r="D166">
        <v>142.94999999999999</v>
      </c>
      <c r="E166">
        <v>149.66999999999999</v>
      </c>
      <c r="F166">
        <v>50.56</v>
      </c>
      <c r="G166">
        <v>48.12</v>
      </c>
      <c r="H166">
        <v>45.28</v>
      </c>
      <c r="K166" s="9">
        <f t="shared" si="42"/>
        <v>-0.34000000000000341</v>
      </c>
      <c r="L166">
        <f t="shared" si="43"/>
        <v>-0.43999999999999773</v>
      </c>
      <c r="M166">
        <f t="shared" si="44"/>
        <v>1.6100000000000136</v>
      </c>
      <c r="N166">
        <f t="shared" si="45"/>
        <v>0.55999999999999517</v>
      </c>
      <c r="O166">
        <f t="shared" si="46"/>
        <v>0.39000000000000057</v>
      </c>
      <c r="P166" s="10">
        <f t="shared" si="47"/>
        <v>0.22999999999999687</v>
      </c>
    </row>
    <row r="167" spans="1:16">
      <c r="A167">
        <v>23.67</v>
      </c>
      <c r="B167" s="42">
        <v>135.4</v>
      </c>
      <c r="C167">
        <v>142.22999999999999</v>
      </c>
      <c r="D167">
        <v>142.84</v>
      </c>
      <c r="E167">
        <v>151.12</v>
      </c>
      <c r="F167">
        <v>50.73</v>
      </c>
      <c r="G167">
        <v>48.23</v>
      </c>
      <c r="H167">
        <v>45.34</v>
      </c>
      <c r="K167" s="9">
        <f t="shared" si="42"/>
        <v>-0.21999999999999886</v>
      </c>
      <c r="L167">
        <f t="shared" si="43"/>
        <v>-0.39000000000001478</v>
      </c>
      <c r="M167">
        <f t="shared" si="44"/>
        <v>0.10999999999998522</v>
      </c>
      <c r="N167">
        <f t="shared" si="45"/>
        <v>0.55000000000000426</v>
      </c>
      <c r="O167">
        <f t="shared" si="46"/>
        <v>0.44000000000000483</v>
      </c>
      <c r="P167" s="10">
        <f t="shared" si="47"/>
        <v>0.32999999999999829</v>
      </c>
    </row>
    <row r="168" spans="1:16">
      <c r="A168">
        <v>23.83</v>
      </c>
      <c r="B168" s="42">
        <v>136.12</v>
      </c>
      <c r="C168">
        <v>142.16999999999999</v>
      </c>
      <c r="D168">
        <v>142.66999999999999</v>
      </c>
      <c r="E168">
        <v>151.51</v>
      </c>
      <c r="F168">
        <v>50.9</v>
      </c>
      <c r="G168">
        <v>48.4</v>
      </c>
      <c r="H168">
        <v>45.34</v>
      </c>
      <c r="K168" s="9">
        <f t="shared" si="42"/>
        <v>-0.32999999999998408</v>
      </c>
      <c r="L168">
        <f t="shared" si="43"/>
        <v>-0.5</v>
      </c>
      <c r="M168">
        <f t="shared" si="44"/>
        <v>-0.38999999999998636</v>
      </c>
      <c r="N168">
        <f t="shared" si="45"/>
        <v>0.55000000000000426</v>
      </c>
      <c r="O168">
        <f t="shared" si="46"/>
        <v>0.38000000000000256</v>
      </c>
      <c r="P168" s="10">
        <f t="shared" si="47"/>
        <v>0.43999999999999773</v>
      </c>
    </row>
    <row r="169" spans="1:16">
      <c r="A169">
        <v>24</v>
      </c>
      <c r="B169" s="42">
        <v>136.34</v>
      </c>
      <c r="C169">
        <v>142.06</v>
      </c>
      <c r="D169">
        <v>142.51</v>
      </c>
      <c r="E169">
        <v>151.28</v>
      </c>
      <c r="F169">
        <v>51.12</v>
      </c>
      <c r="G169">
        <v>48.51</v>
      </c>
      <c r="H169">
        <v>45.51</v>
      </c>
      <c r="K169" s="9">
        <f t="shared" si="42"/>
        <v>-0.11000000000001364</v>
      </c>
      <c r="L169">
        <f t="shared" si="43"/>
        <v>-0.16999999999998749</v>
      </c>
      <c r="M169">
        <f t="shared" si="44"/>
        <v>-0.21999999999999886</v>
      </c>
      <c r="N169">
        <f t="shared" si="45"/>
        <v>0.60999999999999943</v>
      </c>
      <c r="O169">
        <f t="shared" si="46"/>
        <v>0.44000000000000483</v>
      </c>
      <c r="P169" s="10">
        <f t="shared" si="47"/>
        <v>0.44000000000000483</v>
      </c>
    </row>
    <row r="170" spans="1:16">
      <c r="A170">
        <v>24.17</v>
      </c>
      <c r="B170" s="42">
        <v>136.22999999999999</v>
      </c>
      <c r="C170">
        <v>142.01</v>
      </c>
      <c r="D170">
        <v>142.44999999999999</v>
      </c>
      <c r="E170">
        <v>151.22999999999999</v>
      </c>
      <c r="F170">
        <v>51.28</v>
      </c>
      <c r="G170">
        <v>48.67</v>
      </c>
      <c r="H170">
        <v>45.67</v>
      </c>
      <c r="K170" s="9">
        <f t="shared" si="42"/>
        <v>0.11000000000001364</v>
      </c>
      <c r="L170">
        <f t="shared" si="43"/>
        <v>-0.16999999999998749</v>
      </c>
      <c r="M170">
        <f t="shared" si="44"/>
        <v>-0.21999999999999886</v>
      </c>
      <c r="N170">
        <f t="shared" si="45"/>
        <v>0.67000000000000171</v>
      </c>
      <c r="O170">
        <f t="shared" si="46"/>
        <v>0.39000000000000057</v>
      </c>
      <c r="P170" s="10">
        <f t="shared" si="47"/>
        <v>0.33999999999999631</v>
      </c>
    </row>
    <row r="171" spans="1:16">
      <c r="A171">
        <v>24.33</v>
      </c>
      <c r="B171" s="42">
        <v>136.4</v>
      </c>
      <c r="C171">
        <v>141.84</v>
      </c>
      <c r="D171">
        <v>142.16999999999999</v>
      </c>
      <c r="E171">
        <v>151.12</v>
      </c>
      <c r="F171">
        <v>51.45</v>
      </c>
      <c r="G171">
        <v>48.78</v>
      </c>
      <c r="H171">
        <v>45.78</v>
      </c>
      <c r="K171" s="9">
        <f t="shared" si="42"/>
        <v>0.21999999999999886</v>
      </c>
      <c r="L171">
        <f t="shared" si="43"/>
        <v>0.11000000000001364</v>
      </c>
      <c r="M171">
        <f t="shared" si="44"/>
        <v>-0.11000000000001364</v>
      </c>
      <c r="N171">
        <f t="shared" si="45"/>
        <v>0.60999999999999943</v>
      </c>
      <c r="O171">
        <f t="shared" si="46"/>
        <v>0.44999999999999574</v>
      </c>
      <c r="P171" s="10">
        <f t="shared" si="47"/>
        <v>0.39000000000000057</v>
      </c>
    </row>
    <row r="172" spans="1:16">
      <c r="A172">
        <v>24.5</v>
      </c>
      <c r="B172" s="42">
        <v>136.9</v>
      </c>
      <c r="C172">
        <v>141.94999999999999</v>
      </c>
      <c r="D172">
        <v>142.34</v>
      </c>
      <c r="E172">
        <v>151.06</v>
      </c>
      <c r="F172">
        <v>51.73</v>
      </c>
      <c r="G172">
        <v>48.95</v>
      </c>
      <c r="H172">
        <v>45.95</v>
      </c>
      <c r="K172" s="9">
        <f t="shared" si="42"/>
        <v>0.17000000000001592</v>
      </c>
      <c r="L172">
        <f t="shared" si="43"/>
        <v>0</v>
      </c>
      <c r="M172">
        <f t="shared" si="44"/>
        <v>-5.0000000000011369E-2</v>
      </c>
      <c r="N172">
        <f t="shared" si="45"/>
        <v>0.5</v>
      </c>
      <c r="O172">
        <f t="shared" si="46"/>
        <v>0.39000000000000057</v>
      </c>
      <c r="P172" s="10">
        <f t="shared" si="47"/>
        <v>0.21999999999999886</v>
      </c>
    </row>
    <row r="173" spans="1:16">
      <c r="A173">
        <v>24.67</v>
      </c>
      <c r="B173" s="42">
        <v>137.22999999999999</v>
      </c>
      <c r="C173">
        <v>142.12</v>
      </c>
      <c r="D173">
        <v>142.28</v>
      </c>
      <c r="E173">
        <v>151.01</v>
      </c>
      <c r="F173">
        <v>51.95</v>
      </c>
      <c r="G173">
        <v>49.06</v>
      </c>
      <c r="H173">
        <v>46.01</v>
      </c>
      <c r="K173" s="9">
        <f t="shared" si="42"/>
        <v>4.9999999999982947E-2</v>
      </c>
      <c r="L173">
        <f t="shared" si="43"/>
        <v>6.0000000000002274E-2</v>
      </c>
      <c r="M173">
        <f t="shared" si="44"/>
        <v>0.11000000000001364</v>
      </c>
      <c r="N173">
        <f t="shared" si="45"/>
        <v>0.55999999999999517</v>
      </c>
      <c r="O173">
        <f t="shared" si="46"/>
        <v>0.5</v>
      </c>
      <c r="P173" s="10">
        <f t="shared" si="47"/>
        <v>0.44000000000000483</v>
      </c>
    </row>
    <row r="174" spans="1:16">
      <c r="A174">
        <v>24.83</v>
      </c>
      <c r="B174" s="42">
        <v>137.72999999999999</v>
      </c>
      <c r="C174">
        <v>142.06</v>
      </c>
      <c r="D174">
        <v>142.28</v>
      </c>
      <c r="E174">
        <v>151.01</v>
      </c>
      <c r="F174">
        <v>52.06</v>
      </c>
      <c r="G174">
        <v>49.23</v>
      </c>
      <c r="H174">
        <v>46.17</v>
      </c>
      <c r="K174" s="9">
        <f t="shared" si="42"/>
        <v>0</v>
      </c>
      <c r="L174">
        <f t="shared" si="43"/>
        <v>6.0000000000002274E-2</v>
      </c>
      <c r="M174">
        <f t="shared" si="44"/>
        <v>0.43999999999999773</v>
      </c>
      <c r="N174">
        <f t="shared" si="45"/>
        <v>0.60999999999999943</v>
      </c>
      <c r="O174">
        <f t="shared" si="46"/>
        <v>0.39000000000000057</v>
      </c>
      <c r="P174" s="10">
        <f t="shared" si="47"/>
        <v>0.39000000000000057</v>
      </c>
    </row>
    <row r="175" spans="1:16">
      <c r="A175">
        <v>25</v>
      </c>
      <c r="B175" s="42">
        <v>138.22999999999999</v>
      </c>
      <c r="C175">
        <v>142.12</v>
      </c>
      <c r="D175">
        <v>142.34</v>
      </c>
      <c r="E175">
        <v>151.01</v>
      </c>
      <c r="F175">
        <v>52.23</v>
      </c>
      <c r="G175">
        <v>49.34</v>
      </c>
      <c r="H175">
        <v>46.17</v>
      </c>
      <c r="K175" s="9">
        <f t="shared" si="42"/>
        <v>-0.11000000000001364</v>
      </c>
      <c r="L175">
        <f t="shared" si="43"/>
        <v>-6.0000000000002274E-2</v>
      </c>
      <c r="M175">
        <f t="shared" si="44"/>
        <v>0.65999999999999659</v>
      </c>
      <c r="N175">
        <f t="shared" si="45"/>
        <v>0.72000000000000597</v>
      </c>
      <c r="O175">
        <f t="shared" si="46"/>
        <v>0.55999999999999517</v>
      </c>
      <c r="P175" s="10">
        <f t="shared" si="47"/>
        <v>0.60999999999999943</v>
      </c>
    </row>
    <row r="176" spans="1:16">
      <c r="A176">
        <v>25.17</v>
      </c>
      <c r="B176" s="42">
        <v>138.66999999999999</v>
      </c>
      <c r="C176">
        <v>142.16999999999999</v>
      </c>
      <c r="D176">
        <v>142.34</v>
      </c>
      <c r="E176">
        <v>151.12</v>
      </c>
      <c r="F176">
        <v>52.51</v>
      </c>
      <c r="G176">
        <v>49.56</v>
      </c>
      <c r="H176">
        <v>46.45</v>
      </c>
      <c r="K176" s="9">
        <f t="shared" si="42"/>
        <v>-0.26999999999998181</v>
      </c>
      <c r="L176">
        <f t="shared" si="43"/>
        <v>-0.21999999999999886</v>
      </c>
      <c r="M176">
        <f t="shared" si="44"/>
        <v>0.54999999999998295</v>
      </c>
      <c r="N176">
        <f t="shared" si="45"/>
        <v>0.5</v>
      </c>
      <c r="O176">
        <f t="shared" si="46"/>
        <v>0.33999999999999631</v>
      </c>
      <c r="P176" s="10">
        <f t="shared" si="47"/>
        <v>0.39000000000000057</v>
      </c>
    </row>
    <row r="177" spans="1:16">
      <c r="A177">
        <v>25.33</v>
      </c>
      <c r="B177" s="42">
        <v>138.56</v>
      </c>
      <c r="C177">
        <v>142.06</v>
      </c>
      <c r="D177">
        <v>142.34</v>
      </c>
      <c r="E177">
        <v>151.44999999999999</v>
      </c>
      <c r="F177">
        <v>52.67</v>
      </c>
      <c r="G177">
        <v>49.62</v>
      </c>
      <c r="H177">
        <v>46.56</v>
      </c>
      <c r="K177" s="9">
        <f t="shared" si="42"/>
        <v>-0.43999999999999773</v>
      </c>
      <c r="L177">
        <f t="shared" si="43"/>
        <v>-0.39000000000001478</v>
      </c>
      <c r="M177">
        <f t="shared" si="44"/>
        <v>0.61000000000001364</v>
      </c>
      <c r="N177">
        <f t="shared" si="45"/>
        <v>0.55999999999999517</v>
      </c>
      <c r="O177">
        <f t="shared" si="46"/>
        <v>0.55000000000000426</v>
      </c>
      <c r="P177" s="10">
        <f t="shared" si="47"/>
        <v>0.44999999999999574</v>
      </c>
    </row>
    <row r="178" spans="1:16">
      <c r="A178">
        <v>25.5</v>
      </c>
      <c r="B178" s="42">
        <v>138.06</v>
      </c>
      <c r="C178">
        <v>142.01</v>
      </c>
      <c r="D178">
        <v>142.28</v>
      </c>
      <c r="E178">
        <v>151.66999999999999</v>
      </c>
      <c r="F178">
        <v>52.95</v>
      </c>
      <c r="G178">
        <v>49.9</v>
      </c>
      <c r="H178">
        <v>46.78</v>
      </c>
      <c r="K178" s="9">
        <f t="shared" si="42"/>
        <v>-0.66999999999998749</v>
      </c>
      <c r="L178">
        <f t="shared" si="43"/>
        <v>-0.43999999999999773</v>
      </c>
      <c r="M178">
        <f t="shared" si="44"/>
        <v>0.78000000000000114</v>
      </c>
      <c r="N178">
        <f t="shared" si="45"/>
        <v>0.44999999999999574</v>
      </c>
      <c r="O178">
        <f t="shared" si="46"/>
        <v>0.44000000000000483</v>
      </c>
      <c r="P178" s="10">
        <f t="shared" si="47"/>
        <v>0.28000000000000114</v>
      </c>
    </row>
    <row r="179" spans="1:16">
      <c r="A179">
        <v>25.67</v>
      </c>
      <c r="B179" s="42">
        <v>138.22999999999999</v>
      </c>
      <c r="C179">
        <v>141.9</v>
      </c>
      <c r="D179">
        <v>142.12</v>
      </c>
      <c r="E179">
        <v>151.66999999999999</v>
      </c>
      <c r="F179">
        <v>53.01</v>
      </c>
      <c r="G179">
        <v>49.9</v>
      </c>
      <c r="H179">
        <v>46.84</v>
      </c>
      <c r="K179" s="9">
        <f t="shared" si="42"/>
        <v>-0.67000000000001592</v>
      </c>
      <c r="L179">
        <f t="shared" si="43"/>
        <v>-0.5</v>
      </c>
      <c r="M179">
        <f t="shared" si="44"/>
        <v>0.95000000000001705</v>
      </c>
      <c r="N179">
        <f t="shared" si="45"/>
        <v>0.5</v>
      </c>
      <c r="O179">
        <f t="shared" si="46"/>
        <v>0.44000000000000483</v>
      </c>
      <c r="P179" s="10">
        <f t="shared" si="47"/>
        <v>0.32999999999999829</v>
      </c>
    </row>
    <row r="180" spans="1:16">
      <c r="A180">
        <v>25.83</v>
      </c>
      <c r="B180" s="42">
        <v>138.22999999999999</v>
      </c>
      <c r="C180">
        <v>141.62</v>
      </c>
      <c r="D180">
        <v>141.94999999999999</v>
      </c>
      <c r="E180">
        <v>152.06</v>
      </c>
      <c r="F180">
        <v>53.23</v>
      </c>
      <c r="G180">
        <v>50.17</v>
      </c>
      <c r="H180">
        <v>47.01</v>
      </c>
      <c r="K180" s="9">
        <f t="shared" si="42"/>
        <v>-0.45000000000001705</v>
      </c>
      <c r="L180">
        <f t="shared" si="43"/>
        <v>-0.43999999999999773</v>
      </c>
      <c r="M180">
        <f t="shared" si="44"/>
        <v>1.3400000000000034</v>
      </c>
      <c r="N180">
        <f t="shared" si="45"/>
        <v>0.44000000000000483</v>
      </c>
      <c r="O180">
        <f t="shared" si="46"/>
        <v>0.39000000000000057</v>
      </c>
      <c r="P180" s="10">
        <f t="shared" si="47"/>
        <v>0.39000000000000057</v>
      </c>
    </row>
    <row r="181" spans="1:16">
      <c r="A181">
        <v>26</v>
      </c>
      <c r="B181" s="42">
        <v>137.84</v>
      </c>
      <c r="C181">
        <v>141.34</v>
      </c>
      <c r="D181">
        <v>141.84</v>
      </c>
      <c r="E181">
        <v>152.44999999999999</v>
      </c>
      <c r="F181">
        <v>53.4</v>
      </c>
      <c r="G181">
        <v>50.34</v>
      </c>
      <c r="H181">
        <v>47.06</v>
      </c>
      <c r="K181" s="9">
        <f t="shared" si="42"/>
        <v>-0.5</v>
      </c>
      <c r="L181">
        <f t="shared" si="43"/>
        <v>-0.56000000000000227</v>
      </c>
      <c r="M181">
        <f t="shared" si="44"/>
        <v>1.5600000000000023</v>
      </c>
      <c r="N181">
        <f t="shared" si="45"/>
        <v>0.55000000000000426</v>
      </c>
      <c r="O181">
        <f t="shared" si="46"/>
        <v>0.32999999999999829</v>
      </c>
      <c r="P181" s="10">
        <f t="shared" si="47"/>
        <v>0.33999999999999631</v>
      </c>
    </row>
    <row r="182" spans="1:16">
      <c r="A182">
        <v>26.17</v>
      </c>
      <c r="B182" s="42">
        <v>137.62</v>
      </c>
      <c r="C182">
        <v>141.22999999999999</v>
      </c>
      <c r="D182">
        <v>141.62</v>
      </c>
      <c r="E182">
        <v>152.62</v>
      </c>
      <c r="F182">
        <v>53.51</v>
      </c>
      <c r="G182">
        <v>50.34</v>
      </c>
      <c r="H182">
        <v>47.17</v>
      </c>
      <c r="K182" s="9">
        <f t="shared" si="42"/>
        <v>-0.56000000000000227</v>
      </c>
      <c r="L182">
        <f t="shared" si="43"/>
        <v>-0.56000000000000227</v>
      </c>
      <c r="M182">
        <f t="shared" si="44"/>
        <v>2.2800000000000011</v>
      </c>
      <c r="N182">
        <f t="shared" si="45"/>
        <v>0.60999999999999943</v>
      </c>
      <c r="O182">
        <f t="shared" si="46"/>
        <v>0.38999999999999346</v>
      </c>
      <c r="P182" s="10">
        <f t="shared" si="47"/>
        <v>0.33999999999999631</v>
      </c>
    </row>
    <row r="183" spans="1:16">
      <c r="A183">
        <v>26.33</v>
      </c>
      <c r="B183" s="42">
        <v>137.16999999999999</v>
      </c>
      <c r="C183">
        <v>141.16999999999999</v>
      </c>
      <c r="D183">
        <v>141.51</v>
      </c>
      <c r="E183">
        <v>153.4</v>
      </c>
      <c r="F183">
        <v>53.67</v>
      </c>
      <c r="G183">
        <v>50.56</v>
      </c>
      <c r="H183">
        <v>47.4</v>
      </c>
      <c r="K183" s="9">
        <f t="shared" si="42"/>
        <v>-0.71999999999999886</v>
      </c>
      <c r="L183">
        <f t="shared" si="43"/>
        <v>-0.66999999999998749</v>
      </c>
      <c r="M183">
        <f t="shared" si="44"/>
        <v>2.4399999999999977</v>
      </c>
      <c r="N183">
        <f t="shared" si="45"/>
        <v>0.60999999999999943</v>
      </c>
      <c r="O183">
        <f t="shared" si="46"/>
        <v>0.1699999999999946</v>
      </c>
      <c r="P183" s="10">
        <f t="shared" si="47"/>
        <v>0.21999999999999886</v>
      </c>
    </row>
    <row r="184" spans="1:16">
      <c r="A184">
        <v>26.5</v>
      </c>
      <c r="B184" s="42">
        <v>135.94999999999999</v>
      </c>
      <c r="C184">
        <v>140.84</v>
      </c>
      <c r="D184">
        <v>141.28</v>
      </c>
      <c r="E184">
        <v>154.01</v>
      </c>
      <c r="F184">
        <v>53.95</v>
      </c>
      <c r="G184">
        <v>50.67</v>
      </c>
      <c r="H184">
        <v>47.4</v>
      </c>
      <c r="K184" s="9">
        <f t="shared" si="42"/>
        <v>-0.33000000000001251</v>
      </c>
      <c r="L184">
        <f t="shared" si="43"/>
        <v>-0.5</v>
      </c>
      <c r="M184">
        <f t="shared" si="44"/>
        <v>2.3300000000000125</v>
      </c>
      <c r="N184">
        <f t="shared" si="45"/>
        <v>0.55999999999999517</v>
      </c>
      <c r="O184">
        <f t="shared" si="46"/>
        <v>0.22999999999999687</v>
      </c>
      <c r="P184" s="10">
        <f t="shared" si="47"/>
        <v>0.38000000000000256</v>
      </c>
    </row>
    <row r="185" spans="1:16">
      <c r="A185">
        <v>26.67</v>
      </c>
      <c r="B185" s="42">
        <v>135.34</v>
      </c>
      <c r="C185">
        <v>140.66999999999999</v>
      </c>
      <c r="D185">
        <v>141.06</v>
      </c>
      <c r="E185">
        <v>154.9</v>
      </c>
      <c r="F185">
        <v>54.12</v>
      </c>
      <c r="G185">
        <v>50.73</v>
      </c>
      <c r="H185">
        <v>47.51</v>
      </c>
      <c r="K185" s="9">
        <f t="shared" si="42"/>
        <v>0</v>
      </c>
      <c r="L185">
        <f t="shared" si="43"/>
        <v>-0.11000000000001364</v>
      </c>
      <c r="M185">
        <f t="shared" si="44"/>
        <v>2.2699999999999818</v>
      </c>
      <c r="N185">
        <f t="shared" si="45"/>
        <v>0.5</v>
      </c>
      <c r="O185">
        <f t="shared" si="46"/>
        <v>0.17000000000000171</v>
      </c>
      <c r="P185" s="10">
        <f t="shared" si="47"/>
        <v>0.27000000000000313</v>
      </c>
    </row>
    <row r="186" spans="1:16">
      <c r="A186">
        <v>26.83</v>
      </c>
      <c r="B186" s="42">
        <v>134.72999999999999</v>
      </c>
      <c r="C186">
        <v>140.44999999999999</v>
      </c>
      <c r="D186">
        <v>140.84</v>
      </c>
      <c r="E186">
        <v>155.84</v>
      </c>
      <c r="F186">
        <v>54.28</v>
      </c>
      <c r="G186">
        <v>50.73</v>
      </c>
      <c r="H186">
        <v>47.62</v>
      </c>
      <c r="K186" s="9">
        <f t="shared" si="42"/>
        <v>0.45000000000001705</v>
      </c>
      <c r="L186">
        <f t="shared" si="43"/>
        <v>0.28000000000000114</v>
      </c>
      <c r="M186">
        <f t="shared" si="44"/>
        <v>1.5</v>
      </c>
      <c r="N186">
        <f t="shared" si="45"/>
        <v>0.44999999999999574</v>
      </c>
      <c r="O186">
        <f t="shared" si="46"/>
        <v>0.17000000000000171</v>
      </c>
      <c r="P186" s="10">
        <f t="shared" si="47"/>
        <v>0.22000000000000597</v>
      </c>
    </row>
    <row r="187" spans="1:16">
      <c r="A187">
        <v>27</v>
      </c>
      <c r="B187" s="42">
        <v>133.66999999999999</v>
      </c>
      <c r="C187">
        <v>140.51</v>
      </c>
      <c r="D187">
        <v>140.78</v>
      </c>
      <c r="E187">
        <v>156.34</v>
      </c>
      <c r="F187">
        <v>54.51</v>
      </c>
      <c r="G187">
        <v>50.9</v>
      </c>
      <c r="H187">
        <v>47.78</v>
      </c>
      <c r="K187" s="9">
        <f t="shared" si="42"/>
        <v>0.43999999999999773</v>
      </c>
      <c r="L187">
        <f t="shared" si="43"/>
        <v>0.34000000000000341</v>
      </c>
      <c r="M187">
        <f t="shared" si="44"/>
        <v>1.5</v>
      </c>
      <c r="N187">
        <f t="shared" si="45"/>
        <v>0.39000000000000057</v>
      </c>
      <c r="O187">
        <f t="shared" si="46"/>
        <v>0.21999999999999886</v>
      </c>
      <c r="P187" s="10">
        <f t="shared" si="47"/>
        <v>0.17000000000000171</v>
      </c>
    </row>
    <row r="188" spans="1:16">
      <c r="A188">
        <v>27.17</v>
      </c>
      <c r="B188" s="42">
        <v>132.44999999999999</v>
      </c>
      <c r="C188">
        <v>140.66999999999999</v>
      </c>
      <c r="D188">
        <v>140.94999999999999</v>
      </c>
      <c r="E188">
        <v>157.16999999999999</v>
      </c>
      <c r="F188">
        <v>54.62</v>
      </c>
      <c r="G188">
        <v>50.9</v>
      </c>
      <c r="H188">
        <v>47.78</v>
      </c>
      <c r="K188" s="9">
        <f t="shared" si="42"/>
        <v>0.23000000000001819</v>
      </c>
      <c r="L188">
        <f t="shared" si="43"/>
        <v>0.17000000000001592</v>
      </c>
      <c r="M188">
        <f t="shared" si="44"/>
        <v>0.95000000000001705</v>
      </c>
      <c r="N188">
        <f t="shared" si="45"/>
        <v>0.5</v>
      </c>
      <c r="O188">
        <f t="shared" si="46"/>
        <v>0.32999999999999829</v>
      </c>
      <c r="P188" s="10">
        <f t="shared" si="47"/>
        <v>0.22999999999999687</v>
      </c>
    </row>
    <row r="189" spans="1:16">
      <c r="A189">
        <v>27.33</v>
      </c>
      <c r="B189" s="42">
        <v>130.16999999999999</v>
      </c>
      <c r="C189">
        <v>140.9</v>
      </c>
      <c r="D189">
        <v>141.12</v>
      </c>
      <c r="E189">
        <v>157.34</v>
      </c>
      <c r="F189">
        <v>54.73</v>
      </c>
      <c r="G189">
        <v>50.9</v>
      </c>
      <c r="H189">
        <v>47.84</v>
      </c>
      <c r="K189" s="9">
        <f t="shared" si="42"/>
        <v>-0.56000000000000227</v>
      </c>
      <c r="L189">
        <f t="shared" si="43"/>
        <v>-0.45000000000001705</v>
      </c>
      <c r="M189">
        <f t="shared" si="44"/>
        <v>1.2199999999999989</v>
      </c>
      <c r="N189">
        <f t="shared" si="45"/>
        <v>0.44000000000000483</v>
      </c>
      <c r="O189">
        <f t="shared" si="46"/>
        <v>0.38000000000000256</v>
      </c>
      <c r="P189" s="10">
        <f t="shared" si="47"/>
        <v>0.21999999999999886</v>
      </c>
    </row>
    <row r="190" spans="1:16">
      <c r="A190">
        <v>27.5</v>
      </c>
      <c r="B190" s="42">
        <v>128.01</v>
      </c>
      <c r="C190">
        <v>140.94999999999999</v>
      </c>
      <c r="D190">
        <v>141.12</v>
      </c>
      <c r="E190">
        <v>157.84</v>
      </c>
      <c r="F190">
        <v>54.9</v>
      </c>
      <c r="G190">
        <v>51.12</v>
      </c>
      <c r="H190">
        <v>47.95</v>
      </c>
      <c r="K190" s="9">
        <f t="shared" si="42"/>
        <v>-1.1699999999999875</v>
      </c>
      <c r="L190">
        <f t="shared" si="43"/>
        <v>-0.84000000000000341</v>
      </c>
      <c r="M190">
        <f t="shared" si="44"/>
        <v>1.4399999999999977</v>
      </c>
      <c r="N190">
        <f t="shared" si="45"/>
        <v>0.38000000000000256</v>
      </c>
      <c r="O190">
        <f t="shared" si="46"/>
        <v>0.28000000000000114</v>
      </c>
      <c r="P190" s="10">
        <f t="shared" si="47"/>
        <v>0.1699999999999946</v>
      </c>
    </row>
    <row r="191" spans="1:16">
      <c r="A191">
        <v>27.67</v>
      </c>
      <c r="B191" s="42">
        <v>127.51</v>
      </c>
      <c r="C191">
        <v>140.9</v>
      </c>
      <c r="D191">
        <v>141.12</v>
      </c>
      <c r="E191">
        <v>158.12</v>
      </c>
      <c r="F191">
        <v>55.12</v>
      </c>
      <c r="G191">
        <v>51.23</v>
      </c>
      <c r="H191">
        <v>48.01</v>
      </c>
      <c r="K191" s="9">
        <f t="shared" si="42"/>
        <v>-1.7300000000000182</v>
      </c>
      <c r="L191">
        <f t="shared" si="43"/>
        <v>-1.3900000000000148</v>
      </c>
      <c r="M191">
        <f t="shared" si="44"/>
        <v>1.7199999999999989</v>
      </c>
      <c r="N191">
        <f t="shared" si="45"/>
        <v>0.28000000000000114</v>
      </c>
      <c r="O191">
        <f t="shared" si="46"/>
        <v>0.22000000000000597</v>
      </c>
      <c r="P191" s="10">
        <f t="shared" si="47"/>
        <v>0.21999999999999886</v>
      </c>
    </row>
    <row r="192" spans="1:16">
      <c r="A192">
        <v>27.83</v>
      </c>
      <c r="B192" s="42">
        <v>125.78</v>
      </c>
      <c r="C192">
        <v>140.34</v>
      </c>
      <c r="D192">
        <v>140.66999999999999</v>
      </c>
      <c r="E192">
        <v>158.56</v>
      </c>
      <c r="F192">
        <v>55.17</v>
      </c>
      <c r="G192">
        <v>51.28</v>
      </c>
      <c r="H192">
        <v>48.06</v>
      </c>
      <c r="K192" s="9">
        <f t="shared" si="42"/>
        <v>-1.4399999999999977</v>
      </c>
      <c r="L192">
        <f t="shared" si="43"/>
        <v>-1.3299999999999841</v>
      </c>
      <c r="M192">
        <f t="shared" si="44"/>
        <v>2.0600000000000023</v>
      </c>
      <c r="N192">
        <f t="shared" si="45"/>
        <v>0.44999999999999574</v>
      </c>
      <c r="O192">
        <f t="shared" si="46"/>
        <v>0.28000000000000114</v>
      </c>
      <c r="P192" s="10">
        <f t="shared" si="47"/>
        <v>0.33999999999999631</v>
      </c>
    </row>
    <row r="193" spans="1:16">
      <c r="A193">
        <v>28</v>
      </c>
      <c r="B193" s="42">
        <v>124.23</v>
      </c>
      <c r="C193">
        <v>139.78</v>
      </c>
      <c r="D193">
        <v>140.28</v>
      </c>
      <c r="E193">
        <v>159.28</v>
      </c>
      <c r="F193">
        <v>55.28</v>
      </c>
      <c r="G193">
        <v>51.4</v>
      </c>
      <c r="H193">
        <v>48.12</v>
      </c>
      <c r="K193" s="9">
        <f t="shared" si="42"/>
        <v>-1.3799999999999955</v>
      </c>
      <c r="L193">
        <f t="shared" si="43"/>
        <v>-1.5500000000000114</v>
      </c>
      <c r="M193">
        <f t="shared" si="44"/>
        <v>1.4499999999999886</v>
      </c>
      <c r="N193">
        <f t="shared" si="45"/>
        <v>0.44999999999999574</v>
      </c>
      <c r="O193">
        <f t="shared" si="46"/>
        <v>0.32999999999999829</v>
      </c>
      <c r="P193" s="10">
        <f t="shared" si="47"/>
        <v>0.3300000000000054</v>
      </c>
    </row>
    <row r="194" spans="1:16">
      <c r="A194">
        <v>28.17</v>
      </c>
      <c r="B194" s="42">
        <v>123.28</v>
      </c>
      <c r="C194">
        <v>139.16999999999999</v>
      </c>
      <c r="D194">
        <v>139.72999999999999</v>
      </c>
      <c r="E194">
        <v>159.84</v>
      </c>
      <c r="F194">
        <v>55.4</v>
      </c>
      <c r="G194">
        <v>51.45</v>
      </c>
      <c r="H194">
        <v>48.23</v>
      </c>
      <c r="K194" s="9">
        <f t="shared" si="42"/>
        <v>-0.71999999999999886</v>
      </c>
      <c r="L194">
        <f t="shared" si="43"/>
        <v>-0.88999999999998636</v>
      </c>
      <c r="M194">
        <f t="shared" si="44"/>
        <v>0.82999999999998408</v>
      </c>
      <c r="N194">
        <f t="shared" si="45"/>
        <v>0.5</v>
      </c>
      <c r="O194">
        <f t="shared" si="46"/>
        <v>0.39000000000000057</v>
      </c>
      <c r="P194" s="10">
        <f t="shared" si="47"/>
        <v>0.28000000000000114</v>
      </c>
    </row>
    <row r="195" spans="1:16">
      <c r="A195">
        <v>28.33</v>
      </c>
      <c r="B195" s="42">
        <v>122.12</v>
      </c>
      <c r="C195">
        <v>138.9</v>
      </c>
      <c r="D195">
        <v>139.34</v>
      </c>
      <c r="E195">
        <v>160.62</v>
      </c>
      <c r="F195">
        <v>55.62</v>
      </c>
      <c r="G195">
        <v>51.56</v>
      </c>
      <c r="H195">
        <v>48.4</v>
      </c>
      <c r="K195" s="9">
        <f t="shared" si="42"/>
        <v>-0.56000000000000227</v>
      </c>
      <c r="L195">
        <f t="shared" si="43"/>
        <v>-0.61000000000001364</v>
      </c>
      <c r="M195">
        <f t="shared" si="44"/>
        <v>-0.34000000000000341</v>
      </c>
      <c r="N195">
        <f t="shared" si="45"/>
        <v>0.5</v>
      </c>
      <c r="O195">
        <f t="shared" si="46"/>
        <v>0.44999999999999574</v>
      </c>
      <c r="P195" s="10">
        <f t="shared" si="47"/>
        <v>0.21999999999999886</v>
      </c>
    </row>
    <row r="196" spans="1:16">
      <c r="A196">
        <v>28.5</v>
      </c>
      <c r="B196" s="42">
        <v>121.12</v>
      </c>
      <c r="C196">
        <v>138.4</v>
      </c>
      <c r="D196">
        <v>138.72999999999999</v>
      </c>
      <c r="E196">
        <v>160.72999999999999</v>
      </c>
      <c r="F196">
        <v>55.73</v>
      </c>
      <c r="G196">
        <v>51.73</v>
      </c>
      <c r="H196">
        <v>48.45</v>
      </c>
      <c r="K196" s="9">
        <f t="shared" si="42"/>
        <v>-0.12000000000000455</v>
      </c>
      <c r="L196">
        <f t="shared" si="43"/>
        <v>0</v>
      </c>
      <c r="M196">
        <f t="shared" si="44"/>
        <v>-1.2800000000000011</v>
      </c>
      <c r="N196">
        <f t="shared" si="45"/>
        <v>0.5</v>
      </c>
      <c r="O196">
        <f t="shared" si="46"/>
        <v>0.28000000000000114</v>
      </c>
      <c r="P196" s="10">
        <f t="shared" si="47"/>
        <v>0.21999999999999886</v>
      </c>
    </row>
    <row r="197" spans="1:16">
      <c r="A197">
        <v>28.67</v>
      </c>
      <c r="B197" s="42">
        <v>121.28</v>
      </c>
      <c r="C197">
        <v>138.44999999999999</v>
      </c>
      <c r="D197">
        <v>138.84</v>
      </c>
      <c r="E197">
        <v>160.66999999999999</v>
      </c>
      <c r="F197">
        <v>55.9</v>
      </c>
      <c r="G197">
        <v>51.84</v>
      </c>
      <c r="H197">
        <v>48.51</v>
      </c>
      <c r="K197" s="9">
        <f t="shared" si="42"/>
        <v>-0.16999999999998749</v>
      </c>
      <c r="L197">
        <f t="shared" si="43"/>
        <v>-0.11000000000001364</v>
      </c>
      <c r="M197">
        <f t="shared" si="44"/>
        <v>-2.0499999999999829</v>
      </c>
      <c r="N197">
        <f t="shared" si="45"/>
        <v>0.5</v>
      </c>
      <c r="O197">
        <f t="shared" si="46"/>
        <v>0.38999999999999346</v>
      </c>
      <c r="P197" s="10">
        <f t="shared" si="47"/>
        <v>0.3300000000000054</v>
      </c>
    </row>
    <row r="198" spans="1:16">
      <c r="A198">
        <v>28.83</v>
      </c>
      <c r="B198" s="42">
        <v>121.06</v>
      </c>
      <c r="C198">
        <v>138.34</v>
      </c>
      <c r="D198">
        <v>138.72999999999999</v>
      </c>
      <c r="E198">
        <v>160.28</v>
      </c>
      <c r="F198">
        <v>56.12</v>
      </c>
      <c r="G198">
        <v>52.01</v>
      </c>
      <c r="H198">
        <v>48.62</v>
      </c>
      <c r="K198" s="9">
        <f t="shared" si="42"/>
        <v>0.16999999999998749</v>
      </c>
      <c r="L198">
        <f t="shared" si="43"/>
        <v>0.33000000000001251</v>
      </c>
      <c r="M198">
        <f t="shared" si="44"/>
        <v>-1.4399999999999977</v>
      </c>
      <c r="N198">
        <f t="shared" si="45"/>
        <v>0.39000000000000057</v>
      </c>
      <c r="O198">
        <f t="shared" si="46"/>
        <v>0.27000000000000313</v>
      </c>
      <c r="P198" s="10">
        <f t="shared" si="47"/>
        <v>0.28000000000000114</v>
      </c>
    </row>
    <row r="199" spans="1:16">
      <c r="A199">
        <v>29</v>
      </c>
      <c r="B199" s="42">
        <v>120.28</v>
      </c>
      <c r="C199">
        <v>138.28</v>
      </c>
      <c r="D199">
        <v>138.72999999999999</v>
      </c>
      <c r="E199">
        <v>159.44999999999999</v>
      </c>
      <c r="F199">
        <v>56.23</v>
      </c>
      <c r="G199">
        <v>52.01</v>
      </c>
      <c r="H199">
        <v>48.67</v>
      </c>
      <c r="K199" s="9">
        <f t="shared" si="42"/>
        <v>0.72999999999998977</v>
      </c>
      <c r="L199">
        <f t="shared" si="43"/>
        <v>0.83000000000001251</v>
      </c>
      <c r="M199">
        <f t="shared" si="44"/>
        <v>-0.5</v>
      </c>
      <c r="N199">
        <f t="shared" si="45"/>
        <v>0.39000000000000057</v>
      </c>
      <c r="O199">
        <f t="shared" si="46"/>
        <v>0.3300000000000054</v>
      </c>
      <c r="P199" s="10">
        <f t="shared" si="47"/>
        <v>0.28000000000000114</v>
      </c>
    </row>
    <row r="200" spans="1:16">
      <c r="A200">
        <v>29.17</v>
      </c>
      <c r="B200" s="42">
        <v>119.45</v>
      </c>
      <c r="C200">
        <v>138.28</v>
      </c>
      <c r="D200">
        <v>138.72999999999999</v>
      </c>
      <c r="E200">
        <v>158.62</v>
      </c>
      <c r="F200">
        <v>56.4</v>
      </c>
      <c r="G200">
        <v>52.23</v>
      </c>
      <c r="H200">
        <v>48.84</v>
      </c>
      <c r="K200" s="9">
        <f t="shared" si="42"/>
        <v>1.2299999999999898</v>
      </c>
      <c r="L200">
        <f t="shared" si="43"/>
        <v>1.4399999999999977</v>
      </c>
      <c r="M200">
        <f t="shared" si="44"/>
        <v>-0.89000000000001478</v>
      </c>
      <c r="N200">
        <f t="shared" si="45"/>
        <v>0.32999999999999829</v>
      </c>
      <c r="O200">
        <f t="shared" si="46"/>
        <v>0.17000000000000171</v>
      </c>
      <c r="P200" s="10">
        <f t="shared" si="47"/>
        <v>0.10999999999999943</v>
      </c>
    </row>
    <row r="201" spans="1:16">
      <c r="A201">
        <v>29.33</v>
      </c>
      <c r="B201" s="42">
        <v>118.73</v>
      </c>
      <c r="C201">
        <v>138.51</v>
      </c>
      <c r="D201">
        <v>139.06</v>
      </c>
      <c r="E201">
        <v>158.84</v>
      </c>
      <c r="F201">
        <v>56.51</v>
      </c>
      <c r="G201">
        <v>52.28</v>
      </c>
      <c r="H201">
        <v>48.9</v>
      </c>
      <c r="K201" s="9">
        <f t="shared" si="42"/>
        <v>0.55000000000001137</v>
      </c>
      <c r="L201">
        <f t="shared" si="43"/>
        <v>0.60999999999998522</v>
      </c>
      <c r="M201">
        <f t="shared" si="44"/>
        <v>-1.1700000000000159</v>
      </c>
      <c r="N201">
        <f t="shared" si="45"/>
        <v>0.39000000000000057</v>
      </c>
      <c r="O201">
        <f t="shared" si="46"/>
        <v>0.28000000000000114</v>
      </c>
      <c r="P201" s="10">
        <f t="shared" si="47"/>
        <v>0.21999999999999886</v>
      </c>
    </row>
    <row r="202" spans="1:16">
      <c r="A202">
        <v>29.5</v>
      </c>
      <c r="B202" s="42">
        <v>119.06</v>
      </c>
      <c r="C202">
        <v>139.01</v>
      </c>
      <c r="D202">
        <v>139.56</v>
      </c>
      <c r="E202">
        <v>158.94999999999999</v>
      </c>
      <c r="F202">
        <v>56.62</v>
      </c>
      <c r="G202">
        <v>52.34</v>
      </c>
      <c r="H202">
        <v>48.95</v>
      </c>
      <c r="K202" s="9">
        <f t="shared" si="42"/>
        <v>5.0000000000011369E-2</v>
      </c>
      <c r="L202">
        <f t="shared" si="43"/>
        <v>0</v>
      </c>
      <c r="M202">
        <f t="shared" si="44"/>
        <v>-1.5</v>
      </c>
      <c r="N202">
        <f t="shared" si="45"/>
        <v>0.44000000000000483</v>
      </c>
      <c r="O202">
        <f t="shared" si="46"/>
        <v>0.21999999999999886</v>
      </c>
      <c r="P202" s="10">
        <f t="shared" si="47"/>
        <v>0.1699999999999946</v>
      </c>
    </row>
    <row r="203" spans="1:16">
      <c r="A203">
        <v>29.67</v>
      </c>
      <c r="B203" s="42">
        <v>119.51</v>
      </c>
      <c r="C203">
        <v>139.51</v>
      </c>
      <c r="D203">
        <v>140.16999999999999</v>
      </c>
      <c r="E203">
        <v>157.72999999999999</v>
      </c>
      <c r="F203">
        <v>56.73</v>
      </c>
      <c r="G203">
        <v>52.4</v>
      </c>
      <c r="H203">
        <v>48.95</v>
      </c>
      <c r="K203" s="9">
        <f t="shared" si="42"/>
        <v>-0.78000000000000114</v>
      </c>
      <c r="L203">
        <f t="shared" si="43"/>
        <v>-0.88999999999998636</v>
      </c>
      <c r="M203">
        <f t="shared" si="44"/>
        <v>-0.38999999999998636</v>
      </c>
      <c r="N203">
        <f t="shared" si="45"/>
        <v>0.5</v>
      </c>
      <c r="O203">
        <f t="shared" si="46"/>
        <v>0.38000000000000256</v>
      </c>
      <c r="P203" s="10">
        <f t="shared" si="47"/>
        <v>0.32999999999999829</v>
      </c>
    </row>
    <row r="204" spans="1:16">
      <c r="A204">
        <v>29.83</v>
      </c>
      <c r="B204" s="42">
        <v>120.23</v>
      </c>
      <c r="C204">
        <v>139.06</v>
      </c>
      <c r="D204">
        <v>139.66999999999999</v>
      </c>
      <c r="E204">
        <v>157.66999999999999</v>
      </c>
      <c r="F204">
        <v>56.9</v>
      </c>
      <c r="G204">
        <v>52.56</v>
      </c>
      <c r="H204">
        <v>49.12</v>
      </c>
      <c r="K204" s="9">
        <f t="shared" si="42"/>
        <v>-0.65999999999999659</v>
      </c>
      <c r="L204">
        <f t="shared" si="43"/>
        <v>-0.65999999999999659</v>
      </c>
      <c r="M204">
        <f t="shared" si="44"/>
        <v>-0.32999999999998408</v>
      </c>
      <c r="N204">
        <f t="shared" si="45"/>
        <v>0.5</v>
      </c>
      <c r="O204">
        <f t="shared" si="46"/>
        <v>0.28000000000000114</v>
      </c>
      <c r="P204" s="10">
        <f t="shared" si="47"/>
        <v>0.28000000000000114</v>
      </c>
    </row>
    <row r="205" spans="1:16">
      <c r="A205">
        <v>30</v>
      </c>
      <c r="B205" s="42">
        <v>121.51</v>
      </c>
      <c r="C205">
        <v>139.06</v>
      </c>
      <c r="D205">
        <v>139.56</v>
      </c>
      <c r="E205">
        <v>157.44999999999999</v>
      </c>
      <c r="F205">
        <v>57.06</v>
      </c>
      <c r="G205">
        <v>52.56</v>
      </c>
      <c r="H205">
        <v>49.12</v>
      </c>
      <c r="K205" s="9">
        <f t="shared" si="42"/>
        <v>-0.39000000000001478</v>
      </c>
      <c r="L205">
        <f t="shared" si="43"/>
        <v>-0.39000000000001478</v>
      </c>
      <c r="M205">
        <f t="shared" si="44"/>
        <v>-4.9999999999982947E-2</v>
      </c>
      <c r="N205">
        <f t="shared" si="45"/>
        <v>0.5</v>
      </c>
      <c r="O205">
        <f t="shared" si="46"/>
        <v>0.44999999999999574</v>
      </c>
      <c r="P205" s="10">
        <f t="shared" si="47"/>
        <v>0.44000000000000483</v>
      </c>
    </row>
    <row r="206" spans="1:16">
      <c r="A206">
        <v>30.17</v>
      </c>
      <c r="B206" s="42">
        <v>123.9</v>
      </c>
      <c r="C206">
        <v>138.72999999999999</v>
      </c>
      <c r="D206">
        <v>139.28</v>
      </c>
      <c r="E206">
        <v>157.34</v>
      </c>
      <c r="F206">
        <v>57.23</v>
      </c>
      <c r="G206">
        <v>52.78</v>
      </c>
      <c r="H206">
        <v>49.28</v>
      </c>
      <c r="K206" s="9">
        <f t="shared" si="42"/>
        <v>5.0000000000011369E-2</v>
      </c>
      <c r="L206">
        <f t="shared" si="43"/>
        <v>6.0000000000002274E-2</v>
      </c>
      <c r="M206">
        <f t="shared" si="44"/>
        <v>-0.11000000000001364</v>
      </c>
      <c r="N206">
        <f t="shared" si="45"/>
        <v>0.44000000000000483</v>
      </c>
      <c r="O206">
        <f t="shared" si="46"/>
        <v>0.33999999999999631</v>
      </c>
      <c r="P206" s="10">
        <f t="shared" si="47"/>
        <v>0.44999999999999574</v>
      </c>
    </row>
    <row r="207" spans="1:16">
      <c r="A207">
        <v>30.33</v>
      </c>
      <c r="B207" s="42">
        <v>128.01</v>
      </c>
      <c r="C207">
        <v>138.4</v>
      </c>
      <c r="D207">
        <v>139.01</v>
      </c>
      <c r="E207">
        <v>157.34</v>
      </c>
      <c r="F207">
        <v>57.4</v>
      </c>
      <c r="G207">
        <v>52.84</v>
      </c>
      <c r="H207">
        <v>49.4</v>
      </c>
      <c r="K207" s="9">
        <f t="shared" si="42"/>
        <v>0.43999999999999773</v>
      </c>
      <c r="L207">
        <f t="shared" si="43"/>
        <v>0.33000000000001251</v>
      </c>
      <c r="M207">
        <f t="shared" si="44"/>
        <v>-6.0000000000002274E-2</v>
      </c>
      <c r="N207">
        <f t="shared" si="45"/>
        <v>0.38000000000000256</v>
      </c>
      <c r="O207">
        <f t="shared" si="46"/>
        <v>0.38999999999999346</v>
      </c>
      <c r="P207" s="10">
        <f t="shared" si="47"/>
        <v>0.32999999999999829</v>
      </c>
    </row>
    <row r="208" spans="1:16">
      <c r="A208">
        <v>30.5</v>
      </c>
      <c r="B208" s="42">
        <v>130.78</v>
      </c>
      <c r="C208">
        <v>138.66999999999999</v>
      </c>
      <c r="D208">
        <v>139.16999999999999</v>
      </c>
      <c r="E208">
        <v>157.4</v>
      </c>
      <c r="F208">
        <v>57.56</v>
      </c>
      <c r="G208">
        <v>53.01</v>
      </c>
      <c r="H208">
        <v>49.56</v>
      </c>
      <c r="K208" s="9">
        <f t="shared" si="42"/>
        <v>0.73000000000001819</v>
      </c>
      <c r="L208">
        <f t="shared" si="43"/>
        <v>0.78000000000000114</v>
      </c>
      <c r="M208">
        <f t="shared" si="44"/>
        <v>0.10999999999998522</v>
      </c>
      <c r="N208">
        <f t="shared" si="45"/>
        <v>0.39000000000000057</v>
      </c>
      <c r="O208">
        <f t="shared" si="46"/>
        <v>0.39000000000000057</v>
      </c>
      <c r="P208" s="10">
        <f t="shared" si="47"/>
        <v>0.39000000000000057</v>
      </c>
    </row>
    <row r="209" spans="1:16">
      <c r="A209">
        <v>30.67</v>
      </c>
      <c r="B209" s="42">
        <v>131.94999999999999</v>
      </c>
      <c r="C209">
        <v>138.78</v>
      </c>
      <c r="D209">
        <v>139.34</v>
      </c>
      <c r="E209">
        <v>157.22999999999999</v>
      </c>
      <c r="F209">
        <v>57.67</v>
      </c>
      <c r="G209">
        <v>53.12</v>
      </c>
      <c r="H209">
        <v>49.73</v>
      </c>
      <c r="K209" s="9">
        <f t="shared" si="42"/>
        <v>3.5</v>
      </c>
      <c r="L209">
        <f t="shared" si="43"/>
        <v>3.8899999999999864</v>
      </c>
      <c r="M209">
        <f t="shared" si="44"/>
        <v>0.33000000000001251</v>
      </c>
      <c r="N209">
        <f t="shared" si="45"/>
        <v>0.39000000000000057</v>
      </c>
      <c r="O209">
        <f t="shared" si="46"/>
        <v>0.39000000000000057</v>
      </c>
      <c r="P209" s="10">
        <f t="shared" si="47"/>
        <v>0.39000000000000057</v>
      </c>
    </row>
    <row r="210" spans="1:16">
      <c r="A210">
        <v>30.83</v>
      </c>
      <c r="B210" s="42">
        <v>133.06</v>
      </c>
      <c r="C210">
        <v>138.84</v>
      </c>
      <c r="D210">
        <v>139.34</v>
      </c>
      <c r="E210">
        <v>157.28</v>
      </c>
      <c r="F210">
        <v>57.78</v>
      </c>
      <c r="G210">
        <v>53.23</v>
      </c>
      <c r="H210">
        <v>49.73</v>
      </c>
      <c r="K210" s="9">
        <f t="shared" si="42"/>
        <v>5.8899999999999864</v>
      </c>
      <c r="L210">
        <f t="shared" si="43"/>
        <v>6.6699999999999875</v>
      </c>
      <c r="M210">
        <f t="shared" si="44"/>
        <v>0.72999999999998977</v>
      </c>
      <c r="N210">
        <f t="shared" si="45"/>
        <v>0.44999999999999574</v>
      </c>
      <c r="O210">
        <f t="shared" si="46"/>
        <v>0.39000000000000057</v>
      </c>
      <c r="P210" s="10">
        <f t="shared" si="47"/>
        <v>0.44000000000000483</v>
      </c>
    </row>
    <row r="211" spans="1:16">
      <c r="A211">
        <v>31</v>
      </c>
      <c r="B211" s="42">
        <v>133.56</v>
      </c>
      <c r="C211">
        <v>139.4</v>
      </c>
      <c r="D211">
        <v>139.94999999999999</v>
      </c>
      <c r="E211">
        <v>157.51</v>
      </c>
      <c r="F211">
        <v>57.95</v>
      </c>
      <c r="G211">
        <v>53.4</v>
      </c>
      <c r="H211">
        <v>49.95</v>
      </c>
      <c r="K211" s="9">
        <f t="shared" si="42"/>
        <v>6</v>
      </c>
      <c r="L211">
        <f t="shared" si="43"/>
        <v>6.7199999999999989</v>
      </c>
      <c r="M211">
        <f t="shared" si="44"/>
        <v>1.2199999999999989</v>
      </c>
      <c r="N211">
        <f t="shared" si="45"/>
        <v>0.44999999999999574</v>
      </c>
      <c r="O211">
        <f t="shared" si="46"/>
        <v>0.27000000000000313</v>
      </c>
      <c r="P211" s="10">
        <f t="shared" si="47"/>
        <v>0.27999999999999403</v>
      </c>
    </row>
    <row r="212" spans="1:16">
      <c r="A212">
        <v>31.17</v>
      </c>
      <c r="B212" s="42">
        <v>134.22999999999999</v>
      </c>
      <c r="C212">
        <v>142.28</v>
      </c>
      <c r="D212">
        <v>143.22999999999999</v>
      </c>
      <c r="E212">
        <v>157.56</v>
      </c>
      <c r="F212">
        <v>58.06</v>
      </c>
      <c r="G212">
        <v>53.51</v>
      </c>
      <c r="H212">
        <v>50.12</v>
      </c>
      <c r="K212" s="9">
        <f t="shared" si="42"/>
        <v>3.2299999999999898</v>
      </c>
      <c r="L212">
        <f t="shared" si="43"/>
        <v>3.5500000000000114</v>
      </c>
      <c r="M212">
        <f t="shared" si="44"/>
        <v>1.5</v>
      </c>
      <c r="N212">
        <f t="shared" si="45"/>
        <v>0.55999999999999517</v>
      </c>
      <c r="O212">
        <f t="shared" si="46"/>
        <v>0.39000000000000057</v>
      </c>
      <c r="P212" s="10">
        <f t="shared" si="47"/>
        <v>0.28000000000000114</v>
      </c>
    </row>
    <row r="213" spans="1:16">
      <c r="A213">
        <v>31.33</v>
      </c>
      <c r="B213" s="42">
        <v>134.84</v>
      </c>
      <c r="C213">
        <v>144.72999999999999</v>
      </c>
      <c r="D213">
        <v>146.01</v>
      </c>
      <c r="E213">
        <v>158.01</v>
      </c>
      <c r="F213">
        <v>58.23</v>
      </c>
      <c r="G213">
        <v>53.62</v>
      </c>
      <c r="H213">
        <v>50.17</v>
      </c>
      <c r="K213" s="9">
        <f t="shared" si="42"/>
        <v>0.83000000000001251</v>
      </c>
      <c r="L213">
        <f t="shared" si="43"/>
        <v>0.55000000000001137</v>
      </c>
      <c r="M213">
        <f t="shared" si="44"/>
        <v>1</v>
      </c>
      <c r="N213">
        <f t="shared" si="45"/>
        <v>0.55000000000000426</v>
      </c>
      <c r="O213">
        <f t="shared" si="46"/>
        <v>0.3300000000000054</v>
      </c>
      <c r="P213" s="10">
        <f t="shared" si="47"/>
        <v>0.33999999999999631</v>
      </c>
    </row>
    <row r="214" spans="1:16">
      <c r="A214">
        <v>31.5</v>
      </c>
      <c r="B214" s="42">
        <v>135.16999999999999</v>
      </c>
      <c r="C214">
        <v>145.4</v>
      </c>
      <c r="D214">
        <v>146.66999999999999</v>
      </c>
      <c r="E214">
        <v>158.72999999999999</v>
      </c>
      <c r="F214">
        <v>58.4</v>
      </c>
      <c r="G214">
        <v>53.67</v>
      </c>
      <c r="H214">
        <v>50.23</v>
      </c>
      <c r="K214" s="9">
        <f t="shared" si="42"/>
        <v>0.10999999999998522</v>
      </c>
      <c r="L214">
        <f t="shared" si="43"/>
        <v>-0.38999999999998636</v>
      </c>
      <c r="M214">
        <f t="shared" si="44"/>
        <v>-6.0000000000002274E-2</v>
      </c>
      <c r="N214">
        <f t="shared" si="45"/>
        <v>0.5</v>
      </c>
      <c r="O214">
        <f t="shared" si="46"/>
        <v>0.39000000000000057</v>
      </c>
      <c r="P214" s="10">
        <f t="shared" si="47"/>
        <v>0.44000000000000483</v>
      </c>
    </row>
    <row r="215" spans="1:16">
      <c r="A215">
        <v>31.67</v>
      </c>
      <c r="B215" s="42">
        <v>135.56</v>
      </c>
      <c r="C215">
        <v>145.51</v>
      </c>
      <c r="D215">
        <v>146.78</v>
      </c>
      <c r="E215">
        <v>159.06</v>
      </c>
      <c r="F215">
        <v>58.62</v>
      </c>
      <c r="G215">
        <v>53.9</v>
      </c>
      <c r="H215">
        <v>50.4</v>
      </c>
      <c r="K215" s="9">
        <f t="shared" si="42"/>
        <v>-6.0000000000002274E-2</v>
      </c>
      <c r="L215">
        <f t="shared" si="43"/>
        <v>-0.71999999999999886</v>
      </c>
      <c r="M215">
        <f t="shared" si="44"/>
        <v>-0.71999999999999886</v>
      </c>
      <c r="N215">
        <f t="shared" si="45"/>
        <v>0.44000000000000483</v>
      </c>
      <c r="O215">
        <f t="shared" si="46"/>
        <v>0.32999999999999829</v>
      </c>
      <c r="P215" s="10">
        <f t="shared" si="47"/>
        <v>0.32999999999999829</v>
      </c>
    </row>
    <row r="216" spans="1:16">
      <c r="A216">
        <v>31.83</v>
      </c>
      <c r="B216" s="42">
        <v>135.16999999999999</v>
      </c>
      <c r="C216">
        <v>145.56</v>
      </c>
      <c r="D216">
        <v>146.56</v>
      </c>
      <c r="E216">
        <v>159.01</v>
      </c>
      <c r="F216">
        <v>58.78</v>
      </c>
      <c r="G216">
        <v>53.95</v>
      </c>
      <c r="H216">
        <v>50.51</v>
      </c>
      <c r="K216" s="9">
        <f t="shared" si="42"/>
        <v>-5.0000000000011369E-2</v>
      </c>
      <c r="L216">
        <f t="shared" si="43"/>
        <v>-0.71999999999999886</v>
      </c>
      <c r="M216">
        <f t="shared" si="44"/>
        <v>-0.78000000000000114</v>
      </c>
      <c r="N216">
        <f t="shared" si="45"/>
        <v>0.33999999999999631</v>
      </c>
      <c r="O216">
        <f t="shared" si="46"/>
        <v>0.39000000000000057</v>
      </c>
      <c r="P216" s="10">
        <f t="shared" si="47"/>
        <v>0.3300000000000054</v>
      </c>
    </row>
    <row r="217" spans="1:16">
      <c r="A217">
        <v>32</v>
      </c>
      <c r="B217" s="42">
        <v>134.9</v>
      </c>
      <c r="C217">
        <v>145.51</v>
      </c>
      <c r="D217">
        <v>146.28</v>
      </c>
      <c r="E217">
        <v>158.66999999999999</v>
      </c>
      <c r="F217">
        <v>58.9</v>
      </c>
      <c r="G217">
        <v>54.06</v>
      </c>
      <c r="H217">
        <v>50.67</v>
      </c>
      <c r="K217" s="9">
        <f t="shared" ref="K217:K280" si="48">C220-C217</f>
        <v>0.33000000000001251</v>
      </c>
      <c r="L217">
        <f t="shared" ref="L217:L280" si="49">D220-D217</f>
        <v>-0.33000000000001251</v>
      </c>
      <c r="M217">
        <f t="shared" ref="M217:M280" si="50">E220-E217</f>
        <v>-0.38999999999998636</v>
      </c>
      <c r="N217">
        <f t="shared" ref="N217:N280" si="51">F220-F217</f>
        <v>0.27000000000000313</v>
      </c>
      <c r="O217">
        <f t="shared" ref="O217:O280" si="52">G220-G217</f>
        <v>0.28000000000000114</v>
      </c>
      <c r="P217" s="10">
        <f t="shared" ref="P217:P280" si="53">H220-H217</f>
        <v>0.22999999999999687</v>
      </c>
    </row>
    <row r="218" spans="1:16">
      <c r="A218">
        <v>32.17</v>
      </c>
      <c r="B218" s="42">
        <v>134.4</v>
      </c>
      <c r="C218">
        <v>145.44999999999999</v>
      </c>
      <c r="D218">
        <v>146.06</v>
      </c>
      <c r="E218">
        <v>158.34</v>
      </c>
      <c r="F218">
        <v>59.06</v>
      </c>
      <c r="G218">
        <v>54.23</v>
      </c>
      <c r="H218">
        <v>50.73</v>
      </c>
      <c r="K218" s="9">
        <f t="shared" si="48"/>
        <v>0.78000000000000114</v>
      </c>
      <c r="L218">
        <f t="shared" si="49"/>
        <v>0.21999999999999886</v>
      </c>
      <c r="M218">
        <f t="shared" si="50"/>
        <v>-6.0000000000002274E-2</v>
      </c>
      <c r="N218">
        <f t="shared" si="51"/>
        <v>0.28000000000000114</v>
      </c>
      <c r="O218">
        <f t="shared" si="52"/>
        <v>0.28000000000000114</v>
      </c>
      <c r="P218" s="10">
        <f t="shared" si="53"/>
        <v>0.28000000000000114</v>
      </c>
    </row>
    <row r="219" spans="1:16">
      <c r="A219">
        <v>32.33</v>
      </c>
      <c r="B219" s="42">
        <v>134.4</v>
      </c>
      <c r="C219">
        <v>145.51</v>
      </c>
      <c r="D219">
        <v>145.84</v>
      </c>
      <c r="E219">
        <v>158.22999999999999</v>
      </c>
      <c r="F219">
        <v>59.12</v>
      </c>
      <c r="G219">
        <v>54.34</v>
      </c>
      <c r="H219">
        <v>50.84</v>
      </c>
      <c r="K219" s="9">
        <f t="shared" si="48"/>
        <v>1.0500000000000114</v>
      </c>
      <c r="L219">
        <f t="shared" si="49"/>
        <v>0.71999999999999886</v>
      </c>
      <c r="M219">
        <f t="shared" si="50"/>
        <v>0.55000000000001137</v>
      </c>
      <c r="N219">
        <f t="shared" si="51"/>
        <v>0.3300000000000054</v>
      </c>
      <c r="O219">
        <f t="shared" si="52"/>
        <v>0.1699999999999946</v>
      </c>
      <c r="P219" s="10">
        <f t="shared" si="53"/>
        <v>0.1699999999999946</v>
      </c>
    </row>
    <row r="220" spans="1:16">
      <c r="A220">
        <v>32.5</v>
      </c>
      <c r="B220" s="42">
        <v>133.4</v>
      </c>
      <c r="C220">
        <v>145.84</v>
      </c>
      <c r="D220">
        <v>145.94999999999999</v>
      </c>
      <c r="E220">
        <v>158.28</v>
      </c>
      <c r="F220">
        <v>59.17</v>
      </c>
      <c r="G220">
        <v>54.34</v>
      </c>
      <c r="H220">
        <v>50.9</v>
      </c>
      <c r="K220" s="9">
        <f t="shared" si="48"/>
        <v>1.1699999999999875</v>
      </c>
      <c r="L220">
        <f t="shared" si="49"/>
        <v>1.0600000000000023</v>
      </c>
      <c r="M220">
        <f t="shared" si="50"/>
        <v>1.1699999999999875</v>
      </c>
      <c r="N220">
        <f t="shared" si="51"/>
        <v>0.5</v>
      </c>
      <c r="O220">
        <f t="shared" si="52"/>
        <v>0.38999999999999346</v>
      </c>
      <c r="P220" s="10">
        <f t="shared" si="53"/>
        <v>0.27000000000000313</v>
      </c>
    </row>
    <row r="221" spans="1:16">
      <c r="A221">
        <v>32.67</v>
      </c>
      <c r="B221" s="42">
        <v>133.06</v>
      </c>
      <c r="C221">
        <v>146.22999999999999</v>
      </c>
      <c r="D221">
        <v>146.28</v>
      </c>
      <c r="E221">
        <v>158.28</v>
      </c>
      <c r="F221">
        <v>59.34</v>
      </c>
      <c r="G221">
        <v>54.51</v>
      </c>
      <c r="H221">
        <v>51.01</v>
      </c>
      <c r="K221" s="9">
        <f t="shared" si="48"/>
        <v>1.0500000000000114</v>
      </c>
      <c r="L221">
        <f t="shared" si="49"/>
        <v>1.0600000000000023</v>
      </c>
      <c r="M221">
        <f t="shared" si="50"/>
        <v>1.4499999999999886</v>
      </c>
      <c r="N221">
        <f t="shared" si="51"/>
        <v>0.5</v>
      </c>
      <c r="O221">
        <f t="shared" si="52"/>
        <v>0.27000000000000313</v>
      </c>
      <c r="P221" s="10">
        <f t="shared" si="53"/>
        <v>0.16000000000000369</v>
      </c>
    </row>
    <row r="222" spans="1:16">
      <c r="A222">
        <v>32.83</v>
      </c>
      <c r="B222" s="42">
        <v>133.56</v>
      </c>
      <c r="C222">
        <v>146.56</v>
      </c>
      <c r="D222">
        <v>146.56</v>
      </c>
      <c r="E222">
        <v>158.78</v>
      </c>
      <c r="F222">
        <v>59.45</v>
      </c>
      <c r="G222">
        <v>54.51</v>
      </c>
      <c r="H222">
        <v>51.01</v>
      </c>
      <c r="K222" s="9">
        <f t="shared" si="48"/>
        <v>0.94999999999998863</v>
      </c>
      <c r="L222">
        <f t="shared" si="49"/>
        <v>1.2199999999999989</v>
      </c>
      <c r="M222">
        <f t="shared" si="50"/>
        <v>0.84000000000000341</v>
      </c>
      <c r="N222">
        <f t="shared" si="51"/>
        <v>0.39000000000000057</v>
      </c>
      <c r="O222">
        <f t="shared" si="52"/>
        <v>0.39000000000000057</v>
      </c>
      <c r="P222" s="10">
        <f t="shared" si="53"/>
        <v>0.21999999999999886</v>
      </c>
    </row>
    <row r="223" spans="1:16">
      <c r="A223">
        <v>33</v>
      </c>
      <c r="B223" s="42">
        <v>136.16999999999999</v>
      </c>
      <c r="C223">
        <v>147.01</v>
      </c>
      <c r="D223">
        <v>147.01</v>
      </c>
      <c r="E223">
        <v>159.44999999999999</v>
      </c>
      <c r="F223">
        <v>59.67</v>
      </c>
      <c r="G223">
        <v>54.73</v>
      </c>
      <c r="H223">
        <v>51.17</v>
      </c>
      <c r="K223" s="9">
        <f t="shared" si="48"/>
        <v>0.71999999999999886</v>
      </c>
      <c r="L223">
        <f t="shared" si="49"/>
        <v>0.93999999999999773</v>
      </c>
      <c r="M223">
        <f t="shared" si="50"/>
        <v>0.45000000000001705</v>
      </c>
      <c r="N223">
        <f t="shared" si="51"/>
        <v>0.33999999999999631</v>
      </c>
      <c r="O223">
        <f t="shared" si="52"/>
        <v>0.28000000000000114</v>
      </c>
      <c r="P223" s="10">
        <f t="shared" si="53"/>
        <v>0.17000000000000171</v>
      </c>
    </row>
    <row r="224" spans="1:16">
      <c r="A224">
        <v>33.17</v>
      </c>
      <c r="B224" s="42">
        <v>139.12</v>
      </c>
      <c r="C224">
        <v>147.28</v>
      </c>
      <c r="D224">
        <v>147.34</v>
      </c>
      <c r="E224">
        <v>159.72999999999999</v>
      </c>
      <c r="F224">
        <v>59.84</v>
      </c>
      <c r="G224">
        <v>54.78</v>
      </c>
      <c r="H224">
        <v>51.17</v>
      </c>
      <c r="K224" s="9">
        <f t="shared" si="48"/>
        <v>0.56000000000000227</v>
      </c>
      <c r="L224">
        <f t="shared" si="49"/>
        <v>0.71999999999999886</v>
      </c>
      <c r="M224">
        <f t="shared" si="50"/>
        <v>0</v>
      </c>
      <c r="N224">
        <f t="shared" si="51"/>
        <v>0.21999999999999886</v>
      </c>
      <c r="O224">
        <f t="shared" si="52"/>
        <v>0.28000000000000114</v>
      </c>
      <c r="P224" s="10">
        <f t="shared" si="53"/>
        <v>0.28000000000000114</v>
      </c>
    </row>
    <row r="225" spans="1:16">
      <c r="A225">
        <v>33.33</v>
      </c>
      <c r="B225" s="42">
        <v>142.66999999999999</v>
      </c>
      <c r="C225">
        <v>147.51</v>
      </c>
      <c r="D225">
        <v>147.78</v>
      </c>
      <c r="E225">
        <v>159.62</v>
      </c>
      <c r="F225">
        <v>59.84</v>
      </c>
      <c r="G225">
        <v>54.9</v>
      </c>
      <c r="H225">
        <v>51.23</v>
      </c>
      <c r="K225" s="9">
        <f t="shared" si="48"/>
        <v>0.5</v>
      </c>
      <c r="L225">
        <f t="shared" si="49"/>
        <v>0.56000000000000227</v>
      </c>
      <c r="M225">
        <f t="shared" si="50"/>
        <v>0.10999999999998522</v>
      </c>
      <c r="N225">
        <f t="shared" si="51"/>
        <v>0.21999999999999886</v>
      </c>
      <c r="O225">
        <f t="shared" si="52"/>
        <v>0.21999999999999886</v>
      </c>
      <c r="P225" s="10">
        <f t="shared" si="53"/>
        <v>0.28000000000000114</v>
      </c>
    </row>
    <row r="226" spans="1:16">
      <c r="A226">
        <v>33.5</v>
      </c>
      <c r="B226" s="42">
        <v>145.22999999999999</v>
      </c>
      <c r="C226">
        <v>147.72999999999999</v>
      </c>
      <c r="D226">
        <v>147.94999999999999</v>
      </c>
      <c r="E226">
        <v>159.9</v>
      </c>
      <c r="F226">
        <v>60.01</v>
      </c>
      <c r="G226">
        <v>55.01</v>
      </c>
      <c r="H226">
        <v>51.34</v>
      </c>
      <c r="K226" s="9">
        <f t="shared" si="48"/>
        <v>1.5500000000000114</v>
      </c>
      <c r="L226">
        <f t="shared" si="49"/>
        <v>1.5600000000000023</v>
      </c>
      <c r="M226">
        <f t="shared" si="50"/>
        <v>-0.28000000000000114</v>
      </c>
      <c r="N226">
        <f t="shared" si="51"/>
        <v>0.16000000000000369</v>
      </c>
      <c r="O226">
        <f t="shared" si="52"/>
        <v>0.27000000000000313</v>
      </c>
      <c r="P226" s="10">
        <f t="shared" si="53"/>
        <v>0.21999999999999886</v>
      </c>
    </row>
    <row r="227" spans="1:16">
      <c r="A227">
        <v>33.67</v>
      </c>
      <c r="B227" s="42">
        <v>146.51</v>
      </c>
      <c r="C227">
        <v>147.84</v>
      </c>
      <c r="D227">
        <v>148.06</v>
      </c>
      <c r="E227">
        <v>159.72999999999999</v>
      </c>
      <c r="F227">
        <v>60.06</v>
      </c>
      <c r="G227">
        <v>55.06</v>
      </c>
      <c r="H227">
        <v>51.45</v>
      </c>
      <c r="K227" s="9">
        <f t="shared" si="48"/>
        <v>3.7800000000000011</v>
      </c>
      <c r="L227">
        <f t="shared" si="49"/>
        <v>3.7199999999999989</v>
      </c>
      <c r="M227">
        <f t="shared" si="50"/>
        <v>-0.21999999999999886</v>
      </c>
      <c r="N227">
        <f t="shared" si="51"/>
        <v>0.1699999999999946</v>
      </c>
      <c r="O227">
        <f t="shared" si="52"/>
        <v>0.28000000000000114</v>
      </c>
      <c r="P227" s="10">
        <f t="shared" si="53"/>
        <v>0.21999999999999886</v>
      </c>
    </row>
    <row r="228" spans="1:16">
      <c r="A228">
        <v>33.83</v>
      </c>
      <c r="B228" s="42">
        <v>147.16999999999999</v>
      </c>
      <c r="C228">
        <v>148.01</v>
      </c>
      <c r="D228">
        <v>148.34</v>
      </c>
      <c r="E228">
        <v>159.72999999999999</v>
      </c>
      <c r="F228">
        <v>60.06</v>
      </c>
      <c r="G228">
        <v>55.12</v>
      </c>
      <c r="H228">
        <v>51.51</v>
      </c>
      <c r="K228" s="9">
        <f t="shared" si="48"/>
        <v>5.5</v>
      </c>
      <c r="L228">
        <f t="shared" si="49"/>
        <v>5.6099999999999852</v>
      </c>
      <c r="M228">
        <f t="shared" si="50"/>
        <v>-6.0000000000002274E-2</v>
      </c>
      <c r="N228">
        <f t="shared" si="51"/>
        <v>0.44999999999999574</v>
      </c>
      <c r="O228">
        <f t="shared" si="52"/>
        <v>0.28000000000000114</v>
      </c>
      <c r="P228" s="10">
        <f t="shared" si="53"/>
        <v>0.21999999999999886</v>
      </c>
    </row>
    <row r="229" spans="1:16">
      <c r="A229">
        <v>34</v>
      </c>
      <c r="B229" s="42">
        <v>147.66999999999999</v>
      </c>
      <c r="C229">
        <v>149.28</v>
      </c>
      <c r="D229">
        <v>149.51</v>
      </c>
      <c r="E229">
        <v>159.62</v>
      </c>
      <c r="F229">
        <v>60.17</v>
      </c>
      <c r="G229">
        <v>55.28</v>
      </c>
      <c r="H229">
        <v>51.56</v>
      </c>
      <c r="K229" s="9">
        <f t="shared" si="48"/>
        <v>5.0600000000000023</v>
      </c>
      <c r="L229">
        <f t="shared" si="49"/>
        <v>5.5</v>
      </c>
      <c r="M229">
        <f t="shared" si="50"/>
        <v>-0.17000000000001592</v>
      </c>
      <c r="N229">
        <f t="shared" si="51"/>
        <v>0.44999999999999574</v>
      </c>
      <c r="O229">
        <f t="shared" si="52"/>
        <v>0.11999999999999744</v>
      </c>
      <c r="P229" s="10">
        <f t="shared" si="53"/>
        <v>0.21999999999999886</v>
      </c>
    </row>
    <row r="230" spans="1:16">
      <c r="A230">
        <v>34.17</v>
      </c>
      <c r="B230" s="42">
        <v>147.84</v>
      </c>
      <c r="C230">
        <v>151.62</v>
      </c>
      <c r="D230">
        <v>151.78</v>
      </c>
      <c r="E230">
        <v>159.51</v>
      </c>
      <c r="F230">
        <v>60.23</v>
      </c>
      <c r="G230">
        <v>55.34</v>
      </c>
      <c r="H230">
        <v>51.67</v>
      </c>
      <c r="K230" s="9">
        <f t="shared" si="48"/>
        <v>3.0499999999999829</v>
      </c>
      <c r="L230">
        <f t="shared" si="49"/>
        <v>3.7299999999999898</v>
      </c>
      <c r="M230">
        <f t="shared" si="50"/>
        <v>-6.0000000000002274E-2</v>
      </c>
      <c r="N230">
        <f t="shared" si="51"/>
        <v>0.55000000000000426</v>
      </c>
      <c r="O230">
        <f t="shared" si="52"/>
        <v>0.27999999999999403</v>
      </c>
      <c r="P230" s="10">
        <f t="shared" si="53"/>
        <v>0.28000000000000114</v>
      </c>
    </row>
    <row r="231" spans="1:16">
      <c r="A231">
        <v>34.33</v>
      </c>
      <c r="B231" s="42">
        <v>147.72999999999999</v>
      </c>
      <c r="C231">
        <v>153.51</v>
      </c>
      <c r="D231">
        <v>153.94999999999999</v>
      </c>
      <c r="E231">
        <v>159.66999999999999</v>
      </c>
      <c r="F231">
        <v>60.51</v>
      </c>
      <c r="G231">
        <v>55.4</v>
      </c>
      <c r="H231">
        <v>51.73</v>
      </c>
      <c r="K231" s="9">
        <f t="shared" si="48"/>
        <v>1.1599999999999966</v>
      </c>
      <c r="L231">
        <f t="shared" si="49"/>
        <v>1.3900000000000148</v>
      </c>
      <c r="M231">
        <f t="shared" si="50"/>
        <v>-0.71999999999999886</v>
      </c>
      <c r="N231">
        <f t="shared" si="51"/>
        <v>0.39000000000000057</v>
      </c>
      <c r="O231">
        <f t="shared" si="52"/>
        <v>0.27000000000000313</v>
      </c>
      <c r="P231" s="10">
        <f t="shared" si="53"/>
        <v>0.39000000000000057</v>
      </c>
    </row>
    <row r="232" spans="1:16">
      <c r="A232">
        <v>34.5</v>
      </c>
      <c r="B232" s="42">
        <v>147.28</v>
      </c>
      <c r="C232">
        <v>154.34</v>
      </c>
      <c r="D232">
        <v>155.01</v>
      </c>
      <c r="E232">
        <v>159.44999999999999</v>
      </c>
      <c r="F232">
        <v>60.62</v>
      </c>
      <c r="G232">
        <v>55.4</v>
      </c>
      <c r="H232">
        <v>51.78</v>
      </c>
      <c r="K232" s="9">
        <f t="shared" si="48"/>
        <v>0.21999999999999886</v>
      </c>
      <c r="L232">
        <f t="shared" si="49"/>
        <v>0.21999999999999886</v>
      </c>
      <c r="M232">
        <f t="shared" si="50"/>
        <v>-0.66999999999998749</v>
      </c>
      <c r="N232">
        <f t="shared" si="51"/>
        <v>0.3300000000000054</v>
      </c>
      <c r="O232">
        <f t="shared" si="52"/>
        <v>0.32999999999999829</v>
      </c>
      <c r="P232" s="10">
        <f t="shared" si="53"/>
        <v>0.5</v>
      </c>
    </row>
    <row r="233" spans="1:16">
      <c r="A233">
        <v>34.67</v>
      </c>
      <c r="B233" s="42">
        <v>146.16999999999999</v>
      </c>
      <c r="C233">
        <v>154.66999999999999</v>
      </c>
      <c r="D233">
        <v>155.51</v>
      </c>
      <c r="E233">
        <v>159.44999999999999</v>
      </c>
      <c r="F233">
        <v>60.78</v>
      </c>
      <c r="G233">
        <v>55.62</v>
      </c>
      <c r="H233">
        <v>51.95</v>
      </c>
      <c r="K233" s="9">
        <f t="shared" si="48"/>
        <v>-0.5</v>
      </c>
      <c r="L233">
        <f t="shared" si="49"/>
        <v>-0.78000000000000114</v>
      </c>
      <c r="M233">
        <f t="shared" si="50"/>
        <v>-0.93999999999999773</v>
      </c>
      <c r="N233">
        <f t="shared" si="51"/>
        <v>0.17000000000000171</v>
      </c>
      <c r="O233">
        <f t="shared" si="52"/>
        <v>0.22000000000000597</v>
      </c>
      <c r="P233" s="10">
        <f t="shared" si="53"/>
        <v>0.32999999999999829</v>
      </c>
    </row>
    <row r="234" spans="1:16">
      <c r="A234">
        <v>34.83</v>
      </c>
      <c r="B234" s="42">
        <v>145.51</v>
      </c>
      <c r="C234">
        <v>154.66999999999999</v>
      </c>
      <c r="D234">
        <v>155.34</v>
      </c>
      <c r="E234">
        <v>158.94999999999999</v>
      </c>
      <c r="F234">
        <v>60.9</v>
      </c>
      <c r="G234">
        <v>55.67</v>
      </c>
      <c r="H234">
        <v>52.12</v>
      </c>
      <c r="K234" s="9">
        <f t="shared" si="48"/>
        <v>-0.60999999999998522</v>
      </c>
      <c r="L234">
        <f t="shared" si="49"/>
        <v>-0.78000000000000114</v>
      </c>
      <c r="M234">
        <f t="shared" si="50"/>
        <v>-0.43999999999999773</v>
      </c>
      <c r="N234">
        <f t="shared" si="51"/>
        <v>0.21999999999999886</v>
      </c>
      <c r="O234">
        <f t="shared" si="52"/>
        <v>0.33999999999999631</v>
      </c>
      <c r="P234" s="10">
        <f t="shared" si="53"/>
        <v>0.39000000000000057</v>
      </c>
    </row>
    <row r="235" spans="1:16">
      <c r="A235">
        <v>35</v>
      </c>
      <c r="B235" s="42">
        <v>144.06</v>
      </c>
      <c r="C235">
        <v>154.56</v>
      </c>
      <c r="D235">
        <v>155.22999999999999</v>
      </c>
      <c r="E235">
        <v>158.78</v>
      </c>
      <c r="F235">
        <v>60.95</v>
      </c>
      <c r="G235">
        <v>55.73</v>
      </c>
      <c r="H235">
        <v>52.28</v>
      </c>
      <c r="K235" s="9">
        <f t="shared" si="48"/>
        <v>-0.83000000000001251</v>
      </c>
      <c r="L235">
        <f t="shared" si="49"/>
        <v>-1</v>
      </c>
      <c r="M235">
        <f t="shared" si="50"/>
        <v>-0.27000000000001023</v>
      </c>
      <c r="N235">
        <f t="shared" si="51"/>
        <v>0.1699999999999946</v>
      </c>
      <c r="O235">
        <f t="shared" si="52"/>
        <v>0.28000000000000114</v>
      </c>
      <c r="P235" s="10">
        <f t="shared" si="53"/>
        <v>0.22999999999999687</v>
      </c>
    </row>
    <row r="236" spans="1:16">
      <c r="A236">
        <v>35.17</v>
      </c>
      <c r="B236" s="42">
        <v>142.9</v>
      </c>
      <c r="C236">
        <v>154.16999999999999</v>
      </c>
      <c r="D236">
        <v>154.72999999999999</v>
      </c>
      <c r="E236">
        <v>158.51</v>
      </c>
      <c r="F236">
        <v>60.95</v>
      </c>
      <c r="G236">
        <v>55.84</v>
      </c>
      <c r="H236">
        <v>52.28</v>
      </c>
      <c r="K236" s="9">
        <f t="shared" si="48"/>
        <v>-0.54999999999998295</v>
      </c>
      <c r="L236">
        <f t="shared" si="49"/>
        <v>-0.5</v>
      </c>
      <c r="M236">
        <f t="shared" si="50"/>
        <v>0.27000000000001023</v>
      </c>
      <c r="N236">
        <f t="shared" si="51"/>
        <v>0.27999999999999403</v>
      </c>
      <c r="O236">
        <f t="shared" si="52"/>
        <v>0.27999999999999403</v>
      </c>
      <c r="P236" s="10">
        <f t="shared" si="53"/>
        <v>0.39000000000000057</v>
      </c>
    </row>
    <row r="237" spans="1:16">
      <c r="A237">
        <v>35.33</v>
      </c>
      <c r="B237" s="42">
        <v>141.9</v>
      </c>
      <c r="C237">
        <v>154.06</v>
      </c>
      <c r="D237">
        <v>154.56</v>
      </c>
      <c r="E237">
        <v>158.51</v>
      </c>
      <c r="F237">
        <v>61.12</v>
      </c>
      <c r="G237">
        <v>56.01</v>
      </c>
      <c r="H237">
        <v>52.51</v>
      </c>
      <c r="K237" s="9">
        <f t="shared" si="48"/>
        <v>-0.5</v>
      </c>
      <c r="L237">
        <f t="shared" si="49"/>
        <v>-0.39000000000001478</v>
      </c>
      <c r="M237">
        <f t="shared" si="50"/>
        <v>2.7199999999999989</v>
      </c>
      <c r="N237">
        <f t="shared" si="51"/>
        <v>0.22000000000000597</v>
      </c>
      <c r="O237">
        <f t="shared" si="52"/>
        <v>0.16000000000000369</v>
      </c>
      <c r="P237" s="10">
        <f t="shared" si="53"/>
        <v>0.16000000000000369</v>
      </c>
    </row>
    <row r="238" spans="1:16">
      <c r="A238">
        <v>35.5</v>
      </c>
      <c r="B238" s="42">
        <v>141.56</v>
      </c>
      <c r="C238">
        <v>153.72999999999999</v>
      </c>
      <c r="D238">
        <v>154.22999999999999</v>
      </c>
      <c r="E238">
        <v>158.51</v>
      </c>
      <c r="F238">
        <v>61.12</v>
      </c>
      <c r="G238">
        <v>56.01</v>
      </c>
      <c r="H238">
        <v>52.51</v>
      </c>
      <c r="K238" s="9">
        <f t="shared" si="48"/>
        <v>-0.38999999999998636</v>
      </c>
      <c r="L238">
        <f t="shared" si="49"/>
        <v>-0.38999999999998636</v>
      </c>
      <c r="M238">
        <f t="shared" si="50"/>
        <v>3.9399999999999977</v>
      </c>
      <c r="N238">
        <f t="shared" si="51"/>
        <v>0.28000000000000114</v>
      </c>
      <c r="O238">
        <f t="shared" si="52"/>
        <v>0.21999999999999886</v>
      </c>
      <c r="P238" s="10">
        <f t="shared" si="53"/>
        <v>0.3300000000000054</v>
      </c>
    </row>
    <row r="239" spans="1:16">
      <c r="A239">
        <v>35.67</v>
      </c>
      <c r="B239" s="42">
        <v>141.12</v>
      </c>
      <c r="C239">
        <v>153.62</v>
      </c>
      <c r="D239">
        <v>154.22999999999999</v>
      </c>
      <c r="E239">
        <v>158.78</v>
      </c>
      <c r="F239">
        <v>61.23</v>
      </c>
      <c r="G239">
        <v>56.12</v>
      </c>
      <c r="H239">
        <v>52.67</v>
      </c>
      <c r="K239" s="9">
        <f t="shared" si="48"/>
        <v>-0.11000000000001364</v>
      </c>
      <c r="L239">
        <f t="shared" si="49"/>
        <v>-0.32999999999998408</v>
      </c>
      <c r="M239">
        <f t="shared" si="50"/>
        <v>3.8400000000000034</v>
      </c>
      <c r="N239">
        <f t="shared" si="51"/>
        <v>0.28000000000000114</v>
      </c>
      <c r="O239">
        <f t="shared" si="52"/>
        <v>0.22000000000000597</v>
      </c>
      <c r="P239" s="10">
        <f t="shared" si="53"/>
        <v>0.39000000000000057</v>
      </c>
    </row>
    <row r="240" spans="1:16">
      <c r="A240">
        <v>35.83</v>
      </c>
      <c r="B240" s="42">
        <v>142.06</v>
      </c>
      <c r="C240">
        <v>153.56</v>
      </c>
      <c r="D240">
        <v>154.16999999999999</v>
      </c>
      <c r="E240">
        <v>161.22999999999999</v>
      </c>
      <c r="F240">
        <v>61.34</v>
      </c>
      <c r="G240">
        <v>56.17</v>
      </c>
      <c r="H240">
        <v>52.67</v>
      </c>
      <c r="K240" s="9">
        <f t="shared" si="48"/>
        <v>-0.78000000000000114</v>
      </c>
      <c r="L240">
        <f t="shared" si="49"/>
        <v>-0.88999999999998636</v>
      </c>
      <c r="M240">
        <f t="shared" si="50"/>
        <v>1</v>
      </c>
      <c r="N240">
        <f t="shared" si="51"/>
        <v>0.1699999999999946</v>
      </c>
      <c r="O240">
        <f t="shared" si="52"/>
        <v>0.22999999999999687</v>
      </c>
      <c r="P240" s="10">
        <f t="shared" si="53"/>
        <v>0.44999999999999574</v>
      </c>
    </row>
    <row r="241" spans="1:16">
      <c r="A241">
        <v>36</v>
      </c>
      <c r="B241" s="42">
        <v>143.12</v>
      </c>
      <c r="C241">
        <v>153.34</v>
      </c>
      <c r="D241">
        <v>153.84</v>
      </c>
      <c r="E241">
        <v>162.44999999999999</v>
      </c>
      <c r="F241">
        <v>61.4</v>
      </c>
      <c r="G241">
        <v>56.23</v>
      </c>
      <c r="H241">
        <v>52.84</v>
      </c>
      <c r="K241" s="9">
        <f t="shared" si="48"/>
        <v>-0.61000000000001364</v>
      </c>
      <c r="L241">
        <f t="shared" si="49"/>
        <v>-0.61000000000001364</v>
      </c>
      <c r="M241">
        <f t="shared" si="50"/>
        <v>-0.38999999999998636</v>
      </c>
      <c r="N241">
        <f t="shared" si="51"/>
        <v>0.21999999999999886</v>
      </c>
      <c r="O241">
        <f t="shared" si="52"/>
        <v>0.22000000000000597</v>
      </c>
      <c r="P241" s="10">
        <f t="shared" si="53"/>
        <v>0.38999999999999346</v>
      </c>
    </row>
    <row r="242" spans="1:16">
      <c r="A242">
        <v>36.17</v>
      </c>
      <c r="B242" s="42">
        <v>145.16999999999999</v>
      </c>
      <c r="C242">
        <v>153.51</v>
      </c>
      <c r="D242">
        <v>153.9</v>
      </c>
      <c r="E242">
        <v>162.62</v>
      </c>
      <c r="F242">
        <v>61.51</v>
      </c>
      <c r="G242">
        <v>56.34</v>
      </c>
      <c r="H242">
        <v>53.06</v>
      </c>
      <c r="K242" s="9">
        <f t="shared" si="48"/>
        <v>-1</v>
      </c>
      <c r="L242">
        <f t="shared" si="49"/>
        <v>-0.89000000000001478</v>
      </c>
      <c r="M242">
        <f t="shared" si="50"/>
        <v>-0.71999999999999886</v>
      </c>
      <c r="N242">
        <f t="shared" si="51"/>
        <v>0.21999999999999886</v>
      </c>
      <c r="O242">
        <f t="shared" si="52"/>
        <v>0.1699999999999946</v>
      </c>
      <c r="P242" s="10">
        <f t="shared" si="53"/>
        <v>0.28000000000000114</v>
      </c>
    </row>
    <row r="243" spans="1:16">
      <c r="A243">
        <v>36.33</v>
      </c>
      <c r="B243" s="42">
        <v>147.16999999999999</v>
      </c>
      <c r="C243">
        <v>152.78</v>
      </c>
      <c r="D243">
        <v>153.28</v>
      </c>
      <c r="E243">
        <v>162.22999999999999</v>
      </c>
      <c r="F243">
        <v>61.51</v>
      </c>
      <c r="G243">
        <v>56.4</v>
      </c>
      <c r="H243">
        <v>53.12</v>
      </c>
      <c r="K243" s="9">
        <f t="shared" si="48"/>
        <v>-0.15999999999999659</v>
      </c>
      <c r="L243">
        <f t="shared" si="49"/>
        <v>-0.37999999999999545</v>
      </c>
      <c r="M243">
        <f t="shared" si="50"/>
        <v>-0.56000000000000227</v>
      </c>
      <c r="N243">
        <f t="shared" si="51"/>
        <v>0.21999999999999886</v>
      </c>
      <c r="O243">
        <f t="shared" si="52"/>
        <v>0.16000000000000369</v>
      </c>
      <c r="P243" s="10">
        <f t="shared" si="53"/>
        <v>0.28000000000000114</v>
      </c>
    </row>
    <row r="244" spans="1:16">
      <c r="A244">
        <v>36.5</v>
      </c>
      <c r="B244" s="42">
        <v>148.12</v>
      </c>
      <c r="C244">
        <v>152.72999999999999</v>
      </c>
      <c r="D244">
        <v>153.22999999999999</v>
      </c>
      <c r="E244">
        <v>162.06</v>
      </c>
      <c r="F244">
        <v>61.62</v>
      </c>
      <c r="G244">
        <v>56.45</v>
      </c>
      <c r="H244">
        <v>53.23</v>
      </c>
      <c r="K244" s="9">
        <f t="shared" si="48"/>
        <v>0.11000000000001364</v>
      </c>
      <c r="L244">
        <f t="shared" si="49"/>
        <v>0</v>
      </c>
      <c r="M244">
        <f t="shared" si="50"/>
        <v>-0.5</v>
      </c>
      <c r="N244">
        <f t="shared" si="51"/>
        <v>0.28000000000000114</v>
      </c>
      <c r="O244">
        <f t="shared" si="52"/>
        <v>0.27999999999999403</v>
      </c>
      <c r="P244" s="10">
        <f t="shared" si="53"/>
        <v>0.17000000000000171</v>
      </c>
    </row>
    <row r="245" spans="1:16">
      <c r="A245">
        <v>36.67</v>
      </c>
      <c r="B245" s="42">
        <v>149.28</v>
      </c>
      <c r="C245">
        <v>152.51</v>
      </c>
      <c r="D245">
        <v>153.01</v>
      </c>
      <c r="E245">
        <v>161.9</v>
      </c>
      <c r="F245">
        <v>61.73</v>
      </c>
      <c r="G245">
        <v>56.51</v>
      </c>
      <c r="H245">
        <v>53.34</v>
      </c>
      <c r="K245" s="9">
        <f t="shared" si="48"/>
        <v>2.6599999999999966</v>
      </c>
      <c r="L245">
        <f t="shared" si="49"/>
        <v>2.1599999999999966</v>
      </c>
      <c r="M245">
        <f t="shared" si="50"/>
        <v>-0.5</v>
      </c>
      <c r="N245">
        <f t="shared" si="51"/>
        <v>0.17000000000000171</v>
      </c>
      <c r="O245">
        <f t="shared" si="52"/>
        <v>0.21999999999999886</v>
      </c>
      <c r="P245" s="10">
        <f t="shared" si="53"/>
        <v>0.10999999999999943</v>
      </c>
    </row>
    <row r="246" spans="1:16">
      <c r="A246">
        <v>36.83</v>
      </c>
      <c r="B246" s="42">
        <v>149.78</v>
      </c>
      <c r="C246">
        <v>152.62</v>
      </c>
      <c r="D246">
        <v>152.9</v>
      </c>
      <c r="E246">
        <v>161.66999999999999</v>
      </c>
      <c r="F246">
        <v>61.73</v>
      </c>
      <c r="G246">
        <v>56.56</v>
      </c>
      <c r="H246">
        <v>53.4</v>
      </c>
      <c r="K246" s="9">
        <f t="shared" si="48"/>
        <v>3.7800000000000011</v>
      </c>
      <c r="L246">
        <f t="shared" si="49"/>
        <v>3.6099999999999852</v>
      </c>
      <c r="M246">
        <f t="shared" si="50"/>
        <v>-0.32999999999998408</v>
      </c>
      <c r="N246">
        <f t="shared" si="51"/>
        <v>0.17000000000000171</v>
      </c>
      <c r="O246">
        <f t="shared" si="52"/>
        <v>0.21999999999999886</v>
      </c>
      <c r="P246" s="10">
        <f t="shared" si="53"/>
        <v>5.0000000000004263E-2</v>
      </c>
    </row>
    <row r="247" spans="1:16">
      <c r="A247">
        <v>37</v>
      </c>
      <c r="B247" s="42">
        <v>150.01</v>
      </c>
      <c r="C247">
        <v>152.84</v>
      </c>
      <c r="D247">
        <v>153.22999999999999</v>
      </c>
      <c r="E247">
        <v>161.56</v>
      </c>
      <c r="F247">
        <v>61.9</v>
      </c>
      <c r="G247">
        <v>56.73</v>
      </c>
      <c r="H247">
        <v>53.4</v>
      </c>
      <c r="K247" s="9">
        <f t="shared" si="48"/>
        <v>4.6699999999999875</v>
      </c>
      <c r="L247">
        <f t="shared" si="49"/>
        <v>4.4399999999999977</v>
      </c>
      <c r="M247">
        <f t="shared" si="50"/>
        <v>-0.33000000000001251</v>
      </c>
      <c r="N247">
        <f t="shared" si="51"/>
        <v>0.16000000000000369</v>
      </c>
      <c r="O247">
        <f t="shared" si="52"/>
        <v>0.11000000000000654</v>
      </c>
      <c r="P247" s="10">
        <f t="shared" si="53"/>
        <v>0.16000000000000369</v>
      </c>
    </row>
    <row r="248" spans="1:16">
      <c r="A248">
        <v>37.17</v>
      </c>
      <c r="B248" s="42">
        <v>149.84</v>
      </c>
      <c r="C248">
        <v>155.16999999999999</v>
      </c>
      <c r="D248">
        <v>155.16999999999999</v>
      </c>
      <c r="E248">
        <v>161.4</v>
      </c>
      <c r="F248">
        <v>61.9</v>
      </c>
      <c r="G248">
        <v>56.73</v>
      </c>
      <c r="H248">
        <v>53.45</v>
      </c>
      <c r="K248" s="9">
        <f t="shared" si="48"/>
        <v>2.3900000000000148</v>
      </c>
      <c r="L248">
        <f t="shared" si="49"/>
        <v>2.8400000000000034</v>
      </c>
      <c r="M248">
        <f t="shared" si="50"/>
        <v>-0.28000000000000114</v>
      </c>
      <c r="N248">
        <f t="shared" si="51"/>
        <v>0.32999999999999829</v>
      </c>
      <c r="O248">
        <f t="shared" si="52"/>
        <v>0.22000000000000597</v>
      </c>
      <c r="P248" s="10">
        <f t="shared" si="53"/>
        <v>0.21999999999999886</v>
      </c>
    </row>
    <row r="249" spans="1:16">
      <c r="A249">
        <v>37.33</v>
      </c>
      <c r="B249" s="42">
        <v>150.44999999999999</v>
      </c>
      <c r="C249">
        <v>156.4</v>
      </c>
      <c r="D249">
        <v>156.51</v>
      </c>
      <c r="E249">
        <v>161.34</v>
      </c>
      <c r="F249">
        <v>61.9</v>
      </c>
      <c r="G249">
        <v>56.78</v>
      </c>
      <c r="H249">
        <v>53.45</v>
      </c>
      <c r="K249" s="9">
        <f t="shared" si="48"/>
        <v>0.76999999999998181</v>
      </c>
      <c r="L249">
        <f t="shared" si="49"/>
        <v>1.1599999999999966</v>
      </c>
      <c r="M249">
        <f t="shared" si="50"/>
        <v>-0.28000000000000114</v>
      </c>
      <c r="N249">
        <f t="shared" si="51"/>
        <v>0.38000000000000256</v>
      </c>
      <c r="O249">
        <f t="shared" si="52"/>
        <v>0.28000000000000114</v>
      </c>
      <c r="P249" s="10">
        <f t="shared" si="53"/>
        <v>0.21999999999999886</v>
      </c>
    </row>
    <row r="250" spans="1:16">
      <c r="A250">
        <v>37.5</v>
      </c>
      <c r="B250" s="42">
        <v>150.62</v>
      </c>
      <c r="C250">
        <v>157.51</v>
      </c>
      <c r="D250">
        <v>157.66999999999999</v>
      </c>
      <c r="E250">
        <v>161.22999999999999</v>
      </c>
      <c r="F250">
        <v>62.06</v>
      </c>
      <c r="G250">
        <v>56.84</v>
      </c>
      <c r="H250">
        <v>53.56</v>
      </c>
      <c r="K250" s="9">
        <f t="shared" si="48"/>
        <v>-0.72999999999998977</v>
      </c>
      <c r="L250">
        <f t="shared" si="49"/>
        <v>-0.32999999999998408</v>
      </c>
      <c r="M250">
        <f t="shared" si="50"/>
        <v>-0.38999999999998636</v>
      </c>
      <c r="N250">
        <f t="shared" si="51"/>
        <v>0.33999999999999631</v>
      </c>
      <c r="O250">
        <f t="shared" si="52"/>
        <v>0.27999999999999403</v>
      </c>
      <c r="P250" s="10">
        <f t="shared" si="53"/>
        <v>0.28000000000000114</v>
      </c>
    </row>
    <row r="251" spans="1:16">
      <c r="A251">
        <v>37.67</v>
      </c>
      <c r="B251" s="42">
        <v>150.78</v>
      </c>
      <c r="C251">
        <v>157.56</v>
      </c>
      <c r="D251">
        <v>158.01</v>
      </c>
      <c r="E251">
        <v>161.12</v>
      </c>
      <c r="F251">
        <v>62.23</v>
      </c>
      <c r="G251">
        <v>56.95</v>
      </c>
      <c r="H251">
        <v>53.67</v>
      </c>
      <c r="K251" s="9">
        <f t="shared" si="48"/>
        <v>-1.0500000000000114</v>
      </c>
      <c r="L251">
        <f t="shared" si="49"/>
        <v>-0.88999999999998636</v>
      </c>
      <c r="M251">
        <f t="shared" si="50"/>
        <v>-0.45000000000001705</v>
      </c>
      <c r="N251">
        <f t="shared" si="51"/>
        <v>0.22000000000000597</v>
      </c>
      <c r="O251">
        <f t="shared" si="52"/>
        <v>0.27999999999999403</v>
      </c>
      <c r="P251" s="10">
        <f t="shared" si="53"/>
        <v>0.28000000000000114</v>
      </c>
    </row>
    <row r="252" spans="1:16">
      <c r="A252">
        <v>37.83</v>
      </c>
      <c r="B252" s="42">
        <v>150.34</v>
      </c>
      <c r="C252">
        <v>157.16999999999999</v>
      </c>
      <c r="D252">
        <v>157.66999999999999</v>
      </c>
      <c r="E252">
        <v>161.06</v>
      </c>
      <c r="F252">
        <v>62.28</v>
      </c>
      <c r="G252">
        <v>57.06</v>
      </c>
      <c r="H252">
        <v>53.67</v>
      </c>
      <c r="K252" s="9">
        <f t="shared" si="48"/>
        <v>-1</v>
      </c>
      <c r="L252">
        <f t="shared" si="49"/>
        <v>-0.88999999999998636</v>
      </c>
      <c r="M252">
        <f t="shared" si="50"/>
        <v>-0.5</v>
      </c>
      <c r="N252">
        <f t="shared" si="51"/>
        <v>0.22999999999999687</v>
      </c>
      <c r="O252">
        <f t="shared" si="52"/>
        <v>0.21999999999999886</v>
      </c>
      <c r="P252" s="10">
        <f t="shared" si="53"/>
        <v>0.28000000000000114</v>
      </c>
    </row>
    <row r="253" spans="1:16">
      <c r="A253">
        <v>38</v>
      </c>
      <c r="B253" s="42">
        <v>150.28</v>
      </c>
      <c r="C253">
        <v>156.78</v>
      </c>
      <c r="D253">
        <v>157.34</v>
      </c>
      <c r="E253">
        <v>160.84</v>
      </c>
      <c r="F253">
        <v>62.4</v>
      </c>
      <c r="G253">
        <v>57.12</v>
      </c>
      <c r="H253">
        <v>53.84</v>
      </c>
      <c r="K253" s="9">
        <f t="shared" si="48"/>
        <v>-1.1100000000000136</v>
      </c>
      <c r="L253">
        <f t="shared" si="49"/>
        <v>-1.1100000000000136</v>
      </c>
      <c r="M253">
        <f t="shared" si="50"/>
        <v>-0.28000000000000114</v>
      </c>
      <c r="N253">
        <f t="shared" si="51"/>
        <v>0.16000000000000369</v>
      </c>
      <c r="O253">
        <f t="shared" si="52"/>
        <v>0.22000000000000597</v>
      </c>
      <c r="P253" s="10">
        <f t="shared" si="53"/>
        <v>0.21999999999999886</v>
      </c>
    </row>
    <row r="254" spans="1:16">
      <c r="A254">
        <v>38.17</v>
      </c>
      <c r="B254" s="42">
        <v>150.51</v>
      </c>
      <c r="C254">
        <v>156.51</v>
      </c>
      <c r="D254">
        <v>157.12</v>
      </c>
      <c r="E254">
        <v>160.66999999999999</v>
      </c>
      <c r="F254">
        <v>62.45</v>
      </c>
      <c r="G254">
        <v>57.23</v>
      </c>
      <c r="H254">
        <v>53.95</v>
      </c>
      <c r="K254" s="9">
        <f t="shared" si="48"/>
        <v>-0.94999999999998863</v>
      </c>
      <c r="L254">
        <f t="shared" si="49"/>
        <v>-1</v>
      </c>
      <c r="M254">
        <f t="shared" si="50"/>
        <v>6.0000000000002274E-2</v>
      </c>
      <c r="N254">
        <f t="shared" si="51"/>
        <v>0.1699999999999946</v>
      </c>
      <c r="O254">
        <f t="shared" si="52"/>
        <v>0.22000000000000597</v>
      </c>
      <c r="P254" s="10">
        <f t="shared" si="53"/>
        <v>0.10999999999999943</v>
      </c>
    </row>
    <row r="255" spans="1:16">
      <c r="A255">
        <v>38.33</v>
      </c>
      <c r="B255" s="42">
        <v>150.66999999999999</v>
      </c>
      <c r="C255">
        <v>156.16999999999999</v>
      </c>
      <c r="D255">
        <v>156.78</v>
      </c>
      <c r="E255">
        <v>160.56</v>
      </c>
      <c r="F255">
        <v>62.51</v>
      </c>
      <c r="G255">
        <v>57.28</v>
      </c>
      <c r="H255">
        <v>53.95</v>
      </c>
      <c r="K255" s="9">
        <f t="shared" si="48"/>
        <v>-0.65999999999999659</v>
      </c>
      <c r="L255">
        <f t="shared" si="49"/>
        <v>-0.77000000000001023</v>
      </c>
      <c r="M255">
        <f t="shared" si="50"/>
        <v>0.44999999999998863</v>
      </c>
      <c r="N255">
        <f t="shared" si="51"/>
        <v>0.16000000000000369</v>
      </c>
      <c r="O255">
        <f t="shared" si="52"/>
        <v>0.22999999999999687</v>
      </c>
      <c r="P255" s="10">
        <f t="shared" si="53"/>
        <v>0.1699999999999946</v>
      </c>
    </row>
    <row r="256" spans="1:16">
      <c r="A256">
        <v>38.5</v>
      </c>
      <c r="B256" s="42">
        <v>151.12</v>
      </c>
      <c r="C256">
        <v>155.66999999999999</v>
      </c>
      <c r="D256">
        <v>156.22999999999999</v>
      </c>
      <c r="E256">
        <v>160.56</v>
      </c>
      <c r="F256">
        <v>62.56</v>
      </c>
      <c r="G256">
        <v>57.34</v>
      </c>
      <c r="H256">
        <v>54.06</v>
      </c>
      <c r="K256" s="9">
        <f t="shared" si="48"/>
        <v>-0.10999999999998522</v>
      </c>
      <c r="L256">
        <f t="shared" si="49"/>
        <v>-0.21999999999999886</v>
      </c>
      <c r="M256">
        <f t="shared" si="50"/>
        <v>1.7199999999999989</v>
      </c>
      <c r="N256">
        <f t="shared" si="51"/>
        <v>0.28000000000000114</v>
      </c>
      <c r="O256">
        <f t="shared" si="52"/>
        <v>0.32999999999999829</v>
      </c>
      <c r="P256" s="10">
        <f t="shared" si="53"/>
        <v>0.10999999999999943</v>
      </c>
    </row>
    <row r="257" spans="1:16">
      <c r="A257">
        <v>38.67</v>
      </c>
      <c r="B257" s="42">
        <v>151.28</v>
      </c>
      <c r="C257">
        <v>155.56</v>
      </c>
      <c r="D257">
        <v>156.12</v>
      </c>
      <c r="E257">
        <v>160.72999999999999</v>
      </c>
      <c r="F257">
        <v>62.62</v>
      </c>
      <c r="G257">
        <v>57.45</v>
      </c>
      <c r="H257">
        <v>54.06</v>
      </c>
      <c r="K257" s="9">
        <f t="shared" si="48"/>
        <v>-0.21999999999999886</v>
      </c>
      <c r="L257">
        <f t="shared" si="49"/>
        <v>-0.34000000000000341</v>
      </c>
      <c r="M257">
        <f t="shared" si="50"/>
        <v>1.6700000000000159</v>
      </c>
      <c r="N257">
        <f t="shared" si="51"/>
        <v>0.22000000000000597</v>
      </c>
      <c r="O257">
        <f t="shared" si="52"/>
        <v>0.32999999999999829</v>
      </c>
      <c r="P257" s="10">
        <f t="shared" si="53"/>
        <v>0.21999999999999886</v>
      </c>
    </row>
    <row r="258" spans="1:16">
      <c r="A258">
        <v>38.83</v>
      </c>
      <c r="B258" s="42">
        <v>151.44999999999999</v>
      </c>
      <c r="C258">
        <v>155.51</v>
      </c>
      <c r="D258">
        <v>156.01</v>
      </c>
      <c r="E258">
        <v>161.01</v>
      </c>
      <c r="F258">
        <v>62.67</v>
      </c>
      <c r="G258">
        <v>57.51</v>
      </c>
      <c r="H258">
        <v>54.12</v>
      </c>
      <c r="K258" s="9">
        <f t="shared" si="48"/>
        <v>-0.38999999999998636</v>
      </c>
      <c r="L258">
        <f t="shared" si="49"/>
        <v>-0.34000000000000341</v>
      </c>
      <c r="M258">
        <f t="shared" si="50"/>
        <v>1.1599999999999966</v>
      </c>
      <c r="N258">
        <f t="shared" si="51"/>
        <v>0.33999999999999631</v>
      </c>
      <c r="O258">
        <f t="shared" si="52"/>
        <v>0.3300000000000054</v>
      </c>
      <c r="P258" s="10">
        <f t="shared" si="53"/>
        <v>0.3300000000000054</v>
      </c>
    </row>
    <row r="259" spans="1:16">
      <c r="A259">
        <v>39</v>
      </c>
      <c r="B259" s="42">
        <v>152.4</v>
      </c>
      <c r="C259">
        <v>155.56</v>
      </c>
      <c r="D259">
        <v>156.01</v>
      </c>
      <c r="E259">
        <v>162.28</v>
      </c>
      <c r="F259">
        <v>62.84</v>
      </c>
      <c r="G259">
        <v>57.67</v>
      </c>
      <c r="H259">
        <v>54.17</v>
      </c>
      <c r="K259" s="9">
        <f t="shared" si="48"/>
        <v>-0.5</v>
      </c>
      <c r="L259">
        <f t="shared" si="49"/>
        <v>-0.5</v>
      </c>
      <c r="M259">
        <f t="shared" si="50"/>
        <v>0</v>
      </c>
      <c r="N259">
        <f t="shared" si="51"/>
        <v>0.1699999999999946</v>
      </c>
      <c r="O259">
        <f t="shared" si="52"/>
        <v>0.22999999999999687</v>
      </c>
      <c r="P259" s="10">
        <f t="shared" si="53"/>
        <v>0.44999999999999574</v>
      </c>
    </row>
    <row r="260" spans="1:16">
      <c r="A260">
        <v>39.17</v>
      </c>
      <c r="B260" s="42">
        <v>152.66999999999999</v>
      </c>
      <c r="C260">
        <v>155.34</v>
      </c>
      <c r="D260">
        <v>155.78</v>
      </c>
      <c r="E260">
        <v>162.4</v>
      </c>
      <c r="F260">
        <v>62.84</v>
      </c>
      <c r="G260">
        <v>57.78</v>
      </c>
      <c r="H260">
        <v>54.28</v>
      </c>
      <c r="K260" s="9">
        <f t="shared" si="48"/>
        <v>-0.17000000000001592</v>
      </c>
      <c r="L260">
        <f t="shared" si="49"/>
        <v>-5.0000000000011369E-2</v>
      </c>
      <c r="M260">
        <f t="shared" si="50"/>
        <v>-0.12000000000000455</v>
      </c>
      <c r="N260">
        <f t="shared" si="51"/>
        <v>0.1699999999999946</v>
      </c>
      <c r="O260">
        <f t="shared" si="52"/>
        <v>0.22999999999999687</v>
      </c>
      <c r="P260" s="10">
        <f t="shared" si="53"/>
        <v>0.56000000000000227</v>
      </c>
    </row>
    <row r="261" spans="1:16">
      <c r="A261">
        <v>39.33</v>
      </c>
      <c r="B261" s="42">
        <v>154.51</v>
      </c>
      <c r="C261">
        <v>155.12</v>
      </c>
      <c r="D261">
        <v>155.66999999999999</v>
      </c>
      <c r="E261">
        <v>162.16999999999999</v>
      </c>
      <c r="F261">
        <v>63.01</v>
      </c>
      <c r="G261">
        <v>57.84</v>
      </c>
      <c r="H261">
        <v>54.45</v>
      </c>
      <c r="K261" s="9">
        <f t="shared" si="48"/>
        <v>0.28000000000000114</v>
      </c>
      <c r="L261">
        <f t="shared" si="49"/>
        <v>0.34000000000000341</v>
      </c>
      <c r="M261">
        <f t="shared" si="50"/>
        <v>-4.9999999999982947E-2</v>
      </c>
      <c r="N261">
        <f t="shared" si="51"/>
        <v>0.10999999999999943</v>
      </c>
      <c r="O261">
        <f t="shared" si="52"/>
        <v>0.27999999999999403</v>
      </c>
      <c r="P261" s="10">
        <f t="shared" si="53"/>
        <v>0.44999999999999574</v>
      </c>
    </row>
    <row r="262" spans="1:16">
      <c r="A262">
        <v>39.5</v>
      </c>
      <c r="B262" s="42">
        <v>156.06</v>
      </c>
      <c r="C262">
        <v>155.06</v>
      </c>
      <c r="D262">
        <v>155.51</v>
      </c>
      <c r="E262">
        <v>162.28</v>
      </c>
      <c r="F262">
        <v>63.01</v>
      </c>
      <c r="G262">
        <v>57.9</v>
      </c>
      <c r="H262">
        <v>54.62</v>
      </c>
      <c r="K262" s="9">
        <f t="shared" si="48"/>
        <v>1.2800000000000011</v>
      </c>
      <c r="L262">
        <f t="shared" si="49"/>
        <v>1.5</v>
      </c>
      <c r="M262">
        <f t="shared" si="50"/>
        <v>-0.27000000000001023</v>
      </c>
      <c r="N262">
        <f t="shared" si="51"/>
        <v>0.16000000000000369</v>
      </c>
      <c r="O262">
        <f t="shared" si="52"/>
        <v>0.27000000000000313</v>
      </c>
      <c r="P262" s="10">
        <f t="shared" si="53"/>
        <v>0.28000000000000114</v>
      </c>
    </row>
    <row r="263" spans="1:16">
      <c r="A263">
        <v>39.67</v>
      </c>
      <c r="B263" s="42">
        <v>156.84</v>
      </c>
      <c r="C263">
        <v>155.16999999999999</v>
      </c>
      <c r="D263">
        <v>155.72999999999999</v>
      </c>
      <c r="E263">
        <v>162.28</v>
      </c>
      <c r="F263">
        <v>63.01</v>
      </c>
      <c r="G263">
        <v>58.01</v>
      </c>
      <c r="H263">
        <v>54.84</v>
      </c>
      <c r="K263" s="9">
        <f t="shared" si="48"/>
        <v>2.5</v>
      </c>
      <c r="L263">
        <f t="shared" si="49"/>
        <v>2.5500000000000114</v>
      </c>
      <c r="M263">
        <f t="shared" si="50"/>
        <v>-0.21999999999999886</v>
      </c>
      <c r="N263">
        <f t="shared" si="51"/>
        <v>0.3300000000000054</v>
      </c>
      <c r="O263">
        <f t="shared" si="52"/>
        <v>0.3300000000000054</v>
      </c>
      <c r="P263" s="10">
        <f t="shared" si="53"/>
        <v>0.1699999999999946</v>
      </c>
    </row>
    <row r="264" spans="1:16">
      <c r="A264">
        <v>39.83</v>
      </c>
      <c r="B264" s="42">
        <v>156.84</v>
      </c>
      <c r="C264">
        <v>155.4</v>
      </c>
      <c r="D264">
        <v>156.01</v>
      </c>
      <c r="E264">
        <v>162.12</v>
      </c>
      <c r="F264">
        <v>63.12</v>
      </c>
      <c r="G264">
        <v>58.12</v>
      </c>
      <c r="H264">
        <v>54.9</v>
      </c>
      <c r="K264" s="9">
        <f t="shared" si="48"/>
        <v>2.7699999999999818</v>
      </c>
      <c r="L264">
        <f t="shared" si="49"/>
        <v>2.8300000000000125</v>
      </c>
      <c r="M264">
        <f t="shared" si="50"/>
        <v>0.10999999999998522</v>
      </c>
      <c r="N264">
        <f t="shared" si="51"/>
        <v>0.28000000000000114</v>
      </c>
      <c r="O264">
        <f t="shared" si="52"/>
        <v>0.28000000000000114</v>
      </c>
      <c r="P264" s="10">
        <f t="shared" si="53"/>
        <v>0.10999999999999943</v>
      </c>
    </row>
    <row r="265" spans="1:16">
      <c r="A265">
        <v>40</v>
      </c>
      <c r="B265" s="42">
        <v>157.01</v>
      </c>
      <c r="C265">
        <v>156.34</v>
      </c>
      <c r="D265">
        <v>157.01</v>
      </c>
      <c r="E265">
        <v>162.01</v>
      </c>
      <c r="F265">
        <v>63.17</v>
      </c>
      <c r="G265">
        <v>58.17</v>
      </c>
      <c r="H265">
        <v>54.9</v>
      </c>
      <c r="K265" s="9">
        <f t="shared" si="48"/>
        <v>2.1699999999999875</v>
      </c>
      <c r="L265">
        <f t="shared" si="49"/>
        <v>2.1599999999999966</v>
      </c>
      <c r="M265">
        <f t="shared" si="50"/>
        <v>0.61000000000001364</v>
      </c>
      <c r="N265">
        <f t="shared" si="51"/>
        <v>0.39000000000000057</v>
      </c>
      <c r="O265">
        <f t="shared" si="52"/>
        <v>0.33999999999999631</v>
      </c>
      <c r="P265" s="10">
        <f t="shared" si="53"/>
        <v>0.16000000000000369</v>
      </c>
    </row>
    <row r="266" spans="1:16">
      <c r="A266">
        <v>40.17</v>
      </c>
      <c r="B266" s="42">
        <v>156.51</v>
      </c>
      <c r="C266">
        <v>157.66999999999999</v>
      </c>
      <c r="D266">
        <v>158.28</v>
      </c>
      <c r="E266">
        <v>162.06</v>
      </c>
      <c r="F266">
        <v>63.34</v>
      </c>
      <c r="G266">
        <v>58.34</v>
      </c>
      <c r="H266">
        <v>55.01</v>
      </c>
      <c r="K266" s="9">
        <f t="shared" si="48"/>
        <v>0.95000000000001705</v>
      </c>
      <c r="L266">
        <f t="shared" si="49"/>
        <v>1.0600000000000023</v>
      </c>
      <c r="M266">
        <f t="shared" si="50"/>
        <v>0.5</v>
      </c>
      <c r="N266">
        <f t="shared" si="51"/>
        <v>0.38999999999999346</v>
      </c>
      <c r="O266">
        <f t="shared" si="52"/>
        <v>0.38999999999999346</v>
      </c>
      <c r="P266" s="10">
        <f t="shared" si="53"/>
        <v>0.10999999999999943</v>
      </c>
    </row>
    <row r="267" spans="1:16">
      <c r="A267">
        <v>40.33</v>
      </c>
      <c r="B267" s="42">
        <v>156.84</v>
      </c>
      <c r="C267">
        <v>158.16999999999999</v>
      </c>
      <c r="D267">
        <v>158.84</v>
      </c>
      <c r="E267">
        <v>162.22999999999999</v>
      </c>
      <c r="F267">
        <v>63.4</v>
      </c>
      <c r="G267">
        <v>58.4</v>
      </c>
      <c r="H267">
        <v>55.01</v>
      </c>
      <c r="K267" s="9">
        <f t="shared" si="48"/>
        <v>0.45000000000001705</v>
      </c>
      <c r="L267">
        <f t="shared" si="49"/>
        <v>0.66999999999998749</v>
      </c>
      <c r="M267">
        <f t="shared" si="50"/>
        <v>0.21999999999999886</v>
      </c>
      <c r="N267">
        <f t="shared" si="51"/>
        <v>0.44000000000000483</v>
      </c>
      <c r="O267">
        <f t="shared" si="52"/>
        <v>0.38000000000000256</v>
      </c>
      <c r="P267" s="10">
        <f t="shared" si="53"/>
        <v>0.21999999999999886</v>
      </c>
    </row>
    <row r="268" spans="1:16">
      <c r="A268">
        <v>40.5</v>
      </c>
      <c r="B268" s="42">
        <v>157.4</v>
      </c>
      <c r="C268">
        <v>158.51</v>
      </c>
      <c r="D268">
        <v>159.16999999999999</v>
      </c>
      <c r="E268">
        <v>162.62</v>
      </c>
      <c r="F268">
        <v>63.56</v>
      </c>
      <c r="G268">
        <v>58.51</v>
      </c>
      <c r="H268">
        <v>55.06</v>
      </c>
      <c r="K268" s="9">
        <f t="shared" si="48"/>
        <v>-0.10999999999998522</v>
      </c>
      <c r="L268">
        <f t="shared" si="49"/>
        <v>-4.9999999999982947E-2</v>
      </c>
      <c r="M268">
        <f t="shared" si="50"/>
        <v>-0.39000000000001478</v>
      </c>
      <c r="N268">
        <f t="shared" si="51"/>
        <v>0.33999999999999631</v>
      </c>
      <c r="O268">
        <f t="shared" si="52"/>
        <v>0.39000000000000057</v>
      </c>
      <c r="P268" s="10">
        <f t="shared" si="53"/>
        <v>0.21999999999999886</v>
      </c>
    </row>
    <row r="269" spans="1:16">
      <c r="A269">
        <v>40.67</v>
      </c>
      <c r="B269" s="42">
        <v>157.72999999999999</v>
      </c>
      <c r="C269">
        <v>158.62</v>
      </c>
      <c r="D269">
        <v>159.34</v>
      </c>
      <c r="E269">
        <v>162.56</v>
      </c>
      <c r="F269">
        <v>63.73</v>
      </c>
      <c r="G269">
        <v>58.73</v>
      </c>
      <c r="H269">
        <v>55.12</v>
      </c>
      <c r="K269" s="9">
        <f t="shared" si="48"/>
        <v>-0.45000000000001705</v>
      </c>
      <c r="L269">
        <f t="shared" si="49"/>
        <v>-0.33000000000001251</v>
      </c>
      <c r="M269">
        <f t="shared" si="50"/>
        <v>-0.55000000000001137</v>
      </c>
      <c r="N269">
        <f t="shared" si="51"/>
        <v>0.17000000000000171</v>
      </c>
      <c r="O269">
        <f t="shared" si="52"/>
        <v>0.22000000000000597</v>
      </c>
      <c r="P269" s="10">
        <f t="shared" si="53"/>
        <v>0.28000000000000114</v>
      </c>
    </row>
    <row r="270" spans="1:16">
      <c r="A270">
        <v>40.83</v>
      </c>
      <c r="B270" s="42">
        <v>157.44999999999999</v>
      </c>
      <c r="C270">
        <v>158.62</v>
      </c>
      <c r="D270">
        <v>159.51</v>
      </c>
      <c r="E270">
        <v>162.44999999999999</v>
      </c>
      <c r="F270">
        <v>63.84</v>
      </c>
      <c r="G270">
        <v>58.78</v>
      </c>
      <c r="H270">
        <v>55.23</v>
      </c>
      <c r="K270" s="9">
        <f t="shared" si="48"/>
        <v>-0.5</v>
      </c>
      <c r="L270">
        <f t="shared" si="49"/>
        <v>-0.66999999999998749</v>
      </c>
      <c r="M270">
        <f t="shared" si="50"/>
        <v>-0.32999999999998408</v>
      </c>
      <c r="N270">
        <f t="shared" si="51"/>
        <v>0.10999999999999943</v>
      </c>
      <c r="O270">
        <f t="shared" si="52"/>
        <v>0.39000000000000057</v>
      </c>
      <c r="P270" s="10">
        <f t="shared" si="53"/>
        <v>0.22000000000000597</v>
      </c>
    </row>
    <row r="271" spans="1:16">
      <c r="A271">
        <v>41</v>
      </c>
      <c r="B271" s="42">
        <v>157.44999999999999</v>
      </c>
      <c r="C271">
        <v>158.4</v>
      </c>
      <c r="D271">
        <v>159.12</v>
      </c>
      <c r="E271">
        <v>162.22999999999999</v>
      </c>
      <c r="F271">
        <v>63.9</v>
      </c>
      <c r="G271">
        <v>58.9</v>
      </c>
      <c r="H271">
        <v>55.28</v>
      </c>
      <c r="K271" s="9">
        <f t="shared" si="48"/>
        <v>-0.39000000000001478</v>
      </c>
      <c r="L271">
        <f t="shared" si="49"/>
        <v>-0.45000000000001705</v>
      </c>
      <c r="M271">
        <f t="shared" si="50"/>
        <v>-0.21999999999999886</v>
      </c>
      <c r="N271">
        <f t="shared" si="51"/>
        <v>5.0000000000004263E-2</v>
      </c>
      <c r="O271">
        <f t="shared" si="52"/>
        <v>0.27000000000000313</v>
      </c>
      <c r="P271" s="10">
        <f t="shared" si="53"/>
        <v>0.17000000000000171</v>
      </c>
    </row>
    <row r="272" spans="1:16">
      <c r="A272">
        <v>41.17</v>
      </c>
      <c r="B272" s="42">
        <v>157.51</v>
      </c>
      <c r="C272">
        <v>158.16999999999999</v>
      </c>
      <c r="D272">
        <v>159.01</v>
      </c>
      <c r="E272">
        <v>162.01</v>
      </c>
      <c r="F272">
        <v>63.9</v>
      </c>
      <c r="G272">
        <v>58.95</v>
      </c>
      <c r="H272">
        <v>55.4</v>
      </c>
      <c r="K272" s="9">
        <f t="shared" si="48"/>
        <v>-0.32999999999998408</v>
      </c>
      <c r="L272">
        <f t="shared" si="49"/>
        <v>-0.5</v>
      </c>
      <c r="M272">
        <f t="shared" si="50"/>
        <v>0</v>
      </c>
      <c r="N272">
        <f t="shared" si="51"/>
        <v>5.0000000000004263E-2</v>
      </c>
      <c r="O272">
        <f t="shared" si="52"/>
        <v>0.32999999999999829</v>
      </c>
      <c r="P272" s="10">
        <f t="shared" si="53"/>
        <v>5.0000000000004263E-2</v>
      </c>
    </row>
    <row r="273" spans="1:16">
      <c r="A273">
        <v>41.33</v>
      </c>
      <c r="B273" s="42">
        <v>157.66999999999999</v>
      </c>
      <c r="C273">
        <v>158.12</v>
      </c>
      <c r="D273">
        <v>158.84</v>
      </c>
      <c r="E273">
        <v>162.12</v>
      </c>
      <c r="F273">
        <v>63.95</v>
      </c>
      <c r="G273">
        <v>59.17</v>
      </c>
      <c r="H273">
        <v>55.45</v>
      </c>
      <c r="K273" s="9">
        <f t="shared" si="48"/>
        <v>-0.61000000000001364</v>
      </c>
      <c r="L273">
        <f t="shared" si="49"/>
        <v>-0.78000000000000114</v>
      </c>
      <c r="M273">
        <f t="shared" si="50"/>
        <v>0.43999999999999773</v>
      </c>
      <c r="N273">
        <f t="shared" si="51"/>
        <v>0.10999999999999943</v>
      </c>
      <c r="O273">
        <f t="shared" si="52"/>
        <v>0.17000000000000171</v>
      </c>
      <c r="P273" s="10">
        <f t="shared" si="53"/>
        <v>-5.0000000000004263E-2</v>
      </c>
    </row>
    <row r="274" spans="1:16">
      <c r="A274">
        <v>41.5</v>
      </c>
      <c r="B274" s="42">
        <v>158.01</v>
      </c>
      <c r="C274">
        <v>158.01</v>
      </c>
      <c r="D274">
        <v>158.66999999999999</v>
      </c>
      <c r="E274">
        <v>162.01</v>
      </c>
      <c r="F274">
        <v>63.95</v>
      </c>
      <c r="G274">
        <v>59.17</v>
      </c>
      <c r="H274">
        <v>55.45</v>
      </c>
      <c r="K274" s="9">
        <f t="shared" si="48"/>
        <v>-0.66999999999998749</v>
      </c>
      <c r="L274">
        <f t="shared" si="49"/>
        <v>-0.93999999999999773</v>
      </c>
      <c r="M274">
        <f t="shared" si="50"/>
        <v>1.8300000000000125</v>
      </c>
      <c r="N274">
        <f t="shared" si="51"/>
        <v>0.21999999999999886</v>
      </c>
      <c r="O274">
        <f t="shared" si="52"/>
        <v>0.33999999999999631</v>
      </c>
      <c r="P274" s="10">
        <f t="shared" si="53"/>
        <v>5.9999999999995168E-2</v>
      </c>
    </row>
    <row r="275" spans="1:16">
      <c r="A275">
        <v>41.67</v>
      </c>
      <c r="B275" s="42">
        <v>157.72999999999999</v>
      </c>
      <c r="C275">
        <v>157.84</v>
      </c>
      <c r="D275">
        <v>158.51</v>
      </c>
      <c r="E275">
        <v>162.01</v>
      </c>
      <c r="F275">
        <v>63.95</v>
      </c>
      <c r="G275">
        <v>59.28</v>
      </c>
      <c r="H275">
        <v>55.45</v>
      </c>
      <c r="K275" s="9">
        <f t="shared" si="48"/>
        <v>-0.56000000000000227</v>
      </c>
      <c r="L275">
        <f t="shared" si="49"/>
        <v>-0.88999999999998636</v>
      </c>
      <c r="M275">
        <f t="shared" si="50"/>
        <v>2.3900000000000148</v>
      </c>
      <c r="N275">
        <f t="shared" si="51"/>
        <v>0.32999999999999829</v>
      </c>
      <c r="O275">
        <f t="shared" si="52"/>
        <v>0.39000000000000057</v>
      </c>
      <c r="P275" s="10">
        <f t="shared" si="53"/>
        <v>0.1699999999999946</v>
      </c>
    </row>
    <row r="276" spans="1:16">
      <c r="A276">
        <v>41.83</v>
      </c>
      <c r="B276" s="42">
        <v>157.22999999999999</v>
      </c>
      <c r="C276">
        <v>157.51</v>
      </c>
      <c r="D276">
        <v>158.06</v>
      </c>
      <c r="E276">
        <v>162.56</v>
      </c>
      <c r="F276">
        <v>64.06</v>
      </c>
      <c r="G276">
        <v>59.34</v>
      </c>
      <c r="H276">
        <v>55.4</v>
      </c>
      <c r="K276" s="9">
        <f t="shared" si="48"/>
        <v>-0.5</v>
      </c>
      <c r="L276">
        <f t="shared" si="49"/>
        <v>-0.83000000000001251</v>
      </c>
      <c r="M276">
        <f t="shared" si="50"/>
        <v>1.9499999999999886</v>
      </c>
      <c r="N276">
        <f t="shared" si="51"/>
        <v>0.28000000000000114</v>
      </c>
      <c r="O276">
        <f t="shared" si="52"/>
        <v>0.32999999999999829</v>
      </c>
      <c r="P276" s="10">
        <f t="shared" si="53"/>
        <v>0.27000000000000313</v>
      </c>
    </row>
    <row r="277" spans="1:16">
      <c r="A277">
        <v>42</v>
      </c>
      <c r="B277" s="42">
        <v>157.4</v>
      </c>
      <c r="C277">
        <v>157.34</v>
      </c>
      <c r="D277">
        <v>157.72999999999999</v>
      </c>
      <c r="E277">
        <v>163.84</v>
      </c>
      <c r="F277">
        <v>64.17</v>
      </c>
      <c r="G277">
        <v>59.51</v>
      </c>
      <c r="H277">
        <v>55.51</v>
      </c>
      <c r="K277" s="9">
        <f t="shared" si="48"/>
        <v>-0.21999999999999886</v>
      </c>
      <c r="L277">
        <f t="shared" si="49"/>
        <v>-0.56000000000000227</v>
      </c>
      <c r="M277">
        <f t="shared" si="50"/>
        <v>0.38999999999998636</v>
      </c>
      <c r="N277">
        <f t="shared" si="51"/>
        <v>0.28000000000000114</v>
      </c>
      <c r="O277">
        <f t="shared" si="52"/>
        <v>0.3300000000000054</v>
      </c>
      <c r="P277" s="10">
        <f t="shared" si="53"/>
        <v>0.27000000000000313</v>
      </c>
    </row>
    <row r="278" spans="1:16">
      <c r="A278">
        <v>42.17</v>
      </c>
      <c r="B278" s="42">
        <v>158.01</v>
      </c>
      <c r="C278">
        <v>157.28</v>
      </c>
      <c r="D278">
        <v>157.62</v>
      </c>
      <c r="E278">
        <v>164.4</v>
      </c>
      <c r="F278">
        <v>64.28</v>
      </c>
      <c r="G278">
        <v>59.67</v>
      </c>
      <c r="H278">
        <v>55.62</v>
      </c>
      <c r="K278" s="9">
        <f t="shared" si="48"/>
        <v>-0.15999999999999659</v>
      </c>
      <c r="L278">
        <f t="shared" si="49"/>
        <v>-0.45000000000001705</v>
      </c>
      <c r="M278">
        <f t="shared" si="50"/>
        <v>-0.28000000000000114</v>
      </c>
      <c r="N278">
        <f t="shared" si="51"/>
        <v>0.23000000000000398</v>
      </c>
      <c r="O278">
        <f t="shared" si="52"/>
        <v>0.28000000000000114</v>
      </c>
      <c r="P278" s="10">
        <f t="shared" si="53"/>
        <v>0.3300000000000054</v>
      </c>
    </row>
    <row r="279" spans="1:16">
      <c r="A279">
        <v>42.33</v>
      </c>
      <c r="B279" s="42">
        <v>159.01</v>
      </c>
      <c r="C279">
        <v>157.01</v>
      </c>
      <c r="D279">
        <v>157.22999999999999</v>
      </c>
      <c r="E279">
        <v>164.51</v>
      </c>
      <c r="F279">
        <v>64.34</v>
      </c>
      <c r="G279">
        <v>59.67</v>
      </c>
      <c r="H279">
        <v>55.67</v>
      </c>
      <c r="K279" s="9">
        <f t="shared" si="48"/>
        <v>0.71999999999999886</v>
      </c>
      <c r="L279">
        <f t="shared" si="49"/>
        <v>0.61000000000001364</v>
      </c>
      <c r="M279">
        <f t="shared" si="50"/>
        <v>-0.28000000000000114</v>
      </c>
      <c r="N279">
        <f t="shared" si="51"/>
        <v>0.21999999999999886</v>
      </c>
      <c r="O279">
        <f t="shared" si="52"/>
        <v>0.39000000000000057</v>
      </c>
      <c r="P279" s="10">
        <f t="shared" si="53"/>
        <v>0.33999999999999631</v>
      </c>
    </row>
    <row r="280" spans="1:16">
      <c r="A280">
        <v>42.5</v>
      </c>
      <c r="B280" s="42">
        <v>159.62</v>
      </c>
      <c r="C280">
        <v>157.12</v>
      </c>
      <c r="D280">
        <v>157.16999999999999</v>
      </c>
      <c r="E280">
        <v>164.23</v>
      </c>
      <c r="F280">
        <v>64.45</v>
      </c>
      <c r="G280">
        <v>59.84</v>
      </c>
      <c r="H280">
        <v>55.78</v>
      </c>
      <c r="K280" s="9">
        <f t="shared" si="48"/>
        <v>2</v>
      </c>
      <c r="L280">
        <f t="shared" si="49"/>
        <v>2.3400000000000034</v>
      </c>
      <c r="M280">
        <f t="shared" si="50"/>
        <v>5.0000000000011369E-2</v>
      </c>
      <c r="N280">
        <f t="shared" si="51"/>
        <v>0.21999999999999886</v>
      </c>
      <c r="O280">
        <f t="shared" si="52"/>
        <v>0.38999999999999346</v>
      </c>
      <c r="P280" s="10">
        <f t="shared" si="53"/>
        <v>0.44999999999999574</v>
      </c>
    </row>
    <row r="281" spans="1:16">
      <c r="A281">
        <v>42.67</v>
      </c>
      <c r="B281" s="42">
        <v>159.62</v>
      </c>
      <c r="C281">
        <v>157.12</v>
      </c>
      <c r="D281">
        <v>157.16999999999999</v>
      </c>
      <c r="E281">
        <v>164.12</v>
      </c>
      <c r="F281">
        <v>64.510000000000005</v>
      </c>
      <c r="G281">
        <v>59.95</v>
      </c>
      <c r="H281">
        <v>55.95</v>
      </c>
      <c r="K281" s="9">
        <f t="shared" ref="K281:K344" si="54">C284-C281</f>
        <v>3.5</v>
      </c>
      <c r="L281">
        <f t="shared" ref="L281:L344" si="55">D284-D281</f>
        <v>3.8400000000000034</v>
      </c>
      <c r="M281">
        <f t="shared" ref="M281:M344" si="56">E284-E281</f>
        <v>0.10999999999998522</v>
      </c>
      <c r="N281">
        <f t="shared" ref="N281:N344" si="57">F284-F281</f>
        <v>0.15999999999999659</v>
      </c>
      <c r="O281">
        <f t="shared" ref="O281:O344" si="58">G284-G281</f>
        <v>0.44999999999999574</v>
      </c>
      <c r="P281" s="10">
        <f t="shared" ref="P281:P344" si="59">H284-H281</f>
        <v>0.27999999999999403</v>
      </c>
    </row>
    <row r="282" spans="1:16">
      <c r="A282">
        <v>42.83</v>
      </c>
      <c r="B282" s="42">
        <v>159.28</v>
      </c>
      <c r="C282">
        <v>157.72999999999999</v>
      </c>
      <c r="D282">
        <v>157.84</v>
      </c>
      <c r="E282">
        <v>164.23</v>
      </c>
      <c r="F282">
        <v>64.56</v>
      </c>
      <c r="G282">
        <v>60.06</v>
      </c>
      <c r="H282">
        <v>56.01</v>
      </c>
      <c r="K282" s="9">
        <f t="shared" si="54"/>
        <v>3.6700000000000159</v>
      </c>
      <c r="L282">
        <f t="shared" si="55"/>
        <v>4.1099999999999852</v>
      </c>
      <c r="M282">
        <f t="shared" si="56"/>
        <v>0.5</v>
      </c>
      <c r="N282">
        <f t="shared" si="57"/>
        <v>0.28000000000000114</v>
      </c>
      <c r="O282">
        <f t="shared" si="58"/>
        <v>0.39000000000000057</v>
      </c>
      <c r="P282" s="10">
        <f t="shared" si="59"/>
        <v>0.39000000000000057</v>
      </c>
    </row>
    <row r="283" spans="1:16">
      <c r="A283">
        <v>43</v>
      </c>
      <c r="B283" s="42">
        <v>159.12</v>
      </c>
      <c r="C283">
        <v>159.12</v>
      </c>
      <c r="D283">
        <v>159.51</v>
      </c>
      <c r="E283">
        <v>164.28</v>
      </c>
      <c r="F283">
        <v>64.67</v>
      </c>
      <c r="G283">
        <v>60.23</v>
      </c>
      <c r="H283">
        <v>56.23</v>
      </c>
      <c r="K283" s="9">
        <f t="shared" si="54"/>
        <v>2.3899999999999864</v>
      </c>
      <c r="L283">
        <f t="shared" si="55"/>
        <v>2.6599999999999966</v>
      </c>
      <c r="M283">
        <f t="shared" si="56"/>
        <v>0.44999999999998863</v>
      </c>
      <c r="N283">
        <f t="shared" si="57"/>
        <v>0.28000000000000114</v>
      </c>
      <c r="O283">
        <f t="shared" si="58"/>
        <v>0.39000000000000057</v>
      </c>
      <c r="P283" s="10">
        <f t="shared" si="59"/>
        <v>0.28000000000000114</v>
      </c>
    </row>
    <row r="284" spans="1:16">
      <c r="A284">
        <v>43.17</v>
      </c>
      <c r="B284" s="42">
        <v>159.01</v>
      </c>
      <c r="C284">
        <v>160.62</v>
      </c>
      <c r="D284">
        <v>161.01</v>
      </c>
      <c r="E284">
        <v>164.23</v>
      </c>
      <c r="F284">
        <v>64.67</v>
      </c>
      <c r="G284">
        <v>60.4</v>
      </c>
      <c r="H284">
        <v>56.23</v>
      </c>
      <c r="K284" s="9">
        <f t="shared" si="54"/>
        <v>0.82999999999998408</v>
      </c>
      <c r="L284">
        <f t="shared" si="55"/>
        <v>1.1599999999999966</v>
      </c>
      <c r="M284">
        <f t="shared" si="56"/>
        <v>0.61000000000001364</v>
      </c>
      <c r="N284">
        <f t="shared" si="57"/>
        <v>0.39000000000000057</v>
      </c>
      <c r="O284">
        <f t="shared" si="58"/>
        <v>0.38000000000000256</v>
      </c>
      <c r="P284" s="10">
        <f t="shared" si="59"/>
        <v>0.3300000000000054</v>
      </c>
    </row>
    <row r="285" spans="1:16">
      <c r="A285">
        <v>43.33</v>
      </c>
      <c r="B285" s="42">
        <v>159.34</v>
      </c>
      <c r="C285">
        <v>161.4</v>
      </c>
      <c r="D285">
        <v>161.94999999999999</v>
      </c>
      <c r="E285">
        <v>164.73</v>
      </c>
      <c r="F285">
        <v>64.84</v>
      </c>
      <c r="G285">
        <v>60.45</v>
      </c>
      <c r="H285">
        <v>56.4</v>
      </c>
      <c r="K285" s="9">
        <f t="shared" si="54"/>
        <v>-0.39000000000001478</v>
      </c>
      <c r="L285">
        <f t="shared" si="55"/>
        <v>-0.21999999999999886</v>
      </c>
      <c r="M285">
        <f t="shared" si="56"/>
        <v>0.11000000000001364</v>
      </c>
      <c r="N285">
        <f t="shared" si="57"/>
        <v>0.21999999999999886</v>
      </c>
      <c r="O285">
        <f t="shared" si="58"/>
        <v>0.32999999999999829</v>
      </c>
      <c r="P285" s="10">
        <f t="shared" si="59"/>
        <v>0.10999999999999943</v>
      </c>
    </row>
    <row r="286" spans="1:16">
      <c r="A286">
        <v>43.5</v>
      </c>
      <c r="B286" s="42">
        <v>159.16999999999999</v>
      </c>
      <c r="C286">
        <v>161.51</v>
      </c>
      <c r="D286">
        <v>162.16999999999999</v>
      </c>
      <c r="E286">
        <v>164.73</v>
      </c>
      <c r="F286">
        <v>64.95</v>
      </c>
      <c r="G286">
        <v>60.62</v>
      </c>
      <c r="H286">
        <v>56.51</v>
      </c>
      <c r="K286" s="9">
        <f t="shared" si="54"/>
        <v>-0.88999999999998636</v>
      </c>
      <c r="L286">
        <f t="shared" si="55"/>
        <v>-0.88999999999998636</v>
      </c>
      <c r="M286">
        <f t="shared" si="56"/>
        <v>0.17000000000001592</v>
      </c>
      <c r="N286">
        <f t="shared" si="57"/>
        <v>0.28000000000000114</v>
      </c>
      <c r="O286">
        <f t="shared" si="58"/>
        <v>0.39000000000000057</v>
      </c>
      <c r="P286" s="10">
        <f t="shared" si="59"/>
        <v>0.16000000000000369</v>
      </c>
    </row>
    <row r="287" spans="1:16">
      <c r="A287">
        <v>43.67</v>
      </c>
      <c r="B287" s="42">
        <v>159.28</v>
      </c>
      <c r="C287">
        <v>161.44999999999999</v>
      </c>
      <c r="D287">
        <v>162.16999999999999</v>
      </c>
      <c r="E287">
        <v>164.84</v>
      </c>
      <c r="F287">
        <v>65.06</v>
      </c>
      <c r="G287">
        <v>60.78</v>
      </c>
      <c r="H287">
        <v>56.56</v>
      </c>
      <c r="K287" s="9">
        <f t="shared" si="54"/>
        <v>-1.1699999999999875</v>
      </c>
      <c r="L287">
        <f t="shared" si="55"/>
        <v>-1.2199999999999989</v>
      </c>
      <c r="M287">
        <f t="shared" si="56"/>
        <v>-0.11000000000001364</v>
      </c>
      <c r="N287">
        <f t="shared" si="57"/>
        <v>0.28000000000000114</v>
      </c>
      <c r="O287">
        <f t="shared" si="58"/>
        <v>0.39000000000000057</v>
      </c>
      <c r="P287" s="10">
        <f t="shared" si="59"/>
        <v>0.21999999999999886</v>
      </c>
    </row>
    <row r="288" spans="1:16">
      <c r="A288">
        <v>43.83</v>
      </c>
      <c r="B288" s="42">
        <v>159.51</v>
      </c>
      <c r="C288">
        <v>161.01</v>
      </c>
      <c r="D288">
        <v>161.72999999999999</v>
      </c>
      <c r="E288">
        <v>164.84</v>
      </c>
      <c r="F288">
        <v>65.06</v>
      </c>
      <c r="G288">
        <v>60.78</v>
      </c>
      <c r="H288">
        <v>56.51</v>
      </c>
      <c r="K288" s="9">
        <f t="shared" si="54"/>
        <v>-1.2299999999999898</v>
      </c>
      <c r="L288">
        <f t="shared" si="55"/>
        <v>-1.1099999999999852</v>
      </c>
      <c r="M288">
        <f t="shared" si="56"/>
        <v>-0.39000000000001478</v>
      </c>
      <c r="N288">
        <f t="shared" si="57"/>
        <v>0.21999999999999886</v>
      </c>
      <c r="O288">
        <f t="shared" si="58"/>
        <v>0.5</v>
      </c>
      <c r="P288" s="10">
        <f t="shared" si="59"/>
        <v>0.39000000000000057</v>
      </c>
    </row>
    <row r="289" spans="1:16">
      <c r="A289">
        <v>44</v>
      </c>
      <c r="B289" s="42">
        <v>158.9</v>
      </c>
      <c r="C289">
        <v>160.62</v>
      </c>
      <c r="D289">
        <v>161.28</v>
      </c>
      <c r="E289">
        <v>164.9</v>
      </c>
      <c r="F289">
        <v>65.23</v>
      </c>
      <c r="G289">
        <v>61.01</v>
      </c>
      <c r="H289">
        <v>56.67</v>
      </c>
      <c r="K289" s="9">
        <f t="shared" si="54"/>
        <v>-1.1100000000000136</v>
      </c>
      <c r="L289">
        <f t="shared" si="55"/>
        <v>-0.93999999999999773</v>
      </c>
      <c r="M289">
        <f t="shared" si="56"/>
        <v>-0.5</v>
      </c>
      <c r="N289">
        <f t="shared" si="57"/>
        <v>0.21999999999999886</v>
      </c>
      <c r="O289">
        <f t="shared" si="58"/>
        <v>0.5</v>
      </c>
      <c r="P289" s="10">
        <f t="shared" si="59"/>
        <v>0.33999999999999631</v>
      </c>
    </row>
    <row r="290" spans="1:16">
      <c r="A290">
        <v>44.17</v>
      </c>
      <c r="B290" s="42">
        <v>158.34</v>
      </c>
      <c r="C290">
        <v>160.28</v>
      </c>
      <c r="D290">
        <v>160.94999999999999</v>
      </c>
      <c r="E290">
        <v>164.73</v>
      </c>
      <c r="F290">
        <v>65.34</v>
      </c>
      <c r="G290">
        <v>61.17</v>
      </c>
      <c r="H290">
        <v>56.78</v>
      </c>
      <c r="K290" s="9">
        <f t="shared" si="54"/>
        <v>-1.1100000000000136</v>
      </c>
      <c r="L290">
        <f t="shared" si="55"/>
        <v>-0.88999999999998636</v>
      </c>
      <c r="M290">
        <f t="shared" si="56"/>
        <v>-0.16999999999998749</v>
      </c>
      <c r="N290">
        <f t="shared" si="57"/>
        <v>0.21999999999999886</v>
      </c>
      <c r="O290">
        <f t="shared" si="58"/>
        <v>0.44999999999999574</v>
      </c>
      <c r="P290" s="10">
        <f t="shared" si="59"/>
        <v>0.28000000000000114</v>
      </c>
    </row>
    <row r="291" spans="1:16">
      <c r="A291">
        <v>44.33</v>
      </c>
      <c r="B291" s="42">
        <v>158.01</v>
      </c>
      <c r="C291">
        <v>159.78</v>
      </c>
      <c r="D291">
        <v>160.62</v>
      </c>
      <c r="E291">
        <v>164.45</v>
      </c>
      <c r="F291">
        <v>65.28</v>
      </c>
      <c r="G291">
        <v>61.28</v>
      </c>
      <c r="H291">
        <v>56.9</v>
      </c>
      <c r="K291" s="9">
        <f t="shared" si="54"/>
        <v>-0.83000000000001251</v>
      </c>
      <c r="L291">
        <f t="shared" si="55"/>
        <v>-0.89000000000001478</v>
      </c>
      <c r="M291">
        <f t="shared" si="56"/>
        <v>2.0600000000000023</v>
      </c>
      <c r="N291">
        <f t="shared" si="57"/>
        <v>0.34000000000000341</v>
      </c>
      <c r="O291">
        <f t="shared" si="58"/>
        <v>0.56000000000000227</v>
      </c>
      <c r="P291" s="10">
        <f t="shared" si="59"/>
        <v>0.27000000000000313</v>
      </c>
    </row>
    <row r="292" spans="1:16">
      <c r="A292">
        <v>44.5</v>
      </c>
      <c r="B292" s="42">
        <v>157.22999999999999</v>
      </c>
      <c r="C292">
        <v>159.51</v>
      </c>
      <c r="D292">
        <v>160.34</v>
      </c>
      <c r="E292">
        <v>164.4</v>
      </c>
      <c r="F292">
        <v>65.45</v>
      </c>
      <c r="G292">
        <v>61.51</v>
      </c>
      <c r="H292">
        <v>57.01</v>
      </c>
      <c r="K292" s="9">
        <f t="shared" si="54"/>
        <v>-0.94999999999998863</v>
      </c>
      <c r="L292">
        <f t="shared" si="55"/>
        <v>-1.1100000000000136</v>
      </c>
      <c r="M292">
        <f t="shared" si="56"/>
        <v>4.6099999999999852</v>
      </c>
      <c r="N292">
        <f t="shared" si="57"/>
        <v>0.32999999999999829</v>
      </c>
      <c r="O292">
        <f t="shared" si="58"/>
        <v>0.39000000000000057</v>
      </c>
      <c r="P292" s="10">
        <f t="shared" si="59"/>
        <v>0.21999999999999886</v>
      </c>
    </row>
    <row r="293" spans="1:16">
      <c r="A293">
        <v>44.67</v>
      </c>
      <c r="B293" s="42">
        <v>156.84</v>
      </c>
      <c r="C293">
        <v>159.16999999999999</v>
      </c>
      <c r="D293">
        <v>160.06</v>
      </c>
      <c r="E293">
        <v>164.56</v>
      </c>
      <c r="F293">
        <v>65.56</v>
      </c>
      <c r="G293">
        <v>61.62</v>
      </c>
      <c r="H293">
        <v>57.06</v>
      </c>
      <c r="K293" s="9">
        <f t="shared" si="54"/>
        <v>-0.71999999999999886</v>
      </c>
      <c r="L293">
        <f t="shared" si="55"/>
        <v>-1.1599999999999966</v>
      </c>
      <c r="M293">
        <f t="shared" si="56"/>
        <v>4.9499999999999886</v>
      </c>
      <c r="N293">
        <f t="shared" si="57"/>
        <v>0.28000000000000114</v>
      </c>
      <c r="O293">
        <f t="shared" si="58"/>
        <v>0.44000000000000483</v>
      </c>
      <c r="P293" s="10">
        <f t="shared" si="59"/>
        <v>0.33999999999999631</v>
      </c>
    </row>
    <row r="294" spans="1:16">
      <c r="A294">
        <v>44.83</v>
      </c>
      <c r="B294" s="42">
        <v>156.66999999999999</v>
      </c>
      <c r="C294">
        <v>158.94999999999999</v>
      </c>
      <c r="D294">
        <v>159.72999999999999</v>
      </c>
      <c r="E294">
        <v>166.51</v>
      </c>
      <c r="F294">
        <v>65.62</v>
      </c>
      <c r="G294">
        <v>61.84</v>
      </c>
      <c r="H294">
        <v>57.17</v>
      </c>
      <c r="K294" s="9">
        <f t="shared" si="54"/>
        <v>-0.5</v>
      </c>
      <c r="L294">
        <f t="shared" si="55"/>
        <v>-1</v>
      </c>
      <c r="M294">
        <f t="shared" si="56"/>
        <v>2.9399999999999977</v>
      </c>
      <c r="N294">
        <f t="shared" si="57"/>
        <v>0.5</v>
      </c>
      <c r="O294">
        <f t="shared" si="58"/>
        <v>0.38999999999999346</v>
      </c>
      <c r="P294" s="10">
        <f t="shared" si="59"/>
        <v>0.44999999999999574</v>
      </c>
    </row>
    <row r="295" spans="1:16">
      <c r="A295">
        <v>45</v>
      </c>
      <c r="B295" s="42">
        <v>156.84</v>
      </c>
      <c r="C295">
        <v>158.56</v>
      </c>
      <c r="D295">
        <v>159.22999999999999</v>
      </c>
      <c r="E295">
        <v>169.01</v>
      </c>
      <c r="F295">
        <v>65.78</v>
      </c>
      <c r="G295">
        <v>61.9</v>
      </c>
      <c r="H295">
        <v>57.23</v>
      </c>
      <c r="K295" s="9">
        <f t="shared" si="54"/>
        <v>-0.28000000000000114</v>
      </c>
      <c r="L295">
        <f t="shared" si="55"/>
        <v>-0.66999999999998749</v>
      </c>
      <c r="M295">
        <f t="shared" si="56"/>
        <v>0.21999999999999886</v>
      </c>
      <c r="N295">
        <f t="shared" si="57"/>
        <v>0.39000000000000057</v>
      </c>
      <c r="O295">
        <f t="shared" si="58"/>
        <v>0.38000000000000256</v>
      </c>
      <c r="P295" s="10">
        <f t="shared" si="59"/>
        <v>0.44000000000000483</v>
      </c>
    </row>
    <row r="296" spans="1:16">
      <c r="A296">
        <v>45.17</v>
      </c>
      <c r="B296" s="42">
        <v>157.34</v>
      </c>
      <c r="C296">
        <v>158.44999999999999</v>
      </c>
      <c r="D296">
        <v>158.9</v>
      </c>
      <c r="E296">
        <v>169.51</v>
      </c>
      <c r="F296">
        <v>65.84</v>
      </c>
      <c r="G296">
        <v>62.06</v>
      </c>
      <c r="H296">
        <v>57.4</v>
      </c>
      <c r="K296" s="9">
        <f t="shared" si="54"/>
        <v>0</v>
      </c>
      <c r="L296">
        <f t="shared" si="55"/>
        <v>-0.34000000000000341</v>
      </c>
      <c r="M296">
        <f t="shared" si="56"/>
        <v>-0.5</v>
      </c>
      <c r="N296">
        <f t="shared" si="57"/>
        <v>0.5</v>
      </c>
      <c r="O296">
        <f t="shared" si="58"/>
        <v>0.44999999999999574</v>
      </c>
      <c r="P296" s="10">
        <f t="shared" si="59"/>
        <v>0.44000000000000483</v>
      </c>
    </row>
    <row r="297" spans="1:16">
      <c r="A297">
        <v>45.33</v>
      </c>
      <c r="B297" s="42">
        <v>157.62</v>
      </c>
      <c r="C297">
        <v>158.44999999999999</v>
      </c>
      <c r="D297">
        <v>158.72999999999999</v>
      </c>
      <c r="E297">
        <v>169.45</v>
      </c>
      <c r="F297">
        <v>66.12</v>
      </c>
      <c r="G297">
        <v>62.23</v>
      </c>
      <c r="H297">
        <v>57.62</v>
      </c>
      <c r="K297" s="9">
        <f t="shared" si="54"/>
        <v>0.33000000000001251</v>
      </c>
      <c r="L297">
        <f t="shared" si="55"/>
        <v>0.17000000000001592</v>
      </c>
      <c r="M297">
        <f t="shared" si="56"/>
        <v>-0.71999999999999886</v>
      </c>
      <c r="N297">
        <f t="shared" si="57"/>
        <v>0.28000000000000114</v>
      </c>
      <c r="O297">
        <f t="shared" si="58"/>
        <v>0.39000000000000057</v>
      </c>
      <c r="P297" s="10">
        <f t="shared" si="59"/>
        <v>0.3300000000000054</v>
      </c>
    </row>
    <row r="298" spans="1:16">
      <c r="A298">
        <v>45.5</v>
      </c>
      <c r="B298" s="42">
        <v>158.44999999999999</v>
      </c>
      <c r="C298">
        <v>158.28</v>
      </c>
      <c r="D298">
        <v>158.56</v>
      </c>
      <c r="E298">
        <v>169.23</v>
      </c>
      <c r="F298">
        <v>66.17</v>
      </c>
      <c r="G298">
        <v>62.28</v>
      </c>
      <c r="H298">
        <v>57.67</v>
      </c>
      <c r="K298" s="9">
        <f t="shared" si="54"/>
        <v>1.5</v>
      </c>
      <c r="L298">
        <f t="shared" si="55"/>
        <v>1.3899999999999864</v>
      </c>
      <c r="M298">
        <f t="shared" si="56"/>
        <v>-0.60999999999998522</v>
      </c>
      <c r="N298">
        <f t="shared" si="57"/>
        <v>0.28000000000000114</v>
      </c>
      <c r="O298">
        <f t="shared" si="58"/>
        <v>0.5</v>
      </c>
      <c r="P298" s="10">
        <f t="shared" si="59"/>
        <v>0.33999999999999631</v>
      </c>
    </row>
    <row r="299" spans="1:16">
      <c r="A299">
        <v>45.67</v>
      </c>
      <c r="B299" s="42">
        <v>159.22999999999999</v>
      </c>
      <c r="C299">
        <v>158.44999999999999</v>
      </c>
      <c r="D299">
        <v>158.56</v>
      </c>
      <c r="E299">
        <v>169.01</v>
      </c>
      <c r="F299">
        <v>66.34</v>
      </c>
      <c r="G299">
        <v>62.51</v>
      </c>
      <c r="H299">
        <v>57.84</v>
      </c>
      <c r="K299" s="9">
        <f t="shared" si="54"/>
        <v>3.5</v>
      </c>
      <c r="L299">
        <f t="shared" si="55"/>
        <v>3.5600000000000023</v>
      </c>
      <c r="M299">
        <f t="shared" si="56"/>
        <v>-0.38999999999998636</v>
      </c>
      <c r="N299">
        <f t="shared" si="57"/>
        <v>0.21999999999999886</v>
      </c>
      <c r="O299">
        <f t="shared" si="58"/>
        <v>0.27000000000000313</v>
      </c>
      <c r="P299" s="10">
        <f t="shared" si="59"/>
        <v>0.27999999999999403</v>
      </c>
    </row>
    <row r="300" spans="1:16">
      <c r="A300">
        <v>45.83</v>
      </c>
      <c r="B300" s="42">
        <v>159.51</v>
      </c>
      <c r="C300">
        <v>158.78</v>
      </c>
      <c r="D300">
        <v>158.9</v>
      </c>
      <c r="E300">
        <v>168.73</v>
      </c>
      <c r="F300">
        <v>66.400000000000006</v>
      </c>
      <c r="G300">
        <v>62.62</v>
      </c>
      <c r="H300">
        <v>57.95</v>
      </c>
      <c r="K300" s="9">
        <f t="shared" si="54"/>
        <v>4.3400000000000034</v>
      </c>
      <c r="L300">
        <f t="shared" si="55"/>
        <v>4.6099999999999852</v>
      </c>
      <c r="M300">
        <f t="shared" si="56"/>
        <v>0.11000000000001364</v>
      </c>
      <c r="N300">
        <f t="shared" si="57"/>
        <v>0.26999999999999602</v>
      </c>
      <c r="O300">
        <f t="shared" si="58"/>
        <v>0.3300000000000054</v>
      </c>
      <c r="P300" s="10">
        <f t="shared" si="59"/>
        <v>0.27999999999999403</v>
      </c>
    </row>
    <row r="301" spans="1:16">
      <c r="A301">
        <v>46</v>
      </c>
      <c r="B301" s="42">
        <v>159.62</v>
      </c>
      <c r="C301">
        <v>159.78</v>
      </c>
      <c r="D301">
        <v>159.94999999999999</v>
      </c>
      <c r="E301">
        <v>168.62</v>
      </c>
      <c r="F301">
        <v>66.45</v>
      </c>
      <c r="G301">
        <v>62.78</v>
      </c>
      <c r="H301">
        <v>58.01</v>
      </c>
      <c r="K301" s="9">
        <f t="shared" si="54"/>
        <v>3.6200000000000045</v>
      </c>
      <c r="L301">
        <f t="shared" si="55"/>
        <v>3.9500000000000171</v>
      </c>
      <c r="M301">
        <f t="shared" si="56"/>
        <v>0.21999999999999886</v>
      </c>
      <c r="N301">
        <f t="shared" si="57"/>
        <v>0.28000000000000114</v>
      </c>
      <c r="O301">
        <f t="shared" si="58"/>
        <v>0.33999999999999631</v>
      </c>
      <c r="P301" s="10">
        <f t="shared" si="59"/>
        <v>0.39000000000000057</v>
      </c>
    </row>
    <row r="302" spans="1:16">
      <c r="A302">
        <v>46.17</v>
      </c>
      <c r="B302" s="42">
        <v>160.06</v>
      </c>
      <c r="C302">
        <v>161.94999999999999</v>
      </c>
      <c r="D302">
        <v>162.12</v>
      </c>
      <c r="E302">
        <v>168.62</v>
      </c>
      <c r="F302">
        <v>66.56</v>
      </c>
      <c r="G302">
        <v>62.78</v>
      </c>
      <c r="H302">
        <v>58.12</v>
      </c>
      <c r="K302" s="9">
        <f t="shared" si="54"/>
        <v>1.2800000000000011</v>
      </c>
      <c r="L302">
        <f t="shared" si="55"/>
        <v>1.7800000000000011</v>
      </c>
      <c r="M302">
        <f t="shared" si="56"/>
        <v>0</v>
      </c>
      <c r="N302">
        <f t="shared" si="57"/>
        <v>0.39000000000000057</v>
      </c>
      <c r="O302">
        <f t="shared" si="58"/>
        <v>0.5</v>
      </c>
      <c r="P302" s="10">
        <f t="shared" si="59"/>
        <v>0.39000000000000057</v>
      </c>
    </row>
    <row r="303" spans="1:16">
      <c r="A303">
        <v>46.33</v>
      </c>
      <c r="B303" s="42">
        <v>160.01</v>
      </c>
      <c r="C303">
        <v>163.12</v>
      </c>
      <c r="D303">
        <v>163.51</v>
      </c>
      <c r="E303">
        <v>168.84</v>
      </c>
      <c r="F303">
        <v>66.67</v>
      </c>
      <c r="G303">
        <v>62.95</v>
      </c>
      <c r="H303">
        <v>58.23</v>
      </c>
      <c r="K303" s="9">
        <f t="shared" si="54"/>
        <v>-0.39000000000001478</v>
      </c>
      <c r="L303">
        <f t="shared" si="55"/>
        <v>0</v>
      </c>
      <c r="M303">
        <f t="shared" si="56"/>
        <v>-0.67000000000001592</v>
      </c>
      <c r="N303">
        <f t="shared" si="57"/>
        <v>0.39000000000000057</v>
      </c>
      <c r="O303">
        <f t="shared" si="58"/>
        <v>0.44999999999999574</v>
      </c>
      <c r="P303" s="10">
        <f t="shared" si="59"/>
        <v>0.39000000000000057</v>
      </c>
    </row>
    <row r="304" spans="1:16">
      <c r="A304">
        <v>46.5</v>
      </c>
      <c r="B304" s="42">
        <v>160.12</v>
      </c>
      <c r="C304">
        <v>163.4</v>
      </c>
      <c r="D304">
        <v>163.9</v>
      </c>
      <c r="E304">
        <v>168.84</v>
      </c>
      <c r="F304">
        <v>66.73</v>
      </c>
      <c r="G304">
        <v>63.12</v>
      </c>
      <c r="H304">
        <v>58.4</v>
      </c>
      <c r="K304" s="9">
        <f t="shared" si="54"/>
        <v>-1.1200000000000045</v>
      </c>
      <c r="L304">
        <f t="shared" si="55"/>
        <v>-0.84000000000000341</v>
      </c>
      <c r="M304">
        <f t="shared" si="56"/>
        <v>-1.1700000000000159</v>
      </c>
      <c r="N304">
        <f t="shared" si="57"/>
        <v>0.5</v>
      </c>
      <c r="O304">
        <f t="shared" si="58"/>
        <v>0.44000000000000483</v>
      </c>
      <c r="P304" s="10">
        <f t="shared" si="59"/>
        <v>0.38000000000000256</v>
      </c>
    </row>
    <row r="305" spans="1:16">
      <c r="A305">
        <v>46.67</v>
      </c>
      <c r="B305" s="42">
        <v>160.06</v>
      </c>
      <c r="C305">
        <v>163.22999999999999</v>
      </c>
      <c r="D305">
        <v>163.9</v>
      </c>
      <c r="E305">
        <v>168.62</v>
      </c>
      <c r="F305">
        <v>66.95</v>
      </c>
      <c r="G305">
        <v>63.28</v>
      </c>
      <c r="H305">
        <v>58.51</v>
      </c>
      <c r="K305" s="9">
        <f t="shared" si="54"/>
        <v>-1.5</v>
      </c>
      <c r="L305">
        <f t="shared" si="55"/>
        <v>-1.4500000000000171</v>
      </c>
      <c r="M305">
        <f t="shared" si="56"/>
        <v>-1.4500000000000171</v>
      </c>
      <c r="N305">
        <f t="shared" si="57"/>
        <v>0.45000000000000284</v>
      </c>
      <c r="O305">
        <f t="shared" si="58"/>
        <v>0.44999999999999574</v>
      </c>
      <c r="P305" s="10">
        <f t="shared" si="59"/>
        <v>0.44000000000000483</v>
      </c>
    </row>
    <row r="306" spans="1:16">
      <c r="A306">
        <v>46.83</v>
      </c>
      <c r="B306" s="42">
        <v>159.94999999999999</v>
      </c>
      <c r="C306">
        <v>162.72999999999999</v>
      </c>
      <c r="D306">
        <v>163.51</v>
      </c>
      <c r="E306">
        <v>168.17</v>
      </c>
      <c r="F306">
        <v>67.06</v>
      </c>
      <c r="G306">
        <v>63.4</v>
      </c>
      <c r="H306">
        <v>58.62</v>
      </c>
      <c r="K306" s="9">
        <f t="shared" si="54"/>
        <v>-1.2800000000000011</v>
      </c>
      <c r="L306">
        <f t="shared" si="55"/>
        <v>-1.3400000000000034</v>
      </c>
      <c r="M306">
        <f t="shared" si="56"/>
        <v>-1.1599999999999966</v>
      </c>
      <c r="N306">
        <f t="shared" si="57"/>
        <v>0.56000000000000227</v>
      </c>
      <c r="O306">
        <f t="shared" si="58"/>
        <v>0.44000000000000483</v>
      </c>
      <c r="P306" s="10">
        <f t="shared" si="59"/>
        <v>0.5</v>
      </c>
    </row>
    <row r="307" spans="1:16">
      <c r="A307">
        <v>47</v>
      </c>
      <c r="B307" s="42">
        <v>160.16999999999999</v>
      </c>
      <c r="C307">
        <v>162.28</v>
      </c>
      <c r="D307">
        <v>163.06</v>
      </c>
      <c r="E307">
        <v>167.67</v>
      </c>
      <c r="F307">
        <v>67.23</v>
      </c>
      <c r="G307">
        <v>63.56</v>
      </c>
      <c r="H307">
        <v>58.78</v>
      </c>
      <c r="K307" s="9">
        <f t="shared" si="54"/>
        <v>-1.2199999999999989</v>
      </c>
      <c r="L307">
        <f t="shared" si="55"/>
        <v>-1.3300000000000125</v>
      </c>
      <c r="M307">
        <f t="shared" si="56"/>
        <v>-0.76999999999998181</v>
      </c>
      <c r="N307">
        <f t="shared" si="57"/>
        <v>0.32999999999999829</v>
      </c>
      <c r="O307">
        <f t="shared" si="58"/>
        <v>0.33999999999999631</v>
      </c>
      <c r="P307" s="10">
        <f t="shared" si="59"/>
        <v>0.17000000000000171</v>
      </c>
    </row>
    <row r="308" spans="1:16">
      <c r="A308">
        <v>47.17</v>
      </c>
      <c r="B308" s="42">
        <v>160.16999999999999</v>
      </c>
      <c r="C308">
        <v>161.72999999999999</v>
      </c>
      <c r="D308">
        <v>162.44999999999999</v>
      </c>
      <c r="E308">
        <v>167.17</v>
      </c>
      <c r="F308">
        <v>67.400000000000006</v>
      </c>
      <c r="G308">
        <v>63.73</v>
      </c>
      <c r="H308">
        <v>58.95</v>
      </c>
      <c r="K308" s="9">
        <f t="shared" si="54"/>
        <v>-0.78000000000000114</v>
      </c>
      <c r="L308">
        <f t="shared" si="55"/>
        <v>-0.78000000000000114</v>
      </c>
      <c r="M308">
        <f t="shared" si="56"/>
        <v>0.28000000000000114</v>
      </c>
      <c r="N308">
        <f t="shared" si="57"/>
        <v>0.37999999999999545</v>
      </c>
      <c r="O308">
        <f t="shared" si="58"/>
        <v>0.39000000000000767</v>
      </c>
      <c r="P308" s="10">
        <f t="shared" si="59"/>
        <v>0.21999999999999886</v>
      </c>
    </row>
    <row r="309" spans="1:16">
      <c r="A309">
        <v>47.33</v>
      </c>
      <c r="B309" s="42">
        <v>159.72999999999999</v>
      </c>
      <c r="C309">
        <v>161.44999999999999</v>
      </c>
      <c r="D309">
        <v>162.16999999999999</v>
      </c>
      <c r="E309">
        <v>167.01</v>
      </c>
      <c r="F309">
        <v>67.62</v>
      </c>
      <c r="G309">
        <v>63.84</v>
      </c>
      <c r="H309">
        <v>59.12</v>
      </c>
      <c r="K309" s="9">
        <f t="shared" si="54"/>
        <v>-0.66999999999998749</v>
      </c>
      <c r="L309">
        <f t="shared" si="55"/>
        <v>-0.71999999999999886</v>
      </c>
      <c r="M309">
        <f t="shared" si="56"/>
        <v>2.1599999999999966</v>
      </c>
      <c r="N309">
        <f t="shared" si="57"/>
        <v>0.28000000000000114</v>
      </c>
      <c r="O309">
        <f t="shared" si="58"/>
        <v>0.39000000000000057</v>
      </c>
      <c r="P309" s="10">
        <f t="shared" si="59"/>
        <v>0.16000000000000369</v>
      </c>
    </row>
    <row r="310" spans="1:16">
      <c r="A310">
        <v>47.5</v>
      </c>
      <c r="B310" s="42">
        <v>159.28</v>
      </c>
      <c r="C310">
        <v>161.06</v>
      </c>
      <c r="D310">
        <v>161.72999999999999</v>
      </c>
      <c r="E310">
        <v>166.9</v>
      </c>
      <c r="F310">
        <v>67.56</v>
      </c>
      <c r="G310">
        <v>63.9</v>
      </c>
      <c r="H310">
        <v>58.95</v>
      </c>
      <c r="K310" s="9">
        <f t="shared" si="54"/>
        <v>-0.61000000000001364</v>
      </c>
      <c r="L310">
        <f t="shared" si="55"/>
        <v>-0.60999999999998522</v>
      </c>
      <c r="M310">
        <f t="shared" si="56"/>
        <v>4.0499999999999829</v>
      </c>
      <c r="N310">
        <f t="shared" si="57"/>
        <v>0.39000000000000057</v>
      </c>
      <c r="O310">
        <f t="shared" si="58"/>
        <v>0.38000000000000256</v>
      </c>
      <c r="P310" s="10">
        <f t="shared" si="59"/>
        <v>0.39000000000000057</v>
      </c>
    </row>
    <row r="311" spans="1:16">
      <c r="A311">
        <v>47.67</v>
      </c>
      <c r="B311" s="42">
        <v>158.84</v>
      </c>
      <c r="C311">
        <v>160.94999999999999</v>
      </c>
      <c r="D311">
        <v>161.66999999999999</v>
      </c>
      <c r="E311">
        <v>167.45</v>
      </c>
      <c r="F311">
        <v>67.78</v>
      </c>
      <c r="G311">
        <v>64.12</v>
      </c>
      <c r="H311">
        <v>59.17</v>
      </c>
      <c r="K311" s="9">
        <f t="shared" si="54"/>
        <v>-1.1099999999999852</v>
      </c>
      <c r="L311">
        <f t="shared" si="55"/>
        <v>-1.1099999999999852</v>
      </c>
      <c r="M311">
        <f t="shared" si="56"/>
        <v>3.7199999999999989</v>
      </c>
      <c r="N311">
        <f t="shared" si="57"/>
        <v>0.34000000000000341</v>
      </c>
      <c r="O311">
        <f t="shared" si="58"/>
        <v>0.28000000000000114</v>
      </c>
      <c r="P311" s="10">
        <f t="shared" si="59"/>
        <v>0.28000000000000114</v>
      </c>
    </row>
    <row r="312" spans="1:16">
      <c r="A312">
        <v>47.83</v>
      </c>
      <c r="B312" s="42">
        <v>159.01</v>
      </c>
      <c r="C312">
        <v>160.78</v>
      </c>
      <c r="D312">
        <v>161.44999999999999</v>
      </c>
      <c r="E312">
        <v>169.17</v>
      </c>
      <c r="F312">
        <v>67.900000000000006</v>
      </c>
      <c r="G312">
        <v>64.23</v>
      </c>
      <c r="H312">
        <v>59.28</v>
      </c>
      <c r="K312" s="9">
        <f t="shared" si="54"/>
        <v>-1.5500000000000114</v>
      </c>
      <c r="L312">
        <f t="shared" si="55"/>
        <v>-1.4399999999999977</v>
      </c>
      <c r="M312">
        <f t="shared" si="56"/>
        <v>2.1100000000000136</v>
      </c>
      <c r="N312">
        <f t="shared" si="57"/>
        <v>0.43999999999999773</v>
      </c>
      <c r="O312">
        <f t="shared" si="58"/>
        <v>0.32999999999999829</v>
      </c>
      <c r="P312" s="10">
        <f t="shared" si="59"/>
        <v>0.22999999999999687</v>
      </c>
    </row>
    <row r="313" spans="1:16">
      <c r="A313">
        <v>48</v>
      </c>
      <c r="B313" s="42">
        <v>158.78</v>
      </c>
      <c r="C313">
        <v>160.44999999999999</v>
      </c>
      <c r="D313">
        <v>161.12</v>
      </c>
      <c r="E313">
        <v>170.95</v>
      </c>
      <c r="F313">
        <v>67.95</v>
      </c>
      <c r="G313">
        <v>64.28</v>
      </c>
      <c r="H313">
        <v>59.34</v>
      </c>
      <c r="K313" s="9">
        <f t="shared" si="54"/>
        <v>-1.4399999999999977</v>
      </c>
      <c r="L313">
        <f t="shared" si="55"/>
        <v>-1.4500000000000171</v>
      </c>
      <c r="M313">
        <f t="shared" si="56"/>
        <v>6.0000000000002274E-2</v>
      </c>
      <c r="N313">
        <f t="shared" si="57"/>
        <v>0.56000000000000227</v>
      </c>
      <c r="O313">
        <f t="shared" si="58"/>
        <v>0.39000000000000057</v>
      </c>
      <c r="P313" s="10">
        <f t="shared" si="59"/>
        <v>0.32999999999999829</v>
      </c>
    </row>
    <row r="314" spans="1:16">
      <c r="A314">
        <v>48.17</v>
      </c>
      <c r="B314" s="42">
        <v>159.94999999999999</v>
      </c>
      <c r="C314">
        <v>159.84</v>
      </c>
      <c r="D314">
        <v>160.56</v>
      </c>
      <c r="E314">
        <v>171.17</v>
      </c>
      <c r="F314">
        <v>68.12</v>
      </c>
      <c r="G314">
        <v>64.400000000000006</v>
      </c>
      <c r="H314">
        <v>59.45</v>
      </c>
      <c r="K314" s="9">
        <f t="shared" si="54"/>
        <v>-0.89000000000001478</v>
      </c>
      <c r="L314">
        <f t="shared" si="55"/>
        <v>-1.1100000000000136</v>
      </c>
      <c r="M314">
        <f t="shared" si="56"/>
        <v>-0.43999999999999773</v>
      </c>
      <c r="N314">
        <f t="shared" si="57"/>
        <v>0.43999999999999773</v>
      </c>
      <c r="O314">
        <f t="shared" si="58"/>
        <v>0.32999999999999829</v>
      </c>
      <c r="P314" s="10">
        <f t="shared" si="59"/>
        <v>0.32999999999999829</v>
      </c>
    </row>
    <row r="315" spans="1:16">
      <c r="A315">
        <v>48.33</v>
      </c>
      <c r="B315" s="42">
        <v>161.44999999999999</v>
      </c>
      <c r="C315">
        <v>159.22999999999999</v>
      </c>
      <c r="D315">
        <v>160.01</v>
      </c>
      <c r="E315">
        <v>171.28</v>
      </c>
      <c r="F315">
        <v>68.34</v>
      </c>
      <c r="G315">
        <v>64.56</v>
      </c>
      <c r="H315">
        <v>59.51</v>
      </c>
      <c r="K315" s="9">
        <f t="shared" si="54"/>
        <v>0.11000000000001364</v>
      </c>
      <c r="L315">
        <f t="shared" si="55"/>
        <v>-0.34000000000000341</v>
      </c>
      <c r="M315">
        <f t="shared" si="56"/>
        <v>-0.87999999999999545</v>
      </c>
      <c r="N315">
        <f t="shared" si="57"/>
        <v>0.39000000000000057</v>
      </c>
      <c r="O315">
        <f t="shared" si="58"/>
        <v>0.45000000000000284</v>
      </c>
      <c r="P315" s="10">
        <f t="shared" si="59"/>
        <v>0.39000000000000057</v>
      </c>
    </row>
    <row r="316" spans="1:16">
      <c r="A316">
        <v>48.5</v>
      </c>
      <c r="B316" s="42">
        <v>162.28</v>
      </c>
      <c r="C316">
        <v>159.01</v>
      </c>
      <c r="D316">
        <v>159.66999999999999</v>
      </c>
      <c r="E316">
        <v>171.01</v>
      </c>
      <c r="F316">
        <v>68.510000000000005</v>
      </c>
      <c r="G316">
        <v>64.67</v>
      </c>
      <c r="H316">
        <v>59.67</v>
      </c>
      <c r="K316" s="9">
        <f t="shared" si="54"/>
        <v>1.2700000000000102</v>
      </c>
      <c r="L316">
        <f t="shared" si="55"/>
        <v>0.84000000000000341</v>
      </c>
      <c r="M316">
        <f t="shared" si="56"/>
        <v>-0.94999999999998863</v>
      </c>
      <c r="N316">
        <f t="shared" si="57"/>
        <v>0.26999999999999602</v>
      </c>
      <c r="O316">
        <f t="shared" si="58"/>
        <v>0.45000000000000284</v>
      </c>
      <c r="P316" s="10">
        <f t="shared" si="59"/>
        <v>0.39000000000000057</v>
      </c>
    </row>
    <row r="317" spans="1:16">
      <c r="A317">
        <v>48.67</v>
      </c>
      <c r="B317" s="42">
        <v>162.22999999999999</v>
      </c>
      <c r="C317">
        <v>158.94999999999999</v>
      </c>
      <c r="D317">
        <v>159.44999999999999</v>
      </c>
      <c r="E317">
        <v>170.73</v>
      </c>
      <c r="F317">
        <v>68.56</v>
      </c>
      <c r="G317">
        <v>64.73</v>
      </c>
      <c r="H317">
        <v>59.78</v>
      </c>
      <c r="K317" s="9">
        <f t="shared" si="54"/>
        <v>3.1100000000000136</v>
      </c>
      <c r="L317">
        <f t="shared" si="55"/>
        <v>2.7800000000000011</v>
      </c>
      <c r="M317">
        <f t="shared" si="56"/>
        <v>-0.71999999999999886</v>
      </c>
      <c r="N317">
        <f t="shared" si="57"/>
        <v>0.34000000000000341</v>
      </c>
      <c r="O317">
        <f t="shared" si="58"/>
        <v>0.5</v>
      </c>
      <c r="P317" s="10">
        <f t="shared" si="59"/>
        <v>0.44999999999999574</v>
      </c>
    </row>
    <row r="318" spans="1:16">
      <c r="A318">
        <v>48.83</v>
      </c>
      <c r="B318" s="42">
        <v>162.12</v>
      </c>
      <c r="C318">
        <v>159.34</v>
      </c>
      <c r="D318">
        <v>159.66999999999999</v>
      </c>
      <c r="E318">
        <v>170.4</v>
      </c>
      <c r="F318">
        <v>68.73</v>
      </c>
      <c r="G318">
        <v>65.010000000000005</v>
      </c>
      <c r="H318">
        <v>59.9</v>
      </c>
      <c r="K318" s="9">
        <f t="shared" si="54"/>
        <v>3.5600000000000023</v>
      </c>
      <c r="L318">
        <f t="shared" si="55"/>
        <v>3.3900000000000148</v>
      </c>
      <c r="M318">
        <f t="shared" si="56"/>
        <v>-0.39000000000001478</v>
      </c>
      <c r="N318">
        <f t="shared" si="57"/>
        <v>0.32999999999999829</v>
      </c>
      <c r="O318">
        <f t="shared" si="58"/>
        <v>0.43999999999999773</v>
      </c>
      <c r="P318" s="10">
        <f t="shared" si="59"/>
        <v>0.55000000000000426</v>
      </c>
    </row>
    <row r="319" spans="1:16">
      <c r="A319">
        <v>49</v>
      </c>
      <c r="B319" s="42">
        <v>161.78</v>
      </c>
      <c r="C319">
        <v>160.28</v>
      </c>
      <c r="D319">
        <v>160.51</v>
      </c>
      <c r="E319">
        <v>170.06</v>
      </c>
      <c r="F319">
        <v>68.78</v>
      </c>
      <c r="G319">
        <v>65.12</v>
      </c>
      <c r="H319">
        <v>60.06</v>
      </c>
      <c r="K319" s="9">
        <f t="shared" si="54"/>
        <v>2.6200000000000045</v>
      </c>
      <c r="L319">
        <f t="shared" si="55"/>
        <v>2.7199999999999989</v>
      </c>
      <c r="M319">
        <f t="shared" si="56"/>
        <v>0</v>
      </c>
      <c r="N319">
        <f t="shared" si="57"/>
        <v>0.5</v>
      </c>
      <c r="O319">
        <f t="shared" si="58"/>
        <v>0.43999999999999773</v>
      </c>
      <c r="P319" s="10">
        <f t="shared" si="59"/>
        <v>0.5</v>
      </c>
    </row>
    <row r="320" spans="1:16">
      <c r="A320">
        <v>49.17</v>
      </c>
      <c r="B320" s="42">
        <v>161.4</v>
      </c>
      <c r="C320">
        <v>162.06</v>
      </c>
      <c r="D320">
        <v>162.22999999999999</v>
      </c>
      <c r="E320">
        <v>170.01</v>
      </c>
      <c r="F320">
        <v>68.900000000000006</v>
      </c>
      <c r="G320">
        <v>65.23</v>
      </c>
      <c r="H320">
        <v>60.23</v>
      </c>
      <c r="K320" s="9">
        <f t="shared" si="54"/>
        <v>0.71999999999999886</v>
      </c>
      <c r="L320">
        <f t="shared" si="55"/>
        <v>0.93999999999999773</v>
      </c>
      <c r="M320">
        <f t="shared" si="56"/>
        <v>-0.28000000000000114</v>
      </c>
      <c r="N320">
        <f t="shared" si="57"/>
        <v>0.5</v>
      </c>
      <c r="O320">
        <f t="shared" si="58"/>
        <v>0.5</v>
      </c>
      <c r="P320" s="10">
        <f t="shared" si="59"/>
        <v>0.39000000000000057</v>
      </c>
    </row>
    <row r="321" spans="1:16">
      <c r="A321">
        <v>49.33</v>
      </c>
      <c r="B321" s="42">
        <v>161.4</v>
      </c>
      <c r="C321">
        <v>162.9</v>
      </c>
      <c r="D321">
        <v>163.06</v>
      </c>
      <c r="E321">
        <v>170.01</v>
      </c>
      <c r="F321">
        <v>69.06</v>
      </c>
      <c r="G321">
        <v>65.45</v>
      </c>
      <c r="H321">
        <v>60.45</v>
      </c>
      <c r="K321" s="9">
        <f t="shared" si="54"/>
        <v>-0.45000000000001705</v>
      </c>
      <c r="L321">
        <f t="shared" si="55"/>
        <v>-0.28000000000000114</v>
      </c>
      <c r="M321">
        <f t="shared" si="56"/>
        <v>-0.66999999999998749</v>
      </c>
      <c r="N321">
        <f t="shared" si="57"/>
        <v>0.56000000000000227</v>
      </c>
      <c r="O321">
        <f t="shared" si="58"/>
        <v>0.39000000000000057</v>
      </c>
      <c r="P321" s="10">
        <f t="shared" si="59"/>
        <v>0.32999999999999829</v>
      </c>
    </row>
    <row r="322" spans="1:16">
      <c r="A322">
        <v>49.5</v>
      </c>
      <c r="B322" s="42">
        <v>160.72999999999999</v>
      </c>
      <c r="C322">
        <v>162.9</v>
      </c>
      <c r="D322">
        <v>163.22999999999999</v>
      </c>
      <c r="E322">
        <v>170.06</v>
      </c>
      <c r="F322">
        <v>69.28</v>
      </c>
      <c r="G322">
        <v>65.56</v>
      </c>
      <c r="H322">
        <v>60.56</v>
      </c>
      <c r="K322" s="9">
        <f t="shared" si="54"/>
        <v>-0.89000000000001478</v>
      </c>
      <c r="L322">
        <f t="shared" si="55"/>
        <v>-0.82999999999998408</v>
      </c>
      <c r="M322">
        <f t="shared" si="56"/>
        <v>-1</v>
      </c>
      <c r="N322">
        <f t="shared" si="57"/>
        <v>0.39000000000000057</v>
      </c>
      <c r="O322">
        <f t="shared" si="58"/>
        <v>0.39000000000000057</v>
      </c>
      <c r="P322" s="10">
        <f t="shared" si="59"/>
        <v>0.21999999999999886</v>
      </c>
    </row>
    <row r="323" spans="1:16">
      <c r="A323">
        <v>49.67</v>
      </c>
      <c r="B323" s="42">
        <v>160.16999999999999</v>
      </c>
      <c r="C323">
        <v>162.78</v>
      </c>
      <c r="D323">
        <v>163.16999999999999</v>
      </c>
      <c r="E323">
        <v>169.73</v>
      </c>
      <c r="F323">
        <v>69.400000000000006</v>
      </c>
      <c r="G323">
        <v>65.73</v>
      </c>
      <c r="H323">
        <v>60.62</v>
      </c>
      <c r="K323" s="9">
        <f t="shared" si="54"/>
        <v>-1.0500000000000114</v>
      </c>
      <c r="L323">
        <f t="shared" si="55"/>
        <v>-1.0499999999999829</v>
      </c>
      <c r="M323">
        <f t="shared" si="56"/>
        <v>-0.71999999999999886</v>
      </c>
      <c r="N323">
        <f t="shared" si="57"/>
        <v>0.60999999999999943</v>
      </c>
      <c r="O323">
        <f t="shared" si="58"/>
        <v>0.54999999999999716</v>
      </c>
      <c r="P323" s="10">
        <f t="shared" si="59"/>
        <v>0.55000000000000426</v>
      </c>
    </row>
    <row r="324" spans="1:16">
      <c r="A324">
        <v>49.83</v>
      </c>
      <c r="B324" s="42">
        <v>159.94999999999999</v>
      </c>
      <c r="C324">
        <v>162.44999999999999</v>
      </c>
      <c r="D324">
        <v>162.78</v>
      </c>
      <c r="E324">
        <v>169.34</v>
      </c>
      <c r="F324">
        <v>69.62</v>
      </c>
      <c r="G324">
        <v>65.84</v>
      </c>
      <c r="H324">
        <v>60.78</v>
      </c>
      <c r="K324" s="9">
        <f t="shared" si="54"/>
        <v>-1.1699999999999875</v>
      </c>
      <c r="L324">
        <f t="shared" si="55"/>
        <v>-0.87999999999999545</v>
      </c>
      <c r="M324">
        <f t="shared" si="56"/>
        <v>-0.56000000000000227</v>
      </c>
      <c r="N324">
        <f t="shared" si="57"/>
        <v>0.43999999999999773</v>
      </c>
      <c r="O324">
        <f t="shared" si="58"/>
        <v>0.5</v>
      </c>
      <c r="P324" s="10">
        <f t="shared" si="59"/>
        <v>0.39000000000000057</v>
      </c>
    </row>
    <row r="325" spans="1:16">
      <c r="A325">
        <v>50</v>
      </c>
      <c r="B325" s="42">
        <v>159.12</v>
      </c>
      <c r="C325">
        <v>162.01</v>
      </c>
      <c r="D325">
        <v>162.4</v>
      </c>
      <c r="E325">
        <v>169.06</v>
      </c>
      <c r="F325">
        <v>69.67</v>
      </c>
      <c r="G325">
        <v>65.95</v>
      </c>
      <c r="H325">
        <v>60.78</v>
      </c>
      <c r="K325" s="9">
        <f t="shared" si="54"/>
        <v>-1.0600000000000023</v>
      </c>
      <c r="L325">
        <f t="shared" si="55"/>
        <v>-0.84000000000000341</v>
      </c>
      <c r="M325">
        <f t="shared" si="56"/>
        <v>-0.33000000000001251</v>
      </c>
      <c r="N325">
        <f t="shared" si="57"/>
        <v>0.56000000000000227</v>
      </c>
      <c r="O325">
        <f t="shared" si="58"/>
        <v>0.56000000000000227</v>
      </c>
      <c r="P325" s="10">
        <f t="shared" si="59"/>
        <v>0.56000000000000227</v>
      </c>
    </row>
    <row r="326" spans="1:16">
      <c r="A326">
        <v>50.17</v>
      </c>
      <c r="B326" s="42">
        <v>158.51</v>
      </c>
      <c r="C326">
        <v>161.72999999999999</v>
      </c>
      <c r="D326">
        <v>162.12</v>
      </c>
      <c r="E326">
        <v>169.01</v>
      </c>
      <c r="F326">
        <v>70.010000000000005</v>
      </c>
      <c r="G326">
        <v>66.28</v>
      </c>
      <c r="H326">
        <v>61.17</v>
      </c>
      <c r="K326" s="9">
        <f t="shared" si="54"/>
        <v>-0.82999999999998408</v>
      </c>
      <c r="L326">
        <f t="shared" si="55"/>
        <v>-0.67000000000001592</v>
      </c>
      <c r="M326">
        <f t="shared" si="56"/>
        <v>0.15999999999999659</v>
      </c>
      <c r="N326">
        <f t="shared" si="57"/>
        <v>0.26999999999999602</v>
      </c>
      <c r="O326">
        <f t="shared" si="58"/>
        <v>0.45000000000000284</v>
      </c>
      <c r="P326" s="10">
        <f t="shared" si="59"/>
        <v>0.22999999999999687</v>
      </c>
    </row>
    <row r="327" spans="1:16">
      <c r="A327">
        <v>50.33</v>
      </c>
      <c r="B327" s="42">
        <v>157.16999999999999</v>
      </c>
      <c r="C327">
        <v>161.28</v>
      </c>
      <c r="D327">
        <v>161.9</v>
      </c>
      <c r="E327">
        <v>168.78</v>
      </c>
      <c r="F327">
        <v>70.06</v>
      </c>
      <c r="G327">
        <v>66.34</v>
      </c>
      <c r="H327">
        <v>61.17</v>
      </c>
      <c r="K327" s="9">
        <f t="shared" si="54"/>
        <v>-0.61000000000001364</v>
      </c>
      <c r="L327">
        <f t="shared" si="55"/>
        <v>-0.5</v>
      </c>
      <c r="M327">
        <f t="shared" si="56"/>
        <v>2.0600000000000023</v>
      </c>
      <c r="N327">
        <f t="shared" si="57"/>
        <v>0.39000000000000057</v>
      </c>
      <c r="O327">
        <f t="shared" si="58"/>
        <v>0.5</v>
      </c>
      <c r="P327" s="10">
        <f t="shared" si="59"/>
        <v>0.39000000000000057</v>
      </c>
    </row>
    <row r="328" spans="1:16">
      <c r="A328">
        <v>50.5</v>
      </c>
      <c r="B328" s="42">
        <v>156.28</v>
      </c>
      <c r="C328">
        <v>160.94999999999999</v>
      </c>
      <c r="D328">
        <v>161.56</v>
      </c>
      <c r="E328">
        <v>168.73</v>
      </c>
      <c r="F328">
        <v>70.23</v>
      </c>
      <c r="G328">
        <v>66.510000000000005</v>
      </c>
      <c r="H328">
        <v>61.34</v>
      </c>
      <c r="K328" s="9">
        <f t="shared" si="54"/>
        <v>-0.43999999999999773</v>
      </c>
      <c r="L328">
        <f t="shared" si="55"/>
        <v>-0.33000000000001251</v>
      </c>
      <c r="M328">
        <f t="shared" si="56"/>
        <v>3.8900000000000148</v>
      </c>
      <c r="N328">
        <f t="shared" si="57"/>
        <v>0.43999999999999773</v>
      </c>
      <c r="O328">
        <f t="shared" si="58"/>
        <v>0.54999999999999716</v>
      </c>
      <c r="P328" s="10">
        <f t="shared" si="59"/>
        <v>0.38999999999999346</v>
      </c>
    </row>
    <row r="329" spans="1:16">
      <c r="A329">
        <v>50.67</v>
      </c>
      <c r="B329" s="42">
        <v>155.84</v>
      </c>
      <c r="C329">
        <v>160.9</v>
      </c>
      <c r="D329">
        <v>161.44999999999999</v>
      </c>
      <c r="E329">
        <v>169.17</v>
      </c>
      <c r="F329">
        <v>70.28</v>
      </c>
      <c r="G329">
        <v>66.73</v>
      </c>
      <c r="H329">
        <v>61.4</v>
      </c>
      <c r="K329" s="9">
        <f t="shared" si="54"/>
        <v>-0.5</v>
      </c>
      <c r="L329">
        <f t="shared" si="55"/>
        <v>-0.38999999999998636</v>
      </c>
      <c r="M329">
        <f t="shared" si="56"/>
        <v>3.8400000000000034</v>
      </c>
      <c r="N329">
        <f t="shared" si="57"/>
        <v>0.5</v>
      </c>
      <c r="O329">
        <f t="shared" si="58"/>
        <v>0.5</v>
      </c>
      <c r="P329" s="10">
        <f t="shared" si="59"/>
        <v>0.44000000000000483</v>
      </c>
    </row>
    <row r="330" spans="1:16">
      <c r="A330">
        <v>50.83</v>
      </c>
      <c r="B330" s="42">
        <v>155.51</v>
      </c>
      <c r="C330">
        <v>160.66999999999999</v>
      </c>
      <c r="D330">
        <v>161.4</v>
      </c>
      <c r="E330">
        <v>170.84</v>
      </c>
      <c r="F330">
        <v>70.45</v>
      </c>
      <c r="G330">
        <v>66.84</v>
      </c>
      <c r="H330">
        <v>61.56</v>
      </c>
      <c r="K330" s="9">
        <f t="shared" si="54"/>
        <v>-0.38999999999998636</v>
      </c>
      <c r="L330">
        <f t="shared" si="55"/>
        <v>-0.56000000000000227</v>
      </c>
      <c r="M330">
        <f t="shared" si="56"/>
        <v>1.9399999999999977</v>
      </c>
      <c r="N330">
        <f t="shared" si="57"/>
        <v>0.56000000000000227</v>
      </c>
      <c r="O330">
        <f t="shared" si="58"/>
        <v>0.5</v>
      </c>
      <c r="P330" s="10">
        <f t="shared" si="59"/>
        <v>0.33999999999999631</v>
      </c>
    </row>
    <row r="331" spans="1:16">
      <c r="A331">
        <v>51</v>
      </c>
      <c r="B331" s="42">
        <v>156.84</v>
      </c>
      <c r="C331">
        <v>160.51</v>
      </c>
      <c r="D331">
        <v>161.22999999999999</v>
      </c>
      <c r="E331">
        <v>172.62</v>
      </c>
      <c r="F331">
        <v>70.67</v>
      </c>
      <c r="G331">
        <v>67.06</v>
      </c>
      <c r="H331">
        <v>61.73</v>
      </c>
      <c r="K331" s="9">
        <f t="shared" si="54"/>
        <v>-0.34000000000000341</v>
      </c>
      <c r="L331">
        <f t="shared" si="55"/>
        <v>-0.56000000000000227</v>
      </c>
      <c r="M331">
        <f t="shared" si="56"/>
        <v>0</v>
      </c>
      <c r="N331">
        <f t="shared" si="57"/>
        <v>0.5</v>
      </c>
      <c r="O331">
        <f t="shared" si="58"/>
        <v>0.5</v>
      </c>
      <c r="P331" s="10">
        <f t="shared" si="59"/>
        <v>0.3300000000000054</v>
      </c>
    </row>
    <row r="332" spans="1:16">
      <c r="A332">
        <v>51.17</v>
      </c>
      <c r="B332" s="42">
        <v>158.62</v>
      </c>
      <c r="C332">
        <v>160.4</v>
      </c>
      <c r="D332">
        <v>161.06</v>
      </c>
      <c r="E332">
        <v>173.01</v>
      </c>
      <c r="F332">
        <v>70.78</v>
      </c>
      <c r="G332">
        <v>67.23</v>
      </c>
      <c r="H332">
        <v>61.84</v>
      </c>
      <c r="K332" s="9">
        <f t="shared" si="54"/>
        <v>-0.28000000000000114</v>
      </c>
      <c r="L332">
        <f t="shared" si="55"/>
        <v>-0.43999999999999773</v>
      </c>
      <c r="M332">
        <f t="shared" si="56"/>
        <v>-0.56000000000000227</v>
      </c>
      <c r="N332">
        <f t="shared" si="57"/>
        <v>0.56000000000000227</v>
      </c>
      <c r="O332">
        <f t="shared" si="58"/>
        <v>0.54999999999999716</v>
      </c>
      <c r="P332" s="10">
        <f t="shared" si="59"/>
        <v>0.38999999999999346</v>
      </c>
    </row>
    <row r="333" spans="1:16">
      <c r="A333">
        <v>51.33</v>
      </c>
      <c r="B333" s="42">
        <v>159.84</v>
      </c>
      <c r="C333">
        <v>160.28</v>
      </c>
      <c r="D333">
        <v>160.84</v>
      </c>
      <c r="E333">
        <v>172.78</v>
      </c>
      <c r="F333">
        <v>71.010000000000005</v>
      </c>
      <c r="G333">
        <v>67.34</v>
      </c>
      <c r="H333">
        <v>61.9</v>
      </c>
      <c r="K333" s="9">
        <f t="shared" si="54"/>
        <v>2</v>
      </c>
      <c r="L333">
        <f t="shared" si="55"/>
        <v>1.6099999999999852</v>
      </c>
      <c r="M333">
        <f t="shared" si="56"/>
        <v>-0.77000000000001023</v>
      </c>
      <c r="N333">
        <f t="shared" si="57"/>
        <v>0.5</v>
      </c>
      <c r="O333">
        <f t="shared" si="58"/>
        <v>0.60999999999999943</v>
      </c>
      <c r="P333" s="10">
        <f t="shared" si="59"/>
        <v>0.44000000000000483</v>
      </c>
    </row>
    <row r="334" spans="1:16">
      <c r="A334">
        <v>51.5</v>
      </c>
      <c r="B334" s="42">
        <v>160.44999999999999</v>
      </c>
      <c r="C334">
        <v>160.16999999999999</v>
      </c>
      <c r="D334">
        <v>160.66999999999999</v>
      </c>
      <c r="E334">
        <v>172.62</v>
      </c>
      <c r="F334">
        <v>71.17</v>
      </c>
      <c r="G334">
        <v>67.56</v>
      </c>
      <c r="H334">
        <v>62.06</v>
      </c>
      <c r="K334" s="9">
        <f t="shared" si="54"/>
        <v>5.1700000000000159</v>
      </c>
      <c r="L334">
        <f t="shared" si="55"/>
        <v>4.6700000000000159</v>
      </c>
      <c r="M334">
        <f t="shared" si="56"/>
        <v>-0.78000000000000114</v>
      </c>
      <c r="N334">
        <f t="shared" si="57"/>
        <v>0.5</v>
      </c>
      <c r="O334">
        <f t="shared" si="58"/>
        <v>0.45000000000000284</v>
      </c>
      <c r="P334" s="10">
        <f t="shared" si="59"/>
        <v>0.44999999999999574</v>
      </c>
    </row>
    <row r="335" spans="1:16">
      <c r="A335">
        <v>51.67</v>
      </c>
      <c r="B335" s="42">
        <v>160.66999999999999</v>
      </c>
      <c r="C335">
        <v>160.12</v>
      </c>
      <c r="D335">
        <v>160.62</v>
      </c>
      <c r="E335">
        <v>172.45</v>
      </c>
      <c r="F335">
        <v>71.34</v>
      </c>
      <c r="G335">
        <v>67.78</v>
      </c>
      <c r="H335">
        <v>62.23</v>
      </c>
      <c r="K335" s="9">
        <f t="shared" si="54"/>
        <v>6</v>
      </c>
      <c r="L335">
        <f t="shared" si="55"/>
        <v>5.6599999999999966</v>
      </c>
      <c r="M335">
        <f t="shared" si="56"/>
        <v>-0.32999999999998408</v>
      </c>
      <c r="N335">
        <f t="shared" si="57"/>
        <v>0.43999999999999773</v>
      </c>
      <c r="O335">
        <f t="shared" si="58"/>
        <v>0.39000000000000057</v>
      </c>
      <c r="P335" s="10">
        <f t="shared" si="59"/>
        <v>0.44000000000000483</v>
      </c>
    </row>
    <row r="336" spans="1:16">
      <c r="A336">
        <v>51.83</v>
      </c>
      <c r="B336" s="42">
        <v>160.94999999999999</v>
      </c>
      <c r="C336">
        <v>162.28</v>
      </c>
      <c r="D336">
        <v>162.44999999999999</v>
      </c>
      <c r="E336">
        <v>172.01</v>
      </c>
      <c r="F336">
        <v>71.510000000000005</v>
      </c>
      <c r="G336">
        <v>67.95</v>
      </c>
      <c r="H336">
        <v>62.34</v>
      </c>
      <c r="K336" s="9">
        <f t="shared" si="54"/>
        <v>3.6200000000000045</v>
      </c>
      <c r="L336">
        <f t="shared" si="55"/>
        <v>3.7800000000000011</v>
      </c>
      <c r="M336">
        <f t="shared" si="56"/>
        <v>0.43999999999999773</v>
      </c>
      <c r="N336">
        <f t="shared" si="57"/>
        <v>0.43999999999999773</v>
      </c>
      <c r="O336">
        <f t="shared" si="58"/>
        <v>0.39000000000000057</v>
      </c>
      <c r="P336" s="10">
        <f t="shared" si="59"/>
        <v>0.5</v>
      </c>
    </row>
    <row r="337" spans="1:16">
      <c r="A337">
        <v>52</v>
      </c>
      <c r="B337" s="42">
        <v>160.72999999999999</v>
      </c>
      <c r="C337">
        <v>165.34</v>
      </c>
      <c r="D337">
        <v>165.34</v>
      </c>
      <c r="E337">
        <v>171.84</v>
      </c>
      <c r="F337">
        <v>71.67</v>
      </c>
      <c r="G337">
        <v>68.010000000000005</v>
      </c>
      <c r="H337">
        <v>62.51</v>
      </c>
      <c r="K337" s="9">
        <f t="shared" si="54"/>
        <v>0.21999999999999886</v>
      </c>
      <c r="L337">
        <f t="shared" si="55"/>
        <v>0.71999999999999886</v>
      </c>
      <c r="M337">
        <f t="shared" si="56"/>
        <v>0.43999999999999773</v>
      </c>
      <c r="N337">
        <f t="shared" si="57"/>
        <v>0.45000000000000284</v>
      </c>
      <c r="O337">
        <f t="shared" si="58"/>
        <v>0.39000000000000057</v>
      </c>
      <c r="P337" s="10">
        <f t="shared" si="59"/>
        <v>0.39000000000000057</v>
      </c>
    </row>
    <row r="338" spans="1:16">
      <c r="A338">
        <v>52.17</v>
      </c>
      <c r="B338" s="42">
        <v>160.94999999999999</v>
      </c>
      <c r="C338">
        <v>166.12</v>
      </c>
      <c r="D338">
        <v>166.28</v>
      </c>
      <c r="E338">
        <v>172.12</v>
      </c>
      <c r="F338">
        <v>71.78</v>
      </c>
      <c r="G338">
        <v>68.17</v>
      </c>
      <c r="H338">
        <v>62.67</v>
      </c>
      <c r="K338" s="9">
        <f t="shared" si="54"/>
        <v>-0.95000000000001705</v>
      </c>
      <c r="L338">
        <f t="shared" si="55"/>
        <v>-0.55000000000001137</v>
      </c>
      <c r="M338">
        <f t="shared" si="56"/>
        <v>-0.11000000000001364</v>
      </c>
      <c r="N338">
        <f t="shared" si="57"/>
        <v>0.5</v>
      </c>
      <c r="O338">
        <f t="shared" si="58"/>
        <v>0.39000000000000057</v>
      </c>
      <c r="P338" s="10">
        <f t="shared" si="59"/>
        <v>0.33999999999999631</v>
      </c>
    </row>
    <row r="339" spans="1:16">
      <c r="A339">
        <v>52.33</v>
      </c>
      <c r="B339" s="42">
        <v>160.94999999999999</v>
      </c>
      <c r="C339">
        <v>165.9</v>
      </c>
      <c r="D339">
        <v>166.23</v>
      </c>
      <c r="E339">
        <v>172.45</v>
      </c>
      <c r="F339">
        <v>71.95</v>
      </c>
      <c r="G339">
        <v>68.34</v>
      </c>
      <c r="H339">
        <v>62.84</v>
      </c>
      <c r="K339" s="9">
        <f t="shared" si="54"/>
        <v>-1.2300000000000182</v>
      </c>
      <c r="L339">
        <f t="shared" si="55"/>
        <v>-0.82999999999998408</v>
      </c>
      <c r="M339">
        <f t="shared" si="56"/>
        <v>-0.93999999999999773</v>
      </c>
      <c r="N339">
        <f t="shared" si="57"/>
        <v>0.56000000000000227</v>
      </c>
      <c r="O339">
        <f t="shared" si="58"/>
        <v>0.43999999999999773</v>
      </c>
      <c r="P339" s="10">
        <f t="shared" si="59"/>
        <v>0.32999999999999829</v>
      </c>
    </row>
    <row r="340" spans="1:16">
      <c r="A340">
        <v>52.5</v>
      </c>
      <c r="B340" s="42">
        <v>160.44999999999999</v>
      </c>
      <c r="C340">
        <v>165.56</v>
      </c>
      <c r="D340">
        <v>166.06</v>
      </c>
      <c r="E340">
        <v>172.28</v>
      </c>
      <c r="F340">
        <v>72.12</v>
      </c>
      <c r="G340">
        <v>68.400000000000006</v>
      </c>
      <c r="H340">
        <v>62.9</v>
      </c>
      <c r="K340" s="9">
        <f t="shared" si="54"/>
        <v>-1.5500000000000114</v>
      </c>
      <c r="L340">
        <f t="shared" si="55"/>
        <v>-1.3900000000000148</v>
      </c>
      <c r="M340">
        <f t="shared" si="56"/>
        <v>-1.0500000000000114</v>
      </c>
      <c r="N340">
        <f t="shared" si="57"/>
        <v>0.54999999999999716</v>
      </c>
      <c r="O340">
        <f t="shared" si="58"/>
        <v>0.54999999999999716</v>
      </c>
      <c r="P340" s="10">
        <f t="shared" si="59"/>
        <v>0.44000000000000483</v>
      </c>
    </row>
    <row r="341" spans="1:16">
      <c r="A341">
        <v>52.67</v>
      </c>
      <c r="B341" s="42">
        <v>160.62</v>
      </c>
      <c r="C341">
        <v>165.17</v>
      </c>
      <c r="D341">
        <v>165.73</v>
      </c>
      <c r="E341">
        <v>172.01</v>
      </c>
      <c r="F341">
        <v>72.28</v>
      </c>
      <c r="G341">
        <v>68.56</v>
      </c>
      <c r="H341">
        <v>63.01</v>
      </c>
      <c r="K341" s="9">
        <f t="shared" si="54"/>
        <v>-1.6099999999999852</v>
      </c>
      <c r="L341">
        <f t="shared" si="55"/>
        <v>-1.5</v>
      </c>
      <c r="M341">
        <f t="shared" si="56"/>
        <v>-0.94999999999998863</v>
      </c>
      <c r="N341">
        <f t="shared" si="57"/>
        <v>0.56000000000000227</v>
      </c>
      <c r="O341">
        <f t="shared" si="58"/>
        <v>0.56000000000000227</v>
      </c>
      <c r="P341" s="10">
        <f t="shared" si="59"/>
        <v>0.39000000000000057</v>
      </c>
    </row>
    <row r="342" spans="1:16">
      <c r="A342">
        <v>52.83</v>
      </c>
      <c r="B342" s="42">
        <v>160.44999999999999</v>
      </c>
      <c r="C342">
        <v>164.67</v>
      </c>
      <c r="D342">
        <v>165.4</v>
      </c>
      <c r="E342">
        <v>171.51</v>
      </c>
      <c r="F342">
        <v>72.510000000000005</v>
      </c>
      <c r="G342">
        <v>68.78</v>
      </c>
      <c r="H342">
        <v>63.17</v>
      </c>
      <c r="K342" s="9">
        <f t="shared" si="54"/>
        <v>-1.4399999999999977</v>
      </c>
      <c r="L342">
        <f t="shared" si="55"/>
        <v>-1.5600000000000023</v>
      </c>
      <c r="M342">
        <f t="shared" si="56"/>
        <v>-0.78000000000000114</v>
      </c>
      <c r="N342">
        <f t="shared" si="57"/>
        <v>0.54999999999999716</v>
      </c>
      <c r="O342">
        <f t="shared" si="58"/>
        <v>0.5</v>
      </c>
      <c r="P342" s="10">
        <f t="shared" si="59"/>
        <v>0.33999999999999631</v>
      </c>
    </row>
    <row r="343" spans="1:16">
      <c r="A343">
        <v>53</v>
      </c>
      <c r="B343" s="42">
        <v>159.66999999999999</v>
      </c>
      <c r="C343">
        <v>164.01</v>
      </c>
      <c r="D343">
        <v>164.67</v>
      </c>
      <c r="E343">
        <v>171.23</v>
      </c>
      <c r="F343">
        <v>72.67</v>
      </c>
      <c r="G343">
        <v>68.95</v>
      </c>
      <c r="H343">
        <v>63.34</v>
      </c>
      <c r="K343" s="9">
        <f t="shared" si="54"/>
        <v>-1.1099999999999852</v>
      </c>
      <c r="L343">
        <f t="shared" si="55"/>
        <v>-1.1099999999999852</v>
      </c>
      <c r="M343">
        <f t="shared" si="56"/>
        <v>-0.21999999999999886</v>
      </c>
      <c r="N343">
        <f t="shared" si="57"/>
        <v>0.5</v>
      </c>
      <c r="O343">
        <f t="shared" si="58"/>
        <v>0.5</v>
      </c>
      <c r="P343" s="10">
        <f t="shared" si="59"/>
        <v>0.32999999999999829</v>
      </c>
    </row>
    <row r="344" spans="1:16">
      <c r="A344">
        <v>53.17</v>
      </c>
      <c r="B344" s="42">
        <v>159.01</v>
      </c>
      <c r="C344">
        <v>163.56</v>
      </c>
      <c r="D344">
        <v>164.23</v>
      </c>
      <c r="E344">
        <v>171.06</v>
      </c>
      <c r="F344">
        <v>72.84</v>
      </c>
      <c r="G344">
        <v>69.12</v>
      </c>
      <c r="H344">
        <v>63.4</v>
      </c>
      <c r="K344" s="9">
        <f t="shared" si="54"/>
        <v>-0.83000000000001251</v>
      </c>
      <c r="L344">
        <f t="shared" si="55"/>
        <v>-0.82999999999998408</v>
      </c>
      <c r="M344">
        <f t="shared" si="56"/>
        <v>0.60999999999998522</v>
      </c>
      <c r="N344">
        <f t="shared" si="57"/>
        <v>0.5</v>
      </c>
      <c r="O344">
        <f t="shared" si="58"/>
        <v>0.5</v>
      </c>
      <c r="P344" s="10">
        <f t="shared" si="59"/>
        <v>0.5</v>
      </c>
    </row>
    <row r="345" spans="1:16">
      <c r="A345">
        <v>53.33</v>
      </c>
      <c r="B345" s="42">
        <v>158.22999999999999</v>
      </c>
      <c r="C345">
        <v>163.22999999999999</v>
      </c>
      <c r="D345">
        <v>163.84</v>
      </c>
      <c r="E345">
        <v>170.73</v>
      </c>
      <c r="F345">
        <v>73.06</v>
      </c>
      <c r="G345">
        <v>69.28</v>
      </c>
      <c r="H345">
        <v>63.51</v>
      </c>
      <c r="K345" s="9">
        <f t="shared" ref="K345:K408" si="60">C348-C345</f>
        <v>-0.66999999999998749</v>
      </c>
      <c r="L345">
        <f t="shared" ref="L345:L408" si="61">D348-D345</f>
        <v>-0.61000000000001364</v>
      </c>
      <c r="M345">
        <f t="shared" ref="M345:M408" si="62">E348-E345</f>
        <v>3.1700000000000159</v>
      </c>
      <c r="N345">
        <f t="shared" ref="N345:N408" si="63">F348-F345</f>
        <v>0.45000000000000284</v>
      </c>
      <c r="O345">
        <f t="shared" ref="O345:O408" si="64">G348-G345</f>
        <v>0.56000000000000227</v>
      </c>
      <c r="P345" s="10">
        <f t="shared" ref="P345:P408" si="65">H348-H345</f>
        <v>0.55000000000000426</v>
      </c>
    </row>
    <row r="346" spans="1:16">
      <c r="A346">
        <v>53.5</v>
      </c>
      <c r="B346" s="42">
        <v>157.28</v>
      </c>
      <c r="C346">
        <v>162.9</v>
      </c>
      <c r="D346">
        <v>163.56</v>
      </c>
      <c r="E346">
        <v>171.01</v>
      </c>
      <c r="F346">
        <v>73.17</v>
      </c>
      <c r="G346">
        <v>69.45</v>
      </c>
      <c r="H346">
        <v>63.67</v>
      </c>
      <c r="K346" s="9">
        <f t="shared" si="60"/>
        <v>-0.39000000000001478</v>
      </c>
      <c r="L346">
        <f t="shared" si="61"/>
        <v>-0.61000000000001364</v>
      </c>
      <c r="M346">
        <f t="shared" si="62"/>
        <v>3.9399999999999977</v>
      </c>
      <c r="N346">
        <f t="shared" si="63"/>
        <v>0.45000000000000284</v>
      </c>
      <c r="O346">
        <f t="shared" si="64"/>
        <v>0.45000000000000284</v>
      </c>
      <c r="P346" s="10">
        <f t="shared" si="65"/>
        <v>0.5</v>
      </c>
    </row>
    <row r="347" spans="1:16">
      <c r="A347">
        <v>53.67</v>
      </c>
      <c r="B347" s="42">
        <v>157.51</v>
      </c>
      <c r="C347">
        <v>162.72999999999999</v>
      </c>
      <c r="D347">
        <v>163.4</v>
      </c>
      <c r="E347">
        <v>171.67</v>
      </c>
      <c r="F347">
        <v>73.34</v>
      </c>
      <c r="G347">
        <v>69.62</v>
      </c>
      <c r="H347">
        <v>63.9</v>
      </c>
      <c r="K347" s="9">
        <f t="shared" si="60"/>
        <v>-0.5</v>
      </c>
      <c r="L347">
        <f t="shared" si="61"/>
        <v>-0.78000000000000114</v>
      </c>
      <c r="M347">
        <f t="shared" si="62"/>
        <v>3.2800000000000011</v>
      </c>
      <c r="N347">
        <f t="shared" si="63"/>
        <v>0.43999999999999773</v>
      </c>
      <c r="O347">
        <f t="shared" si="64"/>
        <v>0.43999999999999773</v>
      </c>
      <c r="P347" s="10">
        <f t="shared" si="65"/>
        <v>0.38000000000000256</v>
      </c>
    </row>
    <row r="348" spans="1:16">
      <c r="A348">
        <v>53.83</v>
      </c>
      <c r="B348" s="42">
        <v>157.78</v>
      </c>
      <c r="C348">
        <v>162.56</v>
      </c>
      <c r="D348">
        <v>163.22999999999999</v>
      </c>
      <c r="E348">
        <v>173.9</v>
      </c>
      <c r="F348">
        <v>73.510000000000005</v>
      </c>
      <c r="G348">
        <v>69.84</v>
      </c>
      <c r="H348">
        <v>64.06</v>
      </c>
      <c r="K348" s="9">
        <f t="shared" si="60"/>
        <v>-0.39000000000001478</v>
      </c>
      <c r="L348">
        <f t="shared" si="61"/>
        <v>-0.82999999999998408</v>
      </c>
      <c r="M348">
        <f t="shared" si="62"/>
        <v>0.65999999999999659</v>
      </c>
      <c r="N348">
        <f t="shared" si="63"/>
        <v>0.43999999999999773</v>
      </c>
      <c r="O348">
        <f t="shared" si="64"/>
        <v>0.39000000000000057</v>
      </c>
      <c r="P348" s="10">
        <f t="shared" si="65"/>
        <v>0.39000000000000057</v>
      </c>
    </row>
    <row r="349" spans="1:16">
      <c r="A349">
        <v>54</v>
      </c>
      <c r="B349" s="42">
        <v>158.84</v>
      </c>
      <c r="C349">
        <v>162.51</v>
      </c>
      <c r="D349">
        <v>162.94999999999999</v>
      </c>
      <c r="E349">
        <v>174.95</v>
      </c>
      <c r="F349">
        <v>73.62</v>
      </c>
      <c r="G349">
        <v>69.900000000000006</v>
      </c>
      <c r="H349">
        <v>64.17</v>
      </c>
      <c r="K349" s="9">
        <f t="shared" si="60"/>
        <v>-0.5</v>
      </c>
      <c r="L349">
        <f t="shared" si="61"/>
        <v>-0.78000000000000114</v>
      </c>
      <c r="M349">
        <f t="shared" si="62"/>
        <v>-0.71999999999999886</v>
      </c>
      <c r="N349">
        <f t="shared" si="63"/>
        <v>0.54999999999999716</v>
      </c>
      <c r="O349">
        <f t="shared" si="64"/>
        <v>0.5</v>
      </c>
      <c r="P349" s="10">
        <f t="shared" si="65"/>
        <v>0.5</v>
      </c>
    </row>
    <row r="350" spans="1:16">
      <c r="A350">
        <v>54.17</v>
      </c>
      <c r="B350" s="42">
        <v>159.94999999999999</v>
      </c>
      <c r="C350">
        <v>162.22999999999999</v>
      </c>
      <c r="D350">
        <v>162.62</v>
      </c>
      <c r="E350">
        <v>174.95</v>
      </c>
      <c r="F350">
        <v>73.78</v>
      </c>
      <c r="G350">
        <v>70.06</v>
      </c>
      <c r="H350">
        <v>64.28</v>
      </c>
      <c r="K350" s="9">
        <f t="shared" si="60"/>
        <v>-0.21999999999999886</v>
      </c>
      <c r="L350">
        <f t="shared" si="61"/>
        <v>-0.5</v>
      </c>
      <c r="M350">
        <f t="shared" si="62"/>
        <v>-1</v>
      </c>
      <c r="N350">
        <f t="shared" si="63"/>
        <v>0.56000000000000227</v>
      </c>
      <c r="O350">
        <f t="shared" si="64"/>
        <v>0.56000000000000227</v>
      </c>
      <c r="P350" s="10">
        <f t="shared" si="65"/>
        <v>0.45000000000000284</v>
      </c>
    </row>
    <row r="351" spans="1:16">
      <c r="A351">
        <v>54.33</v>
      </c>
      <c r="B351" s="42">
        <v>160.56</v>
      </c>
      <c r="C351">
        <v>162.16999999999999</v>
      </c>
      <c r="D351">
        <v>162.4</v>
      </c>
      <c r="E351">
        <v>174.56</v>
      </c>
      <c r="F351">
        <v>73.95</v>
      </c>
      <c r="G351">
        <v>70.23</v>
      </c>
      <c r="H351">
        <v>64.45</v>
      </c>
      <c r="K351" s="9">
        <f t="shared" si="60"/>
        <v>1.7300000000000182</v>
      </c>
      <c r="L351">
        <f t="shared" si="61"/>
        <v>1.5499999999999829</v>
      </c>
      <c r="M351">
        <f t="shared" si="62"/>
        <v>-0.89000000000001478</v>
      </c>
      <c r="N351">
        <f t="shared" si="63"/>
        <v>0.67000000000000171</v>
      </c>
      <c r="O351">
        <f t="shared" si="64"/>
        <v>0.54999999999999716</v>
      </c>
      <c r="P351" s="10">
        <f t="shared" si="65"/>
        <v>0.45000000000000284</v>
      </c>
    </row>
    <row r="352" spans="1:16">
      <c r="A352">
        <v>54.5</v>
      </c>
      <c r="B352" s="42">
        <v>160.94999999999999</v>
      </c>
      <c r="C352">
        <v>162.01</v>
      </c>
      <c r="D352">
        <v>162.16999999999999</v>
      </c>
      <c r="E352">
        <v>174.23</v>
      </c>
      <c r="F352">
        <v>74.17</v>
      </c>
      <c r="G352">
        <v>70.400000000000006</v>
      </c>
      <c r="H352">
        <v>64.67</v>
      </c>
      <c r="K352" s="9">
        <f t="shared" si="60"/>
        <v>4.8900000000000148</v>
      </c>
      <c r="L352">
        <f t="shared" si="61"/>
        <v>4.6100000000000136</v>
      </c>
      <c r="M352">
        <f t="shared" si="62"/>
        <v>-0.78000000000000114</v>
      </c>
      <c r="N352">
        <f t="shared" si="63"/>
        <v>0.5</v>
      </c>
      <c r="O352">
        <f t="shared" si="64"/>
        <v>0.43999999999999773</v>
      </c>
      <c r="P352" s="10">
        <f t="shared" si="65"/>
        <v>0.39000000000000057</v>
      </c>
    </row>
    <row r="353" spans="1:16">
      <c r="A353">
        <v>54.67</v>
      </c>
      <c r="B353" s="42">
        <v>161.22999999999999</v>
      </c>
      <c r="C353">
        <v>162.01</v>
      </c>
      <c r="D353">
        <v>162.12</v>
      </c>
      <c r="E353">
        <v>173.95</v>
      </c>
      <c r="F353">
        <v>74.34</v>
      </c>
      <c r="G353">
        <v>70.62</v>
      </c>
      <c r="H353">
        <v>64.73</v>
      </c>
      <c r="K353" s="9">
        <f t="shared" si="60"/>
        <v>5.8300000000000125</v>
      </c>
      <c r="L353">
        <f t="shared" si="61"/>
        <v>5.7199999999999989</v>
      </c>
      <c r="M353">
        <f t="shared" si="62"/>
        <v>-0.66999999999998749</v>
      </c>
      <c r="N353">
        <f t="shared" si="63"/>
        <v>0.43999999999999773</v>
      </c>
      <c r="O353">
        <f t="shared" si="64"/>
        <v>0.39000000000000057</v>
      </c>
      <c r="P353" s="10">
        <f t="shared" si="65"/>
        <v>0.5</v>
      </c>
    </row>
    <row r="354" spans="1:16">
      <c r="A354">
        <v>54.83</v>
      </c>
      <c r="B354" s="42">
        <v>161.01</v>
      </c>
      <c r="C354">
        <v>163.9</v>
      </c>
      <c r="D354">
        <v>163.95</v>
      </c>
      <c r="E354">
        <v>173.67</v>
      </c>
      <c r="F354">
        <v>74.62</v>
      </c>
      <c r="G354">
        <v>70.78</v>
      </c>
      <c r="H354">
        <v>64.900000000000006</v>
      </c>
      <c r="K354" s="9">
        <f t="shared" si="60"/>
        <v>3.7699999999999818</v>
      </c>
      <c r="L354">
        <f t="shared" si="61"/>
        <v>3.9500000000000171</v>
      </c>
      <c r="M354">
        <f t="shared" si="62"/>
        <v>-0.38999999999998636</v>
      </c>
      <c r="N354">
        <f t="shared" si="63"/>
        <v>0.39000000000000057</v>
      </c>
      <c r="O354">
        <f t="shared" si="64"/>
        <v>0.39000000000000057</v>
      </c>
      <c r="P354" s="10">
        <f t="shared" si="65"/>
        <v>0.37999999999999545</v>
      </c>
    </row>
    <row r="355" spans="1:16">
      <c r="A355">
        <v>55</v>
      </c>
      <c r="B355" s="42">
        <v>160.94999999999999</v>
      </c>
      <c r="C355">
        <v>166.9</v>
      </c>
      <c r="D355">
        <v>166.78</v>
      </c>
      <c r="E355">
        <v>173.45</v>
      </c>
      <c r="F355">
        <v>74.67</v>
      </c>
      <c r="G355">
        <v>70.84</v>
      </c>
      <c r="H355">
        <v>65.06</v>
      </c>
      <c r="K355" s="9">
        <f t="shared" si="60"/>
        <v>0.26999999999998181</v>
      </c>
      <c r="L355">
        <f t="shared" si="61"/>
        <v>0.78000000000000114</v>
      </c>
      <c r="M355">
        <f t="shared" si="62"/>
        <v>-0.43999999999999773</v>
      </c>
      <c r="N355">
        <f t="shared" si="63"/>
        <v>0.34000000000000341</v>
      </c>
      <c r="O355">
        <f t="shared" si="64"/>
        <v>0.28000000000000114</v>
      </c>
      <c r="P355" s="10">
        <f t="shared" si="65"/>
        <v>0.28000000000000114</v>
      </c>
    </row>
    <row r="356" spans="1:16">
      <c r="A356">
        <v>55.17</v>
      </c>
      <c r="B356" s="42">
        <v>161.01</v>
      </c>
      <c r="C356">
        <v>167.84</v>
      </c>
      <c r="D356">
        <v>167.84</v>
      </c>
      <c r="E356">
        <v>173.28</v>
      </c>
      <c r="F356">
        <v>74.78</v>
      </c>
      <c r="G356">
        <v>71.010000000000005</v>
      </c>
      <c r="H356">
        <v>65.23</v>
      </c>
      <c r="K356" s="9">
        <f t="shared" si="60"/>
        <v>-1.2199999999999989</v>
      </c>
      <c r="L356">
        <f t="shared" si="61"/>
        <v>-0.67000000000001592</v>
      </c>
      <c r="M356">
        <f t="shared" si="62"/>
        <v>-0.65999999999999659</v>
      </c>
      <c r="N356">
        <f t="shared" si="63"/>
        <v>0.34000000000000341</v>
      </c>
      <c r="O356">
        <f t="shared" si="64"/>
        <v>0.32999999999999829</v>
      </c>
      <c r="P356" s="10">
        <f t="shared" si="65"/>
        <v>0.32999999999999829</v>
      </c>
    </row>
    <row r="357" spans="1:16">
      <c r="A357">
        <v>55.33</v>
      </c>
      <c r="B357" s="42">
        <v>160.4</v>
      </c>
      <c r="C357">
        <v>167.67</v>
      </c>
      <c r="D357">
        <v>167.9</v>
      </c>
      <c r="E357">
        <v>173.28</v>
      </c>
      <c r="F357">
        <v>75.010000000000005</v>
      </c>
      <c r="G357">
        <v>71.17</v>
      </c>
      <c r="H357">
        <v>65.28</v>
      </c>
      <c r="K357" s="9">
        <f t="shared" si="60"/>
        <v>-1.6599999999999966</v>
      </c>
      <c r="L357">
        <f t="shared" si="61"/>
        <v>-1.3900000000000148</v>
      </c>
      <c r="M357">
        <f t="shared" si="62"/>
        <v>-1.0500000000000114</v>
      </c>
      <c r="N357">
        <f t="shared" si="63"/>
        <v>0.10999999999999943</v>
      </c>
      <c r="O357">
        <f t="shared" si="64"/>
        <v>0.28000000000000114</v>
      </c>
      <c r="P357" s="10">
        <f t="shared" si="65"/>
        <v>0.39000000000000057</v>
      </c>
    </row>
    <row r="358" spans="1:16">
      <c r="A358">
        <v>55.5</v>
      </c>
      <c r="B358" s="42">
        <v>160.28</v>
      </c>
      <c r="C358">
        <v>167.17</v>
      </c>
      <c r="D358">
        <v>167.56</v>
      </c>
      <c r="E358">
        <v>173.01</v>
      </c>
      <c r="F358">
        <v>75.010000000000005</v>
      </c>
      <c r="G358">
        <v>71.12</v>
      </c>
      <c r="H358">
        <v>65.34</v>
      </c>
      <c r="K358" s="9">
        <f t="shared" si="60"/>
        <v>-1.8299999999999841</v>
      </c>
      <c r="L358">
        <f t="shared" si="61"/>
        <v>-1.5</v>
      </c>
      <c r="M358">
        <f t="shared" si="62"/>
        <v>-1.2299999999999898</v>
      </c>
      <c r="N358">
        <f t="shared" si="63"/>
        <v>0.26999999999999602</v>
      </c>
      <c r="O358">
        <f t="shared" si="64"/>
        <v>0.39000000000000057</v>
      </c>
      <c r="P358" s="10">
        <f t="shared" si="65"/>
        <v>0.32999999999999829</v>
      </c>
    </row>
    <row r="359" spans="1:16">
      <c r="A359">
        <v>55.67</v>
      </c>
      <c r="B359" s="42">
        <v>159.51</v>
      </c>
      <c r="C359">
        <v>166.62</v>
      </c>
      <c r="D359">
        <v>167.17</v>
      </c>
      <c r="E359">
        <v>172.62</v>
      </c>
      <c r="F359">
        <v>75.12</v>
      </c>
      <c r="G359">
        <v>71.34</v>
      </c>
      <c r="H359">
        <v>65.56</v>
      </c>
      <c r="K359" s="9">
        <f t="shared" si="60"/>
        <v>-1.3900000000000148</v>
      </c>
      <c r="L359">
        <f t="shared" si="61"/>
        <v>-1.3299999999999841</v>
      </c>
      <c r="M359">
        <f t="shared" si="62"/>
        <v>-1.1100000000000136</v>
      </c>
      <c r="N359">
        <f t="shared" si="63"/>
        <v>0.39000000000000057</v>
      </c>
      <c r="O359">
        <f t="shared" si="64"/>
        <v>0.39000000000000057</v>
      </c>
      <c r="P359" s="10">
        <f t="shared" si="65"/>
        <v>0.28000000000000114</v>
      </c>
    </row>
    <row r="360" spans="1:16">
      <c r="A360">
        <v>55.83</v>
      </c>
      <c r="B360" s="42">
        <v>158.94999999999999</v>
      </c>
      <c r="C360">
        <v>166.01</v>
      </c>
      <c r="D360">
        <v>166.51</v>
      </c>
      <c r="E360">
        <v>172.23</v>
      </c>
      <c r="F360">
        <v>75.12</v>
      </c>
      <c r="G360">
        <v>71.45</v>
      </c>
      <c r="H360">
        <v>65.67</v>
      </c>
      <c r="K360" s="9">
        <f t="shared" si="60"/>
        <v>-1.2299999999999898</v>
      </c>
      <c r="L360">
        <f t="shared" si="61"/>
        <v>-0.94999999999998863</v>
      </c>
      <c r="M360">
        <f t="shared" si="62"/>
        <v>-1.0600000000000023</v>
      </c>
      <c r="N360">
        <f t="shared" si="63"/>
        <v>0.43999999999999773</v>
      </c>
      <c r="O360">
        <f t="shared" si="64"/>
        <v>0.45000000000000284</v>
      </c>
      <c r="P360" s="10">
        <f t="shared" si="65"/>
        <v>0.28000000000000114</v>
      </c>
    </row>
    <row r="361" spans="1:16">
      <c r="A361">
        <v>56</v>
      </c>
      <c r="B361" s="42">
        <v>158.34</v>
      </c>
      <c r="C361">
        <v>165.34</v>
      </c>
      <c r="D361">
        <v>166.06</v>
      </c>
      <c r="E361">
        <v>171.78</v>
      </c>
      <c r="F361">
        <v>75.28</v>
      </c>
      <c r="G361">
        <v>71.510000000000005</v>
      </c>
      <c r="H361">
        <v>65.67</v>
      </c>
      <c r="K361" s="9">
        <f t="shared" si="60"/>
        <v>-0.78000000000000114</v>
      </c>
      <c r="L361">
        <f t="shared" si="61"/>
        <v>-0.83000000000001251</v>
      </c>
      <c r="M361">
        <f t="shared" si="62"/>
        <v>-0.65999999999999659</v>
      </c>
      <c r="N361">
        <f t="shared" si="63"/>
        <v>0.39000000000000057</v>
      </c>
      <c r="O361">
        <f t="shared" si="64"/>
        <v>0.43999999999999773</v>
      </c>
      <c r="P361" s="10">
        <f t="shared" si="65"/>
        <v>0.45000000000000284</v>
      </c>
    </row>
    <row r="362" spans="1:16">
      <c r="A362">
        <v>56.17</v>
      </c>
      <c r="B362" s="42">
        <v>157.9</v>
      </c>
      <c r="C362">
        <v>165.23</v>
      </c>
      <c r="D362">
        <v>165.84</v>
      </c>
      <c r="E362">
        <v>171.51</v>
      </c>
      <c r="F362">
        <v>75.510000000000005</v>
      </c>
      <c r="G362">
        <v>71.73</v>
      </c>
      <c r="H362">
        <v>65.84</v>
      </c>
      <c r="K362" s="9">
        <f t="shared" si="60"/>
        <v>-0.82999999999998408</v>
      </c>
      <c r="L362">
        <f t="shared" si="61"/>
        <v>-0.93999999999999773</v>
      </c>
      <c r="M362">
        <f t="shared" si="62"/>
        <v>1.2700000000000102</v>
      </c>
      <c r="N362">
        <f t="shared" si="63"/>
        <v>0.26999999999999602</v>
      </c>
      <c r="O362">
        <f t="shared" si="64"/>
        <v>0.39000000000000057</v>
      </c>
      <c r="P362" s="10">
        <f t="shared" si="65"/>
        <v>0.32999999999999829</v>
      </c>
    </row>
    <row r="363" spans="1:16">
      <c r="A363">
        <v>56.33</v>
      </c>
      <c r="B363" s="42">
        <v>157.34</v>
      </c>
      <c r="C363">
        <v>164.78</v>
      </c>
      <c r="D363">
        <v>165.56</v>
      </c>
      <c r="E363">
        <v>171.17</v>
      </c>
      <c r="F363">
        <v>75.56</v>
      </c>
      <c r="G363">
        <v>71.900000000000006</v>
      </c>
      <c r="H363">
        <v>65.95</v>
      </c>
      <c r="K363" s="9">
        <f t="shared" si="60"/>
        <v>-0.71999999999999886</v>
      </c>
      <c r="L363">
        <f t="shared" si="61"/>
        <v>-0.83000000000001251</v>
      </c>
      <c r="M363">
        <f t="shared" si="62"/>
        <v>2.6100000000000136</v>
      </c>
      <c r="N363">
        <f t="shared" si="63"/>
        <v>0.39000000000000057</v>
      </c>
      <c r="O363">
        <f t="shared" si="64"/>
        <v>0.32999999999999829</v>
      </c>
      <c r="P363" s="10">
        <f t="shared" si="65"/>
        <v>0.28000000000000114</v>
      </c>
    </row>
    <row r="364" spans="1:16">
      <c r="A364">
        <v>56.5</v>
      </c>
      <c r="B364" s="42">
        <v>156.84</v>
      </c>
      <c r="C364">
        <v>164.56</v>
      </c>
      <c r="D364">
        <v>165.23</v>
      </c>
      <c r="E364">
        <v>171.12</v>
      </c>
      <c r="F364">
        <v>75.67</v>
      </c>
      <c r="G364">
        <v>71.95</v>
      </c>
      <c r="H364">
        <v>66.12</v>
      </c>
      <c r="K364" s="9">
        <f t="shared" si="60"/>
        <v>-0.83000000000001251</v>
      </c>
      <c r="L364">
        <f t="shared" si="61"/>
        <v>-0.82999999999998408</v>
      </c>
      <c r="M364">
        <f t="shared" si="62"/>
        <v>2.7199999999999989</v>
      </c>
      <c r="N364">
        <f t="shared" si="63"/>
        <v>0.5</v>
      </c>
      <c r="O364">
        <f t="shared" si="64"/>
        <v>0.45000000000000284</v>
      </c>
      <c r="P364" s="10">
        <f t="shared" si="65"/>
        <v>0.21999999999999886</v>
      </c>
    </row>
    <row r="365" spans="1:16">
      <c r="A365">
        <v>56.67</v>
      </c>
      <c r="B365" s="42">
        <v>157.01</v>
      </c>
      <c r="C365">
        <v>164.4</v>
      </c>
      <c r="D365">
        <v>164.9</v>
      </c>
      <c r="E365">
        <v>172.78</v>
      </c>
      <c r="F365">
        <v>75.78</v>
      </c>
      <c r="G365">
        <v>72.12</v>
      </c>
      <c r="H365">
        <v>66.17</v>
      </c>
      <c r="K365" s="9">
        <f t="shared" si="60"/>
        <v>-0.89000000000001478</v>
      </c>
      <c r="L365">
        <f t="shared" si="61"/>
        <v>-0.84000000000000341</v>
      </c>
      <c r="M365">
        <f t="shared" si="62"/>
        <v>1.1699999999999875</v>
      </c>
      <c r="N365">
        <f t="shared" si="63"/>
        <v>0.39000000000000057</v>
      </c>
      <c r="O365">
        <f t="shared" si="64"/>
        <v>0.32999999999999829</v>
      </c>
      <c r="P365" s="10">
        <f t="shared" si="65"/>
        <v>0.23000000000000398</v>
      </c>
    </row>
    <row r="366" spans="1:16">
      <c r="A366">
        <v>56.83</v>
      </c>
      <c r="B366" s="42">
        <v>158.62</v>
      </c>
      <c r="C366">
        <v>164.06</v>
      </c>
      <c r="D366">
        <v>164.73</v>
      </c>
      <c r="E366">
        <v>173.78</v>
      </c>
      <c r="F366">
        <v>75.95</v>
      </c>
      <c r="G366">
        <v>72.23</v>
      </c>
      <c r="H366">
        <v>66.23</v>
      </c>
      <c r="K366" s="9">
        <f t="shared" si="60"/>
        <v>-0.71999999999999886</v>
      </c>
      <c r="L366">
        <f t="shared" si="61"/>
        <v>-1</v>
      </c>
      <c r="M366">
        <f t="shared" si="62"/>
        <v>-0.15999999999999659</v>
      </c>
      <c r="N366">
        <f t="shared" si="63"/>
        <v>0.32999999999999829</v>
      </c>
      <c r="O366">
        <f t="shared" si="64"/>
        <v>0.39000000000000057</v>
      </c>
      <c r="P366" s="10">
        <f t="shared" si="65"/>
        <v>0.28000000000000114</v>
      </c>
    </row>
    <row r="367" spans="1:16">
      <c r="A367">
        <v>57</v>
      </c>
      <c r="B367" s="42">
        <v>162.22999999999999</v>
      </c>
      <c r="C367">
        <v>163.72999999999999</v>
      </c>
      <c r="D367">
        <v>164.4</v>
      </c>
      <c r="E367">
        <v>173.84</v>
      </c>
      <c r="F367">
        <v>76.17</v>
      </c>
      <c r="G367">
        <v>72.400000000000006</v>
      </c>
      <c r="H367">
        <v>66.34</v>
      </c>
      <c r="K367" s="9">
        <f t="shared" si="60"/>
        <v>-0.5</v>
      </c>
      <c r="L367">
        <f t="shared" si="61"/>
        <v>-0.84000000000000341</v>
      </c>
      <c r="M367">
        <f t="shared" si="62"/>
        <v>-0.43999999999999773</v>
      </c>
      <c r="N367">
        <f t="shared" si="63"/>
        <v>0.17000000000000171</v>
      </c>
      <c r="O367">
        <f t="shared" si="64"/>
        <v>0.26999999999999602</v>
      </c>
      <c r="P367" s="10">
        <f t="shared" si="65"/>
        <v>0.28000000000000114</v>
      </c>
    </row>
    <row r="368" spans="1:16">
      <c r="A368">
        <v>57.17</v>
      </c>
      <c r="B368" s="42">
        <v>163.44999999999999</v>
      </c>
      <c r="C368">
        <v>163.51</v>
      </c>
      <c r="D368">
        <v>164.06</v>
      </c>
      <c r="E368">
        <v>173.95</v>
      </c>
      <c r="F368">
        <v>76.17</v>
      </c>
      <c r="G368">
        <v>72.45</v>
      </c>
      <c r="H368">
        <v>66.400000000000006</v>
      </c>
      <c r="K368" s="9">
        <f t="shared" si="60"/>
        <v>-0.34000000000000341</v>
      </c>
      <c r="L368">
        <f t="shared" si="61"/>
        <v>-0.5</v>
      </c>
      <c r="M368">
        <f t="shared" si="62"/>
        <v>-0.78000000000000114</v>
      </c>
      <c r="N368">
        <f t="shared" si="63"/>
        <v>0.34000000000000341</v>
      </c>
      <c r="O368">
        <f t="shared" si="64"/>
        <v>0.32999999999999829</v>
      </c>
      <c r="P368" s="10">
        <f t="shared" si="65"/>
        <v>0.32999999999999829</v>
      </c>
    </row>
    <row r="369" spans="1:16">
      <c r="A369">
        <v>57.33</v>
      </c>
      <c r="B369" s="42">
        <v>163.51</v>
      </c>
      <c r="C369">
        <v>163.34</v>
      </c>
      <c r="D369">
        <v>163.72999999999999</v>
      </c>
      <c r="E369">
        <v>173.62</v>
      </c>
      <c r="F369">
        <v>76.28</v>
      </c>
      <c r="G369">
        <v>72.62</v>
      </c>
      <c r="H369">
        <v>66.510000000000005</v>
      </c>
      <c r="K369" s="9">
        <f t="shared" si="60"/>
        <v>0.71999999999999886</v>
      </c>
      <c r="L369">
        <f t="shared" si="61"/>
        <v>0.43999999999999773</v>
      </c>
      <c r="M369">
        <f t="shared" si="62"/>
        <v>-0.67000000000001592</v>
      </c>
      <c r="N369">
        <f t="shared" si="63"/>
        <v>0.39000000000000057</v>
      </c>
      <c r="O369">
        <f t="shared" si="64"/>
        <v>0.39000000000000057</v>
      </c>
      <c r="P369" s="10">
        <f t="shared" si="65"/>
        <v>0.39000000000000057</v>
      </c>
    </row>
    <row r="370" spans="1:16">
      <c r="A370">
        <v>57.5</v>
      </c>
      <c r="B370" s="42">
        <v>163.16999999999999</v>
      </c>
      <c r="C370">
        <v>163.22999999999999</v>
      </c>
      <c r="D370">
        <v>163.56</v>
      </c>
      <c r="E370">
        <v>173.4</v>
      </c>
      <c r="F370">
        <v>76.34</v>
      </c>
      <c r="G370">
        <v>72.67</v>
      </c>
      <c r="H370">
        <v>66.62</v>
      </c>
      <c r="K370" s="9">
        <f t="shared" si="60"/>
        <v>4.3300000000000125</v>
      </c>
      <c r="L370">
        <f t="shared" si="61"/>
        <v>3.6099999999999852</v>
      </c>
      <c r="M370">
        <f t="shared" si="62"/>
        <v>-0.45000000000001705</v>
      </c>
      <c r="N370">
        <f t="shared" si="63"/>
        <v>0.43999999999999773</v>
      </c>
      <c r="O370">
        <f t="shared" si="64"/>
        <v>0.5</v>
      </c>
      <c r="P370" s="10">
        <f t="shared" si="65"/>
        <v>0.39000000000000057</v>
      </c>
    </row>
    <row r="371" spans="1:16">
      <c r="A371">
        <v>57.67</v>
      </c>
      <c r="B371" s="42">
        <v>162.51</v>
      </c>
      <c r="C371">
        <v>163.16999999999999</v>
      </c>
      <c r="D371">
        <v>163.56</v>
      </c>
      <c r="E371">
        <v>173.17</v>
      </c>
      <c r="F371">
        <v>76.510000000000005</v>
      </c>
      <c r="G371">
        <v>72.78</v>
      </c>
      <c r="H371">
        <v>66.73</v>
      </c>
      <c r="K371" s="9">
        <f t="shared" si="60"/>
        <v>4.6100000000000136</v>
      </c>
      <c r="L371">
        <f t="shared" si="61"/>
        <v>4.2199999999999989</v>
      </c>
      <c r="M371">
        <f t="shared" si="62"/>
        <v>-0.21999999999999886</v>
      </c>
      <c r="N371">
        <f t="shared" si="63"/>
        <v>0.5</v>
      </c>
      <c r="O371">
        <f t="shared" si="64"/>
        <v>0.5</v>
      </c>
      <c r="P371" s="10">
        <f t="shared" si="65"/>
        <v>0.5</v>
      </c>
    </row>
    <row r="372" spans="1:16">
      <c r="A372">
        <v>57.83</v>
      </c>
      <c r="B372" s="42">
        <v>162.22999999999999</v>
      </c>
      <c r="C372">
        <v>164.06</v>
      </c>
      <c r="D372">
        <v>164.17</v>
      </c>
      <c r="E372">
        <v>172.95</v>
      </c>
      <c r="F372">
        <v>76.67</v>
      </c>
      <c r="G372">
        <v>73.010000000000005</v>
      </c>
      <c r="H372">
        <v>66.900000000000006</v>
      </c>
      <c r="K372" s="9">
        <f t="shared" si="60"/>
        <v>3.2800000000000011</v>
      </c>
      <c r="L372">
        <f t="shared" si="61"/>
        <v>3.3900000000000148</v>
      </c>
      <c r="M372">
        <f t="shared" si="62"/>
        <v>-4.9999999999982947E-2</v>
      </c>
      <c r="N372">
        <f t="shared" si="63"/>
        <v>0.45000000000000284</v>
      </c>
      <c r="O372">
        <f t="shared" si="64"/>
        <v>0.39000000000000057</v>
      </c>
      <c r="P372" s="10">
        <f t="shared" si="65"/>
        <v>0.37999999999999545</v>
      </c>
    </row>
    <row r="373" spans="1:16">
      <c r="A373">
        <v>58</v>
      </c>
      <c r="B373" s="42">
        <v>162.56</v>
      </c>
      <c r="C373">
        <v>167.56</v>
      </c>
      <c r="D373">
        <v>167.17</v>
      </c>
      <c r="E373">
        <v>172.95</v>
      </c>
      <c r="F373">
        <v>76.78</v>
      </c>
      <c r="G373">
        <v>73.17</v>
      </c>
      <c r="H373">
        <v>67.010000000000005</v>
      </c>
      <c r="K373" s="9">
        <f t="shared" si="60"/>
        <v>-0.55000000000001137</v>
      </c>
      <c r="L373">
        <f t="shared" si="61"/>
        <v>0.23000000000001819</v>
      </c>
      <c r="M373">
        <f t="shared" si="62"/>
        <v>-0.32999999999998408</v>
      </c>
      <c r="N373">
        <f t="shared" si="63"/>
        <v>0.67000000000000171</v>
      </c>
      <c r="O373">
        <f t="shared" si="64"/>
        <v>0.45000000000000284</v>
      </c>
      <c r="P373" s="10">
        <f t="shared" si="65"/>
        <v>0.54999999999999716</v>
      </c>
    </row>
    <row r="374" spans="1:16">
      <c r="A374">
        <v>58.17</v>
      </c>
      <c r="B374" s="42">
        <v>162.62</v>
      </c>
      <c r="C374">
        <v>167.78</v>
      </c>
      <c r="D374">
        <v>167.78</v>
      </c>
      <c r="E374">
        <v>172.95</v>
      </c>
      <c r="F374">
        <v>77.010000000000005</v>
      </c>
      <c r="G374">
        <v>73.28</v>
      </c>
      <c r="H374">
        <v>67.23</v>
      </c>
      <c r="K374" s="9">
        <f t="shared" si="60"/>
        <v>-1.0500000000000114</v>
      </c>
      <c r="L374">
        <f t="shared" si="61"/>
        <v>-0.61000000000001364</v>
      </c>
      <c r="M374">
        <f t="shared" si="62"/>
        <v>-0.66999999999998749</v>
      </c>
      <c r="N374">
        <f t="shared" si="63"/>
        <v>0.5</v>
      </c>
      <c r="O374">
        <f t="shared" si="64"/>
        <v>0.5</v>
      </c>
      <c r="P374" s="10">
        <f t="shared" si="65"/>
        <v>0.43999999999999773</v>
      </c>
    </row>
    <row r="375" spans="1:16">
      <c r="A375">
        <v>58.33</v>
      </c>
      <c r="B375" s="42">
        <v>162.62</v>
      </c>
      <c r="C375">
        <v>167.34</v>
      </c>
      <c r="D375">
        <v>167.56</v>
      </c>
      <c r="E375">
        <v>172.9</v>
      </c>
      <c r="F375">
        <v>77.12</v>
      </c>
      <c r="G375">
        <v>73.400000000000006</v>
      </c>
      <c r="H375">
        <v>67.28</v>
      </c>
      <c r="K375" s="9">
        <f t="shared" si="60"/>
        <v>-1.1100000000000136</v>
      </c>
      <c r="L375">
        <f t="shared" si="61"/>
        <v>-0.71999999999999886</v>
      </c>
      <c r="M375">
        <f t="shared" si="62"/>
        <v>-1.1700000000000159</v>
      </c>
      <c r="N375">
        <f t="shared" si="63"/>
        <v>0.60999999999999943</v>
      </c>
      <c r="O375">
        <f t="shared" si="64"/>
        <v>0.5</v>
      </c>
      <c r="P375" s="10">
        <f t="shared" si="65"/>
        <v>0.5</v>
      </c>
    </row>
    <row r="376" spans="1:16">
      <c r="A376">
        <v>58.5</v>
      </c>
      <c r="B376" s="42">
        <v>162.06</v>
      </c>
      <c r="C376">
        <v>167.01</v>
      </c>
      <c r="D376">
        <v>167.4</v>
      </c>
      <c r="E376">
        <v>172.62</v>
      </c>
      <c r="F376">
        <v>77.45</v>
      </c>
      <c r="G376">
        <v>73.62</v>
      </c>
      <c r="H376">
        <v>67.56</v>
      </c>
      <c r="K376" s="9">
        <f t="shared" si="60"/>
        <v>-1.3400000000000034</v>
      </c>
      <c r="L376">
        <f t="shared" si="61"/>
        <v>-1.1700000000000159</v>
      </c>
      <c r="M376">
        <f t="shared" si="62"/>
        <v>-1.1100000000000136</v>
      </c>
      <c r="N376">
        <f t="shared" si="63"/>
        <v>0.45000000000000284</v>
      </c>
      <c r="O376">
        <f t="shared" si="64"/>
        <v>0.32999999999999829</v>
      </c>
      <c r="P376" s="10">
        <f t="shared" si="65"/>
        <v>0.28000000000000114</v>
      </c>
    </row>
    <row r="377" spans="1:16">
      <c r="A377">
        <v>58.67</v>
      </c>
      <c r="B377" s="42">
        <v>161.51</v>
      </c>
      <c r="C377">
        <v>166.73</v>
      </c>
      <c r="D377">
        <v>167.17</v>
      </c>
      <c r="E377">
        <v>172.28</v>
      </c>
      <c r="F377">
        <v>77.510000000000005</v>
      </c>
      <c r="G377">
        <v>73.78</v>
      </c>
      <c r="H377">
        <v>67.67</v>
      </c>
      <c r="K377" s="9">
        <f t="shared" si="60"/>
        <v>-1.7199999999999989</v>
      </c>
      <c r="L377">
        <f t="shared" si="61"/>
        <v>-1.4399999999999977</v>
      </c>
      <c r="M377">
        <f t="shared" si="62"/>
        <v>-1.0500000000000114</v>
      </c>
      <c r="N377">
        <f t="shared" si="63"/>
        <v>0.54999999999999716</v>
      </c>
      <c r="O377">
        <f t="shared" si="64"/>
        <v>0.34000000000000341</v>
      </c>
      <c r="P377" s="10">
        <f t="shared" si="65"/>
        <v>0.28000000000000114</v>
      </c>
    </row>
    <row r="378" spans="1:16">
      <c r="A378">
        <v>58.83</v>
      </c>
      <c r="B378" s="42">
        <v>160.9</v>
      </c>
      <c r="C378">
        <v>166.23</v>
      </c>
      <c r="D378">
        <v>166.84</v>
      </c>
      <c r="E378">
        <v>171.73</v>
      </c>
      <c r="F378">
        <v>77.73</v>
      </c>
      <c r="G378">
        <v>73.900000000000006</v>
      </c>
      <c r="H378">
        <v>67.78</v>
      </c>
      <c r="K378" s="9">
        <f t="shared" si="60"/>
        <v>-1.6699999999999875</v>
      </c>
      <c r="L378">
        <f t="shared" si="61"/>
        <v>-1.5600000000000023</v>
      </c>
      <c r="M378">
        <f t="shared" si="62"/>
        <v>-0.71999999999999886</v>
      </c>
      <c r="N378">
        <f t="shared" si="63"/>
        <v>0.54999999999999716</v>
      </c>
      <c r="O378">
        <f t="shared" si="64"/>
        <v>0.37999999999999545</v>
      </c>
      <c r="P378" s="10">
        <f t="shared" si="65"/>
        <v>0.34000000000000341</v>
      </c>
    </row>
    <row r="379" spans="1:16">
      <c r="A379">
        <v>59</v>
      </c>
      <c r="B379" s="42">
        <v>160.78</v>
      </c>
      <c r="C379">
        <v>165.67</v>
      </c>
      <c r="D379">
        <v>166.23</v>
      </c>
      <c r="E379">
        <v>171.51</v>
      </c>
      <c r="F379">
        <v>77.900000000000006</v>
      </c>
      <c r="G379">
        <v>73.95</v>
      </c>
      <c r="H379">
        <v>67.84</v>
      </c>
      <c r="K379" s="9">
        <f t="shared" si="60"/>
        <v>-1.4399999999999977</v>
      </c>
      <c r="L379">
        <f t="shared" si="61"/>
        <v>-1.3899999999999864</v>
      </c>
      <c r="M379">
        <f t="shared" si="62"/>
        <v>-0.66999999999998749</v>
      </c>
      <c r="N379">
        <f t="shared" si="63"/>
        <v>0.65999999999999659</v>
      </c>
      <c r="O379">
        <f t="shared" si="64"/>
        <v>0.5</v>
      </c>
      <c r="P379" s="10">
        <f t="shared" si="65"/>
        <v>0.39000000000000057</v>
      </c>
    </row>
    <row r="380" spans="1:16">
      <c r="A380">
        <v>59.17</v>
      </c>
      <c r="B380" s="42">
        <v>160.28</v>
      </c>
      <c r="C380">
        <v>165.01</v>
      </c>
      <c r="D380">
        <v>165.73</v>
      </c>
      <c r="E380">
        <v>171.23</v>
      </c>
      <c r="F380">
        <v>78.06</v>
      </c>
      <c r="G380">
        <v>74.12</v>
      </c>
      <c r="H380">
        <v>67.95</v>
      </c>
      <c r="K380" s="9">
        <f t="shared" si="60"/>
        <v>-0.94999999999998863</v>
      </c>
      <c r="L380">
        <f t="shared" si="61"/>
        <v>-1.2800000000000011</v>
      </c>
      <c r="M380">
        <f t="shared" si="62"/>
        <v>-0.21999999999999886</v>
      </c>
      <c r="N380">
        <f t="shared" si="63"/>
        <v>0.71999999999999886</v>
      </c>
      <c r="O380">
        <f t="shared" si="64"/>
        <v>0.5</v>
      </c>
      <c r="P380" s="10">
        <f t="shared" si="65"/>
        <v>0.45000000000000284</v>
      </c>
    </row>
    <row r="381" spans="1:16">
      <c r="A381">
        <v>59.33</v>
      </c>
      <c r="B381" s="42">
        <v>160.12</v>
      </c>
      <c r="C381">
        <v>164.56</v>
      </c>
      <c r="D381">
        <v>165.28</v>
      </c>
      <c r="E381">
        <v>171.01</v>
      </c>
      <c r="F381">
        <v>78.28</v>
      </c>
      <c r="G381">
        <v>74.28</v>
      </c>
      <c r="H381">
        <v>68.12</v>
      </c>
      <c r="K381" s="9">
        <f t="shared" si="60"/>
        <v>-1</v>
      </c>
      <c r="L381">
        <f t="shared" si="61"/>
        <v>-1.3300000000000125</v>
      </c>
      <c r="M381">
        <f t="shared" si="62"/>
        <v>1.0500000000000114</v>
      </c>
      <c r="N381">
        <f t="shared" si="63"/>
        <v>0.67000000000000171</v>
      </c>
      <c r="O381">
        <f t="shared" si="64"/>
        <v>0.39000000000000057</v>
      </c>
      <c r="P381" s="10">
        <f t="shared" si="65"/>
        <v>0.39000000000000057</v>
      </c>
    </row>
    <row r="382" spans="1:16">
      <c r="A382">
        <v>59.5</v>
      </c>
      <c r="B382" s="42">
        <v>160.34</v>
      </c>
      <c r="C382">
        <v>164.23</v>
      </c>
      <c r="D382">
        <v>164.84</v>
      </c>
      <c r="E382">
        <v>170.84</v>
      </c>
      <c r="F382">
        <v>78.56</v>
      </c>
      <c r="G382">
        <v>74.45</v>
      </c>
      <c r="H382">
        <v>68.23</v>
      </c>
      <c r="K382" s="9">
        <f t="shared" si="60"/>
        <v>-0.82999999999998408</v>
      </c>
      <c r="L382">
        <f t="shared" si="61"/>
        <v>-1.1100000000000136</v>
      </c>
      <c r="M382">
        <f t="shared" si="62"/>
        <v>1.1099999999999852</v>
      </c>
      <c r="N382">
        <f t="shared" si="63"/>
        <v>0.60999999999999943</v>
      </c>
      <c r="O382">
        <f t="shared" si="64"/>
        <v>0.39000000000000057</v>
      </c>
      <c r="P382" s="10">
        <f t="shared" si="65"/>
        <v>0.39000000000000057</v>
      </c>
    </row>
    <row r="383" spans="1:16">
      <c r="A383">
        <v>59.67</v>
      </c>
      <c r="B383" s="42">
        <v>160.84</v>
      </c>
      <c r="C383">
        <v>164.06</v>
      </c>
      <c r="D383">
        <v>164.45</v>
      </c>
      <c r="E383">
        <v>171.01</v>
      </c>
      <c r="F383">
        <v>78.78</v>
      </c>
      <c r="G383">
        <v>74.62</v>
      </c>
      <c r="H383">
        <v>68.400000000000006</v>
      </c>
      <c r="K383" s="9">
        <f t="shared" si="60"/>
        <v>-1.0500000000000114</v>
      </c>
      <c r="L383">
        <f t="shared" si="61"/>
        <v>-1</v>
      </c>
      <c r="M383">
        <f t="shared" si="62"/>
        <v>0.43999999999999773</v>
      </c>
      <c r="N383">
        <f t="shared" si="63"/>
        <v>0.56000000000000227</v>
      </c>
      <c r="O383">
        <f t="shared" si="64"/>
        <v>0.39000000000000057</v>
      </c>
      <c r="P383" s="10">
        <f t="shared" si="65"/>
        <v>0.32999999999999829</v>
      </c>
    </row>
    <row r="384" spans="1:16">
      <c r="A384">
        <v>59.83</v>
      </c>
      <c r="B384" s="42">
        <v>160.84</v>
      </c>
      <c r="C384">
        <v>163.56</v>
      </c>
      <c r="D384">
        <v>163.95</v>
      </c>
      <c r="E384">
        <v>172.06</v>
      </c>
      <c r="F384">
        <v>78.95</v>
      </c>
      <c r="G384">
        <v>74.67</v>
      </c>
      <c r="H384">
        <v>68.510000000000005</v>
      </c>
      <c r="K384" s="9">
        <f t="shared" si="60"/>
        <v>-0.93999999999999773</v>
      </c>
      <c r="L384">
        <f t="shared" si="61"/>
        <v>-0.88999999999998636</v>
      </c>
      <c r="M384">
        <f t="shared" si="62"/>
        <v>-0.78000000000000114</v>
      </c>
      <c r="N384">
        <f t="shared" si="63"/>
        <v>0.45000000000000284</v>
      </c>
      <c r="O384">
        <f t="shared" si="64"/>
        <v>0.39000000000000057</v>
      </c>
      <c r="P384" s="10">
        <f t="shared" si="65"/>
        <v>0.32999999999999829</v>
      </c>
    </row>
    <row r="385" spans="1:16">
      <c r="A385">
        <v>60</v>
      </c>
      <c r="B385" s="42">
        <v>160.62</v>
      </c>
      <c r="C385">
        <v>163.4</v>
      </c>
      <c r="D385">
        <v>163.72999999999999</v>
      </c>
      <c r="E385">
        <v>171.95</v>
      </c>
      <c r="F385">
        <v>79.17</v>
      </c>
      <c r="G385">
        <v>74.84</v>
      </c>
      <c r="H385">
        <v>68.62</v>
      </c>
      <c r="K385" s="9">
        <f t="shared" si="60"/>
        <v>-1.3900000000000148</v>
      </c>
      <c r="L385">
        <f t="shared" si="61"/>
        <v>-1.1699999999999875</v>
      </c>
      <c r="M385">
        <f t="shared" si="62"/>
        <v>-0.93999999999999773</v>
      </c>
      <c r="N385">
        <f t="shared" si="63"/>
        <v>0.5</v>
      </c>
      <c r="O385">
        <f t="shared" si="64"/>
        <v>0.39000000000000057</v>
      </c>
      <c r="P385" s="10">
        <f t="shared" si="65"/>
        <v>0.39000000000000057</v>
      </c>
    </row>
    <row r="386" spans="1:16">
      <c r="A386">
        <v>60.17</v>
      </c>
      <c r="B386" s="42">
        <v>160.22999999999999</v>
      </c>
      <c r="C386">
        <v>163.01</v>
      </c>
      <c r="D386">
        <v>163.44999999999999</v>
      </c>
      <c r="E386">
        <v>171.45</v>
      </c>
      <c r="F386">
        <v>79.34</v>
      </c>
      <c r="G386">
        <v>75.010000000000005</v>
      </c>
      <c r="H386">
        <v>68.73</v>
      </c>
      <c r="K386" s="9">
        <f t="shared" si="60"/>
        <v>-1.4499999999999886</v>
      </c>
      <c r="L386">
        <f t="shared" si="61"/>
        <v>-1.3299999999999841</v>
      </c>
      <c r="M386">
        <f t="shared" si="62"/>
        <v>-0.78000000000000114</v>
      </c>
      <c r="N386">
        <f t="shared" si="63"/>
        <v>0.56000000000000227</v>
      </c>
      <c r="O386">
        <f t="shared" si="64"/>
        <v>0.43999999999999773</v>
      </c>
      <c r="P386" s="10">
        <f t="shared" si="65"/>
        <v>0.43999999999999773</v>
      </c>
    </row>
    <row r="387" spans="1:16">
      <c r="A387">
        <v>60.33</v>
      </c>
      <c r="B387" s="42">
        <v>159.44999999999999</v>
      </c>
      <c r="C387">
        <v>162.62</v>
      </c>
      <c r="D387">
        <v>163.06</v>
      </c>
      <c r="E387">
        <v>171.28</v>
      </c>
      <c r="F387">
        <v>79.400000000000006</v>
      </c>
      <c r="G387">
        <v>75.06</v>
      </c>
      <c r="H387">
        <v>68.84</v>
      </c>
      <c r="K387" s="9">
        <f t="shared" si="60"/>
        <v>-1.5600000000000023</v>
      </c>
      <c r="L387">
        <f t="shared" si="61"/>
        <v>-1.4399999999999977</v>
      </c>
      <c r="M387">
        <f t="shared" si="62"/>
        <v>-0.87999999999999545</v>
      </c>
      <c r="N387">
        <f t="shared" si="63"/>
        <v>0.65999999999999659</v>
      </c>
      <c r="O387">
        <f t="shared" si="64"/>
        <v>0.5</v>
      </c>
      <c r="P387" s="10">
        <f t="shared" si="65"/>
        <v>0.39000000000000057</v>
      </c>
    </row>
    <row r="388" spans="1:16">
      <c r="A388">
        <v>60.5</v>
      </c>
      <c r="B388" s="42">
        <v>158.78</v>
      </c>
      <c r="C388">
        <v>162.01</v>
      </c>
      <c r="D388">
        <v>162.56</v>
      </c>
      <c r="E388">
        <v>171.01</v>
      </c>
      <c r="F388">
        <v>79.67</v>
      </c>
      <c r="G388">
        <v>75.23</v>
      </c>
      <c r="H388">
        <v>69.010000000000005</v>
      </c>
      <c r="K388" s="9">
        <f t="shared" si="60"/>
        <v>-1.3899999999999864</v>
      </c>
      <c r="L388">
        <f t="shared" si="61"/>
        <v>-1.2800000000000011</v>
      </c>
      <c r="M388">
        <f t="shared" si="62"/>
        <v>-1</v>
      </c>
      <c r="N388">
        <f t="shared" si="63"/>
        <v>0.45000000000000284</v>
      </c>
      <c r="O388">
        <f t="shared" si="64"/>
        <v>0.39000000000000057</v>
      </c>
      <c r="P388" s="10">
        <f t="shared" si="65"/>
        <v>0.32999999999999829</v>
      </c>
    </row>
    <row r="389" spans="1:16">
      <c r="A389">
        <v>60.67</v>
      </c>
      <c r="B389" s="42">
        <v>158.22999999999999</v>
      </c>
      <c r="C389">
        <v>161.56</v>
      </c>
      <c r="D389">
        <v>162.12</v>
      </c>
      <c r="E389">
        <v>170.67</v>
      </c>
      <c r="F389">
        <v>79.900000000000006</v>
      </c>
      <c r="G389">
        <v>75.45</v>
      </c>
      <c r="H389">
        <v>69.17</v>
      </c>
      <c r="K389" s="9">
        <f t="shared" si="60"/>
        <v>-1.6100000000000136</v>
      </c>
      <c r="L389">
        <f t="shared" si="61"/>
        <v>-1.4500000000000171</v>
      </c>
      <c r="M389">
        <f t="shared" si="62"/>
        <v>-0.93999999999999773</v>
      </c>
      <c r="N389">
        <f t="shared" si="63"/>
        <v>0.43999999999999773</v>
      </c>
      <c r="O389">
        <f t="shared" si="64"/>
        <v>0.45000000000000284</v>
      </c>
      <c r="P389" s="10">
        <f t="shared" si="65"/>
        <v>0.28000000000000114</v>
      </c>
    </row>
    <row r="390" spans="1:16">
      <c r="A390">
        <v>60.83</v>
      </c>
      <c r="B390" s="42">
        <v>157.66999999999999</v>
      </c>
      <c r="C390">
        <v>161.06</v>
      </c>
      <c r="D390">
        <v>161.62</v>
      </c>
      <c r="E390">
        <v>170.4</v>
      </c>
      <c r="F390">
        <v>80.06</v>
      </c>
      <c r="G390">
        <v>75.56</v>
      </c>
      <c r="H390">
        <v>69.23</v>
      </c>
      <c r="K390" s="9">
        <f t="shared" si="60"/>
        <v>-1.9399999999999977</v>
      </c>
      <c r="L390">
        <f t="shared" si="61"/>
        <v>-1.5</v>
      </c>
      <c r="M390">
        <f t="shared" si="62"/>
        <v>-0.73000000000001819</v>
      </c>
      <c r="N390">
        <f t="shared" si="63"/>
        <v>0.39000000000000057</v>
      </c>
      <c r="O390">
        <f t="shared" si="64"/>
        <v>0.5</v>
      </c>
      <c r="P390" s="10">
        <f t="shared" si="65"/>
        <v>0.32999999999999829</v>
      </c>
    </row>
    <row r="391" spans="1:16">
      <c r="A391">
        <v>61</v>
      </c>
      <c r="B391" s="42">
        <v>159.51</v>
      </c>
      <c r="C391">
        <v>160.62</v>
      </c>
      <c r="D391">
        <v>161.28</v>
      </c>
      <c r="E391">
        <v>170.01</v>
      </c>
      <c r="F391">
        <v>80.12</v>
      </c>
      <c r="G391">
        <v>75.62</v>
      </c>
      <c r="H391">
        <v>69.34</v>
      </c>
      <c r="K391" s="9">
        <f t="shared" si="60"/>
        <v>-2.2800000000000011</v>
      </c>
      <c r="L391">
        <f t="shared" si="61"/>
        <v>-1.7700000000000102</v>
      </c>
      <c r="M391">
        <f t="shared" si="62"/>
        <v>-0.16999999999998749</v>
      </c>
      <c r="N391">
        <f t="shared" si="63"/>
        <v>0.54999999999999716</v>
      </c>
      <c r="O391">
        <f t="shared" si="64"/>
        <v>0.60999999999999943</v>
      </c>
      <c r="P391" s="10">
        <f t="shared" si="65"/>
        <v>0.39000000000000057</v>
      </c>
    </row>
    <row r="392" spans="1:16">
      <c r="A392">
        <v>61.17</v>
      </c>
      <c r="B392" s="42">
        <v>161.22999999999999</v>
      </c>
      <c r="C392">
        <v>159.94999999999999</v>
      </c>
      <c r="D392">
        <v>160.66999999999999</v>
      </c>
      <c r="E392">
        <v>169.73</v>
      </c>
      <c r="F392">
        <v>80.34</v>
      </c>
      <c r="G392">
        <v>75.900000000000006</v>
      </c>
      <c r="H392">
        <v>69.45</v>
      </c>
      <c r="K392" s="9">
        <f t="shared" si="60"/>
        <v>-1.7800000000000011</v>
      </c>
      <c r="L392">
        <f t="shared" si="61"/>
        <v>-1.5499999999999829</v>
      </c>
      <c r="M392">
        <f t="shared" si="62"/>
        <v>0.28000000000000114</v>
      </c>
      <c r="N392">
        <f t="shared" si="63"/>
        <v>0.43999999999999773</v>
      </c>
      <c r="O392">
        <f t="shared" si="64"/>
        <v>0.43999999999999773</v>
      </c>
      <c r="P392" s="10">
        <f t="shared" si="65"/>
        <v>0.32999999999999829</v>
      </c>
    </row>
    <row r="393" spans="1:16">
      <c r="A393">
        <v>61.33</v>
      </c>
      <c r="B393" s="42">
        <v>162.4</v>
      </c>
      <c r="C393">
        <v>159.12</v>
      </c>
      <c r="D393">
        <v>160.12</v>
      </c>
      <c r="E393">
        <v>169.67</v>
      </c>
      <c r="F393">
        <v>80.45</v>
      </c>
      <c r="G393">
        <v>76.06</v>
      </c>
      <c r="H393">
        <v>69.56</v>
      </c>
      <c r="K393" s="9">
        <f t="shared" si="60"/>
        <v>-0.11000000000001364</v>
      </c>
      <c r="L393">
        <f t="shared" si="61"/>
        <v>-0.34000000000000341</v>
      </c>
      <c r="M393">
        <f t="shared" si="62"/>
        <v>0.89000000000001478</v>
      </c>
      <c r="N393">
        <f t="shared" si="63"/>
        <v>0.56000000000000227</v>
      </c>
      <c r="O393">
        <f t="shared" si="64"/>
        <v>0.45000000000000284</v>
      </c>
      <c r="P393" s="10">
        <f t="shared" si="65"/>
        <v>0.34000000000000341</v>
      </c>
    </row>
    <row r="394" spans="1:16">
      <c r="A394">
        <v>61.5</v>
      </c>
      <c r="B394" s="42">
        <v>164.34</v>
      </c>
      <c r="C394">
        <v>158.34</v>
      </c>
      <c r="D394">
        <v>159.51</v>
      </c>
      <c r="E394">
        <v>169.84</v>
      </c>
      <c r="F394">
        <v>80.67</v>
      </c>
      <c r="G394">
        <v>76.23</v>
      </c>
      <c r="H394">
        <v>69.73</v>
      </c>
      <c r="K394" s="9">
        <f t="shared" si="60"/>
        <v>1.4399999999999977</v>
      </c>
      <c r="L394">
        <f t="shared" si="61"/>
        <v>1.1599999999999966</v>
      </c>
      <c r="M394">
        <f t="shared" si="62"/>
        <v>1.8299999999999841</v>
      </c>
      <c r="N394">
        <f t="shared" si="63"/>
        <v>0.5</v>
      </c>
      <c r="O394">
        <f t="shared" si="64"/>
        <v>0.39000000000000057</v>
      </c>
      <c r="P394" s="10">
        <f t="shared" si="65"/>
        <v>0.28000000000000114</v>
      </c>
    </row>
    <row r="395" spans="1:16">
      <c r="A395">
        <v>61.67</v>
      </c>
      <c r="B395" s="42">
        <v>165.51</v>
      </c>
      <c r="C395">
        <v>158.16999999999999</v>
      </c>
      <c r="D395">
        <v>159.12</v>
      </c>
      <c r="E395">
        <v>170.01</v>
      </c>
      <c r="F395">
        <v>80.78</v>
      </c>
      <c r="G395">
        <v>76.34</v>
      </c>
      <c r="H395">
        <v>69.78</v>
      </c>
      <c r="K395" s="9">
        <f t="shared" si="60"/>
        <v>3.2300000000000182</v>
      </c>
      <c r="L395">
        <f t="shared" si="61"/>
        <v>3</v>
      </c>
      <c r="M395">
        <f t="shared" si="62"/>
        <v>2.9399999999999977</v>
      </c>
      <c r="N395">
        <f t="shared" si="63"/>
        <v>0.56000000000000227</v>
      </c>
      <c r="O395">
        <f t="shared" si="64"/>
        <v>0.5</v>
      </c>
      <c r="P395" s="10">
        <f t="shared" si="65"/>
        <v>0.45000000000000284</v>
      </c>
    </row>
    <row r="396" spans="1:16">
      <c r="A396">
        <v>61.83</v>
      </c>
      <c r="B396" s="42">
        <v>167.01</v>
      </c>
      <c r="C396">
        <v>159.01</v>
      </c>
      <c r="D396">
        <v>159.78</v>
      </c>
      <c r="E396">
        <v>170.56</v>
      </c>
      <c r="F396">
        <v>81.010000000000005</v>
      </c>
      <c r="G396">
        <v>76.510000000000005</v>
      </c>
      <c r="H396">
        <v>69.900000000000006</v>
      </c>
      <c r="K396" s="9">
        <f t="shared" si="60"/>
        <v>4.3300000000000125</v>
      </c>
      <c r="L396">
        <f t="shared" si="61"/>
        <v>4.3899999999999864</v>
      </c>
      <c r="M396">
        <f t="shared" si="62"/>
        <v>3.6699999999999875</v>
      </c>
      <c r="N396">
        <f t="shared" si="63"/>
        <v>0.60999999999999943</v>
      </c>
      <c r="O396">
        <f t="shared" si="64"/>
        <v>0.43999999999999773</v>
      </c>
      <c r="P396" s="10">
        <f t="shared" si="65"/>
        <v>0.5</v>
      </c>
    </row>
    <row r="397" spans="1:16">
      <c r="A397">
        <v>62</v>
      </c>
      <c r="B397" s="42">
        <v>168.67</v>
      </c>
      <c r="C397">
        <v>159.78</v>
      </c>
      <c r="D397">
        <v>160.66999999999999</v>
      </c>
      <c r="E397">
        <v>171.67</v>
      </c>
      <c r="F397">
        <v>81.17</v>
      </c>
      <c r="G397">
        <v>76.62</v>
      </c>
      <c r="H397">
        <v>70.010000000000005</v>
      </c>
      <c r="K397" s="9">
        <f t="shared" si="60"/>
        <v>4.8899999999999864</v>
      </c>
      <c r="L397">
        <f t="shared" si="61"/>
        <v>4.8400000000000034</v>
      </c>
      <c r="M397">
        <f t="shared" si="62"/>
        <v>3.9500000000000171</v>
      </c>
      <c r="N397">
        <f t="shared" si="63"/>
        <v>0.60999999999999943</v>
      </c>
      <c r="O397">
        <f t="shared" si="64"/>
        <v>0.5</v>
      </c>
      <c r="P397" s="10">
        <f t="shared" si="65"/>
        <v>0.5</v>
      </c>
    </row>
    <row r="398" spans="1:16">
      <c r="A398">
        <v>62.17</v>
      </c>
      <c r="B398" s="42">
        <v>170.45</v>
      </c>
      <c r="C398">
        <v>161.4</v>
      </c>
      <c r="D398">
        <v>162.12</v>
      </c>
      <c r="E398">
        <v>172.95</v>
      </c>
      <c r="F398">
        <v>81.34</v>
      </c>
      <c r="G398">
        <v>76.84</v>
      </c>
      <c r="H398">
        <v>70.23</v>
      </c>
      <c r="K398" s="9">
        <f t="shared" si="60"/>
        <v>4.8299999999999841</v>
      </c>
      <c r="L398">
        <f t="shared" si="61"/>
        <v>4.7800000000000011</v>
      </c>
      <c r="M398">
        <f t="shared" si="62"/>
        <v>4</v>
      </c>
      <c r="N398">
        <f t="shared" si="63"/>
        <v>0.71999999999999886</v>
      </c>
      <c r="O398">
        <f t="shared" si="64"/>
        <v>0.43999999999999773</v>
      </c>
      <c r="P398" s="10">
        <f t="shared" si="65"/>
        <v>0.43999999999999773</v>
      </c>
    </row>
    <row r="399" spans="1:16">
      <c r="A399">
        <v>62.33</v>
      </c>
      <c r="B399" s="42">
        <v>172.01</v>
      </c>
      <c r="C399">
        <v>163.34</v>
      </c>
      <c r="D399">
        <v>164.17</v>
      </c>
      <c r="E399">
        <v>174.23</v>
      </c>
      <c r="F399">
        <v>81.62</v>
      </c>
      <c r="G399">
        <v>76.95</v>
      </c>
      <c r="H399">
        <v>70.400000000000006</v>
      </c>
      <c r="K399" s="9">
        <f t="shared" si="60"/>
        <v>4.1699999999999875</v>
      </c>
      <c r="L399">
        <f t="shared" si="61"/>
        <v>3.8900000000000148</v>
      </c>
      <c r="M399">
        <f t="shared" si="62"/>
        <v>3.8900000000000148</v>
      </c>
      <c r="N399">
        <f t="shared" si="63"/>
        <v>0.54999999999999716</v>
      </c>
      <c r="O399">
        <f t="shared" si="64"/>
        <v>0.39000000000000057</v>
      </c>
      <c r="P399" s="10">
        <f t="shared" si="65"/>
        <v>0.32999999999999829</v>
      </c>
    </row>
    <row r="400" spans="1:16">
      <c r="A400">
        <v>62.5</v>
      </c>
      <c r="B400" s="42">
        <v>172.73</v>
      </c>
      <c r="C400">
        <v>164.67</v>
      </c>
      <c r="D400">
        <v>165.51</v>
      </c>
      <c r="E400">
        <v>175.62</v>
      </c>
      <c r="F400">
        <v>81.78</v>
      </c>
      <c r="G400">
        <v>77.12</v>
      </c>
      <c r="H400">
        <v>70.510000000000005</v>
      </c>
      <c r="K400" s="9">
        <f t="shared" si="60"/>
        <v>4</v>
      </c>
      <c r="L400">
        <f t="shared" si="61"/>
        <v>3.6599999999999966</v>
      </c>
      <c r="M400">
        <f t="shared" si="62"/>
        <v>3.8299999999999841</v>
      </c>
      <c r="N400">
        <f t="shared" si="63"/>
        <v>0.56000000000000227</v>
      </c>
      <c r="O400">
        <f t="shared" si="64"/>
        <v>0.32999999999999829</v>
      </c>
      <c r="P400" s="10">
        <f t="shared" si="65"/>
        <v>0.39000000000000057</v>
      </c>
    </row>
    <row r="401" spans="1:16">
      <c r="A401">
        <v>62.67</v>
      </c>
      <c r="B401" s="42">
        <v>173.23</v>
      </c>
      <c r="C401">
        <v>166.23</v>
      </c>
      <c r="D401">
        <v>166.9</v>
      </c>
      <c r="E401">
        <v>176.95</v>
      </c>
      <c r="F401">
        <v>82.06</v>
      </c>
      <c r="G401">
        <v>77.28</v>
      </c>
      <c r="H401">
        <v>70.67</v>
      </c>
      <c r="K401" s="9">
        <f t="shared" si="60"/>
        <v>3.2800000000000011</v>
      </c>
      <c r="L401">
        <f t="shared" si="61"/>
        <v>3.2199999999999989</v>
      </c>
      <c r="M401">
        <f t="shared" si="62"/>
        <v>4.0600000000000023</v>
      </c>
      <c r="N401">
        <f t="shared" si="63"/>
        <v>0.56000000000000227</v>
      </c>
      <c r="O401">
        <f t="shared" si="64"/>
        <v>0.28000000000000114</v>
      </c>
      <c r="P401" s="10">
        <f t="shared" si="65"/>
        <v>0.34000000000000341</v>
      </c>
    </row>
    <row r="402" spans="1:16">
      <c r="A402">
        <v>62.83</v>
      </c>
      <c r="B402" s="42">
        <v>173.73</v>
      </c>
      <c r="C402">
        <v>167.51</v>
      </c>
      <c r="D402">
        <v>168.06</v>
      </c>
      <c r="E402">
        <v>178.12</v>
      </c>
      <c r="F402">
        <v>82.17</v>
      </c>
      <c r="G402">
        <v>77.34</v>
      </c>
      <c r="H402">
        <v>70.73</v>
      </c>
      <c r="K402" s="9">
        <f t="shared" si="60"/>
        <v>2.9399999999999977</v>
      </c>
      <c r="L402">
        <f t="shared" si="61"/>
        <v>3</v>
      </c>
      <c r="M402">
        <f t="shared" si="62"/>
        <v>4.2199999999999989</v>
      </c>
      <c r="N402">
        <f t="shared" si="63"/>
        <v>0.56000000000000227</v>
      </c>
      <c r="O402">
        <f t="shared" si="64"/>
        <v>0.39000000000000057</v>
      </c>
      <c r="P402" s="10">
        <f t="shared" si="65"/>
        <v>0.39000000000000057</v>
      </c>
    </row>
    <row r="403" spans="1:16">
      <c r="A403">
        <v>63</v>
      </c>
      <c r="B403" s="42">
        <v>173.95</v>
      </c>
      <c r="C403">
        <v>168.67</v>
      </c>
      <c r="D403">
        <v>169.17</v>
      </c>
      <c r="E403">
        <v>179.45</v>
      </c>
      <c r="F403">
        <v>82.34</v>
      </c>
      <c r="G403">
        <v>77.45</v>
      </c>
      <c r="H403">
        <v>70.900000000000006</v>
      </c>
      <c r="K403" s="9">
        <f t="shared" si="60"/>
        <v>2.5600000000000023</v>
      </c>
      <c r="L403">
        <f t="shared" si="61"/>
        <v>2.4500000000000171</v>
      </c>
      <c r="M403">
        <f t="shared" si="62"/>
        <v>3.7199999999999989</v>
      </c>
      <c r="N403">
        <f t="shared" si="63"/>
        <v>0.60999999999999943</v>
      </c>
      <c r="O403">
        <f t="shared" si="64"/>
        <v>0.39000000000000057</v>
      </c>
      <c r="P403" s="10">
        <f t="shared" si="65"/>
        <v>0.37999999999999545</v>
      </c>
    </row>
    <row r="404" spans="1:16">
      <c r="A404">
        <v>63.17</v>
      </c>
      <c r="B404" s="42">
        <v>173.9</v>
      </c>
      <c r="C404">
        <v>169.51</v>
      </c>
      <c r="D404">
        <v>170.12</v>
      </c>
      <c r="E404">
        <v>181.01</v>
      </c>
      <c r="F404">
        <v>82.62</v>
      </c>
      <c r="G404">
        <v>77.56</v>
      </c>
      <c r="H404">
        <v>71.010000000000005</v>
      </c>
      <c r="K404" s="9">
        <f t="shared" si="60"/>
        <v>2.3300000000000125</v>
      </c>
      <c r="L404">
        <f t="shared" si="61"/>
        <v>2</v>
      </c>
      <c r="M404">
        <f t="shared" si="62"/>
        <v>2.7199999999999989</v>
      </c>
      <c r="N404">
        <f t="shared" si="63"/>
        <v>0.5</v>
      </c>
      <c r="O404">
        <f t="shared" si="64"/>
        <v>0.39000000000000057</v>
      </c>
      <c r="P404" s="10">
        <f t="shared" si="65"/>
        <v>0.32999999999999829</v>
      </c>
    </row>
    <row r="405" spans="1:16">
      <c r="A405">
        <v>63.33</v>
      </c>
      <c r="B405" s="42">
        <v>173.56</v>
      </c>
      <c r="C405">
        <v>170.45</v>
      </c>
      <c r="D405">
        <v>171.06</v>
      </c>
      <c r="E405">
        <v>182.34</v>
      </c>
      <c r="F405">
        <v>82.73</v>
      </c>
      <c r="G405">
        <v>77.73</v>
      </c>
      <c r="H405">
        <v>71.12</v>
      </c>
      <c r="K405" s="9">
        <f t="shared" si="60"/>
        <v>1.6700000000000159</v>
      </c>
      <c r="L405">
        <f t="shared" si="61"/>
        <v>1.2800000000000011</v>
      </c>
      <c r="M405">
        <f t="shared" si="62"/>
        <v>2</v>
      </c>
      <c r="N405">
        <f t="shared" si="63"/>
        <v>0.54999999999999716</v>
      </c>
      <c r="O405">
        <f t="shared" si="64"/>
        <v>0.32999999999999829</v>
      </c>
      <c r="P405" s="10">
        <f t="shared" si="65"/>
        <v>0.39000000000000057</v>
      </c>
    </row>
    <row r="406" spans="1:16">
      <c r="A406">
        <v>63.5</v>
      </c>
      <c r="B406" s="42">
        <v>172.95</v>
      </c>
      <c r="C406">
        <v>171.23</v>
      </c>
      <c r="D406">
        <v>171.62</v>
      </c>
      <c r="E406">
        <v>183.17</v>
      </c>
      <c r="F406">
        <v>82.95</v>
      </c>
      <c r="G406">
        <v>77.84</v>
      </c>
      <c r="H406">
        <v>71.28</v>
      </c>
      <c r="K406" s="9">
        <f t="shared" si="60"/>
        <v>1.1100000000000136</v>
      </c>
      <c r="L406">
        <f t="shared" si="61"/>
        <v>1</v>
      </c>
      <c r="M406">
        <f t="shared" si="62"/>
        <v>1.6100000000000136</v>
      </c>
      <c r="N406">
        <f t="shared" si="63"/>
        <v>0.5</v>
      </c>
      <c r="O406">
        <f t="shared" si="64"/>
        <v>0.28000000000000114</v>
      </c>
      <c r="P406" s="10">
        <f t="shared" si="65"/>
        <v>0.28000000000000114</v>
      </c>
    </row>
    <row r="407" spans="1:16">
      <c r="A407">
        <v>63.67</v>
      </c>
      <c r="B407" s="42">
        <v>172.17</v>
      </c>
      <c r="C407">
        <v>171.84</v>
      </c>
      <c r="D407">
        <v>172.12</v>
      </c>
      <c r="E407">
        <v>183.73</v>
      </c>
      <c r="F407">
        <v>83.12</v>
      </c>
      <c r="G407">
        <v>77.95</v>
      </c>
      <c r="H407">
        <v>71.34</v>
      </c>
      <c r="K407" s="9">
        <f t="shared" si="60"/>
        <v>0.78000000000000114</v>
      </c>
      <c r="L407">
        <f t="shared" si="61"/>
        <v>0.65999999999999659</v>
      </c>
      <c r="M407">
        <f t="shared" si="62"/>
        <v>1.7199999999999989</v>
      </c>
      <c r="N407">
        <f t="shared" si="63"/>
        <v>0.5</v>
      </c>
      <c r="O407">
        <f t="shared" si="64"/>
        <v>0.32999999999999829</v>
      </c>
      <c r="P407" s="10">
        <f t="shared" si="65"/>
        <v>0.32999999999999829</v>
      </c>
    </row>
    <row r="408" spans="1:16">
      <c r="A408">
        <v>63.83</v>
      </c>
      <c r="B408" s="42">
        <v>171.01</v>
      </c>
      <c r="C408">
        <v>172.12</v>
      </c>
      <c r="D408">
        <v>172.34</v>
      </c>
      <c r="E408">
        <v>184.34</v>
      </c>
      <c r="F408">
        <v>83.28</v>
      </c>
      <c r="G408">
        <v>78.06</v>
      </c>
      <c r="H408">
        <v>71.510000000000005</v>
      </c>
      <c r="K408" s="9">
        <f t="shared" si="60"/>
        <v>1.1099999999999852</v>
      </c>
      <c r="L408">
        <f t="shared" si="61"/>
        <v>0.93999999999999773</v>
      </c>
      <c r="M408">
        <f t="shared" si="62"/>
        <v>1.7199999999999989</v>
      </c>
      <c r="N408">
        <f t="shared" si="63"/>
        <v>0.62000000000000455</v>
      </c>
      <c r="O408">
        <f t="shared" si="64"/>
        <v>0.5</v>
      </c>
      <c r="P408" s="10">
        <f t="shared" si="65"/>
        <v>0.32999999999999829</v>
      </c>
    </row>
    <row r="409" spans="1:16">
      <c r="A409">
        <v>64</v>
      </c>
      <c r="B409" s="42">
        <v>170.51</v>
      </c>
      <c r="C409">
        <v>172.34</v>
      </c>
      <c r="D409">
        <v>172.62</v>
      </c>
      <c r="E409">
        <v>184.78</v>
      </c>
      <c r="F409">
        <v>83.45</v>
      </c>
      <c r="G409">
        <v>78.12</v>
      </c>
      <c r="H409">
        <v>71.56</v>
      </c>
      <c r="K409" s="9">
        <f t="shared" ref="K409:K472" si="66">C412-C409</f>
        <v>2.1099999999999852</v>
      </c>
      <c r="L409">
        <f t="shared" ref="L409:L472" si="67">D412-D409</f>
        <v>1.5</v>
      </c>
      <c r="M409">
        <f t="shared" ref="M409:M472" si="68">E412-E409</f>
        <v>1.6200000000000045</v>
      </c>
      <c r="N409">
        <f t="shared" ref="N409:N472" si="69">F412-F409</f>
        <v>0.89000000000000057</v>
      </c>
      <c r="O409">
        <f t="shared" ref="O409:O472" si="70">G412-G409</f>
        <v>0.54999999999999716</v>
      </c>
      <c r="P409" s="10">
        <f t="shared" ref="P409:P472" si="71">H412-H409</f>
        <v>0.39000000000000057</v>
      </c>
    </row>
    <row r="410" spans="1:16">
      <c r="A410">
        <v>64.17</v>
      </c>
      <c r="B410" s="42">
        <v>169.84</v>
      </c>
      <c r="C410">
        <v>172.62</v>
      </c>
      <c r="D410">
        <v>172.78</v>
      </c>
      <c r="E410">
        <v>185.45</v>
      </c>
      <c r="F410">
        <v>83.62</v>
      </c>
      <c r="G410">
        <v>78.28</v>
      </c>
      <c r="H410">
        <v>71.67</v>
      </c>
      <c r="K410" s="9">
        <f t="shared" si="66"/>
        <v>3</v>
      </c>
      <c r="L410">
        <f t="shared" si="67"/>
        <v>2.4499999999999886</v>
      </c>
      <c r="M410">
        <f t="shared" si="68"/>
        <v>1.2199999999999989</v>
      </c>
      <c r="N410">
        <f t="shared" si="69"/>
        <v>0.93999999999999773</v>
      </c>
      <c r="O410">
        <f t="shared" si="70"/>
        <v>0.5</v>
      </c>
      <c r="P410" s="10">
        <f t="shared" si="71"/>
        <v>0.39000000000000057</v>
      </c>
    </row>
    <row r="411" spans="1:16">
      <c r="A411">
        <v>64.33</v>
      </c>
      <c r="B411" s="42">
        <v>169.28</v>
      </c>
      <c r="C411">
        <v>173.23</v>
      </c>
      <c r="D411">
        <v>173.28</v>
      </c>
      <c r="E411">
        <v>186.06</v>
      </c>
      <c r="F411">
        <v>83.9</v>
      </c>
      <c r="G411">
        <v>78.56</v>
      </c>
      <c r="H411">
        <v>71.84</v>
      </c>
      <c r="K411" s="9">
        <f t="shared" si="66"/>
        <v>3.2800000000000011</v>
      </c>
      <c r="L411">
        <f t="shared" si="67"/>
        <v>2.9499999999999886</v>
      </c>
      <c r="M411">
        <f t="shared" si="68"/>
        <v>0.10999999999998522</v>
      </c>
      <c r="N411">
        <f t="shared" si="69"/>
        <v>0.82999999999999829</v>
      </c>
      <c r="O411">
        <f t="shared" si="70"/>
        <v>0.39000000000000057</v>
      </c>
      <c r="P411" s="10">
        <f t="shared" si="71"/>
        <v>0.39000000000000057</v>
      </c>
    </row>
    <row r="412" spans="1:16">
      <c r="A412">
        <v>64.5</v>
      </c>
      <c r="B412" s="42">
        <v>168.84</v>
      </c>
      <c r="C412">
        <v>174.45</v>
      </c>
      <c r="D412">
        <v>174.12</v>
      </c>
      <c r="E412">
        <v>186.4</v>
      </c>
      <c r="F412">
        <v>84.34</v>
      </c>
      <c r="G412">
        <v>78.67</v>
      </c>
      <c r="H412">
        <v>71.95</v>
      </c>
      <c r="K412" s="9">
        <f t="shared" si="66"/>
        <v>2.1100000000000136</v>
      </c>
      <c r="L412">
        <f t="shared" si="67"/>
        <v>2.5499999999999829</v>
      </c>
      <c r="M412">
        <f t="shared" si="68"/>
        <v>-0.45000000000001705</v>
      </c>
      <c r="N412">
        <f t="shared" si="69"/>
        <v>0.56000000000000227</v>
      </c>
      <c r="O412">
        <f t="shared" si="70"/>
        <v>0.34000000000000341</v>
      </c>
      <c r="P412" s="10">
        <f t="shared" si="71"/>
        <v>0.32999999999999829</v>
      </c>
    </row>
    <row r="413" spans="1:16">
      <c r="A413">
        <v>64.67</v>
      </c>
      <c r="B413" s="42">
        <v>168.62</v>
      </c>
      <c r="C413">
        <v>175.62</v>
      </c>
      <c r="D413">
        <v>175.23</v>
      </c>
      <c r="E413">
        <v>186.67</v>
      </c>
      <c r="F413">
        <v>84.56</v>
      </c>
      <c r="G413">
        <v>78.78</v>
      </c>
      <c r="H413">
        <v>72.06</v>
      </c>
      <c r="K413" s="9">
        <f t="shared" si="66"/>
        <v>1</v>
      </c>
      <c r="L413">
        <f t="shared" si="67"/>
        <v>1.7199999999999989</v>
      </c>
      <c r="M413">
        <f t="shared" si="68"/>
        <v>-1.2199999999999989</v>
      </c>
      <c r="N413">
        <f t="shared" si="69"/>
        <v>0.5</v>
      </c>
      <c r="O413">
        <f t="shared" si="70"/>
        <v>0.34000000000000341</v>
      </c>
      <c r="P413" s="10">
        <f t="shared" si="71"/>
        <v>0.39000000000000057</v>
      </c>
    </row>
    <row r="414" spans="1:16">
      <c r="A414">
        <v>64.83</v>
      </c>
      <c r="B414" s="42">
        <v>168.62</v>
      </c>
      <c r="C414">
        <v>176.51</v>
      </c>
      <c r="D414">
        <v>176.23</v>
      </c>
      <c r="E414">
        <v>186.17</v>
      </c>
      <c r="F414">
        <v>84.73</v>
      </c>
      <c r="G414">
        <v>78.95</v>
      </c>
      <c r="H414">
        <v>72.23</v>
      </c>
      <c r="K414" s="9">
        <f t="shared" si="66"/>
        <v>0.39000000000001478</v>
      </c>
      <c r="L414">
        <f t="shared" si="67"/>
        <v>0.93999999999999773</v>
      </c>
      <c r="M414">
        <f t="shared" si="68"/>
        <v>-0.88999999999998636</v>
      </c>
      <c r="N414">
        <f t="shared" si="69"/>
        <v>0.60999999999999943</v>
      </c>
      <c r="O414">
        <f t="shared" si="70"/>
        <v>0.32999999999999829</v>
      </c>
      <c r="P414" s="10">
        <f t="shared" si="71"/>
        <v>0.39000000000000057</v>
      </c>
    </row>
    <row r="415" spans="1:16">
      <c r="A415">
        <v>65</v>
      </c>
      <c r="B415" s="42">
        <v>169.23</v>
      </c>
      <c r="C415">
        <v>176.56</v>
      </c>
      <c r="D415">
        <v>176.67</v>
      </c>
      <c r="E415">
        <v>185.95</v>
      </c>
      <c r="F415">
        <v>84.9</v>
      </c>
      <c r="G415">
        <v>79.010000000000005</v>
      </c>
      <c r="H415">
        <v>72.28</v>
      </c>
      <c r="K415" s="9">
        <f t="shared" si="66"/>
        <v>0.34000000000000341</v>
      </c>
      <c r="L415">
        <f t="shared" si="67"/>
        <v>0.56000000000000227</v>
      </c>
      <c r="M415">
        <f t="shared" si="68"/>
        <v>-0.78000000000000114</v>
      </c>
      <c r="N415">
        <f t="shared" si="69"/>
        <v>0.60999999999999943</v>
      </c>
      <c r="O415">
        <f t="shared" si="70"/>
        <v>0.32999999999999829</v>
      </c>
      <c r="P415" s="10">
        <f t="shared" si="71"/>
        <v>0.67000000000000171</v>
      </c>
    </row>
    <row r="416" spans="1:16">
      <c r="A416">
        <v>65.17</v>
      </c>
      <c r="B416" s="42">
        <v>170.01</v>
      </c>
      <c r="C416">
        <v>176.62</v>
      </c>
      <c r="D416">
        <v>176.95</v>
      </c>
      <c r="E416">
        <v>185.45</v>
      </c>
      <c r="F416">
        <v>85.06</v>
      </c>
      <c r="G416">
        <v>79.12</v>
      </c>
      <c r="H416">
        <v>72.45</v>
      </c>
      <c r="K416" s="9">
        <f t="shared" si="66"/>
        <v>0.10999999999998522</v>
      </c>
      <c r="L416">
        <f t="shared" si="67"/>
        <v>0.21999999999999886</v>
      </c>
      <c r="M416">
        <f t="shared" si="68"/>
        <v>-0.43999999999999773</v>
      </c>
      <c r="N416">
        <f t="shared" si="69"/>
        <v>0.67000000000000171</v>
      </c>
      <c r="O416">
        <f t="shared" si="70"/>
        <v>0.32999999999999829</v>
      </c>
      <c r="P416" s="10">
        <f t="shared" si="71"/>
        <v>0.67000000000000171</v>
      </c>
    </row>
    <row r="417" spans="1:16">
      <c r="A417">
        <v>65.33</v>
      </c>
      <c r="B417" s="42">
        <v>171.67</v>
      </c>
      <c r="C417">
        <v>176.9</v>
      </c>
      <c r="D417">
        <v>177.17</v>
      </c>
      <c r="E417">
        <v>185.28</v>
      </c>
      <c r="F417">
        <v>85.34</v>
      </c>
      <c r="G417">
        <v>79.28</v>
      </c>
      <c r="H417">
        <v>72.62</v>
      </c>
      <c r="K417" s="9">
        <f t="shared" si="66"/>
        <v>-0.39000000000001478</v>
      </c>
      <c r="L417">
        <f t="shared" si="67"/>
        <v>-0.10999999999998522</v>
      </c>
      <c r="M417">
        <f t="shared" si="68"/>
        <v>-0.5</v>
      </c>
      <c r="N417">
        <f t="shared" si="69"/>
        <v>0.5</v>
      </c>
      <c r="O417">
        <f t="shared" si="70"/>
        <v>0.23000000000000398</v>
      </c>
      <c r="P417" s="10">
        <f t="shared" si="71"/>
        <v>0.60999999999999943</v>
      </c>
    </row>
    <row r="418" spans="1:16">
      <c r="A418">
        <v>65.5</v>
      </c>
      <c r="B418" s="42">
        <v>172.34</v>
      </c>
      <c r="C418">
        <v>176.9</v>
      </c>
      <c r="D418">
        <v>177.23</v>
      </c>
      <c r="E418">
        <v>185.17</v>
      </c>
      <c r="F418">
        <v>85.51</v>
      </c>
      <c r="G418">
        <v>79.34</v>
      </c>
      <c r="H418">
        <v>72.95</v>
      </c>
      <c r="K418" s="9">
        <f t="shared" si="66"/>
        <v>-0.28000000000000114</v>
      </c>
      <c r="L418">
        <f t="shared" si="67"/>
        <v>0</v>
      </c>
      <c r="M418">
        <f t="shared" si="68"/>
        <v>-0.26999999999998181</v>
      </c>
      <c r="N418">
        <f t="shared" si="69"/>
        <v>0.60999999999999943</v>
      </c>
      <c r="O418">
        <f t="shared" si="70"/>
        <v>0.32999999999999829</v>
      </c>
      <c r="P418" s="10">
        <f t="shared" si="71"/>
        <v>0.45000000000000284</v>
      </c>
    </row>
    <row r="419" spans="1:16">
      <c r="A419">
        <v>65.67</v>
      </c>
      <c r="B419" s="42">
        <v>172.67</v>
      </c>
      <c r="C419">
        <v>176.73</v>
      </c>
      <c r="D419">
        <v>177.17</v>
      </c>
      <c r="E419">
        <v>185.01</v>
      </c>
      <c r="F419">
        <v>85.73</v>
      </c>
      <c r="G419">
        <v>79.45</v>
      </c>
      <c r="H419">
        <v>73.12</v>
      </c>
      <c r="K419" s="9">
        <f t="shared" si="66"/>
        <v>5.0000000000011369E-2</v>
      </c>
      <c r="L419">
        <f t="shared" si="67"/>
        <v>0.45000000000001705</v>
      </c>
      <c r="M419">
        <f t="shared" si="68"/>
        <v>0.89000000000001478</v>
      </c>
      <c r="N419">
        <f t="shared" si="69"/>
        <v>0.78000000000000114</v>
      </c>
      <c r="O419">
        <f t="shared" si="70"/>
        <v>0.28000000000000114</v>
      </c>
      <c r="P419" s="10">
        <f t="shared" si="71"/>
        <v>0.39000000000000057</v>
      </c>
    </row>
    <row r="420" spans="1:16">
      <c r="A420">
        <v>65.83</v>
      </c>
      <c r="B420" s="42">
        <v>172.95</v>
      </c>
      <c r="C420">
        <v>176.51</v>
      </c>
      <c r="D420">
        <v>177.06</v>
      </c>
      <c r="E420">
        <v>184.78</v>
      </c>
      <c r="F420">
        <v>85.84</v>
      </c>
      <c r="G420">
        <v>79.510000000000005</v>
      </c>
      <c r="H420">
        <v>73.23</v>
      </c>
      <c r="K420" s="9">
        <f t="shared" si="66"/>
        <v>0.61000000000001364</v>
      </c>
      <c r="L420">
        <f t="shared" si="67"/>
        <v>1</v>
      </c>
      <c r="M420">
        <f t="shared" si="68"/>
        <v>2</v>
      </c>
      <c r="N420">
        <f t="shared" si="69"/>
        <v>0.82999999999999829</v>
      </c>
      <c r="O420">
        <f t="shared" si="70"/>
        <v>0.32999999999999829</v>
      </c>
      <c r="P420" s="10">
        <f t="shared" si="71"/>
        <v>0.39000000000000057</v>
      </c>
    </row>
    <row r="421" spans="1:16">
      <c r="A421">
        <v>66</v>
      </c>
      <c r="B421" s="42">
        <v>173.4</v>
      </c>
      <c r="C421">
        <v>176.62</v>
      </c>
      <c r="D421">
        <v>177.23</v>
      </c>
      <c r="E421">
        <v>184.9</v>
      </c>
      <c r="F421">
        <v>86.12</v>
      </c>
      <c r="G421">
        <v>79.67</v>
      </c>
      <c r="H421">
        <v>73.400000000000006</v>
      </c>
      <c r="K421" s="9">
        <f t="shared" si="66"/>
        <v>0.28000000000000114</v>
      </c>
      <c r="L421">
        <f t="shared" si="67"/>
        <v>0.55000000000001137</v>
      </c>
      <c r="M421">
        <f t="shared" si="68"/>
        <v>1.7199999999999989</v>
      </c>
      <c r="N421">
        <f t="shared" si="69"/>
        <v>0.71999999999999886</v>
      </c>
      <c r="O421">
        <f t="shared" si="70"/>
        <v>0.28000000000000114</v>
      </c>
      <c r="P421" s="10">
        <f t="shared" si="71"/>
        <v>0.37999999999999545</v>
      </c>
    </row>
    <row r="422" spans="1:16">
      <c r="A422">
        <v>66.17</v>
      </c>
      <c r="B422" s="42">
        <v>173.62</v>
      </c>
      <c r="C422">
        <v>176.78</v>
      </c>
      <c r="D422">
        <v>177.62</v>
      </c>
      <c r="E422">
        <v>185.9</v>
      </c>
      <c r="F422">
        <v>86.51</v>
      </c>
      <c r="G422">
        <v>79.73</v>
      </c>
      <c r="H422">
        <v>73.510000000000005</v>
      </c>
      <c r="K422" s="9">
        <f t="shared" si="66"/>
        <v>-5.0000000000011369E-2</v>
      </c>
      <c r="L422">
        <f t="shared" si="67"/>
        <v>-6.0000000000002274E-2</v>
      </c>
      <c r="M422">
        <f t="shared" si="68"/>
        <v>0.82999999999998408</v>
      </c>
      <c r="N422">
        <f t="shared" si="69"/>
        <v>0.60999999999999943</v>
      </c>
      <c r="O422">
        <f t="shared" si="70"/>
        <v>0.43999999999999773</v>
      </c>
      <c r="P422" s="10">
        <f t="shared" si="71"/>
        <v>0.39000000000000057</v>
      </c>
    </row>
    <row r="423" spans="1:16">
      <c r="A423">
        <v>66.33</v>
      </c>
      <c r="B423" s="42">
        <v>173.28</v>
      </c>
      <c r="C423">
        <v>177.12</v>
      </c>
      <c r="D423">
        <v>178.06</v>
      </c>
      <c r="E423">
        <v>186.78</v>
      </c>
      <c r="F423">
        <v>86.67</v>
      </c>
      <c r="G423">
        <v>79.84</v>
      </c>
      <c r="H423">
        <v>73.62</v>
      </c>
      <c r="K423" s="9">
        <f t="shared" si="66"/>
        <v>-0.39000000000001478</v>
      </c>
      <c r="L423">
        <f t="shared" si="67"/>
        <v>-0.65999999999999659</v>
      </c>
      <c r="M423">
        <f t="shared" si="68"/>
        <v>-0.33000000000001251</v>
      </c>
      <c r="N423">
        <f t="shared" si="69"/>
        <v>0.45000000000000284</v>
      </c>
      <c r="O423">
        <f t="shared" si="70"/>
        <v>0.39000000000000057</v>
      </c>
      <c r="P423" s="10">
        <f t="shared" si="71"/>
        <v>0.39000000000000057</v>
      </c>
    </row>
    <row r="424" spans="1:16">
      <c r="A424">
        <v>66.5</v>
      </c>
      <c r="B424" s="42">
        <v>172.62</v>
      </c>
      <c r="C424">
        <v>176.9</v>
      </c>
      <c r="D424">
        <v>177.78</v>
      </c>
      <c r="E424">
        <v>186.62</v>
      </c>
      <c r="F424">
        <v>86.84</v>
      </c>
      <c r="G424">
        <v>79.95</v>
      </c>
      <c r="H424">
        <v>73.78</v>
      </c>
      <c r="K424" s="9">
        <f t="shared" si="66"/>
        <v>0</v>
      </c>
      <c r="L424">
        <f t="shared" si="67"/>
        <v>-0.5</v>
      </c>
      <c r="M424">
        <f t="shared" si="68"/>
        <v>-0.21999999999999886</v>
      </c>
      <c r="N424">
        <f t="shared" si="69"/>
        <v>0.56000000000000227</v>
      </c>
      <c r="O424">
        <f t="shared" si="70"/>
        <v>0.45000000000000284</v>
      </c>
      <c r="P424" s="10">
        <f t="shared" si="71"/>
        <v>0.45000000000000284</v>
      </c>
    </row>
    <row r="425" spans="1:16">
      <c r="A425">
        <v>66.67</v>
      </c>
      <c r="B425" s="42">
        <v>171.84</v>
      </c>
      <c r="C425">
        <v>176.73</v>
      </c>
      <c r="D425">
        <v>177.56</v>
      </c>
      <c r="E425">
        <v>186.73</v>
      </c>
      <c r="F425">
        <v>87.12</v>
      </c>
      <c r="G425">
        <v>80.17</v>
      </c>
      <c r="H425">
        <v>73.900000000000006</v>
      </c>
      <c r="K425" s="9">
        <f t="shared" si="66"/>
        <v>-0.16999999999998749</v>
      </c>
      <c r="L425">
        <f t="shared" si="67"/>
        <v>-0.5</v>
      </c>
      <c r="M425">
        <f t="shared" si="68"/>
        <v>-0.71999999999999886</v>
      </c>
      <c r="N425">
        <f t="shared" si="69"/>
        <v>0.32999999999999829</v>
      </c>
      <c r="O425">
        <f t="shared" si="70"/>
        <v>0.34000000000000341</v>
      </c>
      <c r="P425" s="10">
        <f t="shared" si="71"/>
        <v>0.54999999999999716</v>
      </c>
    </row>
    <row r="426" spans="1:16">
      <c r="A426">
        <v>66.83</v>
      </c>
      <c r="B426" s="42">
        <v>170.4</v>
      </c>
      <c r="C426">
        <v>176.73</v>
      </c>
      <c r="D426">
        <v>177.4</v>
      </c>
      <c r="E426">
        <v>186.45</v>
      </c>
      <c r="F426">
        <v>87.12</v>
      </c>
      <c r="G426">
        <v>80.23</v>
      </c>
      <c r="H426">
        <v>74.010000000000005</v>
      </c>
      <c r="K426" s="9">
        <f t="shared" si="66"/>
        <v>-6.0000000000002274E-2</v>
      </c>
      <c r="L426">
        <f t="shared" si="67"/>
        <v>-0.39000000000001478</v>
      </c>
      <c r="M426">
        <f t="shared" si="68"/>
        <v>-0.54999999999998295</v>
      </c>
      <c r="N426">
        <f t="shared" si="69"/>
        <v>0.5</v>
      </c>
      <c r="O426">
        <f t="shared" si="70"/>
        <v>0.43999999999999773</v>
      </c>
      <c r="P426" s="10">
        <f t="shared" si="71"/>
        <v>0.60999999999999943</v>
      </c>
    </row>
    <row r="427" spans="1:16">
      <c r="A427">
        <v>67</v>
      </c>
      <c r="B427" s="42">
        <v>169.01</v>
      </c>
      <c r="C427">
        <v>176.9</v>
      </c>
      <c r="D427">
        <v>177.28</v>
      </c>
      <c r="E427">
        <v>186.4</v>
      </c>
      <c r="F427">
        <v>87.4</v>
      </c>
      <c r="G427">
        <v>80.400000000000006</v>
      </c>
      <c r="H427">
        <v>74.23</v>
      </c>
      <c r="K427" s="9">
        <f t="shared" si="66"/>
        <v>-0.34000000000000341</v>
      </c>
      <c r="L427">
        <f t="shared" si="67"/>
        <v>-0.37999999999999545</v>
      </c>
      <c r="M427">
        <f t="shared" si="68"/>
        <v>-0.62000000000000455</v>
      </c>
      <c r="N427">
        <f t="shared" si="69"/>
        <v>0.5</v>
      </c>
      <c r="O427">
        <f t="shared" si="70"/>
        <v>0.43999999999999773</v>
      </c>
      <c r="P427" s="10">
        <f t="shared" si="71"/>
        <v>0.60999999999999943</v>
      </c>
    </row>
    <row r="428" spans="1:16">
      <c r="A428">
        <v>67.17</v>
      </c>
      <c r="B428" s="42">
        <v>167.67</v>
      </c>
      <c r="C428">
        <v>176.56</v>
      </c>
      <c r="D428">
        <v>177.06</v>
      </c>
      <c r="E428">
        <v>186.01</v>
      </c>
      <c r="F428">
        <v>87.45</v>
      </c>
      <c r="G428">
        <v>80.510000000000005</v>
      </c>
      <c r="H428">
        <v>74.45</v>
      </c>
      <c r="K428" s="9">
        <f t="shared" si="66"/>
        <v>0.28000000000000114</v>
      </c>
      <c r="L428">
        <f t="shared" si="67"/>
        <v>-0.15999999999999659</v>
      </c>
      <c r="M428">
        <f t="shared" si="68"/>
        <v>-0.34000000000000341</v>
      </c>
      <c r="N428">
        <f t="shared" si="69"/>
        <v>0.5</v>
      </c>
      <c r="O428">
        <f t="shared" si="70"/>
        <v>0.43999999999999773</v>
      </c>
      <c r="P428" s="10">
        <f t="shared" si="71"/>
        <v>0.67000000000000171</v>
      </c>
    </row>
    <row r="429" spans="1:16">
      <c r="A429">
        <v>67.33</v>
      </c>
      <c r="B429" s="42">
        <v>166.73</v>
      </c>
      <c r="C429">
        <v>176.67</v>
      </c>
      <c r="D429">
        <v>177.01</v>
      </c>
      <c r="E429">
        <v>185.9</v>
      </c>
      <c r="F429">
        <v>87.62</v>
      </c>
      <c r="G429">
        <v>80.67</v>
      </c>
      <c r="H429">
        <v>74.62</v>
      </c>
      <c r="K429" s="9">
        <f t="shared" si="66"/>
        <v>0.56000000000000227</v>
      </c>
      <c r="L429">
        <f t="shared" si="67"/>
        <v>0.15999999999999659</v>
      </c>
      <c r="M429">
        <f t="shared" si="68"/>
        <v>-0.45000000000001705</v>
      </c>
      <c r="N429">
        <f t="shared" si="69"/>
        <v>0.54999999999999716</v>
      </c>
      <c r="O429">
        <f t="shared" si="70"/>
        <v>0.45000000000000284</v>
      </c>
      <c r="P429" s="10">
        <f t="shared" si="71"/>
        <v>0.78000000000000114</v>
      </c>
    </row>
    <row r="430" spans="1:16">
      <c r="A430">
        <v>67.5</v>
      </c>
      <c r="B430" s="42">
        <v>166.06</v>
      </c>
      <c r="C430">
        <v>176.56</v>
      </c>
      <c r="D430">
        <v>176.9</v>
      </c>
      <c r="E430">
        <v>185.78</v>
      </c>
      <c r="F430">
        <v>87.9</v>
      </c>
      <c r="G430">
        <v>80.84</v>
      </c>
      <c r="H430">
        <v>74.84</v>
      </c>
      <c r="K430" s="9">
        <f t="shared" si="66"/>
        <v>0.84000000000000341</v>
      </c>
      <c r="L430">
        <f t="shared" si="67"/>
        <v>0.60999999999998522</v>
      </c>
      <c r="M430">
        <f t="shared" si="68"/>
        <v>-0.77000000000001023</v>
      </c>
      <c r="N430">
        <f t="shared" si="69"/>
        <v>0.43999999999999773</v>
      </c>
      <c r="O430">
        <f t="shared" si="70"/>
        <v>0.5</v>
      </c>
      <c r="P430" s="10">
        <f t="shared" si="71"/>
        <v>0.78000000000000114</v>
      </c>
    </row>
    <row r="431" spans="1:16">
      <c r="A431">
        <v>67.67</v>
      </c>
      <c r="B431" s="42">
        <v>165.67</v>
      </c>
      <c r="C431">
        <v>176.84</v>
      </c>
      <c r="D431">
        <v>176.9</v>
      </c>
      <c r="E431">
        <v>185.67</v>
      </c>
      <c r="F431">
        <v>87.95</v>
      </c>
      <c r="G431">
        <v>80.95</v>
      </c>
      <c r="H431">
        <v>75.12</v>
      </c>
      <c r="K431" s="9">
        <f t="shared" si="66"/>
        <v>0.60999999999998522</v>
      </c>
      <c r="L431">
        <f t="shared" si="67"/>
        <v>0.82999999999998408</v>
      </c>
      <c r="M431">
        <f t="shared" si="68"/>
        <v>-0.88999999999998636</v>
      </c>
      <c r="N431">
        <f t="shared" si="69"/>
        <v>0.5</v>
      </c>
      <c r="O431">
        <f t="shared" si="70"/>
        <v>0.45000000000000284</v>
      </c>
      <c r="P431" s="10">
        <f t="shared" si="71"/>
        <v>0.65999999999999659</v>
      </c>
    </row>
    <row r="432" spans="1:16">
      <c r="A432">
        <v>67.83</v>
      </c>
      <c r="B432" s="42">
        <v>165.78</v>
      </c>
      <c r="C432">
        <v>177.23</v>
      </c>
      <c r="D432">
        <v>177.17</v>
      </c>
      <c r="E432">
        <v>185.45</v>
      </c>
      <c r="F432">
        <v>88.17</v>
      </c>
      <c r="G432">
        <v>81.12</v>
      </c>
      <c r="H432">
        <v>75.400000000000006</v>
      </c>
      <c r="K432" s="9">
        <f t="shared" si="66"/>
        <v>0.17000000000001592</v>
      </c>
      <c r="L432">
        <f t="shared" si="67"/>
        <v>0.56000000000000227</v>
      </c>
      <c r="M432">
        <f t="shared" si="68"/>
        <v>-1.0499999999999829</v>
      </c>
      <c r="N432">
        <f t="shared" si="69"/>
        <v>0.39000000000000057</v>
      </c>
      <c r="O432">
        <f t="shared" si="70"/>
        <v>0.39000000000000057</v>
      </c>
      <c r="P432" s="10">
        <f t="shared" si="71"/>
        <v>0.43999999999999773</v>
      </c>
    </row>
    <row r="433" spans="1:16">
      <c r="A433">
        <v>68</v>
      </c>
      <c r="B433" s="42">
        <v>166.01</v>
      </c>
      <c r="C433">
        <v>177.4</v>
      </c>
      <c r="D433">
        <v>177.51</v>
      </c>
      <c r="E433">
        <v>185.01</v>
      </c>
      <c r="F433">
        <v>88.34</v>
      </c>
      <c r="G433">
        <v>81.34</v>
      </c>
      <c r="H433">
        <v>75.62</v>
      </c>
      <c r="K433" s="9">
        <f t="shared" si="66"/>
        <v>-6.0000000000002274E-2</v>
      </c>
      <c r="L433">
        <f t="shared" si="67"/>
        <v>0.27000000000001023</v>
      </c>
      <c r="M433">
        <f t="shared" si="68"/>
        <v>-1</v>
      </c>
      <c r="N433">
        <f t="shared" si="69"/>
        <v>0.39000000000000057</v>
      </c>
      <c r="O433">
        <f t="shared" si="70"/>
        <v>0.28000000000000114</v>
      </c>
      <c r="P433" s="10">
        <f t="shared" si="71"/>
        <v>0.39000000000000057</v>
      </c>
    </row>
    <row r="434" spans="1:16">
      <c r="A434">
        <v>68.17</v>
      </c>
      <c r="B434" s="42">
        <v>166.73</v>
      </c>
      <c r="C434">
        <v>177.45</v>
      </c>
      <c r="D434">
        <v>177.73</v>
      </c>
      <c r="E434">
        <v>184.78</v>
      </c>
      <c r="F434">
        <v>88.45</v>
      </c>
      <c r="G434">
        <v>81.400000000000006</v>
      </c>
      <c r="H434">
        <v>75.78</v>
      </c>
      <c r="K434" s="9">
        <f t="shared" si="66"/>
        <v>-0.10999999999998522</v>
      </c>
      <c r="L434">
        <f t="shared" si="67"/>
        <v>0</v>
      </c>
      <c r="M434">
        <f t="shared" si="68"/>
        <v>-1.0500000000000114</v>
      </c>
      <c r="N434">
        <f t="shared" si="69"/>
        <v>0.32999999999999829</v>
      </c>
      <c r="O434">
        <f t="shared" si="70"/>
        <v>0.37999999999999545</v>
      </c>
      <c r="P434" s="10">
        <f t="shared" si="71"/>
        <v>0.34000000000000341</v>
      </c>
    </row>
    <row r="435" spans="1:16">
      <c r="A435">
        <v>68.33</v>
      </c>
      <c r="B435" s="42">
        <v>168.12</v>
      </c>
      <c r="C435">
        <v>177.4</v>
      </c>
      <c r="D435">
        <v>177.73</v>
      </c>
      <c r="E435">
        <v>184.4</v>
      </c>
      <c r="F435">
        <v>88.56</v>
      </c>
      <c r="G435">
        <v>81.510000000000005</v>
      </c>
      <c r="H435">
        <v>75.84</v>
      </c>
      <c r="K435" s="9">
        <f t="shared" si="66"/>
        <v>-0.17000000000001592</v>
      </c>
      <c r="L435">
        <f t="shared" si="67"/>
        <v>0</v>
      </c>
      <c r="M435">
        <f t="shared" si="68"/>
        <v>-0.78000000000000114</v>
      </c>
      <c r="N435">
        <f t="shared" si="69"/>
        <v>0.34000000000000341</v>
      </c>
      <c r="O435">
        <f t="shared" si="70"/>
        <v>0.39000000000000057</v>
      </c>
      <c r="P435" s="10">
        <f t="shared" si="71"/>
        <v>0.5</v>
      </c>
    </row>
    <row r="436" spans="1:16">
      <c r="A436">
        <v>68.5</v>
      </c>
      <c r="B436" s="42">
        <v>169.51</v>
      </c>
      <c r="C436">
        <v>177.34</v>
      </c>
      <c r="D436">
        <v>177.78</v>
      </c>
      <c r="E436">
        <v>184.01</v>
      </c>
      <c r="F436">
        <v>88.73</v>
      </c>
      <c r="G436">
        <v>81.62</v>
      </c>
      <c r="H436">
        <v>76.010000000000005</v>
      </c>
      <c r="K436" s="9">
        <f t="shared" si="66"/>
        <v>0.10999999999998522</v>
      </c>
      <c r="L436">
        <f t="shared" si="67"/>
        <v>0.22999999999998977</v>
      </c>
      <c r="M436">
        <f t="shared" si="68"/>
        <v>-0.5</v>
      </c>
      <c r="N436">
        <f t="shared" si="69"/>
        <v>0.32999999999999829</v>
      </c>
      <c r="O436">
        <f t="shared" si="70"/>
        <v>0.39000000000000057</v>
      </c>
      <c r="P436" s="10">
        <f t="shared" si="71"/>
        <v>0.71999999999999886</v>
      </c>
    </row>
    <row r="437" spans="1:16">
      <c r="A437">
        <v>68.67</v>
      </c>
      <c r="B437" s="42">
        <v>170.34</v>
      </c>
      <c r="C437">
        <v>177.34</v>
      </c>
      <c r="D437">
        <v>177.73</v>
      </c>
      <c r="E437">
        <v>183.73</v>
      </c>
      <c r="F437">
        <v>88.78</v>
      </c>
      <c r="G437">
        <v>81.78</v>
      </c>
      <c r="H437">
        <v>76.12</v>
      </c>
      <c r="K437" s="9">
        <f t="shared" si="66"/>
        <v>0.88999999999998636</v>
      </c>
      <c r="L437">
        <f t="shared" si="67"/>
        <v>1.2800000000000011</v>
      </c>
      <c r="M437">
        <f t="shared" si="68"/>
        <v>0.28000000000000114</v>
      </c>
      <c r="N437">
        <f t="shared" si="69"/>
        <v>0.5</v>
      </c>
      <c r="O437">
        <f t="shared" si="70"/>
        <v>0.39000000000000057</v>
      </c>
      <c r="P437" s="10">
        <f t="shared" si="71"/>
        <v>0.82999999999999829</v>
      </c>
    </row>
    <row r="438" spans="1:16">
      <c r="A438">
        <v>68.83</v>
      </c>
      <c r="B438" s="42">
        <v>170.28</v>
      </c>
      <c r="C438">
        <v>177.23</v>
      </c>
      <c r="D438">
        <v>177.73</v>
      </c>
      <c r="E438">
        <v>183.62</v>
      </c>
      <c r="F438">
        <v>88.9</v>
      </c>
      <c r="G438">
        <v>81.900000000000006</v>
      </c>
      <c r="H438">
        <v>76.34</v>
      </c>
      <c r="K438" s="9">
        <f t="shared" si="66"/>
        <v>1.5</v>
      </c>
      <c r="L438">
        <f t="shared" si="67"/>
        <v>1.9399999999999977</v>
      </c>
      <c r="M438">
        <f t="shared" si="68"/>
        <v>0.38999999999998636</v>
      </c>
      <c r="N438">
        <f t="shared" si="69"/>
        <v>0.43999999999999773</v>
      </c>
      <c r="O438">
        <f t="shared" si="70"/>
        <v>0.43999999999999773</v>
      </c>
      <c r="P438" s="10">
        <f t="shared" si="71"/>
        <v>0.78000000000000114</v>
      </c>
    </row>
    <row r="439" spans="1:16">
      <c r="A439">
        <v>69</v>
      </c>
      <c r="B439" s="42">
        <v>170.34</v>
      </c>
      <c r="C439">
        <v>177.45</v>
      </c>
      <c r="D439">
        <v>178.01</v>
      </c>
      <c r="E439">
        <v>183.51</v>
      </c>
      <c r="F439">
        <v>89.06</v>
      </c>
      <c r="G439">
        <v>82.01</v>
      </c>
      <c r="H439">
        <v>76.73</v>
      </c>
      <c r="K439" s="9">
        <f t="shared" si="66"/>
        <v>1.0600000000000023</v>
      </c>
      <c r="L439">
        <f t="shared" si="67"/>
        <v>1.6599999999999966</v>
      </c>
      <c r="M439">
        <f t="shared" si="68"/>
        <v>0.71999999999999886</v>
      </c>
      <c r="N439">
        <f t="shared" si="69"/>
        <v>0.45000000000000284</v>
      </c>
      <c r="O439">
        <f t="shared" si="70"/>
        <v>0.5</v>
      </c>
      <c r="P439" s="10">
        <f t="shared" si="71"/>
        <v>0.39000000000000057</v>
      </c>
    </row>
    <row r="440" spans="1:16">
      <c r="A440">
        <v>69.17</v>
      </c>
      <c r="B440" s="42">
        <v>171.01</v>
      </c>
      <c r="C440">
        <v>178.23</v>
      </c>
      <c r="D440">
        <v>179.01</v>
      </c>
      <c r="E440">
        <v>184.01</v>
      </c>
      <c r="F440">
        <v>89.28</v>
      </c>
      <c r="G440">
        <v>82.17</v>
      </c>
      <c r="H440">
        <v>76.95</v>
      </c>
      <c r="K440" s="9">
        <f t="shared" si="66"/>
        <v>0.39000000000001478</v>
      </c>
      <c r="L440">
        <f t="shared" si="67"/>
        <v>0.71999999999999886</v>
      </c>
      <c r="M440">
        <f t="shared" si="68"/>
        <v>-6.0000000000002274E-2</v>
      </c>
      <c r="N440">
        <f t="shared" si="69"/>
        <v>0.34000000000000341</v>
      </c>
      <c r="O440">
        <f t="shared" si="70"/>
        <v>0.5</v>
      </c>
      <c r="P440" s="10">
        <f t="shared" si="71"/>
        <v>0.32999999999999829</v>
      </c>
    </row>
    <row r="441" spans="1:16">
      <c r="A441">
        <v>69.33</v>
      </c>
      <c r="B441" s="42">
        <v>170.28</v>
      </c>
      <c r="C441">
        <v>178.73</v>
      </c>
      <c r="D441">
        <v>179.67</v>
      </c>
      <c r="E441">
        <v>184.01</v>
      </c>
      <c r="F441">
        <v>89.34</v>
      </c>
      <c r="G441">
        <v>82.34</v>
      </c>
      <c r="H441">
        <v>77.12</v>
      </c>
      <c r="K441" s="9">
        <f t="shared" si="66"/>
        <v>-0.21999999999999886</v>
      </c>
      <c r="L441">
        <f t="shared" si="67"/>
        <v>-0.15999999999999659</v>
      </c>
      <c r="M441">
        <f t="shared" si="68"/>
        <v>-0.38999999999998636</v>
      </c>
      <c r="N441">
        <f t="shared" si="69"/>
        <v>0.32999999999999829</v>
      </c>
      <c r="O441">
        <f t="shared" si="70"/>
        <v>0.43999999999999773</v>
      </c>
      <c r="P441" s="10">
        <f t="shared" si="71"/>
        <v>0.39000000000000057</v>
      </c>
    </row>
    <row r="442" spans="1:16">
      <c r="A442">
        <v>69.5</v>
      </c>
      <c r="B442" s="42">
        <v>169.06</v>
      </c>
      <c r="C442">
        <v>178.51</v>
      </c>
      <c r="D442">
        <v>179.67</v>
      </c>
      <c r="E442">
        <v>184.23</v>
      </c>
      <c r="F442">
        <v>89.51</v>
      </c>
      <c r="G442">
        <v>82.51</v>
      </c>
      <c r="H442">
        <v>77.12</v>
      </c>
      <c r="K442" s="9">
        <f t="shared" si="66"/>
        <v>-0.28000000000000114</v>
      </c>
      <c r="L442">
        <f t="shared" si="67"/>
        <v>-0.5</v>
      </c>
      <c r="M442">
        <f t="shared" si="68"/>
        <v>-1.0600000000000023</v>
      </c>
      <c r="N442">
        <f t="shared" si="69"/>
        <v>0.32999999999999829</v>
      </c>
      <c r="O442">
        <f t="shared" si="70"/>
        <v>0.32999999999999829</v>
      </c>
      <c r="P442" s="10">
        <f t="shared" si="71"/>
        <v>0.43999999999999773</v>
      </c>
    </row>
    <row r="443" spans="1:16">
      <c r="A443">
        <v>69.67</v>
      </c>
      <c r="B443" s="42">
        <v>168.34</v>
      </c>
      <c r="C443">
        <v>178.62</v>
      </c>
      <c r="D443">
        <v>179.73</v>
      </c>
      <c r="E443">
        <v>183.95</v>
      </c>
      <c r="F443">
        <v>89.62</v>
      </c>
      <c r="G443">
        <v>82.67</v>
      </c>
      <c r="H443">
        <v>77.28</v>
      </c>
      <c r="K443" s="9">
        <f t="shared" si="66"/>
        <v>-0.95000000000001705</v>
      </c>
      <c r="L443">
        <f t="shared" si="67"/>
        <v>-1.1699999999999875</v>
      </c>
      <c r="M443">
        <f t="shared" si="68"/>
        <v>-1.2199999999999989</v>
      </c>
      <c r="N443">
        <f t="shared" si="69"/>
        <v>0.32999999999999829</v>
      </c>
      <c r="O443">
        <f t="shared" si="70"/>
        <v>0.34000000000000341</v>
      </c>
      <c r="P443" s="10">
        <f t="shared" si="71"/>
        <v>0.45000000000000284</v>
      </c>
    </row>
    <row r="444" spans="1:16">
      <c r="A444">
        <v>69.83</v>
      </c>
      <c r="B444" s="42">
        <v>167.51</v>
      </c>
      <c r="C444">
        <v>178.51</v>
      </c>
      <c r="D444">
        <v>179.51</v>
      </c>
      <c r="E444">
        <v>183.62</v>
      </c>
      <c r="F444">
        <v>89.67</v>
      </c>
      <c r="G444">
        <v>82.78</v>
      </c>
      <c r="H444">
        <v>77.510000000000005</v>
      </c>
      <c r="K444" s="9">
        <f t="shared" si="66"/>
        <v>-1.1099999999999852</v>
      </c>
      <c r="L444">
        <f t="shared" si="67"/>
        <v>-1.3400000000000034</v>
      </c>
      <c r="M444">
        <f t="shared" si="68"/>
        <v>-1.1100000000000136</v>
      </c>
      <c r="N444">
        <f t="shared" si="69"/>
        <v>0.34000000000000341</v>
      </c>
      <c r="O444">
        <f t="shared" si="70"/>
        <v>0.34000000000000341</v>
      </c>
      <c r="P444" s="10">
        <f t="shared" si="71"/>
        <v>0.32999999999999829</v>
      </c>
    </row>
    <row r="445" spans="1:16">
      <c r="A445">
        <v>70</v>
      </c>
      <c r="B445" s="42">
        <v>167.23</v>
      </c>
      <c r="C445">
        <v>178.23</v>
      </c>
      <c r="D445">
        <v>179.17</v>
      </c>
      <c r="E445">
        <v>183.17</v>
      </c>
      <c r="F445">
        <v>89.84</v>
      </c>
      <c r="G445">
        <v>82.84</v>
      </c>
      <c r="H445">
        <v>77.56</v>
      </c>
      <c r="K445" s="9">
        <f t="shared" si="66"/>
        <v>-0.88999999999998636</v>
      </c>
      <c r="L445">
        <f t="shared" si="67"/>
        <v>-1.1599999999999966</v>
      </c>
      <c r="M445">
        <f t="shared" si="68"/>
        <v>-0.71999999999999886</v>
      </c>
      <c r="N445">
        <f t="shared" si="69"/>
        <v>0.39000000000000057</v>
      </c>
      <c r="O445">
        <f t="shared" si="70"/>
        <v>0.32999999999999829</v>
      </c>
      <c r="P445" s="10">
        <f t="shared" si="71"/>
        <v>0.39000000000000057</v>
      </c>
    </row>
    <row r="446" spans="1:16">
      <c r="A446">
        <v>70.17</v>
      </c>
      <c r="B446" s="42">
        <v>166.73</v>
      </c>
      <c r="C446">
        <v>177.67</v>
      </c>
      <c r="D446">
        <v>178.56</v>
      </c>
      <c r="E446">
        <v>182.73</v>
      </c>
      <c r="F446">
        <v>89.95</v>
      </c>
      <c r="G446">
        <v>83.01</v>
      </c>
      <c r="H446">
        <v>77.73</v>
      </c>
      <c r="K446" s="9">
        <f t="shared" si="66"/>
        <v>-0.38999999999998636</v>
      </c>
      <c r="L446">
        <f t="shared" si="67"/>
        <v>-0.71999999999999886</v>
      </c>
      <c r="M446">
        <f t="shared" si="68"/>
        <v>-0.56000000000000227</v>
      </c>
      <c r="N446">
        <f t="shared" si="69"/>
        <v>0.39000000000000057</v>
      </c>
      <c r="O446">
        <f t="shared" si="70"/>
        <v>0.26999999999999602</v>
      </c>
      <c r="P446" s="10">
        <f t="shared" si="71"/>
        <v>0.32999999999999829</v>
      </c>
    </row>
    <row r="447" spans="1:16">
      <c r="A447">
        <v>70.33</v>
      </c>
      <c r="B447" s="42">
        <v>166.23</v>
      </c>
      <c r="C447">
        <v>177.4</v>
      </c>
      <c r="D447">
        <v>178.17</v>
      </c>
      <c r="E447">
        <v>182.51</v>
      </c>
      <c r="F447">
        <v>90.01</v>
      </c>
      <c r="G447">
        <v>83.12</v>
      </c>
      <c r="H447">
        <v>77.84</v>
      </c>
      <c r="K447" s="9">
        <f t="shared" si="66"/>
        <v>-6.0000000000002274E-2</v>
      </c>
      <c r="L447">
        <f t="shared" si="67"/>
        <v>-0.5</v>
      </c>
      <c r="M447">
        <f t="shared" si="68"/>
        <v>-0.5</v>
      </c>
      <c r="N447">
        <f t="shared" si="69"/>
        <v>0.43999999999999773</v>
      </c>
      <c r="O447">
        <f t="shared" si="70"/>
        <v>0.28000000000000114</v>
      </c>
      <c r="P447" s="10">
        <f t="shared" si="71"/>
        <v>0.39000000000000057</v>
      </c>
    </row>
    <row r="448" spans="1:16">
      <c r="A448">
        <v>70.5</v>
      </c>
      <c r="B448" s="42">
        <v>165.9</v>
      </c>
      <c r="C448">
        <v>177.34</v>
      </c>
      <c r="D448">
        <v>178.01</v>
      </c>
      <c r="E448">
        <v>182.45</v>
      </c>
      <c r="F448">
        <v>90.23</v>
      </c>
      <c r="G448">
        <v>83.17</v>
      </c>
      <c r="H448">
        <v>77.95</v>
      </c>
      <c r="K448" s="9">
        <f t="shared" si="66"/>
        <v>-0.17000000000001592</v>
      </c>
      <c r="L448">
        <f t="shared" si="67"/>
        <v>-0.5</v>
      </c>
      <c r="M448">
        <f t="shared" si="68"/>
        <v>-0.66999999999998749</v>
      </c>
      <c r="N448">
        <f t="shared" si="69"/>
        <v>0.39000000000000057</v>
      </c>
      <c r="O448">
        <f t="shared" si="70"/>
        <v>0.34000000000000341</v>
      </c>
      <c r="P448" s="10">
        <f t="shared" si="71"/>
        <v>0.32999999999999829</v>
      </c>
    </row>
    <row r="449" spans="1:16">
      <c r="A449">
        <v>70.67</v>
      </c>
      <c r="B449" s="42">
        <v>165.23</v>
      </c>
      <c r="C449">
        <v>177.28</v>
      </c>
      <c r="D449">
        <v>177.84</v>
      </c>
      <c r="E449">
        <v>182.17</v>
      </c>
      <c r="F449">
        <v>90.34</v>
      </c>
      <c r="G449">
        <v>83.28</v>
      </c>
      <c r="H449">
        <v>78.06</v>
      </c>
      <c r="K449" s="9">
        <f t="shared" si="66"/>
        <v>-0.71999999999999886</v>
      </c>
      <c r="L449">
        <f t="shared" si="67"/>
        <v>-0.93999999999999773</v>
      </c>
      <c r="M449">
        <f t="shared" si="68"/>
        <v>-0.82999999999998408</v>
      </c>
      <c r="N449">
        <f t="shared" si="69"/>
        <v>0.32999999999999829</v>
      </c>
      <c r="O449">
        <f t="shared" si="70"/>
        <v>0.28000000000000114</v>
      </c>
      <c r="P449" s="10">
        <f t="shared" si="71"/>
        <v>0.34000000000000341</v>
      </c>
    </row>
    <row r="450" spans="1:16">
      <c r="A450">
        <v>70.83</v>
      </c>
      <c r="B450" s="42">
        <v>164.73</v>
      </c>
      <c r="C450">
        <v>177.34</v>
      </c>
      <c r="D450">
        <v>177.67</v>
      </c>
      <c r="E450">
        <v>182.01</v>
      </c>
      <c r="F450">
        <v>90.45</v>
      </c>
      <c r="G450">
        <v>83.4</v>
      </c>
      <c r="H450">
        <v>78.23</v>
      </c>
      <c r="K450" s="9">
        <f t="shared" si="66"/>
        <v>-0.93999999999999773</v>
      </c>
      <c r="L450">
        <f t="shared" si="67"/>
        <v>-0.93999999999999773</v>
      </c>
      <c r="M450">
        <f t="shared" si="68"/>
        <v>-0.94999999999998863</v>
      </c>
      <c r="N450">
        <f t="shared" si="69"/>
        <v>0.39000000000000057</v>
      </c>
      <c r="O450">
        <f t="shared" si="70"/>
        <v>0.32999999999999829</v>
      </c>
      <c r="P450" s="10">
        <f t="shared" si="71"/>
        <v>0.21999999999999886</v>
      </c>
    </row>
    <row r="451" spans="1:16">
      <c r="A451">
        <v>71</v>
      </c>
      <c r="B451" s="42">
        <v>165.4</v>
      </c>
      <c r="C451">
        <v>177.17</v>
      </c>
      <c r="D451">
        <v>177.51</v>
      </c>
      <c r="E451">
        <v>181.78</v>
      </c>
      <c r="F451">
        <v>90.62</v>
      </c>
      <c r="G451">
        <v>83.51</v>
      </c>
      <c r="H451">
        <v>78.28</v>
      </c>
      <c r="K451" s="9">
        <f t="shared" si="66"/>
        <v>-0.93999999999999773</v>
      </c>
      <c r="L451">
        <f t="shared" si="67"/>
        <v>-1</v>
      </c>
      <c r="M451">
        <f t="shared" si="68"/>
        <v>-0.83000000000001251</v>
      </c>
      <c r="N451">
        <f t="shared" si="69"/>
        <v>0.39000000000000057</v>
      </c>
      <c r="O451">
        <f t="shared" si="70"/>
        <v>0.26999999999999602</v>
      </c>
      <c r="P451" s="10">
        <f t="shared" si="71"/>
        <v>0.34000000000000341</v>
      </c>
    </row>
    <row r="452" spans="1:16">
      <c r="A452">
        <v>71.17</v>
      </c>
      <c r="B452" s="42">
        <v>166.95</v>
      </c>
      <c r="C452">
        <v>176.56</v>
      </c>
      <c r="D452">
        <v>176.9</v>
      </c>
      <c r="E452">
        <v>181.34</v>
      </c>
      <c r="F452">
        <v>90.67</v>
      </c>
      <c r="G452">
        <v>83.56</v>
      </c>
      <c r="H452">
        <v>78.400000000000006</v>
      </c>
      <c r="K452" s="9">
        <f t="shared" si="66"/>
        <v>-0.55000000000001137</v>
      </c>
      <c r="L452">
        <f t="shared" si="67"/>
        <v>-0.56000000000000227</v>
      </c>
      <c r="M452">
        <f t="shared" si="68"/>
        <v>-0.71999999999999886</v>
      </c>
      <c r="N452">
        <f t="shared" si="69"/>
        <v>0.5</v>
      </c>
      <c r="O452">
        <f t="shared" si="70"/>
        <v>0.28000000000000114</v>
      </c>
      <c r="P452" s="10">
        <f t="shared" si="71"/>
        <v>0.15999999999999659</v>
      </c>
    </row>
    <row r="453" spans="1:16">
      <c r="A453">
        <v>71.33</v>
      </c>
      <c r="B453" s="42">
        <v>168.9</v>
      </c>
      <c r="C453">
        <v>176.4</v>
      </c>
      <c r="D453">
        <v>176.73</v>
      </c>
      <c r="E453">
        <v>181.06</v>
      </c>
      <c r="F453">
        <v>90.84</v>
      </c>
      <c r="G453">
        <v>83.73</v>
      </c>
      <c r="H453">
        <v>78.45</v>
      </c>
      <c r="K453" s="9">
        <f t="shared" si="66"/>
        <v>-0.62000000000000455</v>
      </c>
      <c r="L453">
        <f t="shared" si="67"/>
        <v>-0.60999999999998522</v>
      </c>
      <c r="M453">
        <f t="shared" si="68"/>
        <v>-0.55000000000001137</v>
      </c>
      <c r="N453">
        <f t="shared" si="69"/>
        <v>0.67000000000000171</v>
      </c>
      <c r="O453">
        <f t="shared" si="70"/>
        <v>0.28000000000000114</v>
      </c>
      <c r="P453" s="10">
        <f t="shared" si="71"/>
        <v>0.10999999999999943</v>
      </c>
    </row>
    <row r="454" spans="1:16">
      <c r="A454">
        <v>71.5</v>
      </c>
      <c r="B454" s="42">
        <v>170.23</v>
      </c>
      <c r="C454">
        <v>176.23</v>
      </c>
      <c r="D454">
        <v>176.51</v>
      </c>
      <c r="E454">
        <v>180.95</v>
      </c>
      <c r="F454">
        <v>91.01</v>
      </c>
      <c r="G454">
        <v>83.78</v>
      </c>
      <c r="H454">
        <v>78.62</v>
      </c>
      <c r="K454" s="9">
        <f t="shared" si="66"/>
        <v>-0.56000000000000227</v>
      </c>
      <c r="L454">
        <f t="shared" si="67"/>
        <v>-0.28000000000000114</v>
      </c>
      <c r="M454">
        <f t="shared" si="68"/>
        <v>-0.54999999999998295</v>
      </c>
      <c r="N454">
        <f t="shared" si="69"/>
        <v>0.71999999999999886</v>
      </c>
      <c r="O454">
        <f t="shared" si="70"/>
        <v>0.28000000000000114</v>
      </c>
      <c r="P454" s="10">
        <f t="shared" si="71"/>
        <v>0.21999999999999886</v>
      </c>
    </row>
    <row r="455" spans="1:16">
      <c r="A455">
        <v>71.67</v>
      </c>
      <c r="B455" s="42">
        <v>170.84</v>
      </c>
      <c r="C455">
        <v>176.01</v>
      </c>
      <c r="D455">
        <v>176.34</v>
      </c>
      <c r="E455">
        <v>180.62</v>
      </c>
      <c r="F455">
        <v>91.17</v>
      </c>
      <c r="G455">
        <v>83.84</v>
      </c>
      <c r="H455">
        <v>78.56</v>
      </c>
      <c r="K455" s="9">
        <f t="shared" si="66"/>
        <v>-6.0000000000002274E-2</v>
      </c>
      <c r="L455">
        <f t="shared" si="67"/>
        <v>0.28000000000000114</v>
      </c>
      <c r="M455">
        <f t="shared" si="68"/>
        <v>-0.11000000000001364</v>
      </c>
      <c r="N455">
        <f t="shared" si="69"/>
        <v>0.60999999999999943</v>
      </c>
      <c r="O455">
        <f t="shared" si="70"/>
        <v>0.5</v>
      </c>
      <c r="P455" s="10">
        <f t="shared" si="71"/>
        <v>0.28000000000000114</v>
      </c>
    </row>
    <row r="456" spans="1:16">
      <c r="A456">
        <v>71.83</v>
      </c>
      <c r="B456" s="42">
        <v>171.67</v>
      </c>
      <c r="C456">
        <v>175.78</v>
      </c>
      <c r="D456">
        <v>176.12</v>
      </c>
      <c r="E456">
        <v>180.51</v>
      </c>
      <c r="F456">
        <v>91.51</v>
      </c>
      <c r="G456">
        <v>84.01</v>
      </c>
      <c r="H456">
        <v>78.56</v>
      </c>
      <c r="K456" s="9">
        <f t="shared" si="66"/>
        <v>0.94999999999998863</v>
      </c>
      <c r="L456">
        <f t="shared" si="67"/>
        <v>1.4399999999999977</v>
      </c>
      <c r="M456">
        <f t="shared" si="68"/>
        <v>0.71999999999999886</v>
      </c>
      <c r="N456">
        <f t="shared" si="69"/>
        <v>0.32999999999999829</v>
      </c>
      <c r="O456">
        <f t="shared" si="70"/>
        <v>0.5</v>
      </c>
      <c r="P456" s="10">
        <f t="shared" si="71"/>
        <v>0.45000000000000284</v>
      </c>
    </row>
    <row r="457" spans="1:16">
      <c r="A457">
        <v>72</v>
      </c>
      <c r="B457" s="42">
        <v>171.67</v>
      </c>
      <c r="C457">
        <v>175.67</v>
      </c>
      <c r="D457">
        <v>176.23</v>
      </c>
      <c r="E457">
        <v>180.4</v>
      </c>
      <c r="F457">
        <v>91.73</v>
      </c>
      <c r="G457">
        <v>84.06</v>
      </c>
      <c r="H457">
        <v>78.84</v>
      </c>
      <c r="K457" s="9">
        <f t="shared" si="66"/>
        <v>1.0600000000000023</v>
      </c>
      <c r="L457">
        <f t="shared" si="67"/>
        <v>1.3300000000000125</v>
      </c>
      <c r="M457">
        <f t="shared" si="68"/>
        <v>1.2199999999999989</v>
      </c>
      <c r="N457">
        <f t="shared" si="69"/>
        <v>0.32999999999999829</v>
      </c>
      <c r="O457">
        <f t="shared" si="70"/>
        <v>0.56000000000000227</v>
      </c>
      <c r="P457" s="10">
        <f t="shared" si="71"/>
        <v>0.32999999999999829</v>
      </c>
    </row>
    <row r="458" spans="1:16">
      <c r="A458">
        <v>72.17</v>
      </c>
      <c r="B458" s="42">
        <v>172.12</v>
      </c>
      <c r="C458">
        <v>175.95</v>
      </c>
      <c r="D458">
        <v>176.62</v>
      </c>
      <c r="E458">
        <v>180.51</v>
      </c>
      <c r="F458">
        <v>91.78</v>
      </c>
      <c r="G458">
        <v>84.34</v>
      </c>
      <c r="H458">
        <v>78.84</v>
      </c>
      <c r="K458" s="9">
        <f t="shared" si="66"/>
        <v>0.45000000000001705</v>
      </c>
      <c r="L458">
        <f t="shared" si="67"/>
        <v>0.65999999999999659</v>
      </c>
      <c r="M458">
        <f t="shared" si="68"/>
        <v>1</v>
      </c>
      <c r="N458">
        <f t="shared" si="69"/>
        <v>0.5</v>
      </c>
      <c r="O458">
        <f t="shared" si="70"/>
        <v>0.43999999999999773</v>
      </c>
      <c r="P458" s="10">
        <f t="shared" si="71"/>
        <v>0.43999999999999773</v>
      </c>
    </row>
    <row r="459" spans="1:16">
      <c r="A459">
        <v>72.33</v>
      </c>
      <c r="B459" s="42">
        <v>172.17</v>
      </c>
      <c r="C459">
        <v>176.73</v>
      </c>
      <c r="D459">
        <v>177.56</v>
      </c>
      <c r="E459">
        <v>181.23</v>
      </c>
      <c r="F459">
        <v>91.84</v>
      </c>
      <c r="G459">
        <v>84.51</v>
      </c>
      <c r="H459">
        <v>79.010000000000005</v>
      </c>
      <c r="K459" s="9">
        <f t="shared" si="66"/>
        <v>-1</v>
      </c>
      <c r="L459">
        <f t="shared" si="67"/>
        <v>-0.93999999999999773</v>
      </c>
      <c r="M459">
        <f t="shared" si="68"/>
        <v>0.11000000000001364</v>
      </c>
      <c r="N459">
        <f t="shared" si="69"/>
        <v>0.56000000000000227</v>
      </c>
      <c r="O459">
        <f t="shared" si="70"/>
        <v>0.54999999999999716</v>
      </c>
      <c r="P459" s="10">
        <f t="shared" si="71"/>
        <v>0.65999999999999659</v>
      </c>
    </row>
    <row r="460" spans="1:16">
      <c r="A460">
        <v>72.5</v>
      </c>
      <c r="B460" s="42">
        <v>172.01</v>
      </c>
      <c r="C460">
        <v>176.73</v>
      </c>
      <c r="D460">
        <v>177.56</v>
      </c>
      <c r="E460">
        <v>181.62</v>
      </c>
      <c r="F460">
        <v>92.06</v>
      </c>
      <c r="G460">
        <v>84.62</v>
      </c>
      <c r="H460">
        <v>79.17</v>
      </c>
      <c r="K460" s="9">
        <f t="shared" si="66"/>
        <v>-1.3299999999999841</v>
      </c>
      <c r="L460">
        <f t="shared" si="67"/>
        <v>-1.3300000000000125</v>
      </c>
      <c r="M460">
        <f t="shared" si="68"/>
        <v>-0.61000000000001364</v>
      </c>
      <c r="N460">
        <f t="shared" si="69"/>
        <v>0.5</v>
      </c>
      <c r="O460">
        <f t="shared" si="70"/>
        <v>0.54999999999999716</v>
      </c>
      <c r="P460" s="10">
        <f t="shared" si="71"/>
        <v>0.73000000000000398</v>
      </c>
    </row>
    <row r="461" spans="1:16">
      <c r="A461">
        <v>72.67</v>
      </c>
      <c r="B461" s="42">
        <v>172.01</v>
      </c>
      <c r="C461">
        <v>176.4</v>
      </c>
      <c r="D461">
        <v>177.28</v>
      </c>
      <c r="E461">
        <v>181.51</v>
      </c>
      <c r="F461">
        <v>92.28</v>
      </c>
      <c r="G461">
        <v>84.78</v>
      </c>
      <c r="H461">
        <v>79.28</v>
      </c>
      <c r="K461" s="9">
        <f t="shared" si="66"/>
        <v>-1.2800000000000011</v>
      </c>
      <c r="L461">
        <f t="shared" si="67"/>
        <v>-1.4399999999999977</v>
      </c>
      <c r="M461">
        <f t="shared" si="68"/>
        <v>-0.84000000000000341</v>
      </c>
      <c r="N461">
        <f t="shared" si="69"/>
        <v>0.34000000000000341</v>
      </c>
      <c r="O461">
        <f t="shared" si="70"/>
        <v>0.45000000000000284</v>
      </c>
      <c r="P461" s="10">
        <f t="shared" si="71"/>
        <v>0.73000000000000398</v>
      </c>
    </row>
    <row r="462" spans="1:16">
      <c r="A462">
        <v>72.83</v>
      </c>
      <c r="B462" s="42">
        <v>171.62</v>
      </c>
      <c r="C462">
        <v>175.73</v>
      </c>
      <c r="D462">
        <v>176.62</v>
      </c>
      <c r="E462">
        <v>181.34</v>
      </c>
      <c r="F462">
        <v>92.4</v>
      </c>
      <c r="G462">
        <v>85.06</v>
      </c>
      <c r="H462">
        <v>79.67</v>
      </c>
      <c r="K462" s="9">
        <f t="shared" si="66"/>
        <v>-1.0600000000000023</v>
      </c>
      <c r="L462">
        <f t="shared" si="67"/>
        <v>-1.2199999999999989</v>
      </c>
      <c r="M462">
        <f t="shared" si="68"/>
        <v>-1</v>
      </c>
      <c r="N462">
        <f t="shared" si="69"/>
        <v>0.37999999999999545</v>
      </c>
      <c r="O462">
        <f t="shared" si="70"/>
        <v>0.34000000000000341</v>
      </c>
      <c r="P462" s="10">
        <f t="shared" si="71"/>
        <v>0.39000000000000057</v>
      </c>
    </row>
    <row r="463" spans="1:16">
      <c r="A463">
        <v>73</v>
      </c>
      <c r="B463" s="42">
        <v>170.56</v>
      </c>
      <c r="C463">
        <v>175.4</v>
      </c>
      <c r="D463">
        <v>176.23</v>
      </c>
      <c r="E463">
        <v>181.01</v>
      </c>
      <c r="F463">
        <v>92.56</v>
      </c>
      <c r="G463">
        <v>85.17</v>
      </c>
      <c r="H463">
        <v>79.900000000000006</v>
      </c>
      <c r="K463" s="9">
        <f t="shared" si="66"/>
        <v>-0.84000000000000341</v>
      </c>
      <c r="L463">
        <f t="shared" si="67"/>
        <v>-1.1099999999999852</v>
      </c>
      <c r="M463">
        <f t="shared" si="68"/>
        <v>-0.78000000000000114</v>
      </c>
      <c r="N463">
        <f t="shared" si="69"/>
        <v>0.17000000000000171</v>
      </c>
      <c r="O463">
        <f t="shared" si="70"/>
        <v>0.34000000000000341</v>
      </c>
      <c r="P463" s="10">
        <f t="shared" si="71"/>
        <v>0.37999999999999545</v>
      </c>
    </row>
    <row r="464" spans="1:16">
      <c r="A464">
        <v>73.17</v>
      </c>
      <c r="B464" s="42">
        <v>169.67</v>
      </c>
      <c r="C464">
        <v>175.12</v>
      </c>
      <c r="D464">
        <v>175.84</v>
      </c>
      <c r="E464">
        <v>180.67</v>
      </c>
      <c r="F464">
        <v>92.62</v>
      </c>
      <c r="G464">
        <v>85.23</v>
      </c>
      <c r="H464">
        <v>80.010000000000005</v>
      </c>
      <c r="K464" s="9">
        <f t="shared" si="66"/>
        <v>-0.67000000000001592</v>
      </c>
      <c r="L464">
        <f t="shared" si="67"/>
        <v>-1</v>
      </c>
      <c r="M464">
        <f t="shared" si="68"/>
        <v>-0.76999999999998181</v>
      </c>
      <c r="N464">
        <f t="shared" si="69"/>
        <v>0.15999999999999659</v>
      </c>
      <c r="O464">
        <f t="shared" si="70"/>
        <v>0.28000000000000114</v>
      </c>
      <c r="P464" s="10">
        <f t="shared" si="71"/>
        <v>0.43999999999999773</v>
      </c>
    </row>
    <row r="465" spans="1:16">
      <c r="A465">
        <v>73.33</v>
      </c>
      <c r="B465" s="42">
        <v>169.73</v>
      </c>
      <c r="C465">
        <v>174.67</v>
      </c>
      <c r="D465">
        <v>175.4</v>
      </c>
      <c r="E465">
        <v>180.34</v>
      </c>
      <c r="F465">
        <v>92.78</v>
      </c>
      <c r="G465">
        <v>85.4</v>
      </c>
      <c r="H465">
        <v>80.06</v>
      </c>
      <c r="K465" s="9">
        <f t="shared" si="66"/>
        <v>-0.43999999999999773</v>
      </c>
      <c r="L465">
        <f t="shared" si="67"/>
        <v>-0.67000000000001592</v>
      </c>
      <c r="M465">
        <f t="shared" si="68"/>
        <v>-0.71999999999999886</v>
      </c>
      <c r="N465">
        <f t="shared" si="69"/>
        <v>6.0000000000002274E-2</v>
      </c>
      <c r="O465">
        <f t="shared" si="70"/>
        <v>0.32999999999999829</v>
      </c>
      <c r="P465" s="10">
        <f t="shared" si="71"/>
        <v>0.56000000000000227</v>
      </c>
    </row>
    <row r="466" spans="1:16">
      <c r="A466">
        <v>73.5</v>
      </c>
      <c r="B466" s="42">
        <v>170.34</v>
      </c>
      <c r="C466">
        <v>174.56</v>
      </c>
      <c r="D466">
        <v>175.12</v>
      </c>
      <c r="E466">
        <v>180.23</v>
      </c>
      <c r="F466">
        <v>92.73</v>
      </c>
      <c r="G466">
        <v>85.51</v>
      </c>
      <c r="H466">
        <v>80.28</v>
      </c>
      <c r="K466" s="9">
        <f t="shared" si="66"/>
        <v>-0.43999999999999773</v>
      </c>
      <c r="L466">
        <f t="shared" si="67"/>
        <v>-0.56000000000000227</v>
      </c>
      <c r="M466">
        <f t="shared" si="68"/>
        <v>-0.56000000000000227</v>
      </c>
      <c r="N466">
        <f t="shared" si="69"/>
        <v>0.21999999999999886</v>
      </c>
      <c r="O466">
        <f t="shared" si="70"/>
        <v>0.26999999999999602</v>
      </c>
      <c r="P466" s="10">
        <f t="shared" si="71"/>
        <v>0.5</v>
      </c>
    </row>
    <row r="467" spans="1:16">
      <c r="A467">
        <v>73.67</v>
      </c>
      <c r="B467" s="42">
        <v>169.84</v>
      </c>
      <c r="C467">
        <v>174.45</v>
      </c>
      <c r="D467">
        <v>174.84</v>
      </c>
      <c r="E467">
        <v>179.9</v>
      </c>
      <c r="F467">
        <v>92.78</v>
      </c>
      <c r="G467">
        <v>85.51</v>
      </c>
      <c r="H467">
        <v>80.45</v>
      </c>
      <c r="K467" s="9">
        <f t="shared" si="66"/>
        <v>-0.32999999999998408</v>
      </c>
      <c r="L467">
        <f t="shared" si="67"/>
        <v>-0.43999999999999773</v>
      </c>
      <c r="M467">
        <f t="shared" si="68"/>
        <v>-0.39000000000001478</v>
      </c>
      <c r="N467">
        <f t="shared" si="69"/>
        <v>0.23000000000000398</v>
      </c>
      <c r="O467">
        <f t="shared" si="70"/>
        <v>0.43999999999999773</v>
      </c>
      <c r="P467" s="10">
        <f t="shared" si="71"/>
        <v>0.32999999999999829</v>
      </c>
    </row>
    <row r="468" spans="1:16">
      <c r="A468">
        <v>73.83</v>
      </c>
      <c r="B468" s="42">
        <v>170.12</v>
      </c>
      <c r="C468">
        <v>174.23</v>
      </c>
      <c r="D468">
        <v>174.73</v>
      </c>
      <c r="E468">
        <v>179.62</v>
      </c>
      <c r="F468">
        <v>92.84</v>
      </c>
      <c r="G468">
        <v>85.73</v>
      </c>
      <c r="H468">
        <v>80.62</v>
      </c>
      <c r="K468" s="9">
        <f t="shared" si="66"/>
        <v>-0.28000000000000114</v>
      </c>
      <c r="L468">
        <f t="shared" si="67"/>
        <v>-0.5</v>
      </c>
      <c r="M468">
        <f t="shared" si="68"/>
        <v>-0.17000000000001592</v>
      </c>
      <c r="N468">
        <f t="shared" si="69"/>
        <v>0.28000000000000114</v>
      </c>
      <c r="O468">
        <f t="shared" si="70"/>
        <v>0.32999999999999829</v>
      </c>
      <c r="P468" s="10">
        <f t="shared" si="71"/>
        <v>0.15999999999999659</v>
      </c>
    </row>
    <row r="469" spans="1:16">
      <c r="A469">
        <v>74</v>
      </c>
      <c r="B469" s="42">
        <v>170.73</v>
      </c>
      <c r="C469">
        <v>174.12</v>
      </c>
      <c r="D469">
        <v>174.56</v>
      </c>
      <c r="E469">
        <v>179.67</v>
      </c>
      <c r="F469">
        <v>92.95</v>
      </c>
      <c r="G469">
        <v>85.78</v>
      </c>
      <c r="H469">
        <v>80.78</v>
      </c>
      <c r="K469" s="9">
        <f t="shared" si="66"/>
        <v>-0.39000000000001478</v>
      </c>
      <c r="L469">
        <f t="shared" si="67"/>
        <v>-0.61000000000001364</v>
      </c>
      <c r="M469">
        <f t="shared" si="68"/>
        <v>-0.43999999999999773</v>
      </c>
      <c r="N469">
        <f t="shared" si="69"/>
        <v>6.0000000000002274E-2</v>
      </c>
      <c r="O469">
        <f t="shared" si="70"/>
        <v>0.28000000000000114</v>
      </c>
      <c r="P469" s="10">
        <f t="shared" si="71"/>
        <v>-0.10999999999999943</v>
      </c>
    </row>
    <row r="470" spans="1:16">
      <c r="A470">
        <v>74.17</v>
      </c>
      <c r="B470" s="42">
        <v>171.84</v>
      </c>
      <c r="C470">
        <v>174.12</v>
      </c>
      <c r="D470">
        <v>174.4</v>
      </c>
      <c r="E470">
        <v>179.51</v>
      </c>
      <c r="F470">
        <v>93.01</v>
      </c>
      <c r="G470">
        <v>85.95</v>
      </c>
      <c r="H470">
        <v>80.78</v>
      </c>
      <c r="K470" s="9">
        <f t="shared" si="66"/>
        <v>-0.39000000000001478</v>
      </c>
      <c r="L470">
        <f t="shared" si="67"/>
        <v>-0.39000000000001478</v>
      </c>
      <c r="M470">
        <f t="shared" si="68"/>
        <v>-0.22999999999998977</v>
      </c>
      <c r="N470">
        <f t="shared" si="69"/>
        <v>0.10999999999999943</v>
      </c>
      <c r="O470">
        <f t="shared" si="70"/>
        <v>0.32999999999999829</v>
      </c>
      <c r="P470" s="10">
        <f t="shared" si="71"/>
        <v>-0.10999999999999943</v>
      </c>
    </row>
    <row r="471" spans="1:16">
      <c r="A471">
        <v>74.33</v>
      </c>
      <c r="B471" s="42">
        <v>172.73</v>
      </c>
      <c r="C471">
        <v>173.95</v>
      </c>
      <c r="D471">
        <v>174.23</v>
      </c>
      <c r="E471">
        <v>179.45</v>
      </c>
      <c r="F471">
        <v>93.12</v>
      </c>
      <c r="G471">
        <v>86.06</v>
      </c>
      <c r="H471">
        <v>80.78</v>
      </c>
      <c r="K471" s="9">
        <f t="shared" si="66"/>
        <v>-0.38999999999998636</v>
      </c>
      <c r="L471">
        <f t="shared" si="67"/>
        <v>-0.16999999999998749</v>
      </c>
      <c r="M471">
        <f t="shared" si="68"/>
        <v>-0.21999999999999886</v>
      </c>
      <c r="N471">
        <f t="shared" si="69"/>
        <v>4.9999999999997158E-2</v>
      </c>
      <c r="O471">
        <f t="shared" si="70"/>
        <v>0.28000000000000114</v>
      </c>
      <c r="P471" s="10">
        <f t="shared" si="71"/>
        <v>-0.10999999999999943</v>
      </c>
    </row>
    <row r="472" spans="1:16">
      <c r="A472">
        <v>74.5</v>
      </c>
      <c r="B472" s="42">
        <v>173.56</v>
      </c>
      <c r="C472">
        <v>173.73</v>
      </c>
      <c r="D472">
        <v>173.95</v>
      </c>
      <c r="E472">
        <v>179.23</v>
      </c>
      <c r="F472">
        <v>93.01</v>
      </c>
      <c r="G472">
        <v>86.06</v>
      </c>
      <c r="H472">
        <v>80.67</v>
      </c>
      <c r="K472" s="9">
        <f t="shared" si="66"/>
        <v>0</v>
      </c>
      <c r="L472">
        <f t="shared" si="67"/>
        <v>0.33000000000001251</v>
      </c>
      <c r="M472">
        <f t="shared" si="68"/>
        <v>0</v>
      </c>
      <c r="N472">
        <f t="shared" si="69"/>
        <v>0.15999999999999659</v>
      </c>
      <c r="O472">
        <f t="shared" si="70"/>
        <v>0.39000000000000057</v>
      </c>
      <c r="P472" s="10">
        <f t="shared" si="71"/>
        <v>0</v>
      </c>
    </row>
    <row r="473" spans="1:16">
      <c r="A473">
        <v>74.67</v>
      </c>
      <c r="B473" s="42">
        <v>174.01</v>
      </c>
      <c r="C473">
        <v>173.73</v>
      </c>
      <c r="D473">
        <v>174.01</v>
      </c>
      <c r="E473">
        <v>179.28</v>
      </c>
      <c r="F473">
        <v>93.12</v>
      </c>
      <c r="G473">
        <v>86.28</v>
      </c>
      <c r="H473">
        <v>80.67</v>
      </c>
      <c r="K473" s="9">
        <f t="shared" ref="K473:K536" si="72">C476-C473</f>
        <v>0.17000000000001592</v>
      </c>
      <c r="L473">
        <f t="shared" ref="L473:L536" si="73">D476-D473</f>
        <v>0.55000000000001137</v>
      </c>
      <c r="M473">
        <f t="shared" ref="M473:M536" si="74">E476-E473</f>
        <v>0.84000000000000341</v>
      </c>
      <c r="N473">
        <f t="shared" ref="N473:N536" si="75">F476-F473</f>
        <v>0.10999999999999943</v>
      </c>
      <c r="O473">
        <f t="shared" ref="O473:O536" si="76">G476-G473</f>
        <v>0.23000000000000398</v>
      </c>
      <c r="P473" s="10">
        <f t="shared" ref="P473:P536" si="77">H476-H473</f>
        <v>0.10999999999999943</v>
      </c>
    </row>
    <row r="474" spans="1:16">
      <c r="A474">
        <v>74.83</v>
      </c>
      <c r="B474" s="42">
        <v>173.9</v>
      </c>
      <c r="C474">
        <v>173.56</v>
      </c>
      <c r="D474">
        <v>174.06</v>
      </c>
      <c r="E474">
        <v>179.23</v>
      </c>
      <c r="F474">
        <v>93.17</v>
      </c>
      <c r="G474">
        <v>86.34</v>
      </c>
      <c r="H474">
        <v>80.67</v>
      </c>
      <c r="K474" s="9">
        <f t="shared" si="72"/>
        <v>0.44999999999998863</v>
      </c>
      <c r="L474">
        <f t="shared" si="73"/>
        <v>0.66999999999998749</v>
      </c>
      <c r="M474">
        <f t="shared" si="74"/>
        <v>2.7199999999999989</v>
      </c>
      <c r="N474">
        <f t="shared" si="75"/>
        <v>0.23000000000000398</v>
      </c>
      <c r="O474">
        <f t="shared" si="76"/>
        <v>0.32999999999999829</v>
      </c>
      <c r="P474" s="10">
        <f t="shared" si="77"/>
        <v>0.39000000000000057</v>
      </c>
    </row>
    <row r="475" spans="1:16">
      <c r="A475">
        <v>75</v>
      </c>
      <c r="B475" s="42">
        <v>173.73</v>
      </c>
      <c r="C475">
        <v>173.73</v>
      </c>
      <c r="D475">
        <v>174.28</v>
      </c>
      <c r="E475">
        <v>179.23</v>
      </c>
      <c r="F475">
        <v>93.17</v>
      </c>
      <c r="G475">
        <v>86.45</v>
      </c>
      <c r="H475">
        <v>80.67</v>
      </c>
      <c r="K475" s="9">
        <f t="shared" si="72"/>
        <v>-6.0000000000002274E-2</v>
      </c>
      <c r="L475">
        <f t="shared" si="73"/>
        <v>0.22999999999998977</v>
      </c>
      <c r="M475">
        <f t="shared" si="74"/>
        <v>3.2800000000000011</v>
      </c>
      <c r="N475">
        <f t="shared" si="75"/>
        <v>0.28000000000000114</v>
      </c>
      <c r="O475">
        <f t="shared" si="76"/>
        <v>0.32999999999999829</v>
      </c>
      <c r="P475" s="10">
        <f t="shared" si="77"/>
        <v>0.5</v>
      </c>
    </row>
    <row r="476" spans="1:16">
      <c r="A476">
        <v>75.17</v>
      </c>
      <c r="B476" s="42">
        <v>173.62</v>
      </c>
      <c r="C476">
        <v>173.9</v>
      </c>
      <c r="D476">
        <v>174.56</v>
      </c>
      <c r="E476">
        <v>180.12</v>
      </c>
      <c r="F476">
        <v>93.23</v>
      </c>
      <c r="G476">
        <v>86.51</v>
      </c>
      <c r="H476">
        <v>80.78</v>
      </c>
      <c r="K476" s="9">
        <f t="shared" si="72"/>
        <v>-0.78000000000000114</v>
      </c>
      <c r="L476">
        <f t="shared" si="73"/>
        <v>-0.43999999999999773</v>
      </c>
      <c r="M476">
        <f t="shared" si="74"/>
        <v>2.3299999999999841</v>
      </c>
      <c r="N476">
        <f t="shared" si="75"/>
        <v>0.28000000000000114</v>
      </c>
      <c r="O476">
        <f t="shared" si="76"/>
        <v>0.39000000000000057</v>
      </c>
      <c r="P476" s="10">
        <f t="shared" si="77"/>
        <v>0.39000000000000057</v>
      </c>
    </row>
    <row r="477" spans="1:16">
      <c r="A477">
        <v>75.33</v>
      </c>
      <c r="B477" s="42">
        <v>173.56</v>
      </c>
      <c r="C477">
        <v>174.01</v>
      </c>
      <c r="D477">
        <v>174.73</v>
      </c>
      <c r="E477">
        <v>181.95</v>
      </c>
      <c r="F477">
        <v>93.4</v>
      </c>
      <c r="G477">
        <v>86.67</v>
      </c>
      <c r="H477">
        <v>81.06</v>
      </c>
      <c r="K477" s="9">
        <f t="shared" si="72"/>
        <v>-1.1099999999999852</v>
      </c>
      <c r="L477">
        <f t="shared" si="73"/>
        <v>-1</v>
      </c>
      <c r="M477">
        <f t="shared" si="74"/>
        <v>6.0000000000002274E-2</v>
      </c>
      <c r="N477">
        <f t="shared" si="75"/>
        <v>0.26999999999999602</v>
      </c>
      <c r="O477">
        <f t="shared" si="76"/>
        <v>0.34000000000000341</v>
      </c>
      <c r="P477" s="10">
        <f t="shared" si="77"/>
        <v>0.17000000000000171</v>
      </c>
    </row>
    <row r="478" spans="1:16">
      <c r="A478">
        <v>75.5</v>
      </c>
      <c r="B478" s="42">
        <v>173.51</v>
      </c>
      <c r="C478">
        <v>173.67</v>
      </c>
      <c r="D478">
        <v>174.51</v>
      </c>
      <c r="E478">
        <v>182.51</v>
      </c>
      <c r="F478">
        <v>93.45</v>
      </c>
      <c r="G478">
        <v>86.78</v>
      </c>
      <c r="H478">
        <v>81.17</v>
      </c>
      <c r="K478" s="9">
        <f t="shared" si="72"/>
        <v>-1.3899999999999864</v>
      </c>
      <c r="L478">
        <f t="shared" si="73"/>
        <v>-1.2800000000000011</v>
      </c>
      <c r="M478">
        <f t="shared" si="74"/>
        <v>-0.66999999999998749</v>
      </c>
      <c r="N478">
        <f t="shared" si="75"/>
        <v>0.28000000000000114</v>
      </c>
      <c r="O478">
        <f t="shared" si="76"/>
        <v>0.28000000000000114</v>
      </c>
      <c r="P478" s="10">
        <f t="shared" si="77"/>
        <v>6.0000000000002274E-2</v>
      </c>
    </row>
    <row r="479" spans="1:16">
      <c r="A479">
        <v>75.67</v>
      </c>
      <c r="B479" s="42">
        <v>173.45</v>
      </c>
      <c r="C479">
        <v>173.12</v>
      </c>
      <c r="D479">
        <v>174.12</v>
      </c>
      <c r="E479">
        <v>182.45</v>
      </c>
      <c r="F479">
        <v>93.51</v>
      </c>
      <c r="G479">
        <v>86.9</v>
      </c>
      <c r="H479">
        <v>81.17</v>
      </c>
      <c r="K479" s="9">
        <f t="shared" si="72"/>
        <v>-1.4500000000000171</v>
      </c>
      <c r="L479">
        <f t="shared" si="73"/>
        <v>-1.5</v>
      </c>
      <c r="M479">
        <f t="shared" si="74"/>
        <v>-0.82999999999998408</v>
      </c>
      <c r="N479">
        <f t="shared" si="75"/>
        <v>0.54999999999999716</v>
      </c>
      <c r="O479">
        <f t="shared" si="76"/>
        <v>0.32999999999999829</v>
      </c>
      <c r="P479" s="10">
        <f t="shared" si="77"/>
        <v>0.17000000000000171</v>
      </c>
    </row>
    <row r="480" spans="1:16">
      <c r="A480">
        <v>75.83</v>
      </c>
      <c r="B480" s="42">
        <v>173.4</v>
      </c>
      <c r="C480">
        <v>172.9</v>
      </c>
      <c r="D480">
        <v>173.73</v>
      </c>
      <c r="E480">
        <v>182.01</v>
      </c>
      <c r="F480">
        <v>93.67</v>
      </c>
      <c r="G480">
        <v>87.01</v>
      </c>
      <c r="H480">
        <v>81.23</v>
      </c>
      <c r="K480" s="9">
        <f t="shared" si="72"/>
        <v>-1.2800000000000011</v>
      </c>
      <c r="L480">
        <f t="shared" si="73"/>
        <v>-1.3899999999999864</v>
      </c>
      <c r="M480">
        <f t="shared" si="74"/>
        <v>-0.66999999999998749</v>
      </c>
      <c r="N480">
        <f t="shared" si="75"/>
        <v>0.45000000000000284</v>
      </c>
      <c r="O480">
        <f t="shared" si="76"/>
        <v>0.39000000000000057</v>
      </c>
      <c r="P480" s="10">
        <f t="shared" si="77"/>
        <v>0.21999999999999886</v>
      </c>
    </row>
    <row r="481" spans="1:16">
      <c r="A481">
        <v>76</v>
      </c>
      <c r="B481" s="42">
        <v>172.95</v>
      </c>
      <c r="C481">
        <v>172.28</v>
      </c>
      <c r="D481">
        <v>173.23</v>
      </c>
      <c r="E481">
        <v>181.84</v>
      </c>
      <c r="F481">
        <v>93.73</v>
      </c>
      <c r="G481">
        <v>87.06</v>
      </c>
      <c r="H481">
        <v>81.23</v>
      </c>
      <c r="K481" s="9">
        <f t="shared" si="72"/>
        <v>-0.65999999999999659</v>
      </c>
      <c r="L481">
        <f t="shared" si="73"/>
        <v>-1.0600000000000023</v>
      </c>
      <c r="M481">
        <f t="shared" si="74"/>
        <v>-0.71999999999999886</v>
      </c>
      <c r="N481">
        <f t="shared" si="75"/>
        <v>0.54999999999999716</v>
      </c>
      <c r="O481">
        <f t="shared" si="76"/>
        <v>0.45000000000000284</v>
      </c>
      <c r="P481" s="10">
        <f t="shared" si="77"/>
        <v>0.28000000000000114</v>
      </c>
    </row>
    <row r="482" spans="1:16">
      <c r="A482">
        <v>76.17</v>
      </c>
      <c r="B482" s="42">
        <v>172.84</v>
      </c>
      <c r="C482">
        <v>171.67</v>
      </c>
      <c r="D482">
        <v>172.62</v>
      </c>
      <c r="E482">
        <v>181.62</v>
      </c>
      <c r="F482">
        <v>94.06</v>
      </c>
      <c r="G482">
        <v>87.23</v>
      </c>
      <c r="H482">
        <v>81.34</v>
      </c>
      <c r="K482" s="9">
        <f t="shared" si="72"/>
        <v>0.17000000000001592</v>
      </c>
      <c r="L482">
        <f t="shared" si="73"/>
        <v>-0.5</v>
      </c>
      <c r="M482">
        <f t="shared" si="74"/>
        <v>-0.78000000000000114</v>
      </c>
      <c r="N482">
        <f t="shared" si="75"/>
        <v>0.28000000000000114</v>
      </c>
      <c r="O482">
        <f t="shared" si="76"/>
        <v>0.32999999999999829</v>
      </c>
      <c r="P482" s="10">
        <f t="shared" si="77"/>
        <v>0.21999999999999886</v>
      </c>
    </row>
    <row r="483" spans="1:16">
      <c r="A483">
        <v>76.33</v>
      </c>
      <c r="B483" s="42">
        <v>173.12</v>
      </c>
      <c r="C483">
        <v>171.62</v>
      </c>
      <c r="D483">
        <v>172.34</v>
      </c>
      <c r="E483">
        <v>181.34</v>
      </c>
      <c r="F483">
        <v>94.12</v>
      </c>
      <c r="G483">
        <v>87.4</v>
      </c>
      <c r="H483">
        <v>81.45</v>
      </c>
      <c r="K483" s="9">
        <f t="shared" si="72"/>
        <v>0.32999999999998408</v>
      </c>
      <c r="L483">
        <f t="shared" si="73"/>
        <v>-0.11000000000001364</v>
      </c>
      <c r="M483">
        <f t="shared" si="74"/>
        <v>-0.67000000000001592</v>
      </c>
      <c r="N483">
        <f t="shared" si="75"/>
        <v>0.39000000000000057</v>
      </c>
      <c r="O483">
        <f t="shared" si="76"/>
        <v>0.37999999999999545</v>
      </c>
      <c r="P483" s="10">
        <f t="shared" si="77"/>
        <v>0.32999999999999829</v>
      </c>
    </row>
    <row r="484" spans="1:16">
      <c r="A484">
        <v>76.5</v>
      </c>
      <c r="B484" s="42">
        <v>172.95</v>
      </c>
      <c r="C484">
        <v>171.62</v>
      </c>
      <c r="D484">
        <v>172.17</v>
      </c>
      <c r="E484">
        <v>181.12</v>
      </c>
      <c r="F484">
        <v>94.28</v>
      </c>
      <c r="G484">
        <v>87.51</v>
      </c>
      <c r="H484">
        <v>81.510000000000005</v>
      </c>
      <c r="K484" s="9">
        <f t="shared" si="72"/>
        <v>0.21999999999999886</v>
      </c>
      <c r="L484">
        <f t="shared" si="73"/>
        <v>-0.15999999999999659</v>
      </c>
      <c r="M484">
        <f t="shared" si="74"/>
        <v>-0.78000000000000114</v>
      </c>
      <c r="N484">
        <f t="shared" si="75"/>
        <v>0.39000000000000057</v>
      </c>
      <c r="O484">
        <f t="shared" si="76"/>
        <v>0.39000000000000057</v>
      </c>
      <c r="P484" s="10">
        <f t="shared" si="77"/>
        <v>0.39000000000000057</v>
      </c>
    </row>
    <row r="485" spans="1:16">
      <c r="A485">
        <v>76.67</v>
      </c>
      <c r="B485" s="42">
        <v>172.9</v>
      </c>
      <c r="C485">
        <v>171.84</v>
      </c>
      <c r="D485">
        <v>172.12</v>
      </c>
      <c r="E485">
        <v>180.84</v>
      </c>
      <c r="F485">
        <v>94.34</v>
      </c>
      <c r="G485">
        <v>87.56</v>
      </c>
      <c r="H485">
        <v>81.56</v>
      </c>
      <c r="K485" s="9">
        <f t="shared" si="72"/>
        <v>0.16999999999998749</v>
      </c>
      <c r="L485">
        <f t="shared" si="73"/>
        <v>4.9999999999982947E-2</v>
      </c>
      <c r="M485">
        <f t="shared" si="74"/>
        <v>-0.43999999999999773</v>
      </c>
      <c r="N485">
        <f t="shared" si="75"/>
        <v>0.43999999999999773</v>
      </c>
      <c r="O485">
        <f t="shared" si="76"/>
        <v>0.5</v>
      </c>
      <c r="P485" s="10">
        <f t="shared" si="77"/>
        <v>0.60999999999999943</v>
      </c>
    </row>
    <row r="486" spans="1:16">
      <c r="A486">
        <v>76.83</v>
      </c>
      <c r="B486" s="42">
        <v>173.34</v>
      </c>
      <c r="C486">
        <v>171.95</v>
      </c>
      <c r="D486">
        <v>172.23</v>
      </c>
      <c r="E486">
        <v>180.67</v>
      </c>
      <c r="F486">
        <v>94.51</v>
      </c>
      <c r="G486">
        <v>87.78</v>
      </c>
      <c r="H486">
        <v>81.78</v>
      </c>
      <c r="K486" s="9">
        <f t="shared" si="72"/>
        <v>0.11000000000001364</v>
      </c>
      <c r="L486">
        <f t="shared" si="73"/>
        <v>5.0000000000011369E-2</v>
      </c>
      <c r="M486">
        <f t="shared" si="74"/>
        <v>-0.5</v>
      </c>
      <c r="N486">
        <f t="shared" si="75"/>
        <v>0.39000000000000057</v>
      </c>
      <c r="O486">
        <f t="shared" si="76"/>
        <v>0.39000000000000057</v>
      </c>
      <c r="P486" s="10">
        <f t="shared" si="77"/>
        <v>0.56000000000000227</v>
      </c>
    </row>
    <row r="487" spans="1:16">
      <c r="A487">
        <v>77</v>
      </c>
      <c r="B487" s="42">
        <v>174.23</v>
      </c>
      <c r="C487">
        <v>171.84</v>
      </c>
      <c r="D487">
        <v>172.01</v>
      </c>
      <c r="E487">
        <v>180.34</v>
      </c>
      <c r="F487">
        <v>94.67</v>
      </c>
      <c r="G487">
        <v>87.9</v>
      </c>
      <c r="H487">
        <v>81.900000000000006</v>
      </c>
      <c r="K487" s="9">
        <f t="shared" si="72"/>
        <v>0.16999999999998749</v>
      </c>
      <c r="L487">
        <f t="shared" si="73"/>
        <v>0.15999999999999659</v>
      </c>
      <c r="M487">
        <f t="shared" si="74"/>
        <v>-0.43999999999999773</v>
      </c>
      <c r="N487">
        <f t="shared" si="75"/>
        <v>0.34000000000000341</v>
      </c>
      <c r="O487">
        <f t="shared" si="76"/>
        <v>0.43999999999999773</v>
      </c>
      <c r="P487" s="10">
        <f t="shared" si="77"/>
        <v>0.60999999999999943</v>
      </c>
    </row>
    <row r="488" spans="1:16">
      <c r="A488">
        <v>77.17</v>
      </c>
      <c r="B488" s="42">
        <v>175.01</v>
      </c>
      <c r="C488">
        <v>172.01</v>
      </c>
      <c r="D488">
        <v>172.17</v>
      </c>
      <c r="E488">
        <v>180.4</v>
      </c>
      <c r="F488">
        <v>94.78</v>
      </c>
      <c r="G488">
        <v>88.06</v>
      </c>
      <c r="H488">
        <v>82.17</v>
      </c>
      <c r="K488" s="9">
        <f t="shared" si="72"/>
        <v>-0.28000000000000114</v>
      </c>
      <c r="L488">
        <f t="shared" si="73"/>
        <v>-0.15999999999999659</v>
      </c>
      <c r="M488">
        <f t="shared" si="74"/>
        <v>-1</v>
      </c>
      <c r="N488">
        <f t="shared" si="75"/>
        <v>0.23000000000000398</v>
      </c>
      <c r="O488">
        <f t="shared" si="76"/>
        <v>0.34000000000000341</v>
      </c>
      <c r="P488" s="10">
        <f t="shared" si="77"/>
        <v>0.34000000000000341</v>
      </c>
    </row>
    <row r="489" spans="1:16">
      <c r="A489">
        <v>77.33</v>
      </c>
      <c r="B489" s="42">
        <v>176.51</v>
      </c>
      <c r="C489">
        <v>172.06</v>
      </c>
      <c r="D489">
        <v>172.28</v>
      </c>
      <c r="E489">
        <v>180.17</v>
      </c>
      <c r="F489">
        <v>94.9</v>
      </c>
      <c r="G489">
        <v>88.17</v>
      </c>
      <c r="H489">
        <v>82.34</v>
      </c>
      <c r="K489" s="9">
        <f t="shared" si="72"/>
        <v>-0.28000000000000114</v>
      </c>
      <c r="L489">
        <f t="shared" si="73"/>
        <v>-0.15999999999999659</v>
      </c>
      <c r="M489">
        <f t="shared" si="74"/>
        <v>-1</v>
      </c>
      <c r="N489">
        <f t="shared" si="75"/>
        <v>0.21999999999999886</v>
      </c>
      <c r="O489">
        <f t="shared" si="76"/>
        <v>0.34000000000000341</v>
      </c>
      <c r="P489" s="10">
        <f t="shared" si="77"/>
        <v>0.21999999999999886</v>
      </c>
    </row>
    <row r="490" spans="1:16">
      <c r="A490">
        <v>77.5</v>
      </c>
      <c r="B490" s="42">
        <v>177.28</v>
      </c>
      <c r="C490">
        <v>172.01</v>
      </c>
      <c r="D490">
        <v>172.17</v>
      </c>
      <c r="E490">
        <v>179.9</v>
      </c>
      <c r="F490">
        <v>95.01</v>
      </c>
      <c r="G490">
        <v>88.34</v>
      </c>
      <c r="H490">
        <v>82.51</v>
      </c>
      <c r="K490" s="9">
        <f t="shared" si="72"/>
        <v>-0.10999999999998522</v>
      </c>
      <c r="L490">
        <f t="shared" si="73"/>
        <v>0.28000000000000114</v>
      </c>
      <c r="M490">
        <f t="shared" si="74"/>
        <v>-1</v>
      </c>
      <c r="N490">
        <f t="shared" si="75"/>
        <v>0.32999999999999829</v>
      </c>
      <c r="O490">
        <f t="shared" si="76"/>
        <v>0.21999999999999886</v>
      </c>
      <c r="P490" s="10">
        <f t="shared" si="77"/>
        <v>0.10999999999999943</v>
      </c>
    </row>
    <row r="491" spans="1:16">
      <c r="A491">
        <v>77.67</v>
      </c>
      <c r="B491" s="42">
        <v>177.45</v>
      </c>
      <c r="C491">
        <v>171.73</v>
      </c>
      <c r="D491">
        <v>172.01</v>
      </c>
      <c r="E491">
        <v>179.4</v>
      </c>
      <c r="F491">
        <v>95.01</v>
      </c>
      <c r="G491">
        <v>88.4</v>
      </c>
      <c r="H491">
        <v>82.51</v>
      </c>
      <c r="K491" s="9">
        <f t="shared" si="72"/>
        <v>0.39000000000001478</v>
      </c>
      <c r="L491">
        <f t="shared" si="73"/>
        <v>0.77000000000001023</v>
      </c>
      <c r="M491">
        <f t="shared" si="74"/>
        <v>-0.23000000000001819</v>
      </c>
      <c r="N491">
        <f t="shared" si="75"/>
        <v>0.54999999999999716</v>
      </c>
      <c r="O491">
        <f t="shared" si="76"/>
        <v>0.32999999999999829</v>
      </c>
      <c r="P491" s="10">
        <f t="shared" si="77"/>
        <v>0.32999999999999829</v>
      </c>
    </row>
    <row r="492" spans="1:16">
      <c r="A492">
        <v>77.83</v>
      </c>
      <c r="B492" s="42">
        <v>177.56</v>
      </c>
      <c r="C492">
        <v>171.78</v>
      </c>
      <c r="D492">
        <v>172.12</v>
      </c>
      <c r="E492">
        <v>179.17</v>
      </c>
      <c r="F492">
        <v>95.12</v>
      </c>
      <c r="G492">
        <v>88.51</v>
      </c>
      <c r="H492">
        <v>82.56</v>
      </c>
      <c r="K492" s="9">
        <f t="shared" si="72"/>
        <v>0.56000000000000227</v>
      </c>
      <c r="L492">
        <f t="shared" si="73"/>
        <v>0.93999999999999773</v>
      </c>
      <c r="M492">
        <f t="shared" si="74"/>
        <v>1.4500000000000171</v>
      </c>
      <c r="N492">
        <f t="shared" si="75"/>
        <v>0.71999999999999886</v>
      </c>
      <c r="O492">
        <f t="shared" si="76"/>
        <v>0.43999999999999773</v>
      </c>
      <c r="P492" s="10">
        <f t="shared" si="77"/>
        <v>0.67000000000000171</v>
      </c>
    </row>
    <row r="493" spans="1:16">
      <c r="A493">
        <v>78</v>
      </c>
      <c r="B493" s="42">
        <v>177.28</v>
      </c>
      <c r="C493">
        <v>171.9</v>
      </c>
      <c r="D493">
        <v>172.45</v>
      </c>
      <c r="E493">
        <v>178.9</v>
      </c>
      <c r="F493">
        <v>95.34</v>
      </c>
      <c r="G493">
        <v>88.56</v>
      </c>
      <c r="H493">
        <v>82.62</v>
      </c>
      <c r="K493" s="9">
        <f t="shared" si="72"/>
        <v>0.32999999999998408</v>
      </c>
      <c r="L493">
        <f t="shared" si="73"/>
        <v>0.56000000000000227</v>
      </c>
      <c r="M493">
        <f t="shared" si="74"/>
        <v>2.3299999999999841</v>
      </c>
      <c r="N493">
        <f t="shared" si="75"/>
        <v>0.60999999999999943</v>
      </c>
      <c r="O493">
        <f t="shared" si="76"/>
        <v>0.45000000000000284</v>
      </c>
      <c r="P493" s="10">
        <f t="shared" si="77"/>
        <v>0.65999999999999659</v>
      </c>
    </row>
    <row r="494" spans="1:16">
      <c r="A494">
        <v>78.17</v>
      </c>
      <c r="B494" s="42">
        <v>177.17</v>
      </c>
      <c r="C494">
        <v>172.12</v>
      </c>
      <c r="D494">
        <v>172.78</v>
      </c>
      <c r="E494">
        <v>179.17</v>
      </c>
      <c r="F494">
        <v>95.56</v>
      </c>
      <c r="G494">
        <v>88.73</v>
      </c>
      <c r="H494">
        <v>82.84</v>
      </c>
      <c r="K494" s="9">
        <f t="shared" si="72"/>
        <v>-0.78000000000000114</v>
      </c>
      <c r="L494">
        <f t="shared" si="73"/>
        <v>-0.5</v>
      </c>
      <c r="M494">
        <f t="shared" si="74"/>
        <v>1.8900000000000148</v>
      </c>
      <c r="N494">
        <f t="shared" si="75"/>
        <v>0.5</v>
      </c>
      <c r="O494">
        <f t="shared" si="76"/>
        <v>0.43999999999999773</v>
      </c>
      <c r="P494" s="10">
        <f t="shared" si="77"/>
        <v>0.56000000000000227</v>
      </c>
    </row>
    <row r="495" spans="1:16">
      <c r="A495">
        <v>78.33</v>
      </c>
      <c r="B495" s="42">
        <v>177.17</v>
      </c>
      <c r="C495">
        <v>172.34</v>
      </c>
      <c r="D495">
        <v>173.06</v>
      </c>
      <c r="E495">
        <v>180.62</v>
      </c>
      <c r="F495">
        <v>95.84</v>
      </c>
      <c r="G495">
        <v>88.95</v>
      </c>
      <c r="H495">
        <v>83.23</v>
      </c>
      <c r="K495" s="9">
        <f t="shared" si="72"/>
        <v>-2.1700000000000159</v>
      </c>
      <c r="L495">
        <f t="shared" si="73"/>
        <v>-1.7800000000000011</v>
      </c>
      <c r="M495">
        <f t="shared" si="74"/>
        <v>0.21999999999999886</v>
      </c>
      <c r="N495">
        <f t="shared" si="75"/>
        <v>0.32999999999999829</v>
      </c>
      <c r="O495">
        <f t="shared" si="76"/>
        <v>0.39000000000000057</v>
      </c>
      <c r="P495" s="10">
        <f t="shared" si="77"/>
        <v>0.17000000000000171</v>
      </c>
    </row>
    <row r="496" spans="1:16">
      <c r="A496">
        <v>78.5</v>
      </c>
      <c r="B496" s="42">
        <v>176.95</v>
      </c>
      <c r="C496">
        <v>172.23</v>
      </c>
      <c r="D496">
        <v>173.01</v>
      </c>
      <c r="E496">
        <v>181.23</v>
      </c>
      <c r="F496">
        <v>95.95</v>
      </c>
      <c r="G496">
        <v>89.01</v>
      </c>
      <c r="H496">
        <v>83.28</v>
      </c>
      <c r="K496" s="9">
        <f t="shared" si="72"/>
        <v>-2.4499999999999886</v>
      </c>
      <c r="L496">
        <f t="shared" si="73"/>
        <v>-2.2299999999999898</v>
      </c>
      <c r="M496">
        <f t="shared" si="74"/>
        <v>-0.66999999999998749</v>
      </c>
      <c r="N496">
        <f t="shared" si="75"/>
        <v>0.45000000000000284</v>
      </c>
      <c r="O496">
        <f t="shared" si="76"/>
        <v>0.5</v>
      </c>
      <c r="P496" s="10">
        <f t="shared" si="77"/>
        <v>0.28000000000000114</v>
      </c>
    </row>
    <row r="497" spans="1:16">
      <c r="A497">
        <v>78.67</v>
      </c>
      <c r="B497" s="42">
        <v>176.45</v>
      </c>
      <c r="C497">
        <v>171.34</v>
      </c>
      <c r="D497">
        <v>172.28</v>
      </c>
      <c r="E497">
        <v>181.06</v>
      </c>
      <c r="F497">
        <v>96.06</v>
      </c>
      <c r="G497">
        <v>89.17</v>
      </c>
      <c r="H497">
        <v>83.4</v>
      </c>
      <c r="K497" s="9">
        <f t="shared" si="72"/>
        <v>-1.8300000000000125</v>
      </c>
      <c r="L497">
        <f t="shared" si="73"/>
        <v>-1.9399999999999977</v>
      </c>
      <c r="M497">
        <f t="shared" si="74"/>
        <v>-0.78000000000000114</v>
      </c>
      <c r="N497">
        <f t="shared" si="75"/>
        <v>0.39000000000000057</v>
      </c>
      <c r="O497">
        <f t="shared" si="76"/>
        <v>0.45000000000000284</v>
      </c>
      <c r="P497" s="10">
        <f t="shared" si="77"/>
        <v>0.15999999999999659</v>
      </c>
    </row>
    <row r="498" spans="1:16">
      <c r="A498">
        <v>78.83</v>
      </c>
      <c r="B498" s="42">
        <v>176.28</v>
      </c>
      <c r="C498">
        <v>170.17</v>
      </c>
      <c r="D498">
        <v>171.28</v>
      </c>
      <c r="E498">
        <v>180.84</v>
      </c>
      <c r="F498">
        <v>96.17</v>
      </c>
      <c r="G498">
        <v>89.34</v>
      </c>
      <c r="H498">
        <v>83.4</v>
      </c>
      <c r="K498" s="9">
        <f t="shared" si="72"/>
        <v>-0.71999999999999886</v>
      </c>
      <c r="L498">
        <f t="shared" si="73"/>
        <v>-1.1599999999999966</v>
      </c>
      <c r="M498">
        <f t="shared" si="74"/>
        <v>-0.67000000000001592</v>
      </c>
      <c r="N498">
        <f t="shared" si="75"/>
        <v>0.56000000000000227</v>
      </c>
      <c r="O498">
        <f t="shared" si="76"/>
        <v>0.56000000000000227</v>
      </c>
      <c r="P498" s="10">
        <f t="shared" si="77"/>
        <v>0.32999999999999829</v>
      </c>
    </row>
    <row r="499" spans="1:16">
      <c r="A499">
        <v>79</v>
      </c>
      <c r="B499" s="42">
        <v>176.12</v>
      </c>
      <c r="C499">
        <v>169.78</v>
      </c>
      <c r="D499">
        <v>170.78</v>
      </c>
      <c r="E499">
        <v>180.56</v>
      </c>
      <c r="F499">
        <v>96.4</v>
      </c>
      <c r="G499">
        <v>89.51</v>
      </c>
      <c r="H499">
        <v>83.56</v>
      </c>
      <c r="K499" s="9">
        <f t="shared" si="72"/>
        <v>-0.61000000000001364</v>
      </c>
      <c r="L499">
        <f t="shared" si="73"/>
        <v>-1.0500000000000114</v>
      </c>
      <c r="M499">
        <f t="shared" si="74"/>
        <v>-0.65999999999999659</v>
      </c>
      <c r="N499">
        <f t="shared" si="75"/>
        <v>0.32999999999999829</v>
      </c>
      <c r="O499">
        <f t="shared" si="76"/>
        <v>0.5</v>
      </c>
      <c r="P499" s="10">
        <f t="shared" si="77"/>
        <v>0.10999999999999943</v>
      </c>
    </row>
    <row r="500" spans="1:16">
      <c r="A500">
        <v>79.17</v>
      </c>
      <c r="B500" s="42">
        <v>175.4</v>
      </c>
      <c r="C500">
        <v>169.51</v>
      </c>
      <c r="D500">
        <v>170.34</v>
      </c>
      <c r="E500">
        <v>180.28</v>
      </c>
      <c r="F500">
        <v>96.45</v>
      </c>
      <c r="G500">
        <v>89.62</v>
      </c>
      <c r="H500">
        <v>83.56</v>
      </c>
      <c r="K500" s="9">
        <f t="shared" si="72"/>
        <v>-0.28000000000000114</v>
      </c>
      <c r="L500">
        <f t="shared" si="73"/>
        <v>-0.78000000000000114</v>
      </c>
      <c r="M500">
        <f t="shared" si="74"/>
        <v>-0.5</v>
      </c>
      <c r="N500">
        <f t="shared" si="75"/>
        <v>0.45000000000000284</v>
      </c>
      <c r="O500">
        <f t="shared" si="76"/>
        <v>0.54999999999999716</v>
      </c>
      <c r="P500" s="10">
        <f t="shared" si="77"/>
        <v>0.5</v>
      </c>
    </row>
    <row r="501" spans="1:16">
      <c r="A501">
        <v>79.33</v>
      </c>
      <c r="B501" s="42">
        <v>174.73</v>
      </c>
      <c r="C501">
        <v>169.45</v>
      </c>
      <c r="D501">
        <v>170.12</v>
      </c>
      <c r="E501">
        <v>180.17</v>
      </c>
      <c r="F501">
        <v>96.73</v>
      </c>
      <c r="G501">
        <v>89.9</v>
      </c>
      <c r="H501">
        <v>83.73</v>
      </c>
      <c r="K501" s="9">
        <f t="shared" si="72"/>
        <v>0.21999999999999886</v>
      </c>
      <c r="L501">
        <f t="shared" si="73"/>
        <v>-0.39000000000001478</v>
      </c>
      <c r="M501">
        <f t="shared" si="74"/>
        <v>-0.5</v>
      </c>
      <c r="N501">
        <f t="shared" si="75"/>
        <v>0.39000000000000057</v>
      </c>
      <c r="O501">
        <f t="shared" si="76"/>
        <v>0.43999999999999773</v>
      </c>
      <c r="P501" s="10">
        <f t="shared" si="77"/>
        <v>0.32999999999999829</v>
      </c>
    </row>
    <row r="502" spans="1:16">
      <c r="A502">
        <v>79.5</v>
      </c>
      <c r="B502" s="42">
        <v>173.95</v>
      </c>
      <c r="C502">
        <v>169.17</v>
      </c>
      <c r="D502">
        <v>169.73</v>
      </c>
      <c r="E502">
        <v>179.9</v>
      </c>
      <c r="F502">
        <v>96.73</v>
      </c>
      <c r="G502">
        <v>90.01</v>
      </c>
      <c r="H502">
        <v>83.67</v>
      </c>
      <c r="K502" s="9">
        <f t="shared" si="72"/>
        <v>0.61000000000001364</v>
      </c>
      <c r="L502">
        <f t="shared" si="73"/>
        <v>0</v>
      </c>
      <c r="M502">
        <f t="shared" si="74"/>
        <v>-0.17000000000001592</v>
      </c>
      <c r="N502">
        <f t="shared" si="75"/>
        <v>0.5</v>
      </c>
      <c r="O502">
        <f t="shared" si="76"/>
        <v>0.43999999999999773</v>
      </c>
      <c r="P502" s="10">
        <f t="shared" si="77"/>
        <v>0.5</v>
      </c>
    </row>
    <row r="503" spans="1:16">
      <c r="A503">
        <v>79.67</v>
      </c>
      <c r="B503" s="42">
        <v>172.67</v>
      </c>
      <c r="C503">
        <v>169.23</v>
      </c>
      <c r="D503">
        <v>169.56</v>
      </c>
      <c r="E503">
        <v>179.78</v>
      </c>
      <c r="F503">
        <v>96.9</v>
      </c>
      <c r="G503">
        <v>90.17</v>
      </c>
      <c r="H503">
        <v>84.06</v>
      </c>
      <c r="K503" s="9">
        <f t="shared" si="72"/>
        <v>0.71999999999999886</v>
      </c>
      <c r="L503">
        <f t="shared" si="73"/>
        <v>0.34000000000000341</v>
      </c>
      <c r="M503">
        <f t="shared" si="74"/>
        <v>6.0000000000002274E-2</v>
      </c>
      <c r="N503">
        <f t="shared" si="75"/>
        <v>0.5</v>
      </c>
      <c r="O503">
        <f t="shared" si="76"/>
        <v>0.45000000000000284</v>
      </c>
      <c r="P503" s="10">
        <f t="shared" si="77"/>
        <v>0.17000000000000171</v>
      </c>
    </row>
    <row r="504" spans="1:16">
      <c r="A504">
        <v>79.83</v>
      </c>
      <c r="B504" s="42">
        <v>172.17</v>
      </c>
      <c r="C504">
        <v>169.67</v>
      </c>
      <c r="D504">
        <v>169.73</v>
      </c>
      <c r="E504">
        <v>179.67</v>
      </c>
      <c r="F504">
        <v>97.12</v>
      </c>
      <c r="G504">
        <v>90.34</v>
      </c>
      <c r="H504">
        <v>84.06</v>
      </c>
      <c r="K504" s="9">
        <f t="shared" si="72"/>
        <v>0.23000000000001819</v>
      </c>
      <c r="L504">
        <f t="shared" si="73"/>
        <v>0.21999999999999886</v>
      </c>
      <c r="M504">
        <f t="shared" si="74"/>
        <v>6.0000000000002274E-2</v>
      </c>
      <c r="N504">
        <f t="shared" si="75"/>
        <v>0.5</v>
      </c>
      <c r="O504">
        <f t="shared" si="76"/>
        <v>0.43999999999999773</v>
      </c>
      <c r="P504" s="10">
        <f t="shared" si="77"/>
        <v>0.21999999999999886</v>
      </c>
    </row>
    <row r="505" spans="1:16">
      <c r="A505">
        <v>80</v>
      </c>
      <c r="B505" s="42">
        <v>172.45</v>
      </c>
      <c r="C505">
        <v>169.78</v>
      </c>
      <c r="D505">
        <v>169.73</v>
      </c>
      <c r="E505">
        <v>179.73</v>
      </c>
      <c r="F505">
        <v>97.23</v>
      </c>
      <c r="G505">
        <v>90.45</v>
      </c>
      <c r="H505">
        <v>84.17</v>
      </c>
      <c r="K505" s="9">
        <f t="shared" si="72"/>
        <v>0.22999999999998977</v>
      </c>
      <c r="L505">
        <f t="shared" si="73"/>
        <v>0.28000000000000114</v>
      </c>
      <c r="M505">
        <f t="shared" si="74"/>
        <v>-6.0000000000002274E-2</v>
      </c>
      <c r="N505">
        <f t="shared" si="75"/>
        <v>0.54999999999999716</v>
      </c>
      <c r="O505">
        <f t="shared" si="76"/>
        <v>0.56000000000000227</v>
      </c>
      <c r="P505" s="10">
        <f t="shared" si="77"/>
        <v>0.23000000000000398</v>
      </c>
    </row>
    <row r="506" spans="1:16">
      <c r="A506">
        <v>80.17</v>
      </c>
      <c r="B506" s="42">
        <v>173.51</v>
      </c>
      <c r="C506">
        <v>169.95</v>
      </c>
      <c r="D506">
        <v>169.9</v>
      </c>
      <c r="E506">
        <v>179.84</v>
      </c>
      <c r="F506">
        <v>97.4</v>
      </c>
      <c r="G506">
        <v>90.62</v>
      </c>
      <c r="H506">
        <v>84.23</v>
      </c>
      <c r="K506" s="9">
        <f t="shared" si="72"/>
        <v>6.0000000000002274E-2</v>
      </c>
      <c r="L506">
        <f t="shared" si="73"/>
        <v>0.10999999999998522</v>
      </c>
      <c r="M506">
        <f t="shared" si="74"/>
        <v>-0.33000000000001251</v>
      </c>
      <c r="N506">
        <f t="shared" si="75"/>
        <v>0.37999999999999545</v>
      </c>
      <c r="O506">
        <f t="shared" si="76"/>
        <v>0.5</v>
      </c>
      <c r="P506" s="10">
        <f t="shared" si="77"/>
        <v>0.10999999999999943</v>
      </c>
    </row>
    <row r="507" spans="1:16">
      <c r="A507">
        <v>80.33</v>
      </c>
      <c r="B507" s="42">
        <v>174.78</v>
      </c>
      <c r="C507">
        <v>169.9</v>
      </c>
      <c r="D507">
        <v>169.95</v>
      </c>
      <c r="E507">
        <v>179.73</v>
      </c>
      <c r="F507">
        <v>97.62</v>
      </c>
      <c r="G507">
        <v>90.78</v>
      </c>
      <c r="H507">
        <v>84.28</v>
      </c>
      <c r="K507" s="9">
        <f t="shared" si="72"/>
        <v>0.10999999999998522</v>
      </c>
      <c r="L507">
        <f t="shared" si="73"/>
        <v>0.21999999999999886</v>
      </c>
      <c r="M507">
        <f t="shared" si="74"/>
        <v>-0.56000000000000227</v>
      </c>
      <c r="N507">
        <f t="shared" si="75"/>
        <v>0.39000000000000057</v>
      </c>
      <c r="O507">
        <f t="shared" si="76"/>
        <v>0.5</v>
      </c>
      <c r="P507" s="10">
        <f t="shared" si="77"/>
        <v>0.12000000000000455</v>
      </c>
    </row>
    <row r="508" spans="1:16">
      <c r="A508">
        <v>80.5</v>
      </c>
      <c r="B508" s="42">
        <v>176.23</v>
      </c>
      <c r="C508">
        <v>170.01</v>
      </c>
      <c r="D508">
        <v>170.01</v>
      </c>
      <c r="E508">
        <v>179.67</v>
      </c>
      <c r="F508">
        <v>97.78</v>
      </c>
      <c r="G508">
        <v>91.01</v>
      </c>
      <c r="H508">
        <v>84.4</v>
      </c>
      <c r="K508" s="9">
        <f t="shared" si="72"/>
        <v>0.77000000000001023</v>
      </c>
      <c r="L508">
        <f t="shared" si="73"/>
        <v>1.2199999999999989</v>
      </c>
      <c r="M508">
        <f t="shared" si="74"/>
        <v>-0.65999999999999659</v>
      </c>
      <c r="N508">
        <f t="shared" si="75"/>
        <v>0.34000000000000341</v>
      </c>
      <c r="O508">
        <f t="shared" si="76"/>
        <v>0.43999999999999773</v>
      </c>
      <c r="P508" s="10">
        <f t="shared" si="77"/>
        <v>0</v>
      </c>
    </row>
    <row r="509" spans="1:16">
      <c r="A509">
        <v>80.67</v>
      </c>
      <c r="B509" s="42">
        <v>176.73</v>
      </c>
      <c r="C509">
        <v>170.01</v>
      </c>
      <c r="D509">
        <v>170.01</v>
      </c>
      <c r="E509">
        <v>179.51</v>
      </c>
      <c r="F509">
        <v>97.78</v>
      </c>
      <c r="G509">
        <v>91.12</v>
      </c>
      <c r="H509">
        <v>84.34</v>
      </c>
      <c r="K509" s="9">
        <f t="shared" si="72"/>
        <v>2.2199999999999989</v>
      </c>
      <c r="L509">
        <f t="shared" si="73"/>
        <v>2.8300000000000125</v>
      </c>
      <c r="M509">
        <f t="shared" si="74"/>
        <v>-0.28000000000000114</v>
      </c>
      <c r="N509">
        <f t="shared" si="75"/>
        <v>0.39000000000000057</v>
      </c>
      <c r="O509">
        <f t="shared" si="76"/>
        <v>0.54999999999999716</v>
      </c>
      <c r="P509" s="10">
        <f t="shared" si="77"/>
        <v>0.10999999999999943</v>
      </c>
    </row>
    <row r="510" spans="1:16">
      <c r="A510">
        <v>80.83</v>
      </c>
      <c r="B510" s="42">
        <v>176.95</v>
      </c>
      <c r="C510">
        <v>170.01</v>
      </c>
      <c r="D510">
        <v>170.17</v>
      </c>
      <c r="E510">
        <v>179.17</v>
      </c>
      <c r="F510">
        <v>98.01</v>
      </c>
      <c r="G510">
        <v>91.28</v>
      </c>
      <c r="H510">
        <v>84.4</v>
      </c>
      <c r="K510" s="9">
        <f t="shared" si="72"/>
        <v>2.9399999999999977</v>
      </c>
      <c r="L510">
        <f t="shared" si="73"/>
        <v>3.4500000000000171</v>
      </c>
      <c r="M510">
        <f t="shared" si="74"/>
        <v>0.84000000000000341</v>
      </c>
      <c r="N510">
        <f t="shared" si="75"/>
        <v>0.39000000000000057</v>
      </c>
      <c r="O510">
        <f t="shared" si="76"/>
        <v>0.5</v>
      </c>
      <c r="P510" s="10">
        <f t="shared" si="77"/>
        <v>0.15999999999999659</v>
      </c>
    </row>
    <row r="511" spans="1:16">
      <c r="A511">
        <v>81</v>
      </c>
      <c r="B511" s="42">
        <v>176.51</v>
      </c>
      <c r="C511">
        <v>170.78</v>
      </c>
      <c r="D511">
        <v>171.23</v>
      </c>
      <c r="E511">
        <v>179.01</v>
      </c>
      <c r="F511">
        <v>98.12</v>
      </c>
      <c r="G511">
        <v>91.45</v>
      </c>
      <c r="H511">
        <v>84.4</v>
      </c>
      <c r="K511" s="9">
        <f t="shared" si="72"/>
        <v>2.3899999999999864</v>
      </c>
      <c r="L511">
        <f t="shared" si="73"/>
        <v>2.7800000000000011</v>
      </c>
      <c r="M511">
        <f t="shared" si="74"/>
        <v>1.3900000000000148</v>
      </c>
      <c r="N511">
        <f t="shared" si="75"/>
        <v>0.32999999999999829</v>
      </c>
      <c r="O511">
        <f t="shared" si="76"/>
        <v>0.5</v>
      </c>
      <c r="P511" s="10">
        <f t="shared" si="77"/>
        <v>0.21999999999999886</v>
      </c>
    </row>
    <row r="512" spans="1:16">
      <c r="A512">
        <v>81.17</v>
      </c>
      <c r="B512" s="42">
        <v>176.23</v>
      </c>
      <c r="C512">
        <v>172.23</v>
      </c>
      <c r="D512">
        <v>172.84</v>
      </c>
      <c r="E512">
        <v>179.23</v>
      </c>
      <c r="F512">
        <v>98.17</v>
      </c>
      <c r="G512">
        <v>91.67</v>
      </c>
      <c r="H512">
        <v>84.45</v>
      </c>
      <c r="K512" s="9">
        <f t="shared" si="72"/>
        <v>1.1700000000000159</v>
      </c>
      <c r="L512">
        <f t="shared" si="73"/>
        <v>1.2800000000000011</v>
      </c>
      <c r="M512">
        <f t="shared" si="74"/>
        <v>1.0500000000000114</v>
      </c>
      <c r="N512">
        <f t="shared" si="75"/>
        <v>0.5</v>
      </c>
      <c r="O512">
        <f t="shared" si="76"/>
        <v>0.39000000000000057</v>
      </c>
      <c r="P512" s="10">
        <f t="shared" si="77"/>
        <v>0.17000000000000171</v>
      </c>
    </row>
    <row r="513" spans="1:16">
      <c r="A513">
        <v>81.33</v>
      </c>
      <c r="B513" s="42">
        <v>176.23</v>
      </c>
      <c r="C513">
        <v>172.95</v>
      </c>
      <c r="D513">
        <v>173.62</v>
      </c>
      <c r="E513">
        <v>180.01</v>
      </c>
      <c r="F513">
        <v>98.4</v>
      </c>
      <c r="G513">
        <v>91.78</v>
      </c>
      <c r="H513">
        <v>84.56</v>
      </c>
      <c r="K513" s="9">
        <f t="shared" si="72"/>
        <v>0</v>
      </c>
      <c r="L513">
        <f t="shared" si="73"/>
        <v>4.9999999999982947E-2</v>
      </c>
      <c r="M513">
        <f t="shared" si="74"/>
        <v>0.21999999999999886</v>
      </c>
      <c r="N513">
        <f t="shared" si="75"/>
        <v>0.37999999999999545</v>
      </c>
      <c r="O513">
        <f t="shared" si="76"/>
        <v>0.5</v>
      </c>
      <c r="P513" s="10">
        <f t="shared" si="77"/>
        <v>0.21999999999999886</v>
      </c>
    </row>
    <row r="514" spans="1:16">
      <c r="A514">
        <v>81.5</v>
      </c>
      <c r="B514" s="42">
        <v>176.01</v>
      </c>
      <c r="C514">
        <v>173.17</v>
      </c>
      <c r="D514">
        <v>174.01</v>
      </c>
      <c r="E514">
        <v>180.4</v>
      </c>
      <c r="F514">
        <v>98.45</v>
      </c>
      <c r="G514">
        <v>91.95</v>
      </c>
      <c r="H514">
        <v>84.62</v>
      </c>
      <c r="K514" s="9">
        <f t="shared" si="72"/>
        <v>-0.60999999999998522</v>
      </c>
      <c r="L514">
        <f t="shared" si="73"/>
        <v>-0.72999999999998977</v>
      </c>
      <c r="M514">
        <f t="shared" si="74"/>
        <v>-0.45000000000001705</v>
      </c>
      <c r="N514">
        <f t="shared" si="75"/>
        <v>0.39000000000000057</v>
      </c>
      <c r="O514">
        <f t="shared" si="76"/>
        <v>0.45000000000000284</v>
      </c>
      <c r="P514" s="10">
        <f t="shared" si="77"/>
        <v>0.28000000000000114</v>
      </c>
    </row>
    <row r="515" spans="1:16">
      <c r="A515">
        <v>81.67</v>
      </c>
      <c r="B515" s="42">
        <v>175.78</v>
      </c>
      <c r="C515">
        <v>173.4</v>
      </c>
      <c r="D515">
        <v>174.12</v>
      </c>
      <c r="E515">
        <v>180.28</v>
      </c>
      <c r="F515">
        <v>98.67</v>
      </c>
      <c r="G515">
        <v>92.06</v>
      </c>
      <c r="H515">
        <v>84.62</v>
      </c>
      <c r="K515" s="9">
        <f t="shared" si="72"/>
        <v>-1.2800000000000011</v>
      </c>
      <c r="L515">
        <f t="shared" si="73"/>
        <v>-1.3400000000000034</v>
      </c>
      <c r="M515">
        <f t="shared" si="74"/>
        <v>-0.5</v>
      </c>
      <c r="N515">
        <f t="shared" si="75"/>
        <v>0.28000000000000114</v>
      </c>
      <c r="O515">
        <f t="shared" si="76"/>
        <v>0.5</v>
      </c>
      <c r="P515" s="10">
        <f t="shared" si="77"/>
        <v>0.32999999999999829</v>
      </c>
    </row>
    <row r="516" spans="1:16">
      <c r="A516">
        <v>81.83</v>
      </c>
      <c r="B516" s="42">
        <v>175.51</v>
      </c>
      <c r="C516">
        <v>172.95</v>
      </c>
      <c r="D516">
        <v>173.67</v>
      </c>
      <c r="E516">
        <v>180.23</v>
      </c>
      <c r="F516">
        <v>98.78</v>
      </c>
      <c r="G516">
        <v>92.28</v>
      </c>
      <c r="H516">
        <v>84.78</v>
      </c>
      <c r="K516" s="9">
        <f t="shared" si="72"/>
        <v>-1.2199999999999989</v>
      </c>
      <c r="L516">
        <f t="shared" si="73"/>
        <v>-1.2699999999999818</v>
      </c>
      <c r="M516">
        <f t="shared" si="74"/>
        <v>-0.56000000000000227</v>
      </c>
      <c r="N516">
        <f t="shared" si="75"/>
        <v>0.45000000000000284</v>
      </c>
      <c r="O516">
        <f t="shared" si="76"/>
        <v>0.5</v>
      </c>
      <c r="P516" s="10">
        <f t="shared" si="77"/>
        <v>0.23000000000000398</v>
      </c>
    </row>
    <row r="517" spans="1:16">
      <c r="A517">
        <v>82</v>
      </c>
      <c r="B517" s="42">
        <v>175.23</v>
      </c>
      <c r="C517">
        <v>172.56</v>
      </c>
      <c r="D517">
        <v>173.28</v>
      </c>
      <c r="E517">
        <v>179.95</v>
      </c>
      <c r="F517">
        <v>98.84</v>
      </c>
      <c r="G517">
        <v>92.4</v>
      </c>
      <c r="H517">
        <v>84.9</v>
      </c>
      <c r="K517" s="9">
        <f t="shared" si="72"/>
        <v>-0.93999999999999773</v>
      </c>
      <c r="L517">
        <f t="shared" si="73"/>
        <v>-1.1599999999999966</v>
      </c>
      <c r="M517">
        <f t="shared" si="74"/>
        <v>-0.43999999999999773</v>
      </c>
      <c r="N517">
        <f t="shared" si="75"/>
        <v>0.5</v>
      </c>
      <c r="O517">
        <f t="shared" si="76"/>
        <v>0.54999999999999716</v>
      </c>
      <c r="P517" s="10">
        <f t="shared" si="77"/>
        <v>0.21999999999999886</v>
      </c>
    </row>
    <row r="518" spans="1:16">
      <c r="A518">
        <v>82.17</v>
      </c>
      <c r="B518" s="42">
        <v>175.01</v>
      </c>
      <c r="C518">
        <v>172.12</v>
      </c>
      <c r="D518">
        <v>172.78</v>
      </c>
      <c r="E518">
        <v>179.78</v>
      </c>
      <c r="F518">
        <v>98.95</v>
      </c>
      <c r="G518">
        <v>92.56</v>
      </c>
      <c r="H518">
        <v>84.95</v>
      </c>
      <c r="K518" s="9">
        <f t="shared" si="72"/>
        <v>-0.67000000000001592</v>
      </c>
      <c r="L518">
        <f t="shared" si="73"/>
        <v>-0.87999999999999545</v>
      </c>
      <c r="M518">
        <f t="shared" si="74"/>
        <v>-0.37999999999999545</v>
      </c>
      <c r="N518">
        <f t="shared" si="75"/>
        <v>0.67000000000000171</v>
      </c>
      <c r="O518">
        <f t="shared" si="76"/>
        <v>0.56000000000000227</v>
      </c>
      <c r="P518" s="10">
        <f t="shared" si="77"/>
        <v>0.21999999999999886</v>
      </c>
    </row>
    <row r="519" spans="1:16">
      <c r="A519">
        <v>82.33</v>
      </c>
      <c r="B519" s="42">
        <v>174.45</v>
      </c>
      <c r="C519">
        <v>171.73</v>
      </c>
      <c r="D519">
        <v>172.4</v>
      </c>
      <c r="E519">
        <v>179.67</v>
      </c>
      <c r="F519">
        <v>99.23</v>
      </c>
      <c r="G519">
        <v>92.78</v>
      </c>
      <c r="H519">
        <v>85.01</v>
      </c>
      <c r="K519" s="9">
        <f t="shared" si="72"/>
        <v>-0.44999999999998863</v>
      </c>
      <c r="L519">
        <f t="shared" si="73"/>
        <v>-0.73000000000001819</v>
      </c>
      <c r="M519">
        <f t="shared" si="74"/>
        <v>-0.10999999999998522</v>
      </c>
      <c r="N519">
        <f t="shared" si="75"/>
        <v>0.60999999999999943</v>
      </c>
      <c r="O519">
        <f t="shared" si="76"/>
        <v>0.45000000000000284</v>
      </c>
      <c r="P519" s="10">
        <f t="shared" si="77"/>
        <v>0.15999999999999659</v>
      </c>
    </row>
    <row r="520" spans="1:16">
      <c r="A520">
        <v>82.5</v>
      </c>
      <c r="B520" s="42">
        <v>174.23</v>
      </c>
      <c r="C520">
        <v>171.62</v>
      </c>
      <c r="D520">
        <v>172.12</v>
      </c>
      <c r="E520">
        <v>179.51</v>
      </c>
      <c r="F520">
        <v>99.34</v>
      </c>
      <c r="G520">
        <v>92.95</v>
      </c>
      <c r="H520">
        <v>85.12</v>
      </c>
      <c r="K520" s="9">
        <f t="shared" si="72"/>
        <v>-0.5</v>
      </c>
      <c r="L520">
        <f t="shared" si="73"/>
        <v>-0.61000000000001364</v>
      </c>
      <c r="M520">
        <f t="shared" si="74"/>
        <v>0.33000000000001251</v>
      </c>
      <c r="N520">
        <f t="shared" si="75"/>
        <v>0.60999999999999943</v>
      </c>
      <c r="O520">
        <f t="shared" si="76"/>
        <v>0.5</v>
      </c>
      <c r="P520" s="10">
        <f t="shared" si="77"/>
        <v>0.15999999999999659</v>
      </c>
    </row>
    <row r="521" spans="1:16">
      <c r="A521">
        <v>82.67</v>
      </c>
      <c r="B521" s="42">
        <v>174.01</v>
      </c>
      <c r="C521">
        <v>171.45</v>
      </c>
      <c r="D521">
        <v>171.9</v>
      </c>
      <c r="E521">
        <v>179.4</v>
      </c>
      <c r="F521">
        <v>99.62</v>
      </c>
      <c r="G521">
        <v>93.12</v>
      </c>
      <c r="H521">
        <v>85.17</v>
      </c>
      <c r="K521" s="9">
        <f t="shared" si="72"/>
        <v>-0.66999999999998749</v>
      </c>
      <c r="L521">
        <f t="shared" si="73"/>
        <v>-0.78000000000000114</v>
      </c>
      <c r="M521">
        <f t="shared" si="74"/>
        <v>0.60999999999998522</v>
      </c>
      <c r="N521">
        <f t="shared" si="75"/>
        <v>0.43999999999999773</v>
      </c>
      <c r="O521">
        <f t="shared" si="76"/>
        <v>0.43999999999999773</v>
      </c>
      <c r="P521" s="10">
        <f t="shared" si="77"/>
        <v>0.23000000000000398</v>
      </c>
    </row>
    <row r="522" spans="1:16">
      <c r="A522">
        <v>82.83</v>
      </c>
      <c r="B522" s="42">
        <v>174.01</v>
      </c>
      <c r="C522">
        <v>171.28</v>
      </c>
      <c r="D522">
        <v>171.67</v>
      </c>
      <c r="E522">
        <v>179.56</v>
      </c>
      <c r="F522">
        <v>99.84</v>
      </c>
      <c r="G522">
        <v>93.23</v>
      </c>
      <c r="H522">
        <v>85.17</v>
      </c>
      <c r="K522" s="9">
        <f t="shared" si="72"/>
        <v>-0.5</v>
      </c>
      <c r="L522">
        <f t="shared" si="73"/>
        <v>-0.60999999999998522</v>
      </c>
      <c r="M522">
        <f t="shared" si="74"/>
        <v>0.60999999999998522</v>
      </c>
      <c r="N522">
        <f t="shared" si="75"/>
        <v>0.32999999999999829</v>
      </c>
      <c r="O522">
        <f t="shared" si="76"/>
        <v>0.60999999999999943</v>
      </c>
      <c r="P522" s="10">
        <f t="shared" si="77"/>
        <v>0.28000000000000114</v>
      </c>
    </row>
    <row r="523" spans="1:16">
      <c r="A523">
        <v>83</v>
      </c>
      <c r="B523" s="42">
        <v>174.45</v>
      </c>
      <c r="C523">
        <v>171.12</v>
      </c>
      <c r="D523">
        <v>171.51</v>
      </c>
      <c r="E523">
        <v>179.84</v>
      </c>
      <c r="F523">
        <v>99.95</v>
      </c>
      <c r="G523">
        <v>93.45</v>
      </c>
      <c r="H523">
        <v>85.28</v>
      </c>
      <c r="K523" s="9">
        <f t="shared" si="72"/>
        <v>-0.45000000000001705</v>
      </c>
      <c r="L523">
        <f t="shared" si="73"/>
        <v>-0.72999999999998977</v>
      </c>
      <c r="M523">
        <f t="shared" si="74"/>
        <v>0.16999999999998749</v>
      </c>
      <c r="N523">
        <f t="shared" si="75"/>
        <v>0.28000000000000114</v>
      </c>
      <c r="O523">
        <f t="shared" si="76"/>
        <v>0.39000000000000057</v>
      </c>
      <c r="P523" s="10">
        <f t="shared" si="77"/>
        <v>0.23000000000000398</v>
      </c>
    </row>
    <row r="524" spans="1:16">
      <c r="A524">
        <v>83.17</v>
      </c>
      <c r="B524" s="42">
        <v>175.73</v>
      </c>
      <c r="C524">
        <v>170.78</v>
      </c>
      <c r="D524">
        <v>171.12</v>
      </c>
      <c r="E524">
        <v>180.01</v>
      </c>
      <c r="F524">
        <v>100.06</v>
      </c>
      <c r="G524">
        <v>93.56</v>
      </c>
      <c r="H524">
        <v>85.4</v>
      </c>
      <c r="K524" s="9">
        <f t="shared" si="72"/>
        <v>0.12000000000000455</v>
      </c>
      <c r="L524">
        <f t="shared" si="73"/>
        <v>0</v>
      </c>
      <c r="M524">
        <f t="shared" si="74"/>
        <v>0</v>
      </c>
      <c r="N524">
        <f t="shared" si="75"/>
        <v>0.45000000000000284</v>
      </c>
      <c r="O524">
        <f t="shared" si="76"/>
        <v>0.56000000000000227</v>
      </c>
      <c r="P524" s="10">
        <f t="shared" si="77"/>
        <v>0.32999999999999829</v>
      </c>
    </row>
    <row r="525" spans="1:16">
      <c r="A525">
        <v>83.33</v>
      </c>
      <c r="B525" s="42">
        <v>177.01</v>
      </c>
      <c r="C525">
        <v>170.78</v>
      </c>
      <c r="D525">
        <v>171.06</v>
      </c>
      <c r="E525">
        <v>180.17</v>
      </c>
      <c r="F525">
        <v>100.17</v>
      </c>
      <c r="G525">
        <v>93.84</v>
      </c>
      <c r="H525">
        <v>85.45</v>
      </c>
      <c r="K525" s="9">
        <f t="shared" si="72"/>
        <v>0.78000000000000114</v>
      </c>
      <c r="L525">
        <f t="shared" si="73"/>
        <v>0.78000000000000114</v>
      </c>
      <c r="M525">
        <f t="shared" si="74"/>
        <v>-0.15999999999999659</v>
      </c>
      <c r="N525">
        <f t="shared" si="75"/>
        <v>0.45000000000000284</v>
      </c>
      <c r="O525">
        <f t="shared" si="76"/>
        <v>0.39000000000000057</v>
      </c>
      <c r="P525" s="10">
        <f t="shared" si="77"/>
        <v>0.32999999999999829</v>
      </c>
    </row>
    <row r="526" spans="1:16">
      <c r="A526">
        <v>83.5</v>
      </c>
      <c r="B526" s="42">
        <v>177.67</v>
      </c>
      <c r="C526">
        <v>170.67</v>
      </c>
      <c r="D526">
        <v>170.78</v>
      </c>
      <c r="E526">
        <v>180.01</v>
      </c>
      <c r="F526">
        <v>100.23</v>
      </c>
      <c r="G526">
        <v>93.84</v>
      </c>
      <c r="H526">
        <v>85.51</v>
      </c>
      <c r="K526" s="9">
        <f t="shared" si="72"/>
        <v>2.2300000000000182</v>
      </c>
      <c r="L526">
        <f t="shared" si="73"/>
        <v>2.5</v>
      </c>
      <c r="M526">
        <f t="shared" si="74"/>
        <v>0.21999999999999886</v>
      </c>
      <c r="N526">
        <f t="shared" si="75"/>
        <v>0.54999999999999716</v>
      </c>
      <c r="O526">
        <f t="shared" si="76"/>
        <v>0.43999999999999773</v>
      </c>
      <c r="P526" s="10">
        <f t="shared" si="77"/>
        <v>0.26999999999999602</v>
      </c>
    </row>
    <row r="527" spans="1:16">
      <c r="A527">
        <v>83.67</v>
      </c>
      <c r="B527" s="42">
        <v>178.06</v>
      </c>
      <c r="C527">
        <v>170.9</v>
      </c>
      <c r="D527">
        <v>171.12</v>
      </c>
      <c r="E527">
        <v>180.01</v>
      </c>
      <c r="F527">
        <v>100.51</v>
      </c>
      <c r="G527">
        <v>94.12</v>
      </c>
      <c r="H527">
        <v>85.73</v>
      </c>
      <c r="K527" s="9">
        <f t="shared" si="72"/>
        <v>3.1099999999999852</v>
      </c>
      <c r="L527">
        <f t="shared" si="73"/>
        <v>3.5499999999999829</v>
      </c>
      <c r="M527">
        <f t="shared" si="74"/>
        <v>1</v>
      </c>
      <c r="N527">
        <f t="shared" si="75"/>
        <v>0.5</v>
      </c>
      <c r="O527">
        <f t="shared" si="76"/>
        <v>0.43999999999999773</v>
      </c>
      <c r="P527" s="10">
        <f t="shared" si="77"/>
        <v>0.21999999999999886</v>
      </c>
    </row>
    <row r="528" spans="1:16">
      <c r="A528">
        <v>83.83</v>
      </c>
      <c r="B528" s="42">
        <v>178.28</v>
      </c>
      <c r="C528">
        <v>171.56</v>
      </c>
      <c r="D528">
        <v>171.84</v>
      </c>
      <c r="E528">
        <v>180.01</v>
      </c>
      <c r="F528">
        <v>100.62</v>
      </c>
      <c r="G528">
        <v>94.23</v>
      </c>
      <c r="H528">
        <v>85.78</v>
      </c>
      <c r="K528" s="9">
        <f t="shared" si="72"/>
        <v>2.8899999999999864</v>
      </c>
      <c r="L528">
        <f t="shared" si="73"/>
        <v>3.2800000000000011</v>
      </c>
      <c r="M528">
        <f t="shared" si="74"/>
        <v>2.0500000000000114</v>
      </c>
      <c r="N528">
        <f t="shared" si="75"/>
        <v>0.60999999999999943</v>
      </c>
      <c r="O528">
        <f t="shared" si="76"/>
        <v>0.43999999999999773</v>
      </c>
      <c r="P528" s="10">
        <f t="shared" si="77"/>
        <v>0.28000000000000114</v>
      </c>
    </row>
    <row r="529" spans="1:16">
      <c r="A529">
        <v>84</v>
      </c>
      <c r="B529" s="42">
        <v>178.28</v>
      </c>
      <c r="C529">
        <v>172.9</v>
      </c>
      <c r="D529">
        <v>173.28</v>
      </c>
      <c r="E529">
        <v>180.23</v>
      </c>
      <c r="F529">
        <v>100.78</v>
      </c>
      <c r="G529">
        <v>94.28</v>
      </c>
      <c r="H529">
        <v>85.78</v>
      </c>
      <c r="K529" s="9">
        <f t="shared" si="72"/>
        <v>1.8299999999999841</v>
      </c>
      <c r="L529">
        <f t="shared" si="73"/>
        <v>2.1699999999999875</v>
      </c>
      <c r="M529">
        <f t="shared" si="74"/>
        <v>2.2800000000000011</v>
      </c>
      <c r="N529">
        <f t="shared" si="75"/>
        <v>0.62000000000000455</v>
      </c>
      <c r="O529">
        <f t="shared" si="76"/>
        <v>0.62000000000000455</v>
      </c>
      <c r="P529" s="10">
        <f t="shared" si="77"/>
        <v>0.45000000000000284</v>
      </c>
    </row>
    <row r="530" spans="1:16">
      <c r="A530">
        <v>84.17</v>
      </c>
      <c r="B530" s="42">
        <v>178.28</v>
      </c>
      <c r="C530">
        <v>174.01</v>
      </c>
      <c r="D530">
        <v>174.67</v>
      </c>
      <c r="E530">
        <v>181.01</v>
      </c>
      <c r="F530">
        <v>101.01</v>
      </c>
      <c r="G530">
        <v>94.56</v>
      </c>
      <c r="H530">
        <v>85.95</v>
      </c>
      <c r="K530" s="9">
        <f t="shared" si="72"/>
        <v>0.61000000000001364</v>
      </c>
      <c r="L530">
        <f t="shared" si="73"/>
        <v>0.56000000000000227</v>
      </c>
      <c r="M530">
        <f t="shared" si="74"/>
        <v>1.3300000000000125</v>
      </c>
      <c r="N530">
        <f t="shared" si="75"/>
        <v>0.5</v>
      </c>
      <c r="O530">
        <f t="shared" si="76"/>
        <v>0.5</v>
      </c>
      <c r="P530" s="10">
        <f t="shared" si="77"/>
        <v>0.32999999999999829</v>
      </c>
    </row>
    <row r="531" spans="1:16">
      <c r="A531">
        <v>84.33</v>
      </c>
      <c r="B531" s="42">
        <v>178.17</v>
      </c>
      <c r="C531">
        <v>174.45</v>
      </c>
      <c r="D531">
        <v>175.12</v>
      </c>
      <c r="E531">
        <v>182.06</v>
      </c>
      <c r="F531">
        <v>101.23</v>
      </c>
      <c r="G531">
        <v>94.67</v>
      </c>
      <c r="H531">
        <v>86.06</v>
      </c>
      <c r="K531" s="9">
        <f t="shared" si="72"/>
        <v>-0.21999999999999886</v>
      </c>
      <c r="L531">
        <f t="shared" si="73"/>
        <v>-0.17000000000001592</v>
      </c>
      <c r="M531">
        <f t="shared" si="74"/>
        <v>-5.0000000000011369E-2</v>
      </c>
      <c r="N531">
        <f t="shared" si="75"/>
        <v>0.43999999999999773</v>
      </c>
      <c r="O531">
        <f t="shared" si="76"/>
        <v>0.56000000000000227</v>
      </c>
      <c r="P531" s="10">
        <f t="shared" si="77"/>
        <v>0.39000000000000057</v>
      </c>
    </row>
    <row r="532" spans="1:16">
      <c r="A532">
        <v>84.5</v>
      </c>
      <c r="B532" s="42">
        <v>178.17</v>
      </c>
      <c r="C532">
        <v>174.73</v>
      </c>
      <c r="D532">
        <v>175.45</v>
      </c>
      <c r="E532">
        <v>182.51</v>
      </c>
      <c r="F532">
        <v>101.4</v>
      </c>
      <c r="G532">
        <v>94.9</v>
      </c>
      <c r="H532">
        <v>86.23</v>
      </c>
      <c r="K532" s="9">
        <f t="shared" si="72"/>
        <v>-0.71999999999999886</v>
      </c>
      <c r="L532">
        <f t="shared" si="73"/>
        <v>-0.88999999999998636</v>
      </c>
      <c r="M532">
        <f t="shared" si="74"/>
        <v>-0.56000000000000227</v>
      </c>
      <c r="N532">
        <f t="shared" si="75"/>
        <v>0.37999999999999545</v>
      </c>
      <c r="O532">
        <f t="shared" si="76"/>
        <v>0.5</v>
      </c>
      <c r="P532" s="10">
        <f t="shared" si="77"/>
        <v>0.32999999999999829</v>
      </c>
    </row>
    <row r="533" spans="1:16">
      <c r="A533">
        <v>84.67</v>
      </c>
      <c r="B533" s="42">
        <v>178.06</v>
      </c>
      <c r="C533">
        <v>174.62</v>
      </c>
      <c r="D533">
        <v>175.23</v>
      </c>
      <c r="E533">
        <v>182.34</v>
      </c>
      <c r="F533">
        <v>101.51</v>
      </c>
      <c r="G533">
        <v>95.06</v>
      </c>
      <c r="H533">
        <v>86.28</v>
      </c>
      <c r="K533" s="9">
        <f t="shared" si="72"/>
        <v>-1</v>
      </c>
      <c r="L533">
        <f t="shared" si="73"/>
        <v>-1</v>
      </c>
      <c r="M533">
        <f t="shared" si="74"/>
        <v>-0.61000000000001364</v>
      </c>
      <c r="N533">
        <f t="shared" si="75"/>
        <v>0.39000000000000057</v>
      </c>
      <c r="O533">
        <f t="shared" si="76"/>
        <v>0.56000000000000227</v>
      </c>
      <c r="P533" s="10">
        <f t="shared" si="77"/>
        <v>0.34000000000000341</v>
      </c>
    </row>
    <row r="534" spans="1:16">
      <c r="A534">
        <v>84.83</v>
      </c>
      <c r="B534" s="42">
        <v>177.9</v>
      </c>
      <c r="C534">
        <v>174.23</v>
      </c>
      <c r="D534">
        <v>174.95</v>
      </c>
      <c r="E534">
        <v>182.01</v>
      </c>
      <c r="F534">
        <v>101.67</v>
      </c>
      <c r="G534">
        <v>95.23</v>
      </c>
      <c r="H534">
        <v>86.45</v>
      </c>
      <c r="K534" s="9">
        <f t="shared" si="72"/>
        <v>-0.71999999999999886</v>
      </c>
      <c r="L534">
        <f t="shared" si="73"/>
        <v>-0.93999999999999773</v>
      </c>
      <c r="M534">
        <f t="shared" si="74"/>
        <v>-0.5</v>
      </c>
      <c r="N534">
        <f t="shared" si="75"/>
        <v>0.39000000000000057</v>
      </c>
      <c r="O534">
        <f t="shared" si="76"/>
        <v>0.5</v>
      </c>
      <c r="P534" s="10">
        <f t="shared" si="77"/>
        <v>0.32999999999999829</v>
      </c>
    </row>
    <row r="535" spans="1:16">
      <c r="A535">
        <v>85</v>
      </c>
      <c r="B535" s="42">
        <v>177.34</v>
      </c>
      <c r="C535">
        <v>174.01</v>
      </c>
      <c r="D535">
        <v>174.56</v>
      </c>
      <c r="E535">
        <v>181.95</v>
      </c>
      <c r="F535">
        <v>101.78</v>
      </c>
      <c r="G535">
        <v>95.4</v>
      </c>
      <c r="H535">
        <v>86.56</v>
      </c>
      <c r="K535" s="9">
        <f t="shared" si="72"/>
        <v>-0.72999999999998977</v>
      </c>
      <c r="L535">
        <f t="shared" si="73"/>
        <v>-0.83000000000001251</v>
      </c>
      <c r="M535">
        <f t="shared" si="74"/>
        <v>-0.54999999999998295</v>
      </c>
      <c r="N535">
        <f t="shared" si="75"/>
        <v>0.5</v>
      </c>
      <c r="O535">
        <f t="shared" si="76"/>
        <v>0.54999999999999716</v>
      </c>
      <c r="P535" s="10">
        <f t="shared" si="77"/>
        <v>0.34000000000000341</v>
      </c>
    </row>
    <row r="536" spans="1:16">
      <c r="A536">
        <v>85.17</v>
      </c>
      <c r="B536" s="42">
        <v>176.56</v>
      </c>
      <c r="C536">
        <v>173.62</v>
      </c>
      <c r="D536">
        <v>174.23</v>
      </c>
      <c r="E536">
        <v>181.73</v>
      </c>
      <c r="F536">
        <v>101.9</v>
      </c>
      <c r="G536">
        <v>95.62</v>
      </c>
      <c r="H536">
        <v>86.62</v>
      </c>
      <c r="K536" s="9">
        <f t="shared" si="72"/>
        <v>-0.67000000000001592</v>
      </c>
      <c r="L536">
        <f t="shared" si="73"/>
        <v>-0.82999999999998408</v>
      </c>
      <c r="M536">
        <f t="shared" si="74"/>
        <v>-0.5</v>
      </c>
      <c r="N536">
        <f t="shared" si="75"/>
        <v>0.5</v>
      </c>
      <c r="O536">
        <f t="shared" si="76"/>
        <v>0.32999999999999829</v>
      </c>
      <c r="P536" s="10">
        <f t="shared" si="77"/>
        <v>0.39000000000000057</v>
      </c>
    </row>
    <row r="537" spans="1:16">
      <c r="A537">
        <v>85.33</v>
      </c>
      <c r="B537" s="42">
        <v>176.45</v>
      </c>
      <c r="C537">
        <v>173.51</v>
      </c>
      <c r="D537">
        <v>174.01</v>
      </c>
      <c r="E537">
        <v>181.51</v>
      </c>
      <c r="F537">
        <v>102.06</v>
      </c>
      <c r="G537">
        <v>95.73</v>
      </c>
      <c r="H537">
        <v>86.78</v>
      </c>
      <c r="K537" s="9">
        <f t="shared" ref="K537:K600" si="78">C540-C537</f>
        <v>-0.66999999999998749</v>
      </c>
      <c r="L537">
        <f t="shared" ref="L537:L600" si="79">D540-D537</f>
        <v>-0.88999999999998636</v>
      </c>
      <c r="M537">
        <f t="shared" ref="M537:M600" si="80">E540-E537</f>
        <v>0</v>
      </c>
      <c r="N537">
        <f t="shared" ref="N537:N600" si="81">F540-F537</f>
        <v>0.45000000000000284</v>
      </c>
      <c r="O537">
        <f t="shared" ref="O537:O600" si="82">G540-G537</f>
        <v>0.43999999999999773</v>
      </c>
      <c r="P537" s="10">
        <f t="shared" ref="P537:P600" si="83">H540-H537</f>
        <v>0.34000000000000341</v>
      </c>
    </row>
    <row r="538" spans="1:16">
      <c r="A538">
        <v>85.5</v>
      </c>
      <c r="B538" s="42">
        <v>176.51</v>
      </c>
      <c r="C538">
        <v>173.28</v>
      </c>
      <c r="D538">
        <v>173.73</v>
      </c>
      <c r="E538">
        <v>181.4</v>
      </c>
      <c r="F538">
        <v>102.28</v>
      </c>
      <c r="G538">
        <v>95.95</v>
      </c>
      <c r="H538">
        <v>86.9</v>
      </c>
      <c r="K538" s="9">
        <f t="shared" si="78"/>
        <v>-0.61000000000001364</v>
      </c>
      <c r="L538">
        <f t="shared" si="79"/>
        <v>-0.82999999999998408</v>
      </c>
      <c r="M538">
        <f t="shared" si="80"/>
        <v>0.43999999999999773</v>
      </c>
      <c r="N538">
        <f t="shared" si="81"/>
        <v>0.34000000000000341</v>
      </c>
      <c r="O538">
        <f t="shared" si="82"/>
        <v>0.39000000000000057</v>
      </c>
      <c r="P538" s="10">
        <f t="shared" si="83"/>
        <v>0.32999999999999829</v>
      </c>
    </row>
    <row r="539" spans="1:16">
      <c r="A539">
        <v>85.67</v>
      </c>
      <c r="B539" s="42">
        <v>176.45</v>
      </c>
      <c r="C539">
        <v>172.95</v>
      </c>
      <c r="D539">
        <v>173.4</v>
      </c>
      <c r="E539">
        <v>181.23</v>
      </c>
      <c r="F539">
        <v>102.4</v>
      </c>
      <c r="G539">
        <v>95.95</v>
      </c>
      <c r="H539">
        <v>87.01</v>
      </c>
      <c r="K539" s="9">
        <f t="shared" si="78"/>
        <v>-0.28000000000000114</v>
      </c>
      <c r="L539">
        <f t="shared" si="79"/>
        <v>-0.62000000000000455</v>
      </c>
      <c r="M539">
        <f t="shared" si="80"/>
        <v>1.2199999999999989</v>
      </c>
      <c r="N539">
        <f t="shared" si="81"/>
        <v>0.43999999999999773</v>
      </c>
      <c r="O539">
        <f t="shared" si="82"/>
        <v>0.67000000000000171</v>
      </c>
      <c r="P539" s="10">
        <f t="shared" si="83"/>
        <v>0.39000000000000057</v>
      </c>
    </row>
    <row r="540" spans="1:16">
      <c r="A540">
        <v>85.83</v>
      </c>
      <c r="B540" s="42">
        <v>177.23</v>
      </c>
      <c r="C540">
        <v>172.84</v>
      </c>
      <c r="D540">
        <v>173.12</v>
      </c>
      <c r="E540">
        <v>181.51</v>
      </c>
      <c r="F540">
        <v>102.51</v>
      </c>
      <c r="G540">
        <v>96.17</v>
      </c>
      <c r="H540">
        <v>87.12</v>
      </c>
      <c r="K540" s="9">
        <f t="shared" si="78"/>
        <v>-0.28000000000000114</v>
      </c>
      <c r="L540">
        <f t="shared" si="79"/>
        <v>-0.45000000000001705</v>
      </c>
      <c r="M540">
        <f t="shared" si="80"/>
        <v>1.2199999999999989</v>
      </c>
      <c r="N540">
        <f t="shared" si="81"/>
        <v>0.43999999999999773</v>
      </c>
      <c r="O540">
        <f t="shared" si="82"/>
        <v>0.56000000000000227</v>
      </c>
      <c r="P540" s="10">
        <f t="shared" si="83"/>
        <v>0.43999999999999773</v>
      </c>
    </row>
    <row r="541" spans="1:16">
      <c r="A541">
        <v>86</v>
      </c>
      <c r="B541" s="42">
        <v>178.51</v>
      </c>
      <c r="C541">
        <v>172.67</v>
      </c>
      <c r="D541">
        <v>172.9</v>
      </c>
      <c r="E541">
        <v>181.84</v>
      </c>
      <c r="F541">
        <v>102.62</v>
      </c>
      <c r="G541">
        <v>96.34</v>
      </c>
      <c r="H541">
        <v>87.23</v>
      </c>
      <c r="K541" s="9">
        <f t="shared" si="78"/>
        <v>-0.21999999999999886</v>
      </c>
      <c r="L541">
        <f t="shared" si="79"/>
        <v>-0.34000000000000341</v>
      </c>
      <c r="M541">
        <f t="shared" si="80"/>
        <v>0.71999999999999886</v>
      </c>
      <c r="N541">
        <f t="shared" si="81"/>
        <v>0.60999999999999943</v>
      </c>
      <c r="O541">
        <f t="shared" si="82"/>
        <v>0.67000000000000171</v>
      </c>
      <c r="P541" s="10">
        <f t="shared" si="83"/>
        <v>0.43999999999999773</v>
      </c>
    </row>
    <row r="542" spans="1:16">
      <c r="A542">
        <v>86.17</v>
      </c>
      <c r="B542" s="42">
        <v>179.95</v>
      </c>
      <c r="C542">
        <v>172.67</v>
      </c>
      <c r="D542">
        <v>172.78</v>
      </c>
      <c r="E542">
        <v>182.45</v>
      </c>
      <c r="F542">
        <v>102.84</v>
      </c>
      <c r="G542">
        <v>96.62</v>
      </c>
      <c r="H542">
        <v>87.4</v>
      </c>
      <c r="K542" s="9">
        <f t="shared" si="78"/>
        <v>-0.38999999999998636</v>
      </c>
      <c r="L542">
        <f t="shared" si="79"/>
        <v>-0.33000000000001251</v>
      </c>
      <c r="M542">
        <f t="shared" si="80"/>
        <v>6.0000000000002274E-2</v>
      </c>
      <c r="N542">
        <f t="shared" si="81"/>
        <v>0.56000000000000227</v>
      </c>
      <c r="O542">
        <f t="shared" si="82"/>
        <v>0.54999999999999716</v>
      </c>
      <c r="P542" s="10">
        <f t="shared" si="83"/>
        <v>0.37999999999999545</v>
      </c>
    </row>
    <row r="543" spans="1:16">
      <c r="A543">
        <v>86.33</v>
      </c>
      <c r="B543" s="42">
        <v>180.78</v>
      </c>
      <c r="C543">
        <v>172.56</v>
      </c>
      <c r="D543">
        <v>172.67</v>
      </c>
      <c r="E543">
        <v>182.73</v>
      </c>
      <c r="F543">
        <v>102.95</v>
      </c>
      <c r="G543">
        <v>96.73</v>
      </c>
      <c r="H543">
        <v>87.56</v>
      </c>
      <c r="K543" s="9">
        <f t="shared" si="78"/>
        <v>0.56000000000000227</v>
      </c>
      <c r="L543">
        <f t="shared" si="79"/>
        <v>0.78000000000000114</v>
      </c>
      <c r="M543">
        <f t="shared" si="80"/>
        <v>-0.21999999999999886</v>
      </c>
      <c r="N543">
        <f t="shared" si="81"/>
        <v>0.56000000000000227</v>
      </c>
      <c r="O543">
        <f t="shared" si="82"/>
        <v>0.60999999999999943</v>
      </c>
      <c r="P543" s="10">
        <f t="shared" si="83"/>
        <v>0.39000000000000057</v>
      </c>
    </row>
    <row r="544" spans="1:16">
      <c r="A544">
        <v>86.5</v>
      </c>
      <c r="B544" s="42">
        <v>180.84</v>
      </c>
      <c r="C544">
        <v>172.45</v>
      </c>
      <c r="D544">
        <v>172.56</v>
      </c>
      <c r="E544">
        <v>182.56</v>
      </c>
      <c r="F544">
        <v>103.23</v>
      </c>
      <c r="G544">
        <v>97.01</v>
      </c>
      <c r="H544">
        <v>87.67</v>
      </c>
      <c r="K544" s="9">
        <f t="shared" si="78"/>
        <v>2.1700000000000159</v>
      </c>
      <c r="L544">
        <f t="shared" si="79"/>
        <v>2.7199999999999989</v>
      </c>
      <c r="M544">
        <f t="shared" si="80"/>
        <v>6.0000000000002274E-2</v>
      </c>
      <c r="N544">
        <f t="shared" si="81"/>
        <v>0.39000000000000057</v>
      </c>
      <c r="O544">
        <f t="shared" si="82"/>
        <v>0.43999999999999773</v>
      </c>
      <c r="P544" s="10">
        <f t="shared" si="83"/>
        <v>0.34000000000000341</v>
      </c>
    </row>
    <row r="545" spans="1:16">
      <c r="A545">
        <v>86.67</v>
      </c>
      <c r="B545" s="42">
        <v>180.56</v>
      </c>
      <c r="C545">
        <v>172.28</v>
      </c>
      <c r="D545">
        <v>172.45</v>
      </c>
      <c r="E545">
        <v>182.51</v>
      </c>
      <c r="F545">
        <v>103.4</v>
      </c>
      <c r="G545">
        <v>97.17</v>
      </c>
      <c r="H545">
        <v>87.78</v>
      </c>
      <c r="K545" s="9">
        <f t="shared" si="78"/>
        <v>2.7800000000000011</v>
      </c>
      <c r="L545">
        <f t="shared" si="79"/>
        <v>3.3900000000000148</v>
      </c>
      <c r="M545">
        <f t="shared" si="80"/>
        <v>0.5</v>
      </c>
      <c r="N545">
        <f t="shared" si="81"/>
        <v>0.37999999999999545</v>
      </c>
      <c r="O545">
        <f t="shared" si="82"/>
        <v>0.45000000000000284</v>
      </c>
      <c r="P545" s="10">
        <f t="shared" si="83"/>
        <v>0.39000000000000057</v>
      </c>
    </row>
    <row r="546" spans="1:16">
      <c r="A546">
        <v>86.83</v>
      </c>
      <c r="B546" s="42">
        <v>180.51</v>
      </c>
      <c r="C546">
        <v>173.12</v>
      </c>
      <c r="D546">
        <v>173.45</v>
      </c>
      <c r="E546">
        <v>182.51</v>
      </c>
      <c r="F546">
        <v>103.51</v>
      </c>
      <c r="G546">
        <v>97.34</v>
      </c>
      <c r="H546">
        <v>87.95</v>
      </c>
      <c r="K546" s="9">
        <f t="shared" si="78"/>
        <v>2.0499999999999829</v>
      </c>
      <c r="L546">
        <f t="shared" si="79"/>
        <v>2.5</v>
      </c>
      <c r="M546">
        <f t="shared" si="80"/>
        <v>1.2199999999999989</v>
      </c>
      <c r="N546">
        <f t="shared" si="81"/>
        <v>0.43999999999999773</v>
      </c>
      <c r="O546">
        <f t="shared" si="82"/>
        <v>0.5</v>
      </c>
      <c r="P546" s="10">
        <f t="shared" si="83"/>
        <v>0.21999999999999886</v>
      </c>
    </row>
    <row r="547" spans="1:16">
      <c r="A547">
        <v>87</v>
      </c>
      <c r="B547" s="42">
        <v>180.17</v>
      </c>
      <c r="C547">
        <v>174.62</v>
      </c>
      <c r="D547">
        <v>175.28</v>
      </c>
      <c r="E547">
        <v>182.62</v>
      </c>
      <c r="F547">
        <v>103.62</v>
      </c>
      <c r="G547">
        <v>97.45</v>
      </c>
      <c r="H547">
        <v>88.01</v>
      </c>
      <c r="K547" s="9">
        <f t="shared" si="78"/>
        <v>0.10999999999998522</v>
      </c>
      <c r="L547">
        <f t="shared" si="79"/>
        <v>0.22999999999998977</v>
      </c>
      <c r="M547">
        <f t="shared" si="80"/>
        <v>1.3899999999999864</v>
      </c>
      <c r="N547">
        <f t="shared" si="81"/>
        <v>0.54999999999999716</v>
      </c>
      <c r="O547">
        <f t="shared" si="82"/>
        <v>0.45000000000000284</v>
      </c>
      <c r="P547" s="10">
        <f t="shared" si="83"/>
        <v>0.32999999999999829</v>
      </c>
    </row>
    <row r="548" spans="1:16">
      <c r="A548">
        <v>87.17</v>
      </c>
      <c r="B548" s="42">
        <v>180.17</v>
      </c>
      <c r="C548">
        <v>175.06</v>
      </c>
      <c r="D548">
        <v>175.84</v>
      </c>
      <c r="E548">
        <v>183.01</v>
      </c>
      <c r="F548">
        <v>103.78</v>
      </c>
      <c r="G548">
        <v>97.62</v>
      </c>
      <c r="H548">
        <v>88.17</v>
      </c>
      <c r="K548" s="9">
        <f t="shared" si="78"/>
        <v>-0.65999999999999659</v>
      </c>
      <c r="L548">
        <f t="shared" si="79"/>
        <v>-0.78000000000000114</v>
      </c>
      <c r="M548">
        <f t="shared" si="80"/>
        <v>1.1599999999999966</v>
      </c>
      <c r="N548">
        <f t="shared" si="81"/>
        <v>0.56000000000000227</v>
      </c>
      <c r="O548">
        <f t="shared" si="82"/>
        <v>0.5</v>
      </c>
      <c r="P548" s="10">
        <f t="shared" si="83"/>
        <v>0.28000000000000114</v>
      </c>
    </row>
    <row r="549" spans="1:16">
      <c r="A549">
        <v>87.33</v>
      </c>
      <c r="B549" s="42">
        <v>179.84</v>
      </c>
      <c r="C549">
        <v>175.17</v>
      </c>
      <c r="D549">
        <v>175.95</v>
      </c>
      <c r="E549">
        <v>183.73</v>
      </c>
      <c r="F549">
        <v>103.95</v>
      </c>
      <c r="G549">
        <v>97.84</v>
      </c>
      <c r="H549">
        <v>88.17</v>
      </c>
      <c r="K549" s="9">
        <f t="shared" si="78"/>
        <v>-1.1599999999999966</v>
      </c>
      <c r="L549">
        <f t="shared" si="79"/>
        <v>-1.3299999999999841</v>
      </c>
      <c r="M549">
        <f t="shared" si="80"/>
        <v>0.21999999999999886</v>
      </c>
      <c r="N549">
        <f t="shared" si="81"/>
        <v>0.5</v>
      </c>
      <c r="O549">
        <f t="shared" si="82"/>
        <v>0.43999999999999773</v>
      </c>
      <c r="P549" s="10">
        <f t="shared" si="83"/>
        <v>0.39000000000000057</v>
      </c>
    </row>
    <row r="550" spans="1:16">
      <c r="A550">
        <v>87.5</v>
      </c>
      <c r="B550" s="42">
        <v>179.51</v>
      </c>
      <c r="C550">
        <v>174.73</v>
      </c>
      <c r="D550">
        <v>175.51</v>
      </c>
      <c r="E550">
        <v>184.01</v>
      </c>
      <c r="F550">
        <v>104.17</v>
      </c>
      <c r="G550">
        <v>97.9</v>
      </c>
      <c r="H550">
        <v>88.34</v>
      </c>
      <c r="K550" s="9">
        <f t="shared" si="78"/>
        <v>-1</v>
      </c>
      <c r="L550">
        <f t="shared" si="79"/>
        <v>-1.2299999999999898</v>
      </c>
      <c r="M550">
        <f t="shared" si="80"/>
        <v>-0.22999999999998977</v>
      </c>
      <c r="N550">
        <f t="shared" si="81"/>
        <v>0.5</v>
      </c>
      <c r="O550">
        <f t="shared" si="82"/>
        <v>0.54999999999999716</v>
      </c>
      <c r="P550" s="10">
        <f t="shared" si="83"/>
        <v>0.39000000000000057</v>
      </c>
    </row>
    <row r="551" spans="1:16">
      <c r="A551">
        <v>87.67</v>
      </c>
      <c r="B551" s="42">
        <v>179.06</v>
      </c>
      <c r="C551">
        <v>174.4</v>
      </c>
      <c r="D551">
        <v>175.06</v>
      </c>
      <c r="E551">
        <v>184.17</v>
      </c>
      <c r="F551">
        <v>104.34</v>
      </c>
      <c r="G551">
        <v>98.12</v>
      </c>
      <c r="H551">
        <v>88.45</v>
      </c>
      <c r="K551" s="9">
        <f t="shared" si="78"/>
        <v>-1</v>
      </c>
      <c r="L551">
        <f t="shared" si="79"/>
        <v>-1.0500000000000114</v>
      </c>
      <c r="M551">
        <f t="shared" si="80"/>
        <v>-0.71999999999999886</v>
      </c>
      <c r="N551">
        <f t="shared" si="81"/>
        <v>0.5</v>
      </c>
      <c r="O551">
        <f t="shared" si="82"/>
        <v>0.5</v>
      </c>
      <c r="P551" s="10">
        <f t="shared" si="83"/>
        <v>0.5</v>
      </c>
    </row>
    <row r="552" spans="1:16">
      <c r="A552">
        <v>87.83</v>
      </c>
      <c r="B552" s="42">
        <v>178.73</v>
      </c>
      <c r="C552">
        <v>174.01</v>
      </c>
      <c r="D552">
        <v>174.62</v>
      </c>
      <c r="E552">
        <v>183.95</v>
      </c>
      <c r="F552">
        <v>104.45</v>
      </c>
      <c r="G552">
        <v>98.28</v>
      </c>
      <c r="H552">
        <v>88.56</v>
      </c>
      <c r="K552" s="9">
        <f t="shared" si="78"/>
        <v>-0.84000000000000341</v>
      </c>
      <c r="L552">
        <f t="shared" si="79"/>
        <v>-0.89000000000001478</v>
      </c>
      <c r="M552">
        <f t="shared" si="80"/>
        <v>-0.66999999999998749</v>
      </c>
      <c r="N552">
        <f t="shared" si="81"/>
        <v>0.45000000000000284</v>
      </c>
      <c r="O552">
        <f t="shared" si="82"/>
        <v>0.45000000000000284</v>
      </c>
      <c r="P552" s="10">
        <f t="shared" si="83"/>
        <v>0.5</v>
      </c>
    </row>
    <row r="553" spans="1:16">
      <c r="A553">
        <v>88</v>
      </c>
      <c r="B553" s="42">
        <v>178.45</v>
      </c>
      <c r="C553">
        <v>173.73</v>
      </c>
      <c r="D553">
        <v>174.28</v>
      </c>
      <c r="E553">
        <v>183.78</v>
      </c>
      <c r="F553">
        <v>104.67</v>
      </c>
      <c r="G553">
        <v>98.45</v>
      </c>
      <c r="H553">
        <v>88.73</v>
      </c>
      <c r="K553" s="9">
        <f t="shared" si="78"/>
        <v>-0.71999999999999886</v>
      </c>
      <c r="L553">
        <f t="shared" si="79"/>
        <v>-0.77000000000001023</v>
      </c>
      <c r="M553">
        <f t="shared" si="80"/>
        <v>-0.61000000000001364</v>
      </c>
      <c r="N553">
        <f t="shared" si="81"/>
        <v>0.45000000000000284</v>
      </c>
      <c r="O553">
        <f t="shared" si="82"/>
        <v>0.45000000000000284</v>
      </c>
      <c r="P553" s="10">
        <f t="shared" si="83"/>
        <v>0.54999999999999716</v>
      </c>
    </row>
    <row r="554" spans="1:16">
      <c r="A554">
        <v>88.17</v>
      </c>
      <c r="B554" s="42">
        <v>178.51</v>
      </c>
      <c r="C554">
        <v>173.4</v>
      </c>
      <c r="D554">
        <v>174.01</v>
      </c>
      <c r="E554">
        <v>183.45</v>
      </c>
      <c r="F554">
        <v>104.84</v>
      </c>
      <c r="G554">
        <v>98.62</v>
      </c>
      <c r="H554">
        <v>88.95</v>
      </c>
      <c r="K554" s="9">
        <f t="shared" si="78"/>
        <v>-0.62000000000000455</v>
      </c>
      <c r="L554">
        <f t="shared" si="79"/>
        <v>-0.72999999999998977</v>
      </c>
      <c r="M554">
        <f t="shared" si="80"/>
        <v>-0.28000000000000114</v>
      </c>
      <c r="N554">
        <f t="shared" si="81"/>
        <v>0.43999999999999773</v>
      </c>
      <c r="O554">
        <f t="shared" si="82"/>
        <v>0.43999999999999773</v>
      </c>
      <c r="P554" s="10">
        <f t="shared" si="83"/>
        <v>0.45000000000000284</v>
      </c>
    </row>
    <row r="555" spans="1:16">
      <c r="A555">
        <v>88.33</v>
      </c>
      <c r="B555" s="42">
        <v>178.23</v>
      </c>
      <c r="C555">
        <v>173.17</v>
      </c>
      <c r="D555">
        <v>173.73</v>
      </c>
      <c r="E555">
        <v>183.28</v>
      </c>
      <c r="F555">
        <v>104.9</v>
      </c>
      <c r="G555">
        <v>98.73</v>
      </c>
      <c r="H555">
        <v>89.06</v>
      </c>
      <c r="K555" s="9">
        <f t="shared" si="78"/>
        <v>-0.32999999999998408</v>
      </c>
      <c r="L555">
        <f t="shared" si="79"/>
        <v>-0.56000000000000227</v>
      </c>
      <c r="M555">
        <f t="shared" si="80"/>
        <v>-0.15999999999999659</v>
      </c>
      <c r="N555">
        <f t="shared" si="81"/>
        <v>0.5</v>
      </c>
      <c r="O555">
        <f t="shared" si="82"/>
        <v>0.43999999999999773</v>
      </c>
      <c r="P555" s="10">
        <f t="shared" si="83"/>
        <v>0.39000000000000057</v>
      </c>
    </row>
    <row r="556" spans="1:16">
      <c r="A556">
        <v>88.5</v>
      </c>
      <c r="B556" s="42">
        <v>178.06</v>
      </c>
      <c r="C556">
        <v>173.01</v>
      </c>
      <c r="D556">
        <v>173.51</v>
      </c>
      <c r="E556">
        <v>183.17</v>
      </c>
      <c r="F556">
        <v>105.12</v>
      </c>
      <c r="G556">
        <v>98.9</v>
      </c>
      <c r="H556">
        <v>89.28</v>
      </c>
      <c r="K556" s="9">
        <f t="shared" si="78"/>
        <v>-0.38999999999998636</v>
      </c>
      <c r="L556">
        <f t="shared" si="79"/>
        <v>-0.56000000000000227</v>
      </c>
      <c r="M556">
        <f t="shared" si="80"/>
        <v>-0.15999999999999659</v>
      </c>
      <c r="N556">
        <f t="shared" si="81"/>
        <v>0.32999999999999829</v>
      </c>
      <c r="O556">
        <f t="shared" si="82"/>
        <v>0.37999999999999545</v>
      </c>
      <c r="P556" s="10">
        <f t="shared" si="83"/>
        <v>0.34000000000000341</v>
      </c>
    </row>
    <row r="557" spans="1:16">
      <c r="A557">
        <v>88.67</v>
      </c>
      <c r="B557" s="42">
        <v>178.23</v>
      </c>
      <c r="C557">
        <v>172.78</v>
      </c>
      <c r="D557">
        <v>173.28</v>
      </c>
      <c r="E557">
        <v>183.17</v>
      </c>
      <c r="F557">
        <v>105.28</v>
      </c>
      <c r="G557">
        <v>99.06</v>
      </c>
      <c r="H557">
        <v>89.4</v>
      </c>
      <c r="K557" s="9">
        <f t="shared" si="78"/>
        <v>-0.15999999999999659</v>
      </c>
      <c r="L557">
        <f t="shared" si="79"/>
        <v>-0.37999999999999545</v>
      </c>
      <c r="M557">
        <f t="shared" si="80"/>
        <v>-0.38999999999998636</v>
      </c>
      <c r="N557">
        <f t="shared" si="81"/>
        <v>0.34000000000000341</v>
      </c>
      <c r="O557">
        <f t="shared" si="82"/>
        <v>0.45000000000000284</v>
      </c>
      <c r="P557" s="10">
        <f t="shared" si="83"/>
        <v>0.5</v>
      </c>
    </row>
    <row r="558" spans="1:16">
      <c r="A558">
        <v>88.83</v>
      </c>
      <c r="B558" s="42">
        <v>178.56</v>
      </c>
      <c r="C558">
        <v>172.84</v>
      </c>
      <c r="D558">
        <v>173.17</v>
      </c>
      <c r="E558">
        <v>183.12</v>
      </c>
      <c r="F558">
        <v>105.4</v>
      </c>
      <c r="G558">
        <v>99.17</v>
      </c>
      <c r="H558">
        <v>89.45</v>
      </c>
      <c r="K558" s="9">
        <f t="shared" si="78"/>
        <v>-0.39000000000001478</v>
      </c>
      <c r="L558">
        <f t="shared" si="79"/>
        <v>-0.5</v>
      </c>
      <c r="M558">
        <f t="shared" si="80"/>
        <v>-0.5</v>
      </c>
      <c r="N558">
        <f t="shared" si="81"/>
        <v>0.32999999999999829</v>
      </c>
      <c r="O558">
        <f t="shared" si="82"/>
        <v>0.45000000000000284</v>
      </c>
      <c r="P558" s="10">
        <f t="shared" si="83"/>
        <v>0.60999999999999943</v>
      </c>
    </row>
    <row r="559" spans="1:16">
      <c r="A559">
        <v>89</v>
      </c>
      <c r="B559" s="42">
        <v>180.01</v>
      </c>
      <c r="C559">
        <v>172.62</v>
      </c>
      <c r="D559">
        <v>172.95</v>
      </c>
      <c r="E559">
        <v>183.01</v>
      </c>
      <c r="F559">
        <v>105.45</v>
      </c>
      <c r="G559">
        <v>99.28</v>
      </c>
      <c r="H559">
        <v>89.62</v>
      </c>
      <c r="K559" s="9">
        <f t="shared" si="78"/>
        <v>-0.34000000000000341</v>
      </c>
      <c r="L559">
        <f t="shared" si="79"/>
        <v>-0.43999999999999773</v>
      </c>
      <c r="M559">
        <f t="shared" si="80"/>
        <v>-0.66999999999998749</v>
      </c>
      <c r="N559">
        <f t="shared" si="81"/>
        <v>0.45000000000000284</v>
      </c>
      <c r="O559">
        <f t="shared" si="82"/>
        <v>0.56000000000000227</v>
      </c>
      <c r="P559" s="10">
        <f t="shared" si="83"/>
        <v>0.78000000000000114</v>
      </c>
    </row>
    <row r="560" spans="1:16">
      <c r="A560">
        <v>89.17</v>
      </c>
      <c r="B560" s="42">
        <v>181.78</v>
      </c>
      <c r="C560">
        <v>172.62</v>
      </c>
      <c r="D560">
        <v>172.9</v>
      </c>
      <c r="E560">
        <v>182.78</v>
      </c>
      <c r="F560">
        <v>105.62</v>
      </c>
      <c r="G560">
        <v>99.51</v>
      </c>
      <c r="H560">
        <v>89.9</v>
      </c>
      <c r="K560" s="9">
        <f t="shared" si="78"/>
        <v>-0.28000000000000114</v>
      </c>
      <c r="L560">
        <f t="shared" si="79"/>
        <v>-0.28000000000000114</v>
      </c>
      <c r="M560">
        <f t="shared" si="80"/>
        <v>-0.61000000000001364</v>
      </c>
      <c r="N560">
        <f t="shared" si="81"/>
        <v>0.5</v>
      </c>
      <c r="O560">
        <f t="shared" si="82"/>
        <v>0.43999999999999773</v>
      </c>
      <c r="P560" s="10">
        <f t="shared" si="83"/>
        <v>0.87999999999999545</v>
      </c>
    </row>
    <row r="561" spans="1:16">
      <c r="A561">
        <v>89.33</v>
      </c>
      <c r="B561" s="42">
        <v>182.62</v>
      </c>
      <c r="C561">
        <v>172.45</v>
      </c>
      <c r="D561">
        <v>172.67</v>
      </c>
      <c r="E561">
        <v>182.62</v>
      </c>
      <c r="F561">
        <v>105.73</v>
      </c>
      <c r="G561">
        <v>99.62</v>
      </c>
      <c r="H561">
        <v>90.06</v>
      </c>
      <c r="K561" s="9">
        <f t="shared" si="78"/>
        <v>0.5</v>
      </c>
      <c r="L561">
        <f t="shared" si="79"/>
        <v>0.78000000000000114</v>
      </c>
      <c r="M561">
        <f t="shared" si="80"/>
        <v>-0.56000000000000227</v>
      </c>
      <c r="N561">
        <f t="shared" si="81"/>
        <v>0.54999999999999716</v>
      </c>
      <c r="O561">
        <f t="shared" si="82"/>
        <v>0.43999999999999773</v>
      </c>
      <c r="P561" s="10">
        <f t="shared" si="83"/>
        <v>1.0600000000000023</v>
      </c>
    </row>
    <row r="562" spans="1:16">
      <c r="A562">
        <v>89.5</v>
      </c>
      <c r="B562" s="42">
        <v>182.62</v>
      </c>
      <c r="C562">
        <v>172.28</v>
      </c>
      <c r="D562">
        <v>172.51</v>
      </c>
      <c r="E562">
        <v>182.34</v>
      </c>
      <c r="F562">
        <v>105.9</v>
      </c>
      <c r="G562">
        <v>99.84</v>
      </c>
      <c r="H562">
        <v>90.4</v>
      </c>
      <c r="K562" s="9">
        <f t="shared" si="78"/>
        <v>3.0600000000000023</v>
      </c>
      <c r="L562">
        <f t="shared" si="79"/>
        <v>3.5</v>
      </c>
      <c r="M562">
        <f t="shared" si="80"/>
        <v>0</v>
      </c>
      <c r="N562">
        <f t="shared" si="81"/>
        <v>0.82999999999999829</v>
      </c>
      <c r="O562">
        <f t="shared" si="82"/>
        <v>0.5</v>
      </c>
      <c r="P562" s="10">
        <f t="shared" si="83"/>
        <v>1.1099999999999994</v>
      </c>
    </row>
    <row r="563" spans="1:16">
      <c r="A563">
        <v>89.67</v>
      </c>
      <c r="B563" s="42">
        <v>182.51</v>
      </c>
      <c r="C563">
        <v>172.34</v>
      </c>
      <c r="D563">
        <v>172.62</v>
      </c>
      <c r="E563">
        <v>182.17</v>
      </c>
      <c r="F563">
        <v>106.12</v>
      </c>
      <c r="G563">
        <v>99.95</v>
      </c>
      <c r="H563">
        <v>90.78</v>
      </c>
      <c r="K563" s="9">
        <f t="shared" si="78"/>
        <v>3.7199999999999989</v>
      </c>
      <c r="L563">
        <f t="shared" si="79"/>
        <v>4.4399999999999977</v>
      </c>
      <c r="M563">
        <f t="shared" si="80"/>
        <v>0.5</v>
      </c>
      <c r="N563">
        <f t="shared" si="81"/>
        <v>0.89000000000000057</v>
      </c>
      <c r="O563">
        <f t="shared" si="82"/>
        <v>0.56000000000000227</v>
      </c>
      <c r="P563" s="10">
        <f t="shared" si="83"/>
        <v>0.95000000000000284</v>
      </c>
    </row>
    <row r="564" spans="1:16">
      <c r="A564">
        <v>89.83</v>
      </c>
      <c r="B564" s="42">
        <v>182.51</v>
      </c>
      <c r="C564">
        <v>172.95</v>
      </c>
      <c r="D564">
        <v>173.45</v>
      </c>
      <c r="E564">
        <v>182.06</v>
      </c>
      <c r="F564">
        <v>106.28</v>
      </c>
      <c r="G564">
        <v>100.06</v>
      </c>
      <c r="H564">
        <v>91.12</v>
      </c>
      <c r="K564" s="9">
        <f t="shared" si="78"/>
        <v>3.6700000000000159</v>
      </c>
      <c r="L564">
        <f t="shared" si="79"/>
        <v>4.1100000000000136</v>
      </c>
      <c r="M564">
        <f t="shared" si="80"/>
        <v>1.4499999999999886</v>
      </c>
      <c r="N564">
        <f t="shared" si="81"/>
        <v>1.1200000000000045</v>
      </c>
      <c r="O564">
        <f t="shared" si="82"/>
        <v>0.60999999999999943</v>
      </c>
      <c r="P564" s="10">
        <f t="shared" si="83"/>
        <v>0.93999999999999773</v>
      </c>
    </row>
    <row r="565" spans="1:16">
      <c r="A565">
        <v>90</v>
      </c>
      <c r="B565" s="42">
        <v>182.51</v>
      </c>
      <c r="C565">
        <v>175.34</v>
      </c>
      <c r="D565">
        <v>176.01</v>
      </c>
      <c r="E565">
        <v>182.34</v>
      </c>
      <c r="F565">
        <v>106.73</v>
      </c>
      <c r="G565">
        <v>100.34</v>
      </c>
      <c r="H565">
        <v>91.51</v>
      </c>
      <c r="K565" s="9">
        <f t="shared" si="78"/>
        <v>1.3899999999999864</v>
      </c>
      <c r="L565">
        <f t="shared" si="79"/>
        <v>1.5</v>
      </c>
      <c r="M565">
        <f t="shared" si="80"/>
        <v>1.2199999999999989</v>
      </c>
      <c r="N565">
        <f t="shared" si="81"/>
        <v>0.78000000000000114</v>
      </c>
      <c r="O565">
        <f t="shared" si="82"/>
        <v>0.5</v>
      </c>
      <c r="P565" s="10">
        <f t="shared" si="83"/>
        <v>0.76999999999999602</v>
      </c>
    </row>
    <row r="566" spans="1:16">
      <c r="A566">
        <v>90.17</v>
      </c>
      <c r="B566" s="42">
        <v>182.28</v>
      </c>
      <c r="C566">
        <v>176.06</v>
      </c>
      <c r="D566">
        <v>177.06</v>
      </c>
      <c r="E566">
        <v>182.67</v>
      </c>
      <c r="F566">
        <v>107.01</v>
      </c>
      <c r="G566">
        <v>100.51</v>
      </c>
      <c r="H566">
        <v>91.73</v>
      </c>
      <c r="K566" s="9">
        <f t="shared" si="78"/>
        <v>0.34000000000000341</v>
      </c>
      <c r="L566">
        <f t="shared" si="79"/>
        <v>0</v>
      </c>
      <c r="M566">
        <f t="shared" si="80"/>
        <v>0.84000000000000341</v>
      </c>
      <c r="N566">
        <f t="shared" si="81"/>
        <v>0.65999999999999659</v>
      </c>
      <c r="O566">
        <f t="shared" si="82"/>
        <v>0.43999999999999773</v>
      </c>
      <c r="P566" s="10">
        <f t="shared" si="83"/>
        <v>0.67000000000000171</v>
      </c>
    </row>
    <row r="567" spans="1:16">
      <c r="A567">
        <v>90.33</v>
      </c>
      <c r="B567" s="42">
        <v>182.17</v>
      </c>
      <c r="C567">
        <v>176.62</v>
      </c>
      <c r="D567">
        <v>177.56</v>
      </c>
      <c r="E567">
        <v>183.51</v>
      </c>
      <c r="F567">
        <v>107.4</v>
      </c>
      <c r="G567">
        <v>100.67</v>
      </c>
      <c r="H567">
        <v>92.06</v>
      </c>
      <c r="K567" s="9">
        <f t="shared" si="78"/>
        <v>-0.71999999999999886</v>
      </c>
      <c r="L567">
        <f t="shared" si="79"/>
        <v>-1.0500000000000114</v>
      </c>
      <c r="M567">
        <f t="shared" si="80"/>
        <v>-0.10999999999998522</v>
      </c>
      <c r="N567">
        <f t="shared" si="81"/>
        <v>0.32999999999999829</v>
      </c>
      <c r="O567">
        <f t="shared" si="82"/>
        <v>0.56000000000000227</v>
      </c>
      <c r="P567" s="10">
        <f t="shared" si="83"/>
        <v>0.34000000000000341</v>
      </c>
    </row>
    <row r="568" spans="1:16">
      <c r="A568">
        <v>90.5</v>
      </c>
      <c r="B568" s="42">
        <v>181.78</v>
      </c>
      <c r="C568">
        <v>176.73</v>
      </c>
      <c r="D568">
        <v>177.51</v>
      </c>
      <c r="E568">
        <v>183.56</v>
      </c>
      <c r="F568">
        <v>107.51</v>
      </c>
      <c r="G568">
        <v>100.84</v>
      </c>
      <c r="H568">
        <v>92.28</v>
      </c>
      <c r="K568" s="9">
        <f t="shared" si="78"/>
        <v>-1.2800000000000011</v>
      </c>
      <c r="L568">
        <f t="shared" si="79"/>
        <v>-1.4499999999999886</v>
      </c>
      <c r="M568">
        <f t="shared" si="80"/>
        <v>-0.33000000000001251</v>
      </c>
      <c r="N568">
        <f t="shared" si="81"/>
        <v>0.32999999999999829</v>
      </c>
      <c r="O568">
        <f t="shared" si="82"/>
        <v>0.5</v>
      </c>
      <c r="P568" s="10">
        <f t="shared" si="83"/>
        <v>0.28000000000000114</v>
      </c>
    </row>
    <row r="569" spans="1:16">
      <c r="A569">
        <v>90.67</v>
      </c>
      <c r="B569" s="42">
        <v>181.56</v>
      </c>
      <c r="C569">
        <v>176.4</v>
      </c>
      <c r="D569">
        <v>177.06</v>
      </c>
      <c r="E569">
        <v>183.51</v>
      </c>
      <c r="F569">
        <v>107.67</v>
      </c>
      <c r="G569">
        <v>100.95</v>
      </c>
      <c r="H569">
        <v>92.4</v>
      </c>
      <c r="K569" s="9">
        <f t="shared" si="78"/>
        <v>-1.1700000000000159</v>
      </c>
      <c r="L569">
        <f t="shared" si="79"/>
        <v>-1.2800000000000011</v>
      </c>
      <c r="M569">
        <f t="shared" si="80"/>
        <v>-0.38999999999998636</v>
      </c>
      <c r="N569">
        <f t="shared" si="81"/>
        <v>0.28000000000000114</v>
      </c>
      <c r="O569">
        <f t="shared" si="82"/>
        <v>0.56000000000000227</v>
      </c>
      <c r="P569" s="10">
        <f t="shared" si="83"/>
        <v>0.15999999999999659</v>
      </c>
    </row>
    <row r="570" spans="1:16">
      <c r="A570">
        <v>90.83</v>
      </c>
      <c r="B570" s="42">
        <v>181.23</v>
      </c>
      <c r="C570">
        <v>175.9</v>
      </c>
      <c r="D570">
        <v>176.51</v>
      </c>
      <c r="E570">
        <v>183.4</v>
      </c>
      <c r="F570">
        <v>107.73</v>
      </c>
      <c r="G570">
        <v>101.23</v>
      </c>
      <c r="H570">
        <v>92.4</v>
      </c>
      <c r="K570" s="9">
        <f t="shared" si="78"/>
        <v>-0.78000000000000114</v>
      </c>
      <c r="L570">
        <f t="shared" si="79"/>
        <v>-0.94999999999998863</v>
      </c>
      <c r="M570">
        <f t="shared" si="80"/>
        <v>-0.45000000000001705</v>
      </c>
      <c r="N570">
        <f t="shared" si="81"/>
        <v>0.39000000000000057</v>
      </c>
      <c r="O570">
        <f t="shared" si="82"/>
        <v>0.54999999999999716</v>
      </c>
      <c r="P570" s="10">
        <f t="shared" si="83"/>
        <v>0.32999999999999829</v>
      </c>
    </row>
    <row r="571" spans="1:16">
      <c r="A571">
        <v>91</v>
      </c>
      <c r="B571" s="42">
        <v>180.73</v>
      </c>
      <c r="C571">
        <v>175.45</v>
      </c>
      <c r="D571">
        <v>176.06</v>
      </c>
      <c r="E571">
        <v>183.23</v>
      </c>
      <c r="F571">
        <v>107.84</v>
      </c>
      <c r="G571">
        <v>101.34</v>
      </c>
      <c r="H571">
        <v>92.56</v>
      </c>
      <c r="K571" s="9">
        <f t="shared" si="78"/>
        <v>-0.5</v>
      </c>
      <c r="L571">
        <f t="shared" si="79"/>
        <v>-0.83000000000001251</v>
      </c>
      <c r="M571">
        <f t="shared" si="80"/>
        <v>-0.56000000000000227</v>
      </c>
      <c r="N571">
        <f t="shared" si="81"/>
        <v>0.39000000000000057</v>
      </c>
      <c r="O571">
        <f t="shared" si="82"/>
        <v>0.56000000000000227</v>
      </c>
      <c r="P571" s="10">
        <f t="shared" si="83"/>
        <v>0.28000000000000114</v>
      </c>
    </row>
    <row r="572" spans="1:16">
      <c r="A572">
        <v>91.17</v>
      </c>
      <c r="B572" s="42">
        <v>180.62</v>
      </c>
      <c r="C572">
        <v>175.23</v>
      </c>
      <c r="D572">
        <v>175.78</v>
      </c>
      <c r="E572">
        <v>183.12</v>
      </c>
      <c r="F572">
        <v>107.95</v>
      </c>
      <c r="G572">
        <v>101.51</v>
      </c>
      <c r="H572">
        <v>92.56</v>
      </c>
      <c r="K572" s="9">
        <f t="shared" si="78"/>
        <v>-0.5</v>
      </c>
      <c r="L572">
        <f t="shared" si="79"/>
        <v>-0.71999999999999886</v>
      </c>
      <c r="M572">
        <f t="shared" si="80"/>
        <v>-0.56000000000000227</v>
      </c>
      <c r="N572">
        <f t="shared" si="81"/>
        <v>0.45000000000000284</v>
      </c>
      <c r="O572">
        <f t="shared" si="82"/>
        <v>0.5</v>
      </c>
      <c r="P572" s="10">
        <f t="shared" si="83"/>
        <v>0.28000000000000114</v>
      </c>
    </row>
    <row r="573" spans="1:16">
      <c r="A573">
        <v>91.33</v>
      </c>
      <c r="B573" s="42">
        <v>180.51</v>
      </c>
      <c r="C573">
        <v>175.12</v>
      </c>
      <c r="D573">
        <v>175.56</v>
      </c>
      <c r="E573">
        <v>182.95</v>
      </c>
      <c r="F573">
        <v>108.12</v>
      </c>
      <c r="G573">
        <v>101.78</v>
      </c>
      <c r="H573">
        <v>92.73</v>
      </c>
      <c r="K573" s="9">
        <f t="shared" si="78"/>
        <v>-0.5</v>
      </c>
      <c r="L573">
        <f t="shared" si="79"/>
        <v>-0.65999999999999659</v>
      </c>
      <c r="M573">
        <f t="shared" si="80"/>
        <v>-0.16999999999998749</v>
      </c>
      <c r="N573">
        <f t="shared" si="81"/>
        <v>0.39000000000000057</v>
      </c>
      <c r="O573">
        <f t="shared" si="82"/>
        <v>0.34000000000000341</v>
      </c>
      <c r="P573" s="10">
        <f t="shared" si="83"/>
        <v>0.21999999999999886</v>
      </c>
    </row>
    <row r="574" spans="1:16">
      <c r="A574">
        <v>91.5</v>
      </c>
      <c r="B574" s="42">
        <v>180.51</v>
      </c>
      <c r="C574">
        <v>174.95</v>
      </c>
      <c r="D574">
        <v>175.23</v>
      </c>
      <c r="E574">
        <v>182.67</v>
      </c>
      <c r="F574">
        <v>108.23</v>
      </c>
      <c r="G574">
        <v>101.9</v>
      </c>
      <c r="H574">
        <v>92.84</v>
      </c>
      <c r="K574" s="9">
        <f t="shared" si="78"/>
        <v>-0.43999999999999773</v>
      </c>
      <c r="L574">
        <f t="shared" si="79"/>
        <v>-0.5</v>
      </c>
      <c r="M574">
        <f t="shared" si="80"/>
        <v>-0.32999999999998408</v>
      </c>
      <c r="N574">
        <f t="shared" si="81"/>
        <v>0.39000000000000057</v>
      </c>
      <c r="O574">
        <f t="shared" si="82"/>
        <v>0.32999999999999829</v>
      </c>
      <c r="P574" s="10">
        <f t="shared" si="83"/>
        <v>0.28000000000000114</v>
      </c>
    </row>
    <row r="575" spans="1:16">
      <c r="A575">
        <v>91.67</v>
      </c>
      <c r="B575" s="42">
        <v>180.51</v>
      </c>
      <c r="C575">
        <v>174.73</v>
      </c>
      <c r="D575">
        <v>175.06</v>
      </c>
      <c r="E575">
        <v>182.56</v>
      </c>
      <c r="F575">
        <v>108.4</v>
      </c>
      <c r="G575">
        <v>102.01</v>
      </c>
      <c r="H575">
        <v>92.84</v>
      </c>
      <c r="K575" s="9">
        <f t="shared" si="78"/>
        <v>-0.44999999999998863</v>
      </c>
      <c r="L575">
        <f t="shared" si="79"/>
        <v>-0.55000000000001137</v>
      </c>
      <c r="M575">
        <f t="shared" si="80"/>
        <v>-0.55000000000001137</v>
      </c>
      <c r="N575">
        <f t="shared" si="81"/>
        <v>0.37999999999999545</v>
      </c>
      <c r="O575">
        <f t="shared" si="82"/>
        <v>0.39000000000000057</v>
      </c>
      <c r="P575" s="10">
        <f t="shared" si="83"/>
        <v>0.28000000000000114</v>
      </c>
    </row>
    <row r="576" spans="1:16">
      <c r="A576">
        <v>91.83</v>
      </c>
      <c r="B576" s="42">
        <v>181.9</v>
      </c>
      <c r="C576">
        <v>174.62</v>
      </c>
      <c r="D576">
        <v>174.9</v>
      </c>
      <c r="E576">
        <v>182.78</v>
      </c>
      <c r="F576">
        <v>108.51</v>
      </c>
      <c r="G576">
        <v>102.12</v>
      </c>
      <c r="H576">
        <v>92.95</v>
      </c>
      <c r="K576" s="9">
        <f t="shared" si="78"/>
        <v>-0.61000000000001364</v>
      </c>
      <c r="L576">
        <f t="shared" si="79"/>
        <v>-0.67000000000001592</v>
      </c>
      <c r="M576">
        <f t="shared" si="80"/>
        <v>-1.1100000000000136</v>
      </c>
      <c r="N576">
        <f t="shared" si="81"/>
        <v>0.26999999999999602</v>
      </c>
      <c r="O576">
        <f t="shared" si="82"/>
        <v>0.39000000000000057</v>
      </c>
      <c r="P576" s="10">
        <f t="shared" si="83"/>
        <v>0.21999999999999886</v>
      </c>
    </row>
    <row r="577" spans="1:16">
      <c r="A577">
        <v>92</v>
      </c>
      <c r="B577" s="42">
        <v>183.45</v>
      </c>
      <c r="C577">
        <v>174.51</v>
      </c>
      <c r="D577">
        <v>174.73</v>
      </c>
      <c r="E577">
        <v>182.34</v>
      </c>
      <c r="F577">
        <v>108.62</v>
      </c>
      <c r="G577">
        <v>102.23</v>
      </c>
      <c r="H577">
        <v>93.12</v>
      </c>
      <c r="K577" s="9">
        <f t="shared" si="78"/>
        <v>-0.66999999999998749</v>
      </c>
      <c r="L577">
        <f t="shared" si="79"/>
        <v>-0.66999999999998749</v>
      </c>
      <c r="M577">
        <f t="shared" si="80"/>
        <v>-0.78000000000000114</v>
      </c>
      <c r="N577">
        <f t="shared" si="81"/>
        <v>0.39000000000000057</v>
      </c>
      <c r="O577">
        <f t="shared" si="82"/>
        <v>0.39000000000000057</v>
      </c>
      <c r="P577" s="10">
        <f t="shared" si="83"/>
        <v>0.15999999999999659</v>
      </c>
    </row>
    <row r="578" spans="1:16">
      <c r="A578">
        <v>92.17</v>
      </c>
      <c r="B578" s="42">
        <v>184.28</v>
      </c>
      <c r="C578">
        <v>174.28</v>
      </c>
      <c r="D578">
        <v>174.51</v>
      </c>
      <c r="E578">
        <v>182.01</v>
      </c>
      <c r="F578">
        <v>108.78</v>
      </c>
      <c r="G578">
        <v>102.4</v>
      </c>
      <c r="H578">
        <v>93.12</v>
      </c>
      <c r="K578" s="9">
        <f t="shared" si="78"/>
        <v>-0.65999999999999659</v>
      </c>
      <c r="L578">
        <f t="shared" si="79"/>
        <v>-0.66999999999998749</v>
      </c>
      <c r="M578">
        <f t="shared" si="80"/>
        <v>-0.66999999999998749</v>
      </c>
      <c r="N578">
        <f t="shared" si="81"/>
        <v>0.28000000000000114</v>
      </c>
      <c r="O578">
        <f t="shared" si="82"/>
        <v>0.26999999999999602</v>
      </c>
      <c r="P578" s="10">
        <f t="shared" si="83"/>
        <v>0.21999999999999886</v>
      </c>
    </row>
    <row r="579" spans="1:16">
      <c r="A579">
        <v>92.33</v>
      </c>
      <c r="B579" s="42">
        <v>184.06</v>
      </c>
      <c r="C579">
        <v>174.01</v>
      </c>
      <c r="D579">
        <v>174.23</v>
      </c>
      <c r="E579">
        <v>181.67</v>
      </c>
      <c r="F579">
        <v>108.78</v>
      </c>
      <c r="G579">
        <v>102.51</v>
      </c>
      <c r="H579">
        <v>93.17</v>
      </c>
      <c r="K579" s="9">
        <f t="shared" si="78"/>
        <v>-0.56000000000000227</v>
      </c>
      <c r="L579">
        <f t="shared" si="79"/>
        <v>-0.56000000000000227</v>
      </c>
      <c r="M579">
        <f t="shared" si="80"/>
        <v>-0.5</v>
      </c>
      <c r="N579">
        <f t="shared" si="81"/>
        <v>0.45000000000000284</v>
      </c>
      <c r="O579">
        <f t="shared" si="82"/>
        <v>0.32999999999999829</v>
      </c>
      <c r="P579" s="10">
        <f t="shared" si="83"/>
        <v>0.28000000000000114</v>
      </c>
    </row>
    <row r="580" spans="1:16">
      <c r="A580">
        <v>92.5</v>
      </c>
      <c r="B580" s="42">
        <v>183.62</v>
      </c>
      <c r="C580">
        <v>173.84</v>
      </c>
      <c r="D580">
        <v>174.06</v>
      </c>
      <c r="E580">
        <v>181.56</v>
      </c>
      <c r="F580">
        <v>109.01</v>
      </c>
      <c r="G580">
        <v>102.62</v>
      </c>
      <c r="H580">
        <v>93.28</v>
      </c>
      <c r="K580" s="9">
        <f t="shared" si="78"/>
        <v>-0.78000000000000114</v>
      </c>
      <c r="L580">
        <f t="shared" si="79"/>
        <v>-0.78000000000000114</v>
      </c>
      <c r="M580">
        <f t="shared" si="80"/>
        <v>-0.55000000000001137</v>
      </c>
      <c r="N580">
        <f t="shared" si="81"/>
        <v>0.26999999999999602</v>
      </c>
      <c r="O580">
        <f t="shared" si="82"/>
        <v>0.28000000000000114</v>
      </c>
      <c r="P580" s="10">
        <f t="shared" si="83"/>
        <v>0.39000000000000057</v>
      </c>
    </row>
    <row r="581" spans="1:16">
      <c r="A581">
        <v>92.67</v>
      </c>
      <c r="B581" s="42">
        <v>183.28</v>
      </c>
      <c r="C581">
        <v>173.62</v>
      </c>
      <c r="D581">
        <v>173.84</v>
      </c>
      <c r="E581">
        <v>181.34</v>
      </c>
      <c r="F581">
        <v>109.06</v>
      </c>
      <c r="G581">
        <v>102.67</v>
      </c>
      <c r="H581">
        <v>93.34</v>
      </c>
      <c r="K581" s="9">
        <f t="shared" si="78"/>
        <v>-1.0600000000000023</v>
      </c>
      <c r="L581">
        <f t="shared" si="79"/>
        <v>-0.83000000000001251</v>
      </c>
      <c r="M581">
        <f t="shared" si="80"/>
        <v>-0.17000000000001592</v>
      </c>
      <c r="N581">
        <f t="shared" si="81"/>
        <v>0.28000000000000114</v>
      </c>
      <c r="O581">
        <f t="shared" si="82"/>
        <v>0.34000000000000341</v>
      </c>
      <c r="P581" s="10">
        <f t="shared" si="83"/>
        <v>0.5</v>
      </c>
    </row>
    <row r="582" spans="1:16">
      <c r="A582">
        <v>92.83</v>
      </c>
      <c r="B582" s="42">
        <v>182.84</v>
      </c>
      <c r="C582">
        <v>173.45</v>
      </c>
      <c r="D582">
        <v>173.67</v>
      </c>
      <c r="E582">
        <v>181.17</v>
      </c>
      <c r="F582">
        <v>109.23</v>
      </c>
      <c r="G582">
        <v>102.84</v>
      </c>
      <c r="H582">
        <v>93.45</v>
      </c>
      <c r="K582" s="9">
        <f t="shared" si="78"/>
        <v>-1.2199999999999989</v>
      </c>
      <c r="L582">
        <f t="shared" si="79"/>
        <v>-1.1099999999999852</v>
      </c>
      <c r="M582">
        <f t="shared" si="80"/>
        <v>0.5</v>
      </c>
      <c r="N582">
        <f t="shared" si="81"/>
        <v>0.21999999999999886</v>
      </c>
      <c r="O582">
        <f t="shared" si="82"/>
        <v>0.21999999999999886</v>
      </c>
      <c r="P582" s="10">
        <f t="shared" si="83"/>
        <v>0.67000000000000171</v>
      </c>
    </row>
    <row r="583" spans="1:16">
      <c r="A583">
        <v>93</v>
      </c>
      <c r="B583" s="42">
        <v>182.62</v>
      </c>
      <c r="C583">
        <v>173.06</v>
      </c>
      <c r="D583">
        <v>173.28</v>
      </c>
      <c r="E583">
        <v>181.01</v>
      </c>
      <c r="F583">
        <v>109.28</v>
      </c>
      <c r="G583">
        <v>102.9</v>
      </c>
      <c r="H583">
        <v>93.67</v>
      </c>
      <c r="K583" s="9">
        <f t="shared" si="78"/>
        <v>-1.3900000000000148</v>
      </c>
      <c r="L583">
        <f t="shared" si="79"/>
        <v>-1.2700000000000102</v>
      </c>
      <c r="M583">
        <f t="shared" si="80"/>
        <v>0.77000000000001023</v>
      </c>
      <c r="N583">
        <f t="shared" si="81"/>
        <v>0.28000000000000114</v>
      </c>
      <c r="O583">
        <f t="shared" si="82"/>
        <v>0.26999999999999602</v>
      </c>
      <c r="P583" s="10">
        <f t="shared" si="83"/>
        <v>0.73000000000000398</v>
      </c>
    </row>
    <row r="584" spans="1:16">
      <c r="A584">
        <v>93.17</v>
      </c>
      <c r="B584" s="42">
        <v>182.51</v>
      </c>
      <c r="C584">
        <v>172.56</v>
      </c>
      <c r="D584">
        <v>173.01</v>
      </c>
      <c r="E584">
        <v>181.17</v>
      </c>
      <c r="F584">
        <v>109.34</v>
      </c>
      <c r="G584">
        <v>103.01</v>
      </c>
      <c r="H584">
        <v>93.84</v>
      </c>
      <c r="K584" s="9">
        <f t="shared" si="78"/>
        <v>-1.0500000000000114</v>
      </c>
      <c r="L584">
        <f t="shared" si="79"/>
        <v>-1.2299999999999898</v>
      </c>
      <c r="M584">
        <f t="shared" si="80"/>
        <v>0.61000000000001364</v>
      </c>
      <c r="N584">
        <f t="shared" si="81"/>
        <v>0.43999999999999773</v>
      </c>
      <c r="O584">
        <f t="shared" si="82"/>
        <v>0.21999999999999886</v>
      </c>
      <c r="P584" s="10">
        <f t="shared" si="83"/>
        <v>0.67000000000000171</v>
      </c>
    </row>
    <row r="585" spans="1:16">
      <c r="A585">
        <v>93.33</v>
      </c>
      <c r="B585" s="42">
        <v>182.17</v>
      </c>
      <c r="C585">
        <v>172.23</v>
      </c>
      <c r="D585">
        <v>172.56</v>
      </c>
      <c r="E585">
        <v>181.67</v>
      </c>
      <c r="F585">
        <v>109.45</v>
      </c>
      <c r="G585">
        <v>103.06</v>
      </c>
      <c r="H585">
        <v>94.12</v>
      </c>
      <c r="K585" s="9">
        <f t="shared" si="78"/>
        <v>-0.71999999999999886</v>
      </c>
      <c r="L585">
        <f t="shared" si="79"/>
        <v>-0.83000000000001251</v>
      </c>
      <c r="M585">
        <f t="shared" si="80"/>
        <v>-4.9999999999982947E-2</v>
      </c>
      <c r="N585">
        <f t="shared" si="81"/>
        <v>0.56000000000000227</v>
      </c>
      <c r="O585">
        <f t="shared" si="82"/>
        <v>0.28000000000000114</v>
      </c>
      <c r="P585" s="10">
        <f t="shared" si="83"/>
        <v>0.54999999999999716</v>
      </c>
    </row>
    <row r="586" spans="1:16">
      <c r="A586">
        <v>93.5</v>
      </c>
      <c r="B586" s="42">
        <v>181.9</v>
      </c>
      <c r="C586">
        <v>171.67</v>
      </c>
      <c r="D586">
        <v>172.01</v>
      </c>
      <c r="E586">
        <v>181.78</v>
      </c>
      <c r="F586">
        <v>109.56</v>
      </c>
      <c r="G586">
        <v>103.17</v>
      </c>
      <c r="H586">
        <v>94.4</v>
      </c>
      <c r="K586" s="9">
        <f t="shared" si="78"/>
        <v>-0.38999999999998636</v>
      </c>
      <c r="L586">
        <f t="shared" si="79"/>
        <v>-0.5</v>
      </c>
      <c r="M586">
        <f t="shared" si="80"/>
        <v>-0.33000000000001251</v>
      </c>
      <c r="N586">
        <f t="shared" si="81"/>
        <v>0.60999999999999943</v>
      </c>
      <c r="O586">
        <f t="shared" si="82"/>
        <v>0.23000000000000398</v>
      </c>
      <c r="P586" s="10">
        <f t="shared" si="83"/>
        <v>0.21999999999999886</v>
      </c>
    </row>
    <row r="587" spans="1:16">
      <c r="A587">
        <v>93.67</v>
      </c>
      <c r="B587" s="42">
        <v>181.56</v>
      </c>
      <c r="C587">
        <v>171.51</v>
      </c>
      <c r="D587">
        <v>171.78</v>
      </c>
      <c r="E587">
        <v>181.78</v>
      </c>
      <c r="F587">
        <v>109.78</v>
      </c>
      <c r="G587">
        <v>103.23</v>
      </c>
      <c r="H587">
        <v>94.51</v>
      </c>
      <c r="K587" s="9">
        <f t="shared" si="78"/>
        <v>-0.28000000000000114</v>
      </c>
      <c r="L587">
        <f t="shared" si="79"/>
        <v>-0.27000000000001023</v>
      </c>
      <c r="M587">
        <f t="shared" si="80"/>
        <v>-0.5</v>
      </c>
      <c r="N587">
        <f t="shared" si="81"/>
        <v>0.62000000000000455</v>
      </c>
      <c r="O587">
        <f t="shared" si="82"/>
        <v>0.28000000000000114</v>
      </c>
      <c r="P587" s="10">
        <f t="shared" si="83"/>
        <v>0.26999999999999602</v>
      </c>
    </row>
    <row r="588" spans="1:16">
      <c r="A588">
        <v>93.83</v>
      </c>
      <c r="B588" s="42">
        <v>181.34</v>
      </c>
      <c r="C588">
        <v>171.51</v>
      </c>
      <c r="D588">
        <v>171.73</v>
      </c>
      <c r="E588">
        <v>181.62</v>
      </c>
      <c r="F588">
        <v>110.01</v>
      </c>
      <c r="G588">
        <v>103.34</v>
      </c>
      <c r="H588">
        <v>94.67</v>
      </c>
      <c r="K588" s="9">
        <f t="shared" si="78"/>
        <v>-0.38999999999998636</v>
      </c>
      <c r="L588">
        <f t="shared" si="79"/>
        <v>-0.28000000000000114</v>
      </c>
      <c r="M588">
        <f t="shared" si="80"/>
        <v>-0.5</v>
      </c>
      <c r="N588">
        <f t="shared" si="81"/>
        <v>0.5</v>
      </c>
      <c r="O588">
        <f t="shared" si="82"/>
        <v>0.21999999999999886</v>
      </c>
      <c r="P588" s="10">
        <f t="shared" si="83"/>
        <v>0.10999999999999943</v>
      </c>
    </row>
    <row r="589" spans="1:16">
      <c r="A589">
        <v>94</v>
      </c>
      <c r="B589" s="42">
        <v>181.12</v>
      </c>
      <c r="C589">
        <v>171.28</v>
      </c>
      <c r="D589">
        <v>171.51</v>
      </c>
      <c r="E589">
        <v>181.45</v>
      </c>
      <c r="F589">
        <v>110.17</v>
      </c>
      <c r="G589">
        <v>103.4</v>
      </c>
      <c r="H589">
        <v>94.62</v>
      </c>
      <c r="K589" s="9">
        <f t="shared" si="78"/>
        <v>-0.27000000000001023</v>
      </c>
      <c r="L589">
        <f t="shared" si="79"/>
        <v>-0.22999999999998977</v>
      </c>
      <c r="M589">
        <f t="shared" si="80"/>
        <v>-0.43999999999999773</v>
      </c>
      <c r="N589">
        <f t="shared" si="81"/>
        <v>0.45000000000000284</v>
      </c>
      <c r="O589">
        <f t="shared" si="82"/>
        <v>0.26999999999999602</v>
      </c>
      <c r="P589" s="10">
        <f t="shared" si="83"/>
        <v>0.15999999999999659</v>
      </c>
    </row>
    <row r="590" spans="1:16">
      <c r="A590">
        <v>94.17</v>
      </c>
      <c r="B590" s="42">
        <v>180.56</v>
      </c>
      <c r="C590">
        <v>171.23</v>
      </c>
      <c r="D590">
        <v>171.51</v>
      </c>
      <c r="E590">
        <v>181.28</v>
      </c>
      <c r="F590">
        <v>110.4</v>
      </c>
      <c r="G590">
        <v>103.51</v>
      </c>
      <c r="H590">
        <v>94.78</v>
      </c>
      <c r="K590" s="9">
        <f t="shared" si="78"/>
        <v>-0.5</v>
      </c>
      <c r="L590">
        <f t="shared" si="79"/>
        <v>-0.5</v>
      </c>
      <c r="M590">
        <f t="shared" si="80"/>
        <v>-0.27000000000001023</v>
      </c>
      <c r="N590">
        <f t="shared" si="81"/>
        <v>0.32999999999999829</v>
      </c>
      <c r="O590">
        <f t="shared" si="82"/>
        <v>0.21999999999999886</v>
      </c>
      <c r="P590" s="10">
        <f t="shared" si="83"/>
        <v>6.0000000000002274E-2</v>
      </c>
    </row>
    <row r="591" spans="1:16">
      <c r="A591">
        <v>94.33</v>
      </c>
      <c r="B591" s="42">
        <v>180.01</v>
      </c>
      <c r="C591">
        <v>171.12</v>
      </c>
      <c r="D591">
        <v>171.45</v>
      </c>
      <c r="E591">
        <v>181.12</v>
      </c>
      <c r="F591">
        <v>110.51</v>
      </c>
      <c r="G591">
        <v>103.56</v>
      </c>
      <c r="H591">
        <v>94.78</v>
      </c>
      <c r="K591" s="9">
        <f t="shared" si="78"/>
        <v>-0.39000000000001478</v>
      </c>
      <c r="L591">
        <f t="shared" si="79"/>
        <v>-0.38999999999998636</v>
      </c>
      <c r="M591">
        <f t="shared" si="80"/>
        <v>-0.39000000000001478</v>
      </c>
      <c r="N591">
        <f t="shared" si="81"/>
        <v>0.32999999999999829</v>
      </c>
      <c r="O591">
        <f t="shared" si="82"/>
        <v>0.28000000000000114</v>
      </c>
      <c r="P591" s="10">
        <f t="shared" si="83"/>
        <v>6.0000000000002274E-2</v>
      </c>
    </row>
    <row r="592" spans="1:16">
      <c r="A592">
        <v>94.5</v>
      </c>
      <c r="B592" s="42">
        <v>179.51</v>
      </c>
      <c r="C592">
        <v>171.01</v>
      </c>
      <c r="D592">
        <v>171.28</v>
      </c>
      <c r="E592">
        <v>181.01</v>
      </c>
      <c r="F592">
        <v>110.62</v>
      </c>
      <c r="G592">
        <v>103.67</v>
      </c>
      <c r="H592">
        <v>94.78</v>
      </c>
      <c r="K592" s="9">
        <f t="shared" si="78"/>
        <v>-0.34000000000000341</v>
      </c>
      <c r="L592">
        <f t="shared" si="79"/>
        <v>-0.27000000000001023</v>
      </c>
      <c r="M592">
        <f t="shared" si="80"/>
        <v>-0.56000000000000227</v>
      </c>
      <c r="N592">
        <f t="shared" si="81"/>
        <v>0.39000000000000057</v>
      </c>
      <c r="O592">
        <f t="shared" si="82"/>
        <v>0.28000000000000114</v>
      </c>
      <c r="P592" s="10">
        <f t="shared" si="83"/>
        <v>0.17000000000000171</v>
      </c>
    </row>
    <row r="593" spans="1:16">
      <c r="A593">
        <v>94.67</v>
      </c>
      <c r="B593" s="42">
        <v>179.23</v>
      </c>
      <c r="C593">
        <v>170.73</v>
      </c>
      <c r="D593">
        <v>171.01</v>
      </c>
      <c r="E593">
        <v>181.01</v>
      </c>
      <c r="F593">
        <v>110.73</v>
      </c>
      <c r="G593">
        <v>103.73</v>
      </c>
      <c r="H593">
        <v>94.84</v>
      </c>
      <c r="K593" s="9">
        <f t="shared" si="78"/>
        <v>-0.10999999999998522</v>
      </c>
      <c r="L593">
        <f t="shared" si="79"/>
        <v>0</v>
      </c>
      <c r="M593">
        <f t="shared" si="80"/>
        <v>-0.84000000000000341</v>
      </c>
      <c r="N593">
        <f t="shared" si="81"/>
        <v>0.28000000000000114</v>
      </c>
      <c r="O593">
        <f t="shared" si="82"/>
        <v>0.28000000000000114</v>
      </c>
      <c r="P593" s="10">
        <f t="shared" si="83"/>
        <v>0.10999999999999943</v>
      </c>
    </row>
    <row r="594" spans="1:16">
      <c r="A594">
        <v>94.83</v>
      </c>
      <c r="B594" s="42">
        <v>178.34</v>
      </c>
      <c r="C594">
        <v>170.73</v>
      </c>
      <c r="D594">
        <v>171.06</v>
      </c>
      <c r="E594">
        <v>180.73</v>
      </c>
      <c r="F594">
        <v>110.84</v>
      </c>
      <c r="G594">
        <v>103.84</v>
      </c>
      <c r="H594">
        <v>94.84</v>
      </c>
      <c r="K594" s="9">
        <f t="shared" si="78"/>
        <v>-0.21999999999999886</v>
      </c>
      <c r="L594">
        <f t="shared" si="79"/>
        <v>-0.28000000000000114</v>
      </c>
      <c r="M594">
        <f t="shared" si="80"/>
        <v>-1.0600000000000023</v>
      </c>
      <c r="N594">
        <f t="shared" si="81"/>
        <v>0.28000000000000114</v>
      </c>
      <c r="O594">
        <f t="shared" si="82"/>
        <v>0.28000000000000114</v>
      </c>
      <c r="P594" s="10">
        <f t="shared" si="83"/>
        <v>0.17000000000000171</v>
      </c>
    </row>
    <row r="595" spans="1:16">
      <c r="A595">
        <v>95</v>
      </c>
      <c r="B595" s="42">
        <v>177.9</v>
      </c>
      <c r="C595">
        <v>170.67</v>
      </c>
      <c r="D595">
        <v>171.01</v>
      </c>
      <c r="E595">
        <v>180.45</v>
      </c>
      <c r="F595">
        <v>111.01</v>
      </c>
      <c r="G595">
        <v>103.95</v>
      </c>
      <c r="H595">
        <v>94.95</v>
      </c>
      <c r="K595" s="9">
        <f t="shared" si="78"/>
        <v>-0.54999999999998295</v>
      </c>
      <c r="L595">
        <f t="shared" si="79"/>
        <v>-0.56000000000000227</v>
      </c>
      <c r="M595">
        <f t="shared" si="80"/>
        <v>-0.93999999999999773</v>
      </c>
      <c r="N595">
        <f t="shared" si="81"/>
        <v>0.21999999999999886</v>
      </c>
      <c r="O595">
        <f t="shared" si="82"/>
        <v>0.17000000000000171</v>
      </c>
      <c r="P595" s="10">
        <f t="shared" si="83"/>
        <v>6.0000000000002274E-2</v>
      </c>
    </row>
    <row r="596" spans="1:16">
      <c r="A596">
        <v>95.17</v>
      </c>
      <c r="B596" s="42">
        <v>177.06</v>
      </c>
      <c r="C596">
        <v>170.62</v>
      </c>
      <c r="D596">
        <v>171.01</v>
      </c>
      <c r="E596">
        <v>180.17</v>
      </c>
      <c r="F596">
        <v>111.01</v>
      </c>
      <c r="G596">
        <v>104.01</v>
      </c>
      <c r="H596">
        <v>94.95</v>
      </c>
      <c r="K596" s="9">
        <f t="shared" si="78"/>
        <v>-0.84000000000000341</v>
      </c>
      <c r="L596">
        <f t="shared" si="79"/>
        <v>-0.84000000000000341</v>
      </c>
      <c r="M596">
        <f t="shared" si="80"/>
        <v>-1</v>
      </c>
      <c r="N596">
        <f t="shared" si="81"/>
        <v>0.32999999999999829</v>
      </c>
      <c r="O596">
        <f t="shared" si="82"/>
        <v>0.26999999999999602</v>
      </c>
      <c r="P596" s="10">
        <f t="shared" si="83"/>
        <v>0.10999999999999943</v>
      </c>
    </row>
    <row r="597" spans="1:16">
      <c r="A597">
        <v>95.33</v>
      </c>
      <c r="B597" s="42">
        <v>176.51</v>
      </c>
      <c r="C597">
        <v>170.51</v>
      </c>
      <c r="D597">
        <v>170.78</v>
      </c>
      <c r="E597">
        <v>179.67</v>
      </c>
      <c r="F597">
        <v>111.12</v>
      </c>
      <c r="G597">
        <v>104.12</v>
      </c>
      <c r="H597">
        <v>95.01</v>
      </c>
      <c r="K597" s="9">
        <f t="shared" si="78"/>
        <v>-1</v>
      </c>
      <c r="L597">
        <f t="shared" si="79"/>
        <v>-0.93999999999999773</v>
      </c>
      <c r="M597">
        <f t="shared" si="80"/>
        <v>-0.71999999999999886</v>
      </c>
      <c r="N597">
        <f t="shared" si="81"/>
        <v>0.39000000000000057</v>
      </c>
      <c r="O597">
        <f t="shared" si="82"/>
        <v>0.21999999999999886</v>
      </c>
      <c r="P597" s="10">
        <f t="shared" si="83"/>
        <v>4.9999999999997158E-2</v>
      </c>
    </row>
    <row r="598" spans="1:16">
      <c r="A598">
        <v>95.5</v>
      </c>
      <c r="B598" s="42">
        <v>176.01</v>
      </c>
      <c r="C598">
        <v>170.12</v>
      </c>
      <c r="D598">
        <v>170.45</v>
      </c>
      <c r="E598">
        <v>179.51</v>
      </c>
      <c r="F598">
        <v>111.23</v>
      </c>
      <c r="G598">
        <v>104.12</v>
      </c>
      <c r="H598">
        <v>95.01</v>
      </c>
      <c r="K598" s="9">
        <f t="shared" si="78"/>
        <v>-0.84000000000000341</v>
      </c>
      <c r="L598">
        <f t="shared" si="79"/>
        <v>-0.78000000000000114</v>
      </c>
      <c r="M598">
        <f t="shared" si="80"/>
        <v>-0.78000000000000114</v>
      </c>
      <c r="N598">
        <f t="shared" si="81"/>
        <v>0.39000000000000057</v>
      </c>
      <c r="O598">
        <f t="shared" si="82"/>
        <v>0.28000000000000114</v>
      </c>
      <c r="P598" s="10">
        <f t="shared" si="83"/>
        <v>0.15999999999999659</v>
      </c>
    </row>
    <row r="599" spans="1:16">
      <c r="A599">
        <v>95.67</v>
      </c>
      <c r="B599" s="42">
        <v>176.06</v>
      </c>
      <c r="C599">
        <v>169.78</v>
      </c>
      <c r="D599">
        <v>170.17</v>
      </c>
      <c r="E599">
        <v>179.17</v>
      </c>
      <c r="F599">
        <v>111.34</v>
      </c>
      <c r="G599">
        <v>104.28</v>
      </c>
      <c r="H599">
        <v>95.06</v>
      </c>
      <c r="K599" s="9">
        <f t="shared" si="78"/>
        <v>-0.93999999999999773</v>
      </c>
      <c r="L599">
        <f t="shared" si="79"/>
        <v>-0.93999999999999773</v>
      </c>
      <c r="M599">
        <f t="shared" si="80"/>
        <v>-0.82999999999998408</v>
      </c>
      <c r="N599">
        <f t="shared" si="81"/>
        <v>0.28000000000000114</v>
      </c>
      <c r="O599">
        <f t="shared" si="82"/>
        <v>0.17000000000000171</v>
      </c>
      <c r="P599" s="10">
        <f t="shared" si="83"/>
        <v>0.21999999999999886</v>
      </c>
    </row>
    <row r="600" spans="1:16">
      <c r="A600">
        <v>95.83</v>
      </c>
      <c r="B600" s="42">
        <v>176.06</v>
      </c>
      <c r="C600">
        <v>169.51</v>
      </c>
      <c r="D600">
        <v>169.84</v>
      </c>
      <c r="E600">
        <v>178.95</v>
      </c>
      <c r="F600">
        <v>111.51</v>
      </c>
      <c r="G600">
        <v>104.34</v>
      </c>
      <c r="H600">
        <v>95.06</v>
      </c>
      <c r="K600" s="9">
        <f t="shared" si="78"/>
        <v>-1.1699999999999875</v>
      </c>
      <c r="L600">
        <f t="shared" si="79"/>
        <v>-1</v>
      </c>
      <c r="M600">
        <f t="shared" si="80"/>
        <v>-0.78000000000000114</v>
      </c>
      <c r="N600">
        <f t="shared" si="81"/>
        <v>0.26999999999999602</v>
      </c>
      <c r="O600">
        <f t="shared" si="82"/>
        <v>0.21999999999999886</v>
      </c>
      <c r="P600" s="10">
        <f t="shared" si="83"/>
        <v>0.28000000000000114</v>
      </c>
    </row>
    <row r="601" spans="1:16">
      <c r="A601">
        <v>96</v>
      </c>
      <c r="B601" s="42">
        <v>176.4</v>
      </c>
      <c r="C601">
        <v>169.28</v>
      </c>
      <c r="D601">
        <v>169.67</v>
      </c>
      <c r="E601">
        <v>178.73</v>
      </c>
      <c r="F601">
        <v>111.62</v>
      </c>
      <c r="G601">
        <v>104.4</v>
      </c>
      <c r="H601">
        <v>95.17</v>
      </c>
      <c r="K601" s="9">
        <f t="shared" ref="K601:K664" si="84">C604-C601</f>
        <v>-1.5</v>
      </c>
      <c r="L601">
        <f t="shared" ref="L601:L664" si="85">D604-D601</f>
        <v>-1.2699999999999818</v>
      </c>
      <c r="M601">
        <f t="shared" ref="M601:M664" si="86">E604-E601</f>
        <v>-0.38999999999998636</v>
      </c>
      <c r="N601">
        <f t="shared" ref="N601:N664" si="87">F604-F601</f>
        <v>0.39000000000000057</v>
      </c>
      <c r="O601">
        <f t="shared" ref="O601:O664" si="88">G604-G601</f>
        <v>0.21999999999999886</v>
      </c>
      <c r="P601" s="10">
        <f t="shared" ref="P601:P664" si="89">H604-H601</f>
        <v>0.23000000000000398</v>
      </c>
    </row>
    <row r="602" spans="1:16">
      <c r="A602">
        <v>96.17</v>
      </c>
      <c r="B602" s="42">
        <v>175.95</v>
      </c>
      <c r="C602">
        <v>168.84</v>
      </c>
      <c r="D602">
        <v>169.23</v>
      </c>
      <c r="E602">
        <v>178.34</v>
      </c>
      <c r="F602">
        <v>111.62</v>
      </c>
      <c r="G602">
        <v>104.45</v>
      </c>
      <c r="H602">
        <v>95.28</v>
      </c>
      <c r="K602" s="9">
        <f t="shared" si="84"/>
        <v>-0.33000000000001251</v>
      </c>
      <c r="L602">
        <f t="shared" si="85"/>
        <v>-0.38999999999998636</v>
      </c>
      <c r="M602">
        <f t="shared" si="86"/>
        <v>0.38999999999998636</v>
      </c>
      <c r="N602">
        <f t="shared" si="87"/>
        <v>0.54999999999999716</v>
      </c>
      <c r="O602">
        <f t="shared" si="88"/>
        <v>0.21999999999999886</v>
      </c>
      <c r="P602" s="10">
        <f t="shared" si="89"/>
        <v>0.34000000000000341</v>
      </c>
    </row>
    <row r="603" spans="1:16">
      <c r="A603">
        <v>96.33</v>
      </c>
      <c r="B603" s="42">
        <v>175.62</v>
      </c>
      <c r="C603">
        <v>168.34</v>
      </c>
      <c r="D603">
        <v>168.84</v>
      </c>
      <c r="E603">
        <v>178.17</v>
      </c>
      <c r="F603">
        <v>111.78</v>
      </c>
      <c r="G603">
        <v>104.56</v>
      </c>
      <c r="H603">
        <v>95.34</v>
      </c>
      <c r="K603" s="9">
        <f t="shared" si="84"/>
        <v>0.5</v>
      </c>
      <c r="L603">
        <f t="shared" si="85"/>
        <v>0.16999999999998749</v>
      </c>
      <c r="M603">
        <f t="shared" si="86"/>
        <v>1.2800000000000011</v>
      </c>
      <c r="N603">
        <f t="shared" si="87"/>
        <v>0.56000000000000227</v>
      </c>
      <c r="O603">
        <f t="shared" si="88"/>
        <v>0.21999999999999886</v>
      </c>
      <c r="P603" s="10">
        <f t="shared" si="89"/>
        <v>0.60999999999999943</v>
      </c>
    </row>
    <row r="604" spans="1:16">
      <c r="A604">
        <v>96.5</v>
      </c>
      <c r="B604" s="42">
        <v>176.4</v>
      </c>
      <c r="C604">
        <v>167.78</v>
      </c>
      <c r="D604">
        <v>168.4</v>
      </c>
      <c r="E604">
        <v>178.34</v>
      </c>
      <c r="F604">
        <v>112.01</v>
      </c>
      <c r="G604">
        <v>104.62</v>
      </c>
      <c r="H604">
        <v>95.4</v>
      </c>
      <c r="K604" s="9">
        <f t="shared" si="84"/>
        <v>1.8400000000000034</v>
      </c>
      <c r="L604">
        <f t="shared" si="85"/>
        <v>1.3799999999999955</v>
      </c>
      <c r="M604">
        <f t="shared" si="86"/>
        <v>2.5</v>
      </c>
      <c r="N604">
        <f t="shared" si="87"/>
        <v>0.43999999999999773</v>
      </c>
      <c r="O604">
        <f t="shared" si="88"/>
        <v>0.15999999999999659</v>
      </c>
      <c r="P604" s="10">
        <f t="shared" si="89"/>
        <v>0.60999999999999943</v>
      </c>
    </row>
    <row r="605" spans="1:16">
      <c r="A605">
        <v>96.67</v>
      </c>
      <c r="B605" s="42">
        <v>177.73</v>
      </c>
      <c r="C605">
        <v>168.51</v>
      </c>
      <c r="D605">
        <v>168.84</v>
      </c>
      <c r="E605">
        <v>178.73</v>
      </c>
      <c r="F605">
        <v>112.17</v>
      </c>
      <c r="G605">
        <v>104.67</v>
      </c>
      <c r="H605">
        <v>95.62</v>
      </c>
      <c r="K605" s="9">
        <f t="shared" si="84"/>
        <v>1.9399999999999977</v>
      </c>
      <c r="L605">
        <f t="shared" si="85"/>
        <v>1.8899999999999864</v>
      </c>
      <c r="M605">
        <f t="shared" si="86"/>
        <v>4.0500000000000114</v>
      </c>
      <c r="N605">
        <f t="shared" si="87"/>
        <v>0.34000000000000341</v>
      </c>
      <c r="O605">
        <f t="shared" si="88"/>
        <v>0.28000000000000114</v>
      </c>
      <c r="P605" s="10">
        <f t="shared" si="89"/>
        <v>0.5</v>
      </c>
    </row>
    <row r="606" spans="1:16">
      <c r="A606">
        <v>96.83</v>
      </c>
      <c r="B606" s="42">
        <v>177.9</v>
      </c>
      <c r="C606">
        <v>168.84</v>
      </c>
      <c r="D606">
        <v>169.01</v>
      </c>
      <c r="E606">
        <v>179.45</v>
      </c>
      <c r="F606">
        <v>112.34</v>
      </c>
      <c r="G606">
        <v>104.78</v>
      </c>
      <c r="H606">
        <v>95.95</v>
      </c>
      <c r="K606" s="9">
        <f t="shared" si="84"/>
        <v>3.1699999999999875</v>
      </c>
      <c r="L606">
        <f t="shared" si="85"/>
        <v>3.2199999999999989</v>
      </c>
      <c r="M606">
        <f t="shared" si="86"/>
        <v>5.0600000000000023</v>
      </c>
      <c r="N606">
        <f t="shared" si="87"/>
        <v>0.21999999999999886</v>
      </c>
      <c r="O606">
        <f t="shared" si="88"/>
        <v>0.17000000000000171</v>
      </c>
      <c r="P606" s="10">
        <f t="shared" si="89"/>
        <v>0.17000000000000171</v>
      </c>
    </row>
    <row r="607" spans="1:16">
      <c r="A607">
        <v>97</v>
      </c>
      <c r="B607" s="42">
        <v>178.73</v>
      </c>
      <c r="C607">
        <v>169.62</v>
      </c>
      <c r="D607">
        <v>169.78</v>
      </c>
      <c r="E607">
        <v>180.84</v>
      </c>
      <c r="F607">
        <v>112.45</v>
      </c>
      <c r="G607">
        <v>104.78</v>
      </c>
      <c r="H607">
        <v>96.01</v>
      </c>
      <c r="K607" s="9">
        <f t="shared" si="84"/>
        <v>3.9399999999999977</v>
      </c>
      <c r="L607">
        <f t="shared" si="85"/>
        <v>4</v>
      </c>
      <c r="M607">
        <f t="shared" si="86"/>
        <v>5.0600000000000023</v>
      </c>
      <c r="N607">
        <f t="shared" si="87"/>
        <v>0.21999999999999886</v>
      </c>
      <c r="O607">
        <f t="shared" si="88"/>
        <v>0.23000000000000398</v>
      </c>
      <c r="P607" s="10">
        <f t="shared" si="89"/>
        <v>0.26999999999999602</v>
      </c>
    </row>
    <row r="608" spans="1:16">
      <c r="A608">
        <v>97.17</v>
      </c>
      <c r="B608" s="42">
        <v>180.4</v>
      </c>
      <c r="C608">
        <v>170.45</v>
      </c>
      <c r="D608">
        <v>170.73</v>
      </c>
      <c r="E608">
        <v>182.78</v>
      </c>
      <c r="F608">
        <v>112.51</v>
      </c>
      <c r="G608">
        <v>104.95</v>
      </c>
      <c r="H608">
        <v>96.12</v>
      </c>
      <c r="K608" s="9">
        <f t="shared" si="84"/>
        <v>4.5</v>
      </c>
      <c r="L608">
        <f t="shared" si="85"/>
        <v>4.5500000000000114</v>
      </c>
      <c r="M608">
        <f t="shared" si="86"/>
        <v>4.7800000000000011</v>
      </c>
      <c r="N608">
        <f t="shared" si="87"/>
        <v>0.26999999999999602</v>
      </c>
      <c r="O608">
        <f t="shared" si="88"/>
        <v>0.17000000000000171</v>
      </c>
      <c r="P608" s="10">
        <f t="shared" si="89"/>
        <v>0.15999999999999659</v>
      </c>
    </row>
    <row r="609" spans="1:16">
      <c r="A609">
        <v>97.33</v>
      </c>
      <c r="B609" s="42">
        <v>181.56</v>
      </c>
      <c r="C609">
        <v>172.01</v>
      </c>
      <c r="D609">
        <v>172.23</v>
      </c>
      <c r="E609">
        <v>184.51</v>
      </c>
      <c r="F609">
        <v>112.56</v>
      </c>
      <c r="G609">
        <v>104.95</v>
      </c>
      <c r="H609">
        <v>96.12</v>
      </c>
      <c r="K609" s="9">
        <f t="shared" si="84"/>
        <v>4.2199999999999989</v>
      </c>
      <c r="L609">
        <f t="shared" si="85"/>
        <v>4.3900000000000148</v>
      </c>
      <c r="M609">
        <f t="shared" si="86"/>
        <v>4.3900000000000148</v>
      </c>
      <c r="N609">
        <f t="shared" si="87"/>
        <v>0.34000000000000341</v>
      </c>
      <c r="O609">
        <f t="shared" si="88"/>
        <v>0.17000000000000171</v>
      </c>
      <c r="P609" s="10">
        <f t="shared" si="89"/>
        <v>0.15999999999999659</v>
      </c>
    </row>
    <row r="610" spans="1:16">
      <c r="A610">
        <v>97.5</v>
      </c>
      <c r="B610" s="42">
        <v>182.06</v>
      </c>
      <c r="C610">
        <v>173.56</v>
      </c>
      <c r="D610">
        <v>173.78</v>
      </c>
      <c r="E610">
        <v>185.9</v>
      </c>
      <c r="F610">
        <v>112.67</v>
      </c>
      <c r="G610">
        <v>105.01</v>
      </c>
      <c r="H610">
        <v>96.28</v>
      </c>
      <c r="K610" s="9">
        <f t="shared" si="84"/>
        <v>3.6699999999999875</v>
      </c>
      <c r="L610">
        <f t="shared" si="85"/>
        <v>3.8400000000000034</v>
      </c>
      <c r="M610">
        <f t="shared" si="86"/>
        <v>4.2199999999999989</v>
      </c>
      <c r="N610">
        <f t="shared" si="87"/>
        <v>0.39000000000000057</v>
      </c>
      <c r="O610">
        <f t="shared" si="88"/>
        <v>0.26999999999999602</v>
      </c>
      <c r="P610" s="10">
        <f t="shared" si="89"/>
        <v>0</v>
      </c>
    </row>
    <row r="611" spans="1:16">
      <c r="A611">
        <v>97.67</v>
      </c>
      <c r="B611" s="42">
        <v>182.45</v>
      </c>
      <c r="C611">
        <v>174.95</v>
      </c>
      <c r="D611">
        <v>175.28</v>
      </c>
      <c r="E611">
        <v>187.56</v>
      </c>
      <c r="F611">
        <v>112.78</v>
      </c>
      <c r="G611">
        <v>105.12</v>
      </c>
      <c r="H611">
        <v>96.28</v>
      </c>
      <c r="K611" s="9">
        <f t="shared" si="84"/>
        <v>2.9500000000000171</v>
      </c>
      <c r="L611">
        <f t="shared" si="85"/>
        <v>3.0600000000000023</v>
      </c>
      <c r="M611">
        <f t="shared" si="86"/>
        <v>3.5</v>
      </c>
      <c r="N611">
        <f t="shared" si="87"/>
        <v>0.56000000000000227</v>
      </c>
      <c r="O611">
        <f t="shared" si="88"/>
        <v>0.15999999999999659</v>
      </c>
      <c r="P611" s="10">
        <f t="shared" si="89"/>
        <v>0.12000000000000455</v>
      </c>
    </row>
    <row r="612" spans="1:16">
      <c r="A612">
        <v>97.83</v>
      </c>
      <c r="B612" s="42">
        <v>182.51</v>
      </c>
      <c r="C612">
        <v>176.23</v>
      </c>
      <c r="D612">
        <v>176.62</v>
      </c>
      <c r="E612">
        <v>188.9</v>
      </c>
      <c r="F612">
        <v>112.9</v>
      </c>
      <c r="G612">
        <v>105.12</v>
      </c>
      <c r="H612">
        <v>96.28</v>
      </c>
      <c r="K612" s="9">
        <f t="shared" si="84"/>
        <v>2.2800000000000011</v>
      </c>
      <c r="L612">
        <f t="shared" si="85"/>
        <v>2.2800000000000011</v>
      </c>
      <c r="M612">
        <f t="shared" si="86"/>
        <v>3</v>
      </c>
      <c r="N612">
        <f t="shared" si="87"/>
        <v>0.60999999999999943</v>
      </c>
      <c r="O612">
        <f t="shared" si="88"/>
        <v>0.15999999999999659</v>
      </c>
      <c r="P612" s="10">
        <f t="shared" si="89"/>
        <v>0.23000000000000398</v>
      </c>
    </row>
    <row r="613" spans="1:16">
      <c r="A613">
        <v>98</v>
      </c>
      <c r="B613" s="42">
        <v>181.84</v>
      </c>
      <c r="C613">
        <v>177.23</v>
      </c>
      <c r="D613">
        <v>177.62</v>
      </c>
      <c r="E613">
        <v>190.12</v>
      </c>
      <c r="F613">
        <v>113.06</v>
      </c>
      <c r="G613">
        <v>105.28</v>
      </c>
      <c r="H613">
        <v>96.28</v>
      </c>
      <c r="K613" s="9">
        <f t="shared" si="84"/>
        <v>2</v>
      </c>
      <c r="L613">
        <f t="shared" si="85"/>
        <v>1.8899999999999864</v>
      </c>
      <c r="M613">
        <f t="shared" si="86"/>
        <v>2.3299999999999841</v>
      </c>
      <c r="N613">
        <f t="shared" si="87"/>
        <v>0.67000000000000171</v>
      </c>
      <c r="O613">
        <f t="shared" si="88"/>
        <v>0.12000000000000455</v>
      </c>
      <c r="P613" s="10">
        <f t="shared" si="89"/>
        <v>0.23000000000000398</v>
      </c>
    </row>
    <row r="614" spans="1:16">
      <c r="A614">
        <v>98.17</v>
      </c>
      <c r="B614" s="42">
        <v>180.9</v>
      </c>
      <c r="C614">
        <v>177.9</v>
      </c>
      <c r="D614">
        <v>178.34</v>
      </c>
      <c r="E614">
        <v>191.06</v>
      </c>
      <c r="F614">
        <v>113.34</v>
      </c>
      <c r="G614">
        <v>105.28</v>
      </c>
      <c r="H614">
        <v>96.4</v>
      </c>
      <c r="K614" s="9">
        <f t="shared" si="84"/>
        <v>1.7699999999999818</v>
      </c>
      <c r="L614">
        <f t="shared" si="85"/>
        <v>1.5600000000000023</v>
      </c>
      <c r="M614">
        <f t="shared" si="86"/>
        <v>2</v>
      </c>
      <c r="N614">
        <f t="shared" si="87"/>
        <v>0.71999999999999886</v>
      </c>
      <c r="O614">
        <f t="shared" si="88"/>
        <v>0.17000000000000171</v>
      </c>
      <c r="P614" s="10">
        <f t="shared" si="89"/>
        <v>0.26999999999999602</v>
      </c>
    </row>
    <row r="615" spans="1:16">
      <c r="A615">
        <v>98.33</v>
      </c>
      <c r="B615" s="42">
        <v>180.51</v>
      </c>
      <c r="C615">
        <v>178.51</v>
      </c>
      <c r="D615">
        <v>178.9</v>
      </c>
      <c r="E615">
        <v>191.9</v>
      </c>
      <c r="F615">
        <v>113.51</v>
      </c>
      <c r="G615">
        <v>105.28</v>
      </c>
      <c r="H615">
        <v>96.51</v>
      </c>
      <c r="K615" s="9">
        <f t="shared" si="84"/>
        <v>1.3900000000000148</v>
      </c>
      <c r="L615">
        <f t="shared" si="85"/>
        <v>1.3799999999999955</v>
      </c>
      <c r="M615">
        <f t="shared" si="86"/>
        <v>1.3799999999999955</v>
      </c>
      <c r="N615">
        <f t="shared" si="87"/>
        <v>0.60999999999999943</v>
      </c>
      <c r="O615">
        <f t="shared" si="88"/>
        <v>0.17000000000000171</v>
      </c>
      <c r="P615" s="10">
        <f t="shared" si="89"/>
        <v>0.21999999999999886</v>
      </c>
    </row>
    <row r="616" spans="1:16">
      <c r="A616">
        <v>98.5</v>
      </c>
      <c r="B616" s="42">
        <v>179.67</v>
      </c>
      <c r="C616">
        <v>179.23</v>
      </c>
      <c r="D616">
        <v>179.51</v>
      </c>
      <c r="E616">
        <v>192.45</v>
      </c>
      <c r="F616">
        <v>113.73</v>
      </c>
      <c r="G616">
        <v>105.4</v>
      </c>
      <c r="H616">
        <v>96.51</v>
      </c>
      <c r="K616" s="9">
        <f t="shared" si="84"/>
        <v>1.2800000000000011</v>
      </c>
      <c r="L616">
        <f t="shared" si="85"/>
        <v>1.1100000000000136</v>
      </c>
      <c r="M616">
        <f t="shared" si="86"/>
        <v>1.3300000000000125</v>
      </c>
      <c r="N616">
        <f t="shared" si="87"/>
        <v>0.60999999999999943</v>
      </c>
      <c r="O616">
        <f t="shared" si="88"/>
        <v>0.15999999999999659</v>
      </c>
      <c r="P616" s="10">
        <f t="shared" si="89"/>
        <v>0.15999999999999659</v>
      </c>
    </row>
    <row r="617" spans="1:16">
      <c r="A617">
        <v>98.67</v>
      </c>
      <c r="B617" s="42">
        <v>179.01</v>
      </c>
      <c r="C617">
        <v>179.67</v>
      </c>
      <c r="D617">
        <v>179.9</v>
      </c>
      <c r="E617">
        <v>193.06</v>
      </c>
      <c r="F617">
        <v>114.06</v>
      </c>
      <c r="G617">
        <v>105.45</v>
      </c>
      <c r="H617">
        <v>96.67</v>
      </c>
      <c r="K617" s="9">
        <f t="shared" si="84"/>
        <v>1.3900000000000148</v>
      </c>
      <c r="L617">
        <f t="shared" si="85"/>
        <v>1.2699999999999818</v>
      </c>
      <c r="M617">
        <f t="shared" si="86"/>
        <v>1.1099999999999852</v>
      </c>
      <c r="N617">
        <f t="shared" si="87"/>
        <v>0.34000000000000341</v>
      </c>
      <c r="O617">
        <f t="shared" si="88"/>
        <v>0.17000000000000171</v>
      </c>
      <c r="P617" s="10">
        <f t="shared" si="89"/>
        <v>0</v>
      </c>
    </row>
    <row r="618" spans="1:16">
      <c r="A618">
        <v>98.83</v>
      </c>
      <c r="B618" s="42">
        <v>178.51</v>
      </c>
      <c r="C618">
        <v>179.9</v>
      </c>
      <c r="D618">
        <v>180.28</v>
      </c>
      <c r="E618">
        <v>193.28</v>
      </c>
      <c r="F618">
        <v>114.12</v>
      </c>
      <c r="G618">
        <v>105.45</v>
      </c>
      <c r="H618">
        <v>96.73</v>
      </c>
      <c r="K618" s="9">
        <f t="shared" si="84"/>
        <v>1.3799999999999955</v>
      </c>
      <c r="L618">
        <f t="shared" si="85"/>
        <v>1.1200000000000045</v>
      </c>
      <c r="M618">
        <f t="shared" si="86"/>
        <v>1.1200000000000045</v>
      </c>
      <c r="N618">
        <f t="shared" si="87"/>
        <v>0.43999999999999773</v>
      </c>
      <c r="O618">
        <f t="shared" si="88"/>
        <v>0.21999999999999886</v>
      </c>
      <c r="P618" s="10">
        <f t="shared" si="89"/>
        <v>0</v>
      </c>
    </row>
    <row r="619" spans="1:16">
      <c r="A619">
        <v>99</v>
      </c>
      <c r="B619" s="42">
        <v>177.9</v>
      </c>
      <c r="C619">
        <v>180.51</v>
      </c>
      <c r="D619">
        <v>180.62</v>
      </c>
      <c r="E619">
        <v>193.78</v>
      </c>
      <c r="F619">
        <v>114.34</v>
      </c>
      <c r="G619">
        <v>105.56</v>
      </c>
      <c r="H619">
        <v>96.67</v>
      </c>
      <c r="K619" s="9">
        <f t="shared" si="84"/>
        <v>1.7700000000000102</v>
      </c>
      <c r="L619">
        <f t="shared" si="85"/>
        <v>1.5</v>
      </c>
      <c r="M619">
        <f t="shared" si="86"/>
        <v>0.62000000000000455</v>
      </c>
      <c r="N619">
        <f t="shared" si="87"/>
        <v>0.21999999999999886</v>
      </c>
      <c r="O619">
        <f t="shared" si="88"/>
        <v>0.17000000000000171</v>
      </c>
      <c r="P619" s="10">
        <f t="shared" si="89"/>
        <v>6.0000000000002274E-2</v>
      </c>
    </row>
    <row r="620" spans="1:16">
      <c r="A620">
        <v>99.17</v>
      </c>
      <c r="B620" s="42">
        <v>177.9</v>
      </c>
      <c r="C620">
        <v>181.06</v>
      </c>
      <c r="D620">
        <v>181.17</v>
      </c>
      <c r="E620">
        <v>194.17</v>
      </c>
      <c r="F620">
        <v>114.4</v>
      </c>
      <c r="G620">
        <v>105.62</v>
      </c>
      <c r="H620">
        <v>96.67</v>
      </c>
      <c r="K620" s="9">
        <f t="shared" si="84"/>
        <v>2.2199999999999989</v>
      </c>
      <c r="L620">
        <f t="shared" si="85"/>
        <v>1.6100000000000136</v>
      </c>
      <c r="M620">
        <f t="shared" si="86"/>
        <v>0.56000000000000227</v>
      </c>
      <c r="N620">
        <f t="shared" si="87"/>
        <v>0.15999999999999659</v>
      </c>
      <c r="O620">
        <f t="shared" si="88"/>
        <v>0.10999999999999943</v>
      </c>
      <c r="P620" s="10">
        <f t="shared" si="89"/>
        <v>0.10999999999999943</v>
      </c>
    </row>
    <row r="621" spans="1:16">
      <c r="A621">
        <v>99.33</v>
      </c>
      <c r="B621" s="42">
        <v>178.23</v>
      </c>
      <c r="C621">
        <v>181.28</v>
      </c>
      <c r="D621">
        <v>181.4</v>
      </c>
      <c r="E621">
        <v>194.4</v>
      </c>
      <c r="F621">
        <v>114.56</v>
      </c>
      <c r="G621">
        <v>105.67</v>
      </c>
      <c r="H621">
        <v>96.73</v>
      </c>
      <c r="K621" s="9">
        <f t="shared" si="84"/>
        <v>2.9499999999999886</v>
      </c>
      <c r="L621">
        <f t="shared" si="85"/>
        <v>2.3799999999999955</v>
      </c>
      <c r="M621">
        <f t="shared" si="86"/>
        <v>-0.12000000000000455</v>
      </c>
      <c r="N621">
        <f t="shared" si="87"/>
        <v>0.10999999999999943</v>
      </c>
      <c r="O621">
        <f t="shared" si="88"/>
        <v>0.17000000000000171</v>
      </c>
      <c r="P621" s="10">
        <f t="shared" si="89"/>
        <v>0.10999999999999943</v>
      </c>
    </row>
    <row r="622" spans="1:16">
      <c r="A622">
        <v>99.5</v>
      </c>
      <c r="B622" s="42">
        <v>178.23</v>
      </c>
      <c r="C622">
        <v>182.28</v>
      </c>
      <c r="D622">
        <v>182.12</v>
      </c>
      <c r="E622">
        <v>194.4</v>
      </c>
      <c r="F622">
        <v>114.56</v>
      </c>
      <c r="G622">
        <v>105.73</v>
      </c>
      <c r="H622">
        <v>96.73</v>
      </c>
      <c r="K622" s="9">
        <f t="shared" si="84"/>
        <v>2.3400000000000034</v>
      </c>
      <c r="L622">
        <f t="shared" si="85"/>
        <v>2.2800000000000011</v>
      </c>
      <c r="M622">
        <f t="shared" si="86"/>
        <v>-0.39000000000001478</v>
      </c>
      <c r="N622">
        <f t="shared" si="87"/>
        <v>0.10999999999999943</v>
      </c>
      <c r="O622">
        <f t="shared" si="88"/>
        <v>0.17000000000000171</v>
      </c>
      <c r="P622" s="10">
        <f t="shared" si="89"/>
        <v>0.17000000000000171</v>
      </c>
    </row>
    <row r="623" spans="1:16">
      <c r="A623">
        <v>99.67</v>
      </c>
      <c r="B623" s="42">
        <v>178.56</v>
      </c>
      <c r="C623">
        <v>183.28</v>
      </c>
      <c r="D623">
        <v>182.78</v>
      </c>
      <c r="E623">
        <v>194.73</v>
      </c>
      <c r="F623">
        <v>114.56</v>
      </c>
      <c r="G623">
        <v>105.73</v>
      </c>
      <c r="H623">
        <v>96.78</v>
      </c>
      <c r="K623" s="9">
        <f t="shared" si="84"/>
        <v>1.6699999999999875</v>
      </c>
      <c r="L623">
        <f t="shared" si="85"/>
        <v>2.1699999999999875</v>
      </c>
      <c r="M623">
        <f t="shared" si="86"/>
        <v>-1.1699999999999875</v>
      </c>
      <c r="N623">
        <f t="shared" si="87"/>
        <v>0.10999999999999943</v>
      </c>
      <c r="O623">
        <f t="shared" si="88"/>
        <v>0.21999999999999886</v>
      </c>
      <c r="P623" s="10">
        <f t="shared" si="89"/>
        <v>0.12000000000000455</v>
      </c>
    </row>
    <row r="624" spans="1:16">
      <c r="A624">
        <v>99.83</v>
      </c>
      <c r="B624" s="42">
        <v>179.67</v>
      </c>
      <c r="C624">
        <v>184.23</v>
      </c>
      <c r="D624">
        <v>183.78</v>
      </c>
      <c r="E624">
        <v>194.28</v>
      </c>
      <c r="F624">
        <v>114.67</v>
      </c>
      <c r="G624">
        <v>105.84</v>
      </c>
      <c r="H624">
        <v>96.84</v>
      </c>
      <c r="K624" s="9">
        <f t="shared" si="84"/>
        <v>0.71999999999999886</v>
      </c>
      <c r="L624">
        <f t="shared" si="85"/>
        <v>1.2800000000000011</v>
      </c>
      <c r="M624">
        <f t="shared" si="86"/>
        <v>-1.0500000000000114</v>
      </c>
      <c r="N624">
        <f t="shared" si="87"/>
        <v>0</v>
      </c>
      <c r="O624">
        <f t="shared" si="88"/>
        <v>0.17000000000000171</v>
      </c>
      <c r="P624" s="10">
        <f t="shared" si="89"/>
        <v>6.0000000000002274E-2</v>
      </c>
    </row>
    <row r="625" spans="1:16">
      <c r="A625">
        <v>100</v>
      </c>
      <c r="B625" s="42">
        <v>183.23</v>
      </c>
      <c r="C625">
        <v>184.62</v>
      </c>
      <c r="D625">
        <v>184.4</v>
      </c>
      <c r="E625">
        <v>194.01</v>
      </c>
      <c r="F625">
        <v>114.67</v>
      </c>
      <c r="G625">
        <v>105.9</v>
      </c>
      <c r="H625">
        <v>96.9</v>
      </c>
      <c r="K625" s="9">
        <f t="shared" si="84"/>
        <v>0.10999999999998522</v>
      </c>
      <c r="L625">
        <f t="shared" si="85"/>
        <v>0.65999999999999659</v>
      </c>
      <c r="M625">
        <f t="shared" si="86"/>
        <v>-1.1699999999999875</v>
      </c>
      <c r="N625">
        <f t="shared" si="87"/>
        <v>0.10999999999999943</v>
      </c>
      <c r="O625">
        <f t="shared" si="88"/>
        <v>0.10999999999999943</v>
      </c>
      <c r="P625" s="10">
        <f t="shared" si="89"/>
        <v>0.10999999999999943</v>
      </c>
    </row>
    <row r="626" spans="1:16">
      <c r="A626">
        <v>100.17</v>
      </c>
      <c r="B626" s="42">
        <v>186.01</v>
      </c>
      <c r="C626">
        <v>184.95</v>
      </c>
      <c r="D626">
        <v>184.95</v>
      </c>
      <c r="E626">
        <v>193.56</v>
      </c>
      <c r="F626">
        <v>114.67</v>
      </c>
      <c r="G626">
        <v>105.95</v>
      </c>
      <c r="H626">
        <v>96.9</v>
      </c>
      <c r="K626" s="9">
        <f t="shared" si="84"/>
        <v>-0.32999999999998408</v>
      </c>
      <c r="L626">
        <f t="shared" si="85"/>
        <v>0</v>
      </c>
      <c r="M626">
        <f t="shared" si="86"/>
        <v>-0.78000000000000114</v>
      </c>
      <c r="N626">
        <f t="shared" si="87"/>
        <v>0.17000000000000171</v>
      </c>
      <c r="O626">
        <f t="shared" si="88"/>
        <v>0.10999999999999943</v>
      </c>
      <c r="P626" s="10">
        <f t="shared" si="89"/>
        <v>0.15999999999999659</v>
      </c>
    </row>
    <row r="627" spans="1:16">
      <c r="A627">
        <v>100.33</v>
      </c>
      <c r="B627" s="42">
        <v>186.4</v>
      </c>
      <c r="C627">
        <v>184.95</v>
      </c>
      <c r="D627">
        <v>185.06</v>
      </c>
      <c r="E627">
        <v>193.23</v>
      </c>
      <c r="F627">
        <v>114.67</v>
      </c>
      <c r="G627">
        <v>106.01</v>
      </c>
      <c r="H627">
        <v>96.9</v>
      </c>
      <c r="K627" s="9">
        <f t="shared" si="84"/>
        <v>-0.43999999999999773</v>
      </c>
      <c r="L627">
        <f t="shared" si="85"/>
        <v>-5.0000000000011369E-2</v>
      </c>
      <c r="M627">
        <f t="shared" si="86"/>
        <v>-0.5</v>
      </c>
      <c r="N627">
        <f t="shared" si="87"/>
        <v>0.10999999999999943</v>
      </c>
      <c r="O627">
        <f t="shared" si="88"/>
        <v>4.9999999999997158E-2</v>
      </c>
      <c r="P627" s="10">
        <f t="shared" si="89"/>
        <v>0.15999999999999659</v>
      </c>
    </row>
    <row r="628" spans="1:16">
      <c r="A628">
        <v>100.5</v>
      </c>
      <c r="B628" s="42">
        <v>186.17</v>
      </c>
      <c r="C628">
        <v>184.73</v>
      </c>
      <c r="D628">
        <v>185.06</v>
      </c>
      <c r="E628">
        <v>192.84</v>
      </c>
      <c r="F628">
        <v>114.78</v>
      </c>
      <c r="G628">
        <v>106.01</v>
      </c>
      <c r="H628">
        <v>97.01</v>
      </c>
      <c r="K628" s="9">
        <f t="shared" si="84"/>
        <v>-0.10999999999998522</v>
      </c>
      <c r="L628">
        <f t="shared" si="85"/>
        <v>0.16999999999998749</v>
      </c>
      <c r="M628">
        <f t="shared" si="86"/>
        <v>-0.11000000000001364</v>
      </c>
      <c r="N628">
        <f t="shared" si="87"/>
        <v>6.0000000000002274E-2</v>
      </c>
      <c r="O628">
        <f t="shared" si="88"/>
        <v>0.15999999999999659</v>
      </c>
      <c r="P628" s="10">
        <f t="shared" si="89"/>
        <v>0.15999999999999659</v>
      </c>
    </row>
    <row r="629" spans="1:16">
      <c r="A629">
        <v>100.67</v>
      </c>
      <c r="B629" s="42">
        <v>186.01</v>
      </c>
      <c r="C629">
        <v>184.62</v>
      </c>
      <c r="D629">
        <v>184.95</v>
      </c>
      <c r="E629">
        <v>192.78</v>
      </c>
      <c r="F629">
        <v>114.84</v>
      </c>
      <c r="G629">
        <v>106.06</v>
      </c>
      <c r="H629">
        <v>97.06</v>
      </c>
      <c r="K629" s="9">
        <f t="shared" si="84"/>
        <v>0.15999999999999659</v>
      </c>
      <c r="L629">
        <f t="shared" si="85"/>
        <v>0.67000000000001592</v>
      </c>
      <c r="M629">
        <f t="shared" si="86"/>
        <v>-0.5</v>
      </c>
      <c r="N629">
        <f t="shared" si="87"/>
        <v>0</v>
      </c>
      <c r="O629">
        <f t="shared" si="88"/>
        <v>6.0000000000002274E-2</v>
      </c>
      <c r="P629" s="10">
        <f t="shared" si="89"/>
        <v>6.0000000000002274E-2</v>
      </c>
    </row>
    <row r="630" spans="1:16">
      <c r="A630">
        <v>100.83</v>
      </c>
      <c r="B630" s="42">
        <v>185.9</v>
      </c>
      <c r="C630">
        <v>184.51</v>
      </c>
      <c r="D630">
        <v>185.01</v>
      </c>
      <c r="E630">
        <v>192.73</v>
      </c>
      <c r="F630">
        <v>114.78</v>
      </c>
      <c r="G630">
        <v>106.06</v>
      </c>
      <c r="H630">
        <v>97.06</v>
      </c>
      <c r="K630" s="9">
        <f t="shared" si="84"/>
        <v>0.21999999999999886</v>
      </c>
      <c r="L630">
        <f t="shared" si="85"/>
        <v>0.5</v>
      </c>
      <c r="M630">
        <f t="shared" si="86"/>
        <v>-0.32999999999998408</v>
      </c>
      <c r="N630">
        <f t="shared" si="87"/>
        <v>6.0000000000002274E-2</v>
      </c>
      <c r="O630">
        <f t="shared" si="88"/>
        <v>0.10999999999999943</v>
      </c>
      <c r="P630" s="10">
        <f t="shared" si="89"/>
        <v>0.10999999999999943</v>
      </c>
    </row>
    <row r="631" spans="1:16">
      <c r="A631">
        <v>101</v>
      </c>
      <c r="B631" s="42">
        <v>186.01</v>
      </c>
      <c r="C631">
        <v>184.62</v>
      </c>
      <c r="D631">
        <v>185.23</v>
      </c>
      <c r="E631">
        <v>192.73</v>
      </c>
      <c r="F631">
        <v>114.84</v>
      </c>
      <c r="G631">
        <v>106.17</v>
      </c>
      <c r="H631">
        <v>97.17</v>
      </c>
      <c r="K631" s="9">
        <f t="shared" si="84"/>
        <v>-0.28000000000000114</v>
      </c>
      <c r="L631">
        <f t="shared" si="85"/>
        <v>-0.16999999999998749</v>
      </c>
      <c r="M631">
        <f t="shared" si="86"/>
        <v>-0.44999999999998863</v>
      </c>
      <c r="N631">
        <f t="shared" si="87"/>
        <v>0</v>
      </c>
      <c r="O631">
        <f t="shared" si="88"/>
        <v>0</v>
      </c>
      <c r="P631" s="10">
        <f t="shared" si="89"/>
        <v>0</v>
      </c>
    </row>
    <row r="632" spans="1:16">
      <c r="A632">
        <v>101.17</v>
      </c>
      <c r="B632" s="42">
        <v>185.95</v>
      </c>
      <c r="C632">
        <v>184.78</v>
      </c>
      <c r="D632">
        <v>185.62</v>
      </c>
      <c r="E632">
        <v>192.28</v>
      </c>
      <c r="F632">
        <v>114.84</v>
      </c>
      <c r="G632">
        <v>106.12</v>
      </c>
      <c r="H632">
        <v>97.12</v>
      </c>
      <c r="K632" s="9">
        <f t="shared" si="84"/>
        <v>-0.55000000000001137</v>
      </c>
      <c r="L632">
        <f t="shared" si="85"/>
        <v>-1</v>
      </c>
      <c r="M632">
        <f t="shared" si="86"/>
        <v>-0.33000000000001251</v>
      </c>
      <c r="N632">
        <f t="shared" si="87"/>
        <v>0</v>
      </c>
      <c r="O632">
        <f t="shared" si="88"/>
        <v>0.10999999999999943</v>
      </c>
      <c r="P632" s="10">
        <f t="shared" si="89"/>
        <v>0.15999999999999659</v>
      </c>
    </row>
    <row r="633" spans="1:16">
      <c r="A633">
        <v>101.33</v>
      </c>
      <c r="B633" s="42">
        <v>186.12</v>
      </c>
      <c r="C633">
        <v>184.73</v>
      </c>
      <c r="D633">
        <v>185.51</v>
      </c>
      <c r="E633">
        <v>192.4</v>
      </c>
      <c r="F633">
        <v>114.84</v>
      </c>
      <c r="G633">
        <v>106.17</v>
      </c>
      <c r="H633">
        <v>97.17</v>
      </c>
      <c r="K633" s="9">
        <f t="shared" si="84"/>
        <v>-0.56000000000000227</v>
      </c>
      <c r="L633">
        <f t="shared" si="85"/>
        <v>-1.1099999999999852</v>
      </c>
      <c r="M633">
        <f t="shared" si="86"/>
        <v>-0.5</v>
      </c>
      <c r="N633">
        <f t="shared" si="87"/>
        <v>0</v>
      </c>
      <c r="O633">
        <f t="shared" si="88"/>
        <v>6.0000000000002274E-2</v>
      </c>
      <c r="P633" s="10">
        <f t="shared" si="89"/>
        <v>0.23000000000000398</v>
      </c>
    </row>
    <row r="634" spans="1:16">
      <c r="A634">
        <v>101.5</v>
      </c>
      <c r="B634" s="42">
        <v>186.12</v>
      </c>
      <c r="C634">
        <v>184.34</v>
      </c>
      <c r="D634">
        <v>185.06</v>
      </c>
      <c r="E634">
        <v>192.28</v>
      </c>
      <c r="F634">
        <v>114.84</v>
      </c>
      <c r="G634">
        <v>106.17</v>
      </c>
      <c r="H634">
        <v>97.17</v>
      </c>
      <c r="K634" s="9">
        <f t="shared" si="84"/>
        <v>-0.56000000000000227</v>
      </c>
      <c r="L634">
        <f t="shared" si="85"/>
        <v>-1.1100000000000136</v>
      </c>
      <c r="M634">
        <f t="shared" si="86"/>
        <v>-0.5</v>
      </c>
      <c r="N634">
        <f t="shared" si="87"/>
        <v>6.0000000000002274E-2</v>
      </c>
      <c r="O634">
        <f t="shared" si="88"/>
        <v>0.17000000000000171</v>
      </c>
      <c r="P634" s="10">
        <f t="shared" si="89"/>
        <v>0.23000000000000398</v>
      </c>
    </row>
    <row r="635" spans="1:16">
      <c r="A635">
        <v>101.67</v>
      </c>
      <c r="B635" s="42">
        <v>185.4</v>
      </c>
      <c r="C635">
        <v>184.23</v>
      </c>
      <c r="D635">
        <v>184.62</v>
      </c>
      <c r="E635">
        <v>191.95</v>
      </c>
      <c r="F635">
        <v>114.84</v>
      </c>
      <c r="G635">
        <v>106.23</v>
      </c>
      <c r="H635">
        <v>97.28</v>
      </c>
      <c r="K635" s="9">
        <f t="shared" si="84"/>
        <v>-0.5</v>
      </c>
      <c r="L635">
        <f t="shared" si="85"/>
        <v>-0.84000000000000341</v>
      </c>
      <c r="M635">
        <f t="shared" si="86"/>
        <v>-0.38999999999998636</v>
      </c>
      <c r="N635">
        <f t="shared" si="87"/>
        <v>0.10999999999999943</v>
      </c>
      <c r="O635">
        <f t="shared" si="88"/>
        <v>0.17000000000000171</v>
      </c>
      <c r="P635" s="10">
        <f t="shared" si="89"/>
        <v>0.12000000000000455</v>
      </c>
    </row>
    <row r="636" spans="1:16">
      <c r="A636">
        <v>101.83</v>
      </c>
      <c r="B636" s="42">
        <v>184.95</v>
      </c>
      <c r="C636">
        <v>184.17</v>
      </c>
      <c r="D636">
        <v>184.4</v>
      </c>
      <c r="E636">
        <v>191.9</v>
      </c>
      <c r="F636">
        <v>114.84</v>
      </c>
      <c r="G636">
        <v>106.23</v>
      </c>
      <c r="H636">
        <v>97.4</v>
      </c>
      <c r="K636" s="9">
        <f t="shared" si="84"/>
        <v>-0.32999999999998408</v>
      </c>
      <c r="L636">
        <f t="shared" si="85"/>
        <v>-0.62000000000000455</v>
      </c>
      <c r="M636">
        <f t="shared" si="86"/>
        <v>-0.45000000000001705</v>
      </c>
      <c r="N636">
        <f t="shared" si="87"/>
        <v>0.17000000000000171</v>
      </c>
      <c r="O636">
        <f t="shared" si="88"/>
        <v>4.9999999999997158E-2</v>
      </c>
      <c r="P636" s="10">
        <f t="shared" si="89"/>
        <v>4.9999999999997158E-2</v>
      </c>
    </row>
    <row r="637" spans="1:16">
      <c r="A637">
        <v>102</v>
      </c>
      <c r="B637" s="42">
        <v>184.45</v>
      </c>
      <c r="C637">
        <v>183.78</v>
      </c>
      <c r="D637">
        <v>183.95</v>
      </c>
      <c r="E637">
        <v>191.78</v>
      </c>
      <c r="F637">
        <v>114.9</v>
      </c>
      <c r="G637">
        <v>106.34</v>
      </c>
      <c r="H637">
        <v>97.4</v>
      </c>
      <c r="K637" s="9">
        <f t="shared" si="84"/>
        <v>0.34000000000000341</v>
      </c>
      <c r="L637">
        <f t="shared" si="85"/>
        <v>6.0000000000002274E-2</v>
      </c>
      <c r="M637">
        <f t="shared" si="86"/>
        <v>-0.37999999999999545</v>
      </c>
      <c r="N637">
        <f t="shared" si="87"/>
        <v>0.10999999999999943</v>
      </c>
      <c r="O637">
        <f t="shared" si="88"/>
        <v>6.0000000000002274E-2</v>
      </c>
      <c r="P637" s="10">
        <f t="shared" si="89"/>
        <v>0.15999999999999659</v>
      </c>
    </row>
    <row r="638" spans="1:16">
      <c r="A638">
        <v>102.17</v>
      </c>
      <c r="B638" s="42">
        <v>184.12</v>
      </c>
      <c r="C638">
        <v>183.73</v>
      </c>
      <c r="D638">
        <v>183.78</v>
      </c>
      <c r="E638">
        <v>191.56</v>
      </c>
      <c r="F638">
        <v>114.95</v>
      </c>
      <c r="G638">
        <v>106.4</v>
      </c>
      <c r="H638">
        <v>97.4</v>
      </c>
      <c r="K638" s="9">
        <f t="shared" si="84"/>
        <v>0.71999999999999886</v>
      </c>
      <c r="L638">
        <f t="shared" si="85"/>
        <v>0.44999999999998863</v>
      </c>
      <c r="M638">
        <f t="shared" si="86"/>
        <v>-0.33000000000001251</v>
      </c>
      <c r="N638">
        <f t="shared" si="87"/>
        <v>0.17000000000000171</v>
      </c>
      <c r="O638">
        <f t="shared" si="88"/>
        <v>0.10999999999999943</v>
      </c>
      <c r="P638" s="10">
        <f t="shared" si="89"/>
        <v>0.32999999999999829</v>
      </c>
    </row>
    <row r="639" spans="1:16">
      <c r="A639">
        <v>102.33</v>
      </c>
      <c r="B639" s="42">
        <v>184.51</v>
      </c>
      <c r="C639">
        <v>183.84</v>
      </c>
      <c r="D639">
        <v>183.78</v>
      </c>
      <c r="E639">
        <v>191.45</v>
      </c>
      <c r="F639">
        <v>115.01</v>
      </c>
      <c r="G639">
        <v>106.28</v>
      </c>
      <c r="H639">
        <v>97.45</v>
      </c>
      <c r="K639" s="9">
        <f t="shared" si="84"/>
        <v>0.93999999999999773</v>
      </c>
      <c r="L639">
        <f t="shared" si="85"/>
        <v>0.84000000000000341</v>
      </c>
      <c r="M639">
        <f t="shared" si="86"/>
        <v>-0.82999999999998408</v>
      </c>
      <c r="N639">
        <f t="shared" si="87"/>
        <v>0.15999999999999659</v>
      </c>
      <c r="O639">
        <f t="shared" si="88"/>
        <v>0.23000000000000398</v>
      </c>
      <c r="P639" s="10">
        <f t="shared" si="89"/>
        <v>0.21999999999999886</v>
      </c>
    </row>
    <row r="640" spans="1:16">
      <c r="A640">
        <v>102.5</v>
      </c>
      <c r="B640" s="42">
        <v>185.01</v>
      </c>
      <c r="C640">
        <v>184.12</v>
      </c>
      <c r="D640">
        <v>184.01</v>
      </c>
      <c r="E640">
        <v>191.4</v>
      </c>
      <c r="F640">
        <v>115.01</v>
      </c>
      <c r="G640">
        <v>106.4</v>
      </c>
      <c r="H640">
        <v>97.56</v>
      </c>
      <c r="K640" s="9">
        <f t="shared" si="84"/>
        <v>0.93999999999999773</v>
      </c>
      <c r="L640">
        <f t="shared" si="85"/>
        <v>0.93999999999999773</v>
      </c>
      <c r="M640">
        <f t="shared" si="86"/>
        <v>-1</v>
      </c>
      <c r="N640">
        <f t="shared" si="87"/>
        <v>0.15999999999999659</v>
      </c>
      <c r="O640">
        <f t="shared" si="88"/>
        <v>0.10999999999999943</v>
      </c>
      <c r="P640" s="10">
        <f t="shared" si="89"/>
        <v>0.21999999999999886</v>
      </c>
    </row>
    <row r="641" spans="1:16">
      <c r="A641">
        <v>102.67</v>
      </c>
      <c r="B641" s="42">
        <v>186.01</v>
      </c>
      <c r="C641">
        <v>184.45</v>
      </c>
      <c r="D641">
        <v>184.23</v>
      </c>
      <c r="E641">
        <v>191.23</v>
      </c>
      <c r="F641">
        <v>115.12</v>
      </c>
      <c r="G641">
        <v>106.51</v>
      </c>
      <c r="H641">
        <v>97.73</v>
      </c>
      <c r="K641" s="9">
        <f t="shared" si="84"/>
        <v>0.56000000000000227</v>
      </c>
      <c r="L641">
        <f t="shared" si="85"/>
        <v>0.83000000000001251</v>
      </c>
      <c r="M641">
        <f t="shared" si="86"/>
        <v>-1.1099999999999852</v>
      </c>
      <c r="N641">
        <f t="shared" si="87"/>
        <v>0.21999999999999886</v>
      </c>
      <c r="O641">
        <f t="shared" si="88"/>
        <v>4.9999999999997158E-2</v>
      </c>
      <c r="P641" s="10">
        <f t="shared" si="89"/>
        <v>0.10999999999999943</v>
      </c>
    </row>
    <row r="642" spans="1:16">
      <c r="A642">
        <v>102.83</v>
      </c>
      <c r="B642" s="42">
        <v>187.23</v>
      </c>
      <c r="C642">
        <v>184.78</v>
      </c>
      <c r="D642">
        <v>184.62</v>
      </c>
      <c r="E642">
        <v>190.62</v>
      </c>
      <c r="F642">
        <v>115.17</v>
      </c>
      <c r="G642">
        <v>106.51</v>
      </c>
      <c r="H642">
        <v>97.67</v>
      </c>
      <c r="K642" s="9">
        <f t="shared" si="84"/>
        <v>0.22999999999998977</v>
      </c>
      <c r="L642">
        <f t="shared" si="85"/>
        <v>0.43999999999999773</v>
      </c>
      <c r="M642">
        <f t="shared" si="86"/>
        <v>-0.84000000000000341</v>
      </c>
      <c r="N642">
        <f t="shared" si="87"/>
        <v>0.17000000000000171</v>
      </c>
      <c r="O642">
        <f t="shared" si="88"/>
        <v>0.15999999999999659</v>
      </c>
      <c r="P642" s="10">
        <f t="shared" si="89"/>
        <v>0.28000000000000114</v>
      </c>
    </row>
    <row r="643" spans="1:16">
      <c r="A643">
        <v>103</v>
      </c>
      <c r="B643" s="42">
        <v>188.78</v>
      </c>
      <c r="C643">
        <v>185.06</v>
      </c>
      <c r="D643">
        <v>184.95</v>
      </c>
      <c r="E643">
        <v>190.4</v>
      </c>
      <c r="F643">
        <v>115.17</v>
      </c>
      <c r="G643">
        <v>106.51</v>
      </c>
      <c r="H643">
        <v>97.78</v>
      </c>
      <c r="K643" s="9">
        <f t="shared" si="84"/>
        <v>-0.33000000000001251</v>
      </c>
      <c r="L643">
        <f t="shared" si="85"/>
        <v>-4.9999999999982947E-2</v>
      </c>
      <c r="M643">
        <f t="shared" si="86"/>
        <v>-0.84000000000000341</v>
      </c>
      <c r="N643">
        <f t="shared" si="87"/>
        <v>0.10999999999999943</v>
      </c>
      <c r="O643">
        <f t="shared" si="88"/>
        <v>0.10999999999999943</v>
      </c>
      <c r="P643" s="10">
        <f t="shared" si="89"/>
        <v>0.17000000000000171</v>
      </c>
    </row>
    <row r="644" spans="1:16">
      <c r="A644">
        <v>103.17</v>
      </c>
      <c r="B644" s="42">
        <v>190.28</v>
      </c>
      <c r="C644">
        <v>185.01</v>
      </c>
      <c r="D644">
        <v>185.06</v>
      </c>
      <c r="E644">
        <v>190.12</v>
      </c>
      <c r="F644">
        <v>115.34</v>
      </c>
      <c r="G644">
        <v>106.56</v>
      </c>
      <c r="H644">
        <v>97.84</v>
      </c>
      <c r="K644" s="9">
        <f t="shared" si="84"/>
        <v>-0.5</v>
      </c>
      <c r="L644">
        <f t="shared" si="85"/>
        <v>-0.33000000000001251</v>
      </c>
      <c r="M644">
        <f t="shared" si="86"/>
        <v>-1.0600000000000023</v>
      </c>
      <c r="N644">
        <f t="shared" si="87"/>
        <v>-0.10999999999999943</v>
      </c>
      <c r="O644">
        <f t="shared" si="88"/>
        <v>0.10999999999999943</v>
      </c>
      <c r="P644" s="10">
        <f t="shared" si="89"/>
        <v>0.10999999999999943</v>
      </c>
    </row>
    <row r="645" spans="1:16">
      <c r="A645">
        <v>103.33</v>
      </c>
      <c r="B645" s="42">
        <v>190.67</v>
      </c>
      <c r="C645">
        <v>185.01</v>
      </c>
      <c r="D645">
        <v>185.06</v>
      </c>
      <c r="E645">
        <v>189.78</v>
      </c>
      <c r="F645">
        <v>115.34</v>
      </c>
      <c r="G645">
        <v>106.67</v>
      </c>
      <c r="H645">
        <v>97.95</v>
      </c>
      <c r="K645" s="9">
        <f t="shared" si="84"/>
        <v>-0.66999999999998749</v>
      </c>
      <c r="L645">
        <f t="shared" si="85"/>
        <v>-0.39000000000001478</v>
      </c>
      <c r="M645">
        <f t="shared" si="86"/>
        <v>-1.1599999999999966</v>
      </c>
      <c r="N645">
        <f t="shared" si="87"/>
        <v>0</v>
      </c>
      <c r="O645">
        <f t="shared" si="88"/>
        <v>6.0000000000002274E-2</v>
      </c>
      <c r="P645" s="10">
        <f t="shared" si="89"/>
        <v>0</v>
      </c>
    </row>
    <row r="646" spans="1:16">
      <c r="A646">
        <v>103.5</v>
      </c>
      <c r="B646" s="42">
        <v>191.12</v>
      </c>
      <c r="C646">
        <v>184.73</v>
      </c>
      <c r="D646">
        <v>184.9</v>
      </c>
      <c r="E646">
        <v>189.56</v>
      </c>
      <c r="F646">
        <v>115.28</v>
      </c>
      <c r="G646">
        <v>106.62</v>
      </c>
      <c r="H646">
        <v>97.95</v>
      </c>
      <c r="K646" s="9">
        <f t="shared" si="84"/>
        <v>0.61000000000001364</v>
      </c>
      <c r="L646">
        <f t="shared" si="85"/>
        <v>1.2199999999999989</v>
      </c>
      <c r="M646">
        <f t="shared" si="86"/>
        <v>-1.1100000000000136</v>
      </c>
      <c r="N646">
        <f t="shared" si="87"/>
        <v>6.0000000000002274E-2</v>
      </c>
      <c r="O646">
        <f t="shared" si="88"/>
        <v>0.21999999999999886</v>
      </c>
      <c r="P646" s="10">
        <f t="shared" si="89"/>
        <v>0.17000000000000171</v>
      </c>
    </row>
    <row r="647" spans="1:16">
      <c r="A647">
        <v>103.67</v>
      </c>
      <c r="B647" s="42">
        <v>191.56</v>
      </c>
      <c r="C647">
        <v>184.51</v>
      </c>
      <c r="D647">
        <v>184.73</v>
      </c>
      <c r="E647">
        <v>189.06</v>
      </c>
      <c r="F647">
        <v>115.23</v>
      </c>
      <c r="G647">
        <v>106.67</v>
      </c>
      <c r="H647">
        <v>97.95</v>
      </c>
      <c r="K647" s="9">
        <f t="shared" si="84"/>
        <v>1.2700000000000102</v>
      </c>
      <c r="L647">
        <f t="shared" si="85"/>
        <v>1.8900000000000148</v>
      </c>
      <c r="M647">
        <f t="shared" si="86"/>
        <v>-0.65999999999999659</v>
      </c>
      <c r="N647">
        <f t="shared" si="87"/>
        <v>4.9999999999997158E-2</v>
      </c>
      <c r="O647">
        <f t="shared" si="88"/>
        <v>0.10999999999999943</v>
      </c>
      <c r="P647" s="10">
        <f t="shared" si="89"/>
        <v>0.17000000000000171</v>
      </c>
    </row>
    <row r="648" spans="1:16">
      <c r="A648">
        <v>103.83</v>
      </c>
      <c r="B648" s="42">
        <v>191.78</v>
      </c>
      <c r="C648">
        <v>184.34</v>
      </c>
      <c r="D648">
        <v>184.67</v>
      </c>
      <c r="E648">
        <v>188.62</v>
      </c>
      <c r="F648">
        <v>115.34</v>
      </c>
      <c r="G648">
        <v>106.73</v>
      </c>
      <c r="H648">
        <v>97.95</v>
      </c>
      <c r="K648" s="9">
        <f t="shared" si="84"/>
        <v>1.6099999999999852</v>
      </c>
      <c r="L648">
        <f t="shared" si="85"/>
        <v>2.1700000000000159</v>
      </c>
      <c r="M648">
        <f t="shared" si="86"/>
        <v>0</v>
      </c>
      <c r="N648">
        <f t="shared" si="87"/>
        <v>0</v>
      </c>
      <c r="O648">
        <f t="shared" si="88"/>
        <v>0.10999999999999943</v>
      </c>
      <c r="P648" s="10">
        <f t="shared" si="89"/>
        <v>0.17000000000000171</v>
      </c>
    </row>
    <row r="649" spans="1:16">
      <c r="A649">
        <v>104</v>
      </c>
      <c r="B649" s="42">
        <v>191.95</v>
      </c>
      <c r="C649">
        <v>185.34</v>
      </c>
      <c r="D649">
        <v>186.12</v>
      </c>
      <c r="E649">
        <v>188.45</v>
      </c>
      <c r="F649">
        <v>115.34</v>
      </c>
      <c r="G649">
        <v>106.84</v>
      </c>
      <c r="H649">
        <v>98.12</v>
      </c>
      <c r="K649" s="9">
        <f t="shared" si="84"/>
        <v>0.21999999999999886</v>
      </c>
      <c r="L649">
        <f t="shared" si="85"/>
        <v>0.38999999999998636</v>
      </c>
      <c r="M649">
        <f t="shared" si="86"/>
        <v>0.28000000000000114</v>
      </c>
      <c r="N649">
        <f t="shared" si="87"/>
        <v>0.10999999999999943</v>
      </c>
      <c r="O649">
        <f t="shared" si="88"/>
        <v>6.0000000000002274E-2</v>
      </c>
      <c r="P649" s="10">
        <f t="shared" si="89"/>
        <v>4.9999999999997158E-2</v>
      </c>
    </row>
    <row r="650" spans="1:16">
      <c r="A650">
        <v>104.17</v>
      </c>
      <c r="B650" s="42">
        <v>192.23</v>
      </c>
      <c r="C650">
        <v>185.78</v>
      </c>
      <c r="D650">
        <v>186.62</v>
      </c>
      <c r="E650">
        <v>188.4</v>
      </c>
      <c r="F650">
        <v>115.28</v>
      </c>
      <c r="G650">
        <v>106.78</v>
      </c>
      <c r="H650">
        <v>98.12</v>
      </c>
      <c r="K650" s="9">
        <f t="shared" si="84"/>
        <v>-0.37999999999999545</v>
      </c>
      <c r="L650">
        <f t="shared" si="85"/>
        <v>-0.5</v>
      </c>
      <c r="M650">
        <f t="shared" si="86"/>
        <v>4.9999999999982947E-2</v>
      </c>
      <c r="N650">
        <f t="shared" si="87"/>
        <v>0.12000000000000455</v>
      </c>
      <c r="O650">
        <f t="shared" si="88"/>
        <v>0.17000000000000171</v>
      </c>
      <c r="P650" s="10">
        <f t="shared" si="89"/>
        <v>0.10999999999999943</v>
      </c>
    </row>
    <row r="651" spans="1:16">
      <c r="A651">
        <v>104.33</v>
      </c>
      <c r="B651" s="42">
        <v>192.34</v>
      </c>
      <c r="C651">
        <v>185.95</v>
      </c>
      <c r="D651">
        <v>186.84</v>
      </c>
      <c r="E651">
        <v>188.62</v>
      </c>
      <c r="F651">
        <v>115.34</v>
      </c>
      <c r="G651">
        <v>106.84</v>
      </c>
      <c r="H651">
        <v>98.12</v>
      </c>
      <c r="K651" s="9">
        <f t="shared" si="84"/>
        <v>-0.66999999999998749</v>
      </c>
      <c r="L651">
        <f t="shared" si="85"/>
        <v>-1.0600000000000023</v>
      </c>
      <c r="M651">
        <f t="shared" si="86"/>
        <v>-0.5</v>
      </c>
      <c r="N651">
        <f t="shared" si="87"/>
        <v>0.10999999999999943</v>
      </c>
      <c r="O651">
        <f t="shared" si="88"/>
        <v>0.10999999999999943</v>
      </c>
      <c r="P651" s="10">
        <f t="shared" si="89"/>
        <v>0.15999999999999659</v>
      </c>
    </row>
    <row r="652" spans="1:16">
      <c r="A652">
        <v>104.5</v>
      </c>
      <c r="B652" s="42">
        <v>192.06</v>
      </c>
      <c r="C652">
        <v>185.56</v>
      </c>
      <c r="D652">
        <v>186.51</v>
      </c>
      <c r="E652">
        <v>188.73</v>
      </c>
      <c r="F652">
        <v>115.45</v>
      </c>
      <c r="G652">
        <v>106.9</v>
      </c>
      <c r="H652">
        <v>98.17</v>
      </c>
      <c r="K652" s="9">
        <f t="shared" si="84"/>
        <v>-0.43999999999999773</v>
      </c>
      <c r="L652">
        <f t="shared" si="85"/>
        <v>-1</v>
      </c>
      <c r="M652">
        <f t="shared" si="86"/>
        <v>-0.78000000000000114</v>
      </c>
      <c r="N652">
        <f t="shared" si="87"/>
        <v>0</v>
      </c>
      <c r="O652">
        <f t="shared" si="88"/>
        <v>0.21999999999999886</v>
      </c>
      <c r="P652" s="10">
        <f t="shared" si="89"/>
        <v>0.17000000000000171</v>
      </c>
    </row>
    <row r="653" spans="1:16">
      <c r="A653">
        <v>104.67</v>
      </c>
      <c r="B653" s="42">
        <v>191.95</v>
      </c>
      <c r="C653">
        <v>185.4</v>
      </c>
      <c r="D653">
        <v>186.12</v>
      </c>
      <c r="E653">
        <v>188.45</v>
      </c>
      <c r="F653">
        <v>115.4</v>
      </c>
      <c r="G653">
        <v>106.95</v>
      </c>
      <c r="H653">
        <v>98.23</v>
      </c>
      <c r="K653" s="9">
        <f t="shared" si="84"/>
        <v>-0.45000000000001705</v>
      </c>
      <c r="L653">
        <f t="shared" si="85"/>
        <v>-1</v>
      </c>
      <c r="M653">
        <f t="shared" si="86"/>
        <v>-1.0499999999999829</v>
      </c>
      <c r="N653">
        <f t="shared" si="87"/>
        <v>4.9999999999997158E-2</v>
      </c>
      <c r="O653">
        <f t="shared" si="88"/>
        <v>0.17000000000000171</v>
      </c>
      <c r="P653" s="10">
        <f t="shared" si="89"/>
        <v>0.10999999999999943</v>
      </c>
    </row>
    <row r="654" spans="1:16">
      <c r="A654">
        <v>104.83</v>
      </c>
      <c r="B654" s="42">
        <v>192.01</v>
      </c>
      <c r="C654">
        <v>185.28</v>
      </c>
      <c r="D654">
        <v>185.78</v>
      </c>
      <c r="E654">
        <v>188.12</v>
      </c>
      <c r="F654">
        <v>115.45</v>
      </c>
      <c r="G654">
        <v>106.95</v>
      </c>
      <c r="H654">
        <v>98.28</v>
      </c>
      <c r="K654" s="9">
        <f t="shared" si="84"/>
        <v>-0.55000000000001137</v>
      </c>
      <c r="L654">
        <f t="shared" si="85"/>
        <v>-0.83000000000001251</v>
      </c>
      <c r="M654">
        <f t="shared" si="86"/>
        <v>-1.0600000000000023</v>
      </c>
      <c r="N654">
        <f t="shared" si="87"/>
        <v>0</v>
      </c>
      <c r="O654">
        <f t="shared" si="88"/>
        <v>0.17000000000000171</v>
      </c>
      <c r="P654" s="10">
        <f t="shared" si="89"/>
        <v>0.12000000000000455</v>
      </c>
    </row>
    <row r="655" spans="1:16">
      <c r="A655">
        <v>105</v>
      </c>
      <c r="B655" s="42">
        <v>192.12</v>
      </c>
      <c r="C655">
        <v>185.12</v>
      </c>
      <c r="D655">
        <v>185.51</v>
      </c>
      <c r="E655">
        <v>187.95</v>
      </c>
      <c r="F655">
        <v>115.45</v>
      </c>
      <c r="G655">
        <v>107.12</v>
      </c>
      <c r="H655">
        <v>98.34</v>
      </c>
      <c r="K655" s="9">
        <f t="shared" si="84"/>
        <v>-0.45000000000001705</v>
      </c>
      <c r="L655">
        <f t="shared" si="85"/>
        <v>-0.72999999999998977</v>
      </c>
      <c r="M655">
        <f t="shared" si="86"/>
        <v>-1.2199999999999989</v>
      </c>
      <c r="N655">
        <f t="shared" si="87"/>
        <v>6.0000000000002274E-2</v>
      </c>
      <c r="O655">
        <f t="shared" si="88"/>
        <v>4.9999999999997158E-2</v>
      </c>
      <c r="P655" s="10">
        <f t="shared" si="89"/>
        <v>0.10999999999999943</v>
      </c>
    </row>
    <row r="656" spans="1:16">
      <c r="A656">
        <v>105.17</v>
      </c>
      <c r="B656" s="42">
        <v>192.06</v>
      </c>
      <c r="C656">
        <v>184.95</v>
      </c>
      <c r="D656">
        <v>185.12</v>
      </c>
      <c r="E656">
        <v>187.4</v>
      </c>
      <c r="F656">
        <v>115.45</v>
      </c>
      <c r="G656">
        <v>107.12</v>
      </c>
      <c r="H656">
        <v>98.34</v>
      </c>
      <c r="K656" s="9">
        <f t="shared" si="84"/>
        <v>-0.43999999999999773</v>
      </c>
      <c r="L656">
        <f t="shared" si="85"/>
        <v>-0.56000000000000227</v>
      </c>
      <c r="M656">
        <f t="shared" si="86"/>
        <v>-0.73000000000001819</v>
      </c>
      <c r="N656">
        <f t="shared" si="87"/>
        <v>0</v>
      </c>
      <c r="O656">
        <f t="shared" si="88"/>
        <v>4.9999999999997158E-2</v>
      </c>
      <c r="P656" s="10">
        <f t="shared" si="89"/>
        <v>0.10999999999999943</v>
      </c>
    </row>
    <row r="657" spans="1:16">
      <c r="A657">
        <v>105.33</v>
      </c>
      <c r="B657" s="42">
        <v>192.06</v>
      </c>
      <c r="C657">
        <v>184.73</v>
      </c>
      <c r="D657">
        <v>184.95</v>
      </c>
      <c r="E657">
        <v>187.06</v>
      </c>
      <c r="F657">
        <v>115.45</v>
      </c>
      <c r="G657">
        <v>107.12</v>
      </c>
      <c r="H657">
        <v>98.4</v>
      </c>
      <c r="K657" s="9">
        <f t="shared" si="84"/>
        <v>-0.44999999999998863</v>
      </c>
      <c r="L657">
        <f t="shared" si="85"/>
        <v>-0.5</v>
      </c>
      <c r="M657">
        <f t="shared" si="86"/>
        <v>-0.28000000000000114</v>
      </c>
      <c r="N657">
        <f t="shared" si="87"/>
        <v>6.0000000000002274E-2</v>
      </c>
      <c r="O657">
        <f t="shared" si="88"/>
        <v>4.9999999999997158E-2</v>
      </c>
      <c r="P657" s="10">
        <f t="shared" si="89"/>
        <v>0.15999999999999659</v>
      </c>
    </row>
    <row r="658" spans="1:16">
      <c r="A658">
        <v>105.5</v>
      </c>
      <c r="B658" s="42">
        <v>191.95</v>
      </c>
      <c r="C658">
        <v>184.67</v>
      </c>
      <c r="D658">
        <v>184.78</v>
      </c>
      <c r="E658">
        <v>186.73</v>
      </c>
      <c r="F658">
        <v>115.51</v>
      </c>
      <c r="G658">
        <v>107.17</v>
      </c>
      <c r="H658">
        <v>98.45</v>
      </c>
      <c r="K658" s="9">
        <f t="shared" si="84"/>
        <v>-0.54999999999998295</v>
      </c>
      <c r="L658">
        <f t="shared" si="85"/>
        <v>-0.5</v>
      </c>
      <c r="M658">
        <f t="shared" si="86"/>
        <v>-0.21999999999999886</v>
      </c>
      <c r="N658">
        <f t="shared" si="87"/>
        <v>0</v>
      </c>
      <c r="O658">
        <f t="shared" si="88"/>
        <v>0.17000000000000171</v>
      </c>
      <c r="P658" s="10">
        <f t="shared" si="89"/>
        <v>0.10999999999999943</v>
      </c>
    </row>
    <row r="659" spans="1:16">
      <c r="A659">
        <v>105.67</v>
      </c>
      <c r="B659" s="42">
        <v>191.84</v>
      </c>
      <c r="C659">
        <v>184.51</v>
      </c>
      <c r="D659">
        <v>184.56</v>
      </c>
      <c r="E659">
        <v>186.67</v>
      </c>
      <c r="F659">
        <v>115.45</v>
      </c>
      <c r="G659">
        <v>107.17</v>
      </c>
      <c r="H659">
        <v>98.45</v>
      </c>
      <c r="K659" s="9">
        <f t="shared" si="84"/>
        <v>-0.28000000000000114</v>
      </c>
      <c r="L659">
        <f t="shared" si="85"/>
        <v>-0.21999999999999886</v>
      </c>
      <c r="M659">
        <f t="shared" si="86"/>
        <v>-0.38999999999998636</v>
      </c>
      <c r="N659">
        <f t="shared" si="87"/>
        <v>6.0000000000002274E-2</v>
      </c>
      <c r="O659">
        <f t="shared" si="88"/>
        <v>0.17000000000000171</v>
      </c>
      <c r="P659" s="10">
        <f t="shared" si="89"/>
        <v>0.17000000000000171</v>
      </c>
    </row>
    <row r="660" spans="1:16">
      <c r="A660">
        <v>105.83</v>
      </c>
      <c r="B660" s="42">
        <v>191.78</v>
      </c>
      <c r="C660">
        <v>184.28</v>
      </c>
      <c r="D660">
        <v>184.45</v>
      </c>
      <c r="E660">
        <v>186.78</v>
      </c>
      <c r="F660">
        <v>115.51</v>
      </c>
      <c r="G660">
        <v>107.17</v>
      </c>
      <c r="H660">
        <v>98.56</v>
      </c>
      <c r="K660" s="9">
        <f t="shared" si="84"/>
        <v>-0.15999999999999659</v>
      </c>
      <c r="L660">
        <f t="shared" si="85"/>
        <v>-0.16999999999998749</v>
      </c>
      <c r="M660">
        <f t="shared" si="86"/>
        <v>-0.61000000000001364</v>
      </c>
      <c r="N660">
        <f t="shared" si="87"/>
        <v>4.9999999999997158E-2</v>
      </c>
      <c r="O660">
        <f t="shared" si="88"/>
        <v>0.28000000000000114</v>
      </c>
      <c r="P660" s="10">
        <f t="shared" si="89"/>
        <v>0.21999999999999886</v>
      </c>
    </row>
    <row r="661" spans="1:16">
      <c r="A661">
        <v>106</v>
      </c>
      <c r="B661" s="42">
        <v>191.23</v>
      </c>
      <c r="C661">
        <v>184.12</v>
      </c>
      <c r="D661">
        <v>184.28</v>
      </c>
      <c r="E661">
        <v>186.51</v>
      </c>
      <c r="F661">
        <v>115.51</v>
      </c>
      <c r="G661">
        <v>107.34</v>
      </c>
      <c r="H661">
        <v>98.56</v>
      </c>
      <c r="K661" s="9">
        <f t="shared" si="84"/>
        <v>-0.11000000000001364</v>
      </c>
      <c r="L661">
        <f t="shared" si="85"/>
        <v>0</v>
      </c>
      <c r="M661">
        <f t="shared" si="86"/>
        <v>-0.60999999999998522</v>
      </c>
      <c r="N661">
        <f t="shared" si="87"/>
        <v>0.15999999999999659</v>
      </c>
      <c r="O661">
        <f t="shared" si="88"/>
        <v>0.10999999999999943</v>
      </c>
      <c r="P661" s="10">
        <f t="shared" si="89"/>
        <v>0.28000000000000114</v>
      </c>
    </row>
    <row r="662" spans="1:16">
      <c r="A662">
        <v>106.17</v>
      </c>
      <c r="B662" s="42">
        <v>190.62</v>
      </c>
      <c r="C662">
        <v>184.23</v>
      </c>
      <c r="D662">
        <v>184.34</v>
      </c>
      <c r="E662">
        <v>186.28</v>
      </c>
      <c r="F662">
        <v>115.51</v>
      </c>
      <c r="G662">
        <v>107.34</v>
      </c>
      <c r="H662">
        <v>98.62</v>
      </c>
      <c r="K662" s="9">
        <f t="shared" si="84"/>
        <v>-0.38999999999998636</v>
      </c>
      <c r="L662">
        <f t="shared" si="85"/>
        <v>-0.28000000000000114</v>
      </c>
      <c r="M662">
        <f t="shared" si="86"/>
        <v>-0.71999999999999886</v>
      </c>
      <c r="N662">
        <f t="shared" si="87"/>
        <v>0.10999999999999943</v>
      </c>
      <c r="O662">
        <f t="shared" si="88"/>
        <v>0.10999999999999943</v>
      </c>
      <c r="P662" s="10">
        <f t="shared" si="89"/>
        <v>0.28000000000000114</v>
      </c>
    </row>
    <row r="663" spans="1:16">
      <c r="A663">
        <v>106.33</v>
      </c>
      <c r="B663" s="42">
        <v>190.4</v>
      </c>
      <c r="C663">
        <v>184.12</v>
      </c>
      <c r="D663">
        <v>184.28</v>
      </c>
      <c r="E663">
        <v>186.17</v>
      </c>
      <c r="F663">
        <v>115.56</v>
      </c>
      <c r="G663">
        <v>107.45</v>
      </c>
      <c r="H663">
        <v>98.78</v>
      </c>
      <c r="K663" s="9">
        <f t="shared" si="84"/>
        <v>-0.45000000000001705</v>
      </c>
      <c r="L663">
        <f t="shared" si="85"/>
        <v>-0.27000000000001023</v>
      </c>
      <c r="M663">
        <f t="shared" si="86"/>
        <v>-0.71999999999999886</v>
      </c>
      <c r="N663">
        <f t="shared" si="87"/>
        <v>0.10999999999999943</v>
      </c>
      <c r="O663">
        <f t="shared" si="88"/>
        <v>0</v>
      </c>
      <c r="P663" s="10">
        <f t="shared" si="89"/>
        <v>0.12000000000000455</v>
      </c>
    </row>
    <row r="664" spans="1:16">
      <c r="A664">
        <v>106.5</v>
      </c>
      <c r="B664" s="42">
        <v>190.06</v>
      </c>
      <c r="C664">
        <v>184.01</v>
      </c>
      <c r="D664">
        <v>184.28</v>
      </c>
      <c r="E664">
        <v>185.9</v>
      </c>
      <c r="F664">
        <v>115.67</v>
      </c>
      <c r="G664">
        <v>107.45</v>
      </c>
      <c r="H664">
        <v>98.84</v>
      </c>
      <c r="K664" s="9">
        <f t="shared" si="84"/>
        <v>5.0000000000011369E-2</v>
      </c>
      <c r="L664">
        <f t="shared" si="85"/>
        <v>0.16999999999998749</v>
      </c>
      <c r="M664">
        <f t="shared" si="86"/>
        <v>-0.67000000000001592</v>
      </c>
      <c r="N664">
        <f t="shared" si="87"/>
        <v>0</v>
      </c>
      <c r="O664">
        <f t="shared" si="88"/>
        <v>6.0000000000002274E-2</v>
      </c>
      <c r="P664" s="10">
        <f t="shared" si="89"/>
        <v>0.10999999999999943</v>
      </c>
    </row>
    <row r="665" spans="1:16">
      <c r="A665">
        <v>106.67</v>
      </c>
      <c r="B665" s="42">
        <v>189.62</v>
      </c>
      <c r="C665">
        <v>183.84</v>
      </c>
      <c r="D665">
        <v>184.06</v>
      </c>
      <c r="E665">
        <v>185.56</v>
      </c>
      <c r="F665">
        <v>115.62</v>
      </c>
      <c r="G665">
        <v>107.45</v>
      </c>
      <c r="H665">
        <v>98.9</v>
      </c>
      <c r="K665" s="9">
        <f t="shared" ref="K665:K728" si="90">C668-C665</f>
        <v>2.7800000000000011</v>
      </c>
      <c r="L665">
        <f t="shared" ref="L665:L728" si="91">D668-D665</f>
        <v>3.3899999999999864</v>
      </c>
      <c r="M665">
        <f t="shared" ref="M665:M728" si="92">E668-E665</f>
        <v>-0.11000000000001364</v>
      </c>
      <c r="N665">
        <f t="shared" ref="N665:N728" si="93">F668-F665</f>
        <v>0.15999999999999659</v>
      </c>
      <c r="O665">
        <f t="shared" ref="O665:O728" si="94">G668-G665</f>
        <v>0.10999999999999943</v>
      </c>
      <c r="P665" s="10">
        <f t="shared" ref="P665:P728" si="95">H668-H665</f>
        <v>0.15999999999999659</v>
      </c>
    </row>
    <row r="666" spans="1:16">
      <c r="A666">
        <v>106.83</v>
      </c>
      <c r="B666" s="42">
        <v>189.28</v>
      </c>
      <c r="C666">
        <v>183.67</v>
      </c>
      <c r="D666">
        <v>184.01</v>
      </c>
      <c r="E666">
        <v>185.45</v>
      </c>
      <c r="F666">
        <v>115.67</v>
      </c>
      <c r="G666">
        <v>107.45</v>
      </c>
      <c r="H666">
        <v>98.9</v>
      </c>
      <c r="K666" s="9">
        <f t="shared" si="90"/>
        <v>3.3900000000000148</v>
      </c>
      <c r="L666">
        <f t="shared" si="91"/>
        <v>3.8900000000000148</v>
      </c>
      <c r="M666">
        <f t="shared" si="92"/>
        <v>-0.38999999999998636</v>
      </c>
      <c r="N666">
        <f t="shared" si="93"/>
        <v>0</v>
      </c>
      <c r="O666">
        <f t="shared" si="94"/>
        <v>6.0000000000002274E-2</v>
      </c>
      <c r="P666" s="10">
        <f t="shared" si="95"/>
        <v>0.15999999999999659</v>
      </c>
    </row>
    <row r="667" spans="1:16">
      <c r="A667">
        <v>107</v>
      </c>
      <c r="B667" s="42">
        <v>188.56</v>
      </c>
      <c r="C667">
        <v>184.06</v>
      </c>
      <c r="D667">
        <v>184.45</v>
      </c>
      <c r="E667">
        <v>185.23</v>
      </c>
      <c r="F667">
        <v>115.67</v>
      </c>
      <c r="G667">
        <v>107.51</v>
      </c>
      <c r="H667">
        <v>98.95</v>
      </c>
      <c r="K667" s="9">
        <f t="shared" si="90"/>
        <v>2.7199999999999989</v>
      </c>
      <c r="L667">
        <f t="shared" si="91"/>
        <v>3.2800000000000011</v>
      </c>
      <c r="M667">
        <f t="shared" si="92"/>
        <v>-0.10999999999998522</v>
      </c>
      <c r="N667">
        <f t="shared" si="93"/>
        <v>0.10999999999999943</v>
      </c>
      <c r="O667">
        <f t="shared" si="94"/>
        <v>0.15999999999999659</v>
      </c>
      <c r="P667" s="10">
        <f t="shared" si="95"/>
        <v>0.10999999999999943</v>
      </c>
    </row>
    <row r="668" spans="1:16">
      <c r="A668">
        <v>107.17</v>
      </c>
      <c r="B668" s="42">
        <v>188.01</v>
      </c>
      <c r="C668">
        <v>186.62</v>
      </c>
      <c r="D668">
        <v>187.45</v>
      </c>
      <c r="E668">
        <v>185.45</v>
      </c>
      <c r="F668">
        <v>115.78</v>
      </c>
      <c r="G668">
        <v>107.56</v>
      </c>
      <c r="H668">
        <v>99.06</v>
      </c>
      <c r="K668" s="9">
        <f t="shared" si="90"/>
        <v>0.15999999999999659</v>
      </c>
      <c r="L668">
        <f t="shared" si="91"/>
        <v>0.17000000000001592</v>
      </c>
      <c r="M668">
        <f t="shared" si="92"/>
        <v>-0.43999999999999773</v>
      </c>
      <c r="N668">
        <f t="shared" si="93"/>
        <v>-4.9999999999997158E-2</v>
      </c>
      <c r="O668">
        <f t="shared" si="94"/>
        <v>6.0000000000002274E-2</v>
      </c>
      <c r="P668" s="10">
        <f t="shared" si="95"/>
        <v>0</v>
      </c>
    </row>
    <row r="669" spans="1:16">
      <c r="A669">
        <v>107.33</v>
      </c>
      <c r="B669" s="42">
        <v>187.78</v>
      </c>
      <c r="C669">
        <v>187.06</v>
      </c>
      <c r="D669">
        <v>187.9</v>
      </c>
      <c r="E669">
        <v>185.06</v>
      </c>
      <c r="F669">
        <v>115.67</v>
      </c>
      <c r="G669">
        <v>107.51</v>
      </c>
      <c r="H669">
        <v>99.06</v>
      </c>
      <c r="K669" s="9">
        <f t="shared" si="90"/>
        <v>-0.55000000000001137</v>
      </c>
      <c r="L669">
        <f t="shared" si="91"/>
        <v>-0.67000000000001592</v>
      </c>
      <c r="M669">
        <f t="shared" si="92"/>
        <v>-0.21999999999999886</v>
      </c>
      <c r="N669">
        <f t="shared" si="93"/>
        <v>0.17000000000000171</v>
      </c>
      <c r="O669">
        <f t="shared" si="94"/>
        <v>0.15999999999999659</v>
      </c>
      <c r="P669" s="10">
        <f t="shared" si="95"/>
        <v>0.10999999999999943</v>
      </c>
    </row>
    <row r="670" spans="1:16">
      <c r="A670">
        <v>107.5</v>
      </c>
      <c r="B670" s="42">
        <v>187.62</v>
      </c>
      <c r="C670">
        <v>186.78</v>
      </c>
      <c r="D670">
        <v>187.73</v>
      </c>
      <c r="E670">
        <v>185.12</v>
      </c>
      <c r="F670">
        <v>115.78</v>
      </c>
      <c r="G670">
        <v>107.67</v>
      </c>
      <c r="H670">
        <v>99.06</v>
      </c>
      <c r="K670" s="9">
        <f t="shared" si="90"/>
        <v>-0.65999999999999659</v>
      </c>
      <c r="L670">
        <f t="shared" si="91"/>
        <v>-0.82999999999998408</v>
      </c>
      <c r="M670">
        <f t="shared" si="92"/>
        <v>-0.34000000000000341</v>
      </c>
      <c r="N670">
        <f t="shared" si="93"/>
        <v>0.12000000000000455</v>
      </c>
      <c r="O670">
        <f t="shared" si="94"/>
        <v>0.10999999999999943</v>
      </c>
      <c r="P670" s="10">
        <f t="shared" si="95"/>
        <v>0.17000000000000171</v>
      </c>
    </row>
    <row r="671" spans="1:16">
      <c r="A671">
        <v>107.67</v>
      </c>
      <c r="B671" s="42">
        <v>187.62</v>
      </c>
      <c r="C671">
        <v>186.78</v>
      </c>
      <c r="D671">
        <v>187.62</v>
      </c>
      <c r="E671">
        <v>185.01</v>
      </c>
      <c r="F671">
        <v>115.73</v>
      </c>
      <c r="G671">
        <v>107.62</v>
      </c>
      <c r="H671">
        <v>99.06</v>
      </c>
      <c r="K671" s="9">
        <f t="shared" si="90"/>
        <v>-0.83000000000001251</v>
      </c>
      <c r="L671">
        <f t="shared" si="91"/>
        <v>-1.0600000000000023</v>
      </c>
      <c r="M671">
        <f t="shared" si="92"/>
        <v>-0.28000000000000114</v>
      </c>
      <c r="N671">
        <f t="shared" si="93"/>
        <v>0.28000000000000114</v>
      </c>
      <c r="O671">
        <f t="shared" si="94"/>
        <v>0.15999999999999659</v>
      </c>
      <c r="P671" s="10">
        <f t="shared" si="95"/>
        <v>0.21999999999999886</v>
      </c>
    </row>
    <row r="672" spans="1:16">
      <c r="A672">
        <v>107.83</v>
      </c>
      <c r="B672" s="42">
        <v>187.56</v>
      </c>
      <c r="C672">
        <v>186.51</v>
      </c>
      <c r="D672">
        <v>187.23</v>
      </c>
      <c r="E672">
        <v>184.84</v>
      </c>
      <c r="F672">
        <v>115.84</v>
      </c>
      <c r="G672">
        <v>107.67</v>
      </c>
      <c r="H672">
        <v>99.17</v>
      </c>
      <c r="K672" s="9">
        <f t="shared" si="90"/>
        <v>-0.88999999999998636</v>
      </c>
      <c r="L672">
        <f t="shared" si="91"/>
        <v>-1</v>
      </c>
      <c r="M672">
        <f t="shared" si="92"/>
        <v>-0.21999999999999886</v>
      </c>
      <c r="N672">
        <f t="shared" si="93"/>
        <v>0.28000000000000114</v>
      </c>
      <c r="O672">
        <f t="shared" si="94"/>
        <v>0.17000000000000171</v>
      </c>
      <c r="P672" s="10">
        <f t="shared" si="95"/>
        <v>0.10999999999999943</v>
      </c>
    </row>
    <row r="673" spans="1:16">
      <c r="A673">
        <v>108</v>
      </c>
      <c r="B673" s="42">
        <v>187.56</v>
      </c>
      <c r="C673">
        <v>186.12</v>
      </c>
      <c r="D673">
        <v>186.9</v>
      </c>
      <c r="E673">
        <v>184.78</v>
      </c>
      <c r="F673">
        <v>115.9</v>
      </c>
      <c r="G673">
        <v>107.78</v>
      </c>
      <c r="H673">
        <v>99.23</v>
      </c>
      <c r="K673" s="9">
        <f t="shared" si="90"/>
        <v>-0.67000000000001592</v>
      </c>
      <c r="L673">
        <f t="shared" si="91"/>
        <v>-0.89000000000001478</v>
      </c>
      <c r="M673">
        <f t="shared" si="92"/>
        <v>-0.11000000000001364</v>
      </c>
      <c r="N673">
        <f t="shared" si="93"/>
        <v>0.21999999999999886</v>
      </c>
      <c r="O673">
        <f t="shared" si="94"/>
        <v>0.17000000000000171</v>
      </c>
      <c r="P673" s="10">
        <f t="shared" si="95"/>
        <v>0.17000000000000171</v>
      </c>
    </row>
    <row r="674" spans="1:16">
      <c r="A674">
        <v>108.17</v>
      </c>
      <c r="B674" s="42">
        <v>187.45</v>
      </c>
      <c r="C674">
        <v>185.95</v>
      </c>
      <c r="D674">
        <v>186.56</v>
      </c>
      <c r="E674">
        <v>184.73</v>
      </c>
      <c r="F674">
        <v>116.01</v>
      </c>
      <c r="G674">
        <v>107.78</v>
      </c>
      <c r="H674">
        <v>99.28</v>
      </c>
      <c r="K674" s="9">
        <f t="shared" si="90"/>
        <v>-0.82999999999998408</v>
      </c>
      <c r="L674">
        <f t="shared" si="91"/>
        <v>-1.0500000000000114</v>
      </c>
      <c r="M674">
        <f t="shared" si="92"/>
        <v>-0.38999999999998636</v>
      </c>
      <c r="N674">
        <f t="shared" si="93"/>
        <v>0.10999999999999943</v>
      </c>
      <c r="O674">
        <f t="shared" si="94"/>
        <v>0.17000000000000171</v>
      </c>
      <c r="P674" s="10">
        <f t="shared" si="95"/>
        <v>0.23000000000000398</v>
      </c>
    </row>
    <row r="675" spans="1:16">
      <c r="A675">
        <v>108.33</v>
      </c>
      <c r="B675" s="42">
        <v>187.67</v>
      </c>
      <c r="C675">
        <v>185.62</v>
      </c>
      <c r="D675">
        <v>186.23</v>
      </c>
      <c r="E675">
        <v>184.62</v>
      </c>
      <c r="F675">
        <v>116.12</v>
      </c>
      <c r="G675">
        <v>107.84</v>
      </c>
      <c r="H675">
        <v>99.28</v>
      </c>
      <c r="K675" s="9">
        <f t="shared" si="90"/>
        <v>-0.61000000000001364</v>
      </c>
      <c r="L675">
        <f t="shared" si="91"/>
        <v>-0.82999999999998408</v>
      </c>
      <c r="M675">
        <f t="shared" si="92"/>
        <v>-0.28000000000000114</v>
      </c>
      <c r="N675">
        <f t="shared" si="93"/>
        <v>0.32999999999999829</v>
      </c>
      <c r="O675">
        <f t="shared" si="94"/>
        <v>0.17000000000000171</v>
      </c>
      <c r="P675" s="10">
        <f t="shared" si="95"/>
        <v>0.45000000000000284</v>
      </c>
    </row>
    <row r="676" spans="1:16">
      <c r="A676">
        <v>108.5</v>
      </c>
      <c r="B676" s="42">
        <v>187.84</v>
      </c>
      <c r="C676">
        <v>185.45</v>
      </c>
      <c r="D676">
        <v>186.01</v>
      </c>
      <c r="E676">
        <v>184.67</v>
      </c>
      <c r="F676">
        <v>116.12</v>
      </c>
      <c r="G676">
        <v>107.95</v>
      </c>
      <c r="H676">
        <v>99.4</v>
      </c>
      <c r="K676" s="9">
        <f t="shared" si="90"/>
        <v>-0.66999999999998749</v>
      </c>
      <c r="L676">
        <f t="shared" si="91"/>
        <v>-0.88999999999998636</v>
      </c>
      <c r="M676">
        <f t="shared" si="92"/>
        <v>-0.21999999999999886</v>
      </c>
      <c r="N676">
        <f t="shared" si="93"/>
        <v>0.65999999999999659</v>
      </c>
      <c r="O676">
        <f t="shared" si="94"/>
        <v>0.17000000000000171</v>
      </c>
      <c r="P676" s="10">
        <f t="shared" si="95"/>
        <v>0.54999999999999716</v>
      </c>
    </row>
    <row r="677" spans="1:16">
      <c r="A677">
        <v>108.67</v>
      </c>
      <c r="B677" s="42">
        <v>187.9</v>
      </c>
      <c r="C677">
        <v>185.12</v>
      </c>
      <c r="D677">
        <v>185.51</v>
      </c>
      <c r="E677">
        <v>184.34</v>
      </c>
      <c r="F677">
        <v>116.12</v>
      </c>
      <c r="G677">
        <v>107.95</v>
      </c>
      <c r="H677">
        <v>99.51</v>
      </c>
      <c r="K677" s="9">
        <f t="shared" si="90"/>
        <v>-0.61000000000001364</v>
      </c>
      <c r="L677">
        <f t="shared" si="91"/>
        <v>-0.66999999999998749</v>
      </c>
      <c r="M677">
        <f t="shared" si="92"/>
        <v>0.16999999999998749</v>
      </c>
      <c r="N677">
        <f t="shared" si="93"/>
        <v>0.78000000000000114</v>
      </c>
      <c r="O677">
        <f t="shared" si="94"/>
        <v>0.17000000000000171</v>
      </c>
      <c r="P677" s="10">
        <f t="shared" si="95"/>
        <v>0.65999999999999659</v>
      </c>
    </row>
    <row r="678" spans="1:16">
      <c r="A678">
        <v>108.83</v>
      </c>
      <c r="B678" s="42">
        <v>188.4</v>
      </c>
      <c r="C678">
        <v>185.01</v>
      </c>
      <c r="D678">
        <v>185.4</v>
      </c>
      <c r="E678">
        <v>184.34</v>
      </c>
      <c r="F678">
        <v>116.45</v>
      </c>
      <c r="G678">
        <v>108.01</v>
      </c>
      <c r="H678">
        <v>99.73</v>
      </c>
      <c r="K678" s="9">
        <f t="shared" si="90"/>
        <v>-0.94999999999998863</v>
      </c>
      <c r="L678">
        <f t="shared" si="91"/>
        <v>-1.1700000000000159</v>
      </c>
      <c r="M678">
        <f t="shared" si="92"/>
        <v>0.10999999999998522</v>
      </c>
      <c r="N678">
        <f t="shared" si="93"/>
        <v>0.39000000000000057</v>
      </c>
      <c r="O678">
        <f t="shared" si="94"/>
        <v>0.10999999999999943</v>
      </c>
      <c r="P678" s="10">
        <f t="shared" si="95"/>
        <v>0.67000000000000171</v>
      </c>
    </row>
    <row r="679" spans="1:16">
      <c r="A679">
        <v>109</v>
      </c>
      <c r="B679" s="42">
        <v>189.12</v>
      </c>
      <c r="C679">
        <v>184.78</v>
      </c>
      <c r="D679">
        <v>185.12</v>
      </c>
      <c r="E679">
        <v>184.45</v>
      </c>
      <c r="F679">
        <v>116.78</v>
      </c>
      <c r="G679">
        <v>108.12</v>
      </c>
      <c r="H679">
        <v>99.95</v>
      </c>
      <c r="K679" s="9">
        <f t="shared" si="90"/>
        <v>-0.77000000000001023</v>
      </c>
      <c r="L679">
        <f t="shared" si="91"/>
        <v>-0.95000000000001705</v>
      </c>
      <c r="M679">
        <f t="shared" si="92"/>
        <v>6.0000000000002274E-2</v>
      </c>
      <c r="N679">
        <f t="shared" si="93"/>
        <v>6.0000000000002274E-2</v>
      </c>
      <c r="O679">
        <f t="shared" si="94"/>
        <v>0.15999999999999659</v>
      </c>
      <c r="P679" s="10">
        <f t="shared" si="95"/>
        <v>0.56000000000000227</v>
      </c>
    </row>
    <row r="680" spans="1:16">
      <c r="A680">
        <v>109.17</v>
      </c>
      <c r="B680" s="42">
        <v>189.73</v>
      </c>
      <c r="C680">
        <v>184.51</v>
      </c>
      <c r="D680">
        <v>184.84</v>
      </c>
      <c r="E680">
        <v>184.51</v>
      </c>
      <c r="F680">
        <v>116.9</v>
      </c>
      <c r="G680">
        <v>108.12</v>
      </c>
      <c r="H680">
        <v>100.17</v>
      </c>
      <c r="K680" s="9">
        <f t="shared" si="90"/>
        <v>-0.56000000000000227</v>
      </c>
      <c r="L680">
        <f t="shared" si="91"/>
        <v>-0.67000000000001592</v>
      </c>
      <c r="M680">
        <f t="shared" si="92"/>
        <v>5.0000000000011369E-2</v>
      </c>
      <c r="N680">
        <f t="shared" si="93"/>
        <v>-6.0000000000002274E-2</v>
      </c>
      <c r="O680">
        <f t="shared" si="94"/>
        <v>0.21999999999999886</v>
      </c>
      <c r="P680" s="10">
        <f t="shared" si="95"/>
        <v>0.34000000000000341</v>
      </c>
    </row>
    <row r="681" spans="1:16">
      <c r="A681">
        <v>109.33</v>
      </c>
      <c r="B681" s="42">
        <v>190.06</v>
      </c>
      <c r="C681">
        <v>184.06</v>
      </c>
      <c r="D681">
        <v>184.23</v>
      </c>
      <c r="E681">
        <v>184.45</v>
      </c>
      <c r="F681">
        <v>116.84</v>
      </c>
      <c r="G681">
        <v>108.12</v>
      </c>
      <c r="H681">
        <v>100.4</v>
      </c>
      <c r="K681" s="9">
        <f t="shared" si="90"/>
        <v>-0.21999999999999886</v>
      </c>
      <c r="L681">
        <f t="shared" si="91"/>
        <v>-6.0000000000002274E-2</v>
      </c>
      <c r="M681">
        <f t="shared" si="92"/>
        <v>0.17000000000001592</v>
      </c>
      <c r="N681">
        <f t="shared" si="93"/>
        <v>0.10999999999999943</v>
      </c>
      <c r="O681">
        <f t="shared" si="94"/>
        <v>0.21999999999999886</v>
      </c>
      <c r="P681" s="10">
        <f t="shared" si="95"/>
        <v>0.21999999999999886</v>
      </c>
    </row>
    <row r="682" spans="1:16">
      <c r="A682">
        <v>109.5</v>
      </c>
      <c r="B682" s="42">
        <v>190.17</v>
      </c>
      <c r="C682">
        <v>184.01</v>
      </c>
      <c r="D682">
        <v>184.17</v>
      </c>
      <c r="E682">
        <v>184.51</v>
      </c>
      <c r="F682">
        <v>116.84</v>
      </c>
      <c r="G682">
        <v>108.28</v>
      </c>
      <c r="H682">
        <v>100.51</v>
      </c>
      <c r="K682" s="9">
        <f t="shared" si="90"/>
        <v>0.5</v>
      </c>
      <c r="L682">
        <f t="shared" si="91"/>
        <v>0.78000000000000114</v>
      </c>
      <c r="M682">
        <f t="shared" si="92"/>
        <v>-6.0000000000002274E-2</v>
      </c>
      <c r="N682">
        <f t="shared" si="93"/>
        <v>0.39000000000000057</v>
      </c>
      <c r="O682">
        <f t="shared" si="94"/>
        <v>0.17000000000000171</v>
      </c>
      <c r="P682" s="10">
        <f t="shared" si="95"/>
        <v>0.10999999999999943</v>
      </c>
    </row>
    <row r="683" spans="1:16">
      <c r="A683">
        <v>109.67</v>
      </c>
      <c r="B683" s="42">
        <v>190.4</v>
      </c>
      <c r="C683">
        <v>183.95</v>
      </c>
      <c r="D683">
        <v>184.17</v>
      </c>
      <c r="E683">
        <v>184.56</v>
      </c>
      <c r="F683">
        <v>116.84</v>
      </c>
      <c r="G683">
        <v>108.34</v>
      </c>
      <c r="H683">
        <v>100.51</v>
      </c>
      <c r="K683" s="9">
        <f t="shared" si="90"/>
        <v>1.4500000000000171</v>
      </c>
      <c r="L683">
        <f t="shared" si="91"/>
        <v>1.7300000000000182</v>
      </c>
      <c r="M683">
        <f t="shared" si="92"/>
        <v>6.0000000000002274E-2</v>
      </c>
      <c r="N683">
        <f t="shared" si="93"/>
        <v>0.56000000000000227</v>
      </c>
      <c r="O683">
        <f t="shared" si="94"/>
        <v>0.10999999999999943</v>
      </c>
      <c r="P683" s="10">
        <f t="shared" si="95"/>
        <v>0.15999999999999659</v>
      </c>
    </row>
    <row r="684" spans="1:16">
      <c r="A684">
        <v>109.83</v>
      </c>
      <c r="B684" s="42">
        <v>190.4</v>
      </c>
      <c r="C684">
        <v>183.84</v>
      </c>
      <c r="D684">
        <v>184.17</v>
      </c>
      <c r="E684">
        <v>184.62</v>
      </c>
      <c r="F684">
        <v>116.95</v>
      </c>
      <c r="G684">
        <v>108.34</v>
      </c>
      <c r="H684">
        <v>100.62</v>
      </c>
      <c r="K684" s="9">
        <f t="shared" si="90"/>
        <v>1.7800000000000011</v>
      </c>
      <c r="L684">
        <f t="shared" si="91"/>
        <v>2.0600000000000023</v>
      </c>
      <c r="M684">
        <f t="shared" si="92"/>
        <v>0.38999999999998636</v>
      </c>
      <c r="N684">
        <f t="shared" si="93"/>
        <v>0.5</v>
      </c>
      <c r="O684">
        <f t="shared" si="94"/>
        <v>0.28000000000000114</v>
      </c>
      <c r="P684" s="10">
        <f t="shared" si="95"/>
        <v>4.9999999999997158E-2</v>
      </c>
    </row>
    <row r="685" spans="1:16">
      <c r="A685">
        <v>110</v>
      </c>
      <c r="B685" s="42">
        <v>190.56</v>
      </c>
      <c r="C685">
        <v>184.51</v>
      </c>
      <c r="D685">
        <v>184.95</v>
      </c>
      <c r="E685">
        <v>184.45</v>
      </c>
      <c r="F685">
        <v>117.23</v>
      </c>
      <c r="G685">
        <v>108.45</v>
      </c>
      <c r="H685">
        <v>100.62</v>
      </c>
      <c r="K685" s="9">
        <f t="shared" si="90"/>
        <v>1.2700000000000102</v>
      </c>
      <c r="L685">
        <f t="shared" si="91"/>
        <v>1.3300000000000125</v>
      </c>
      <c r="M685">
        <f t="shared" si="92"/>
        <v>0.56000000000000227</v>
      </c>
      <c r="N685">
        <f t="shared" si="93"/>
        <v>0.32999999999999829</v>
      </c>
      <c r="O685">
        <f t="shared" si="94"/>
        <v>0.17000000000000171</v>
      </c>
      <c r="P685" s="10">
        <f t="shared" si="95"/>
        <v>0.10999999999999943</v>
      </c>
    </row>
    <row r="686" spans="1:16">
      <c r="A686">
        <v>110.17</v>
      </c>
      <c r="B686" s="42">
        <v>190.62</v>
      </c>
      <c r="C686">
        <v>185.4</v>
      </c>
      <c r="D686">
        <v>185.9</v>
      </c>
      <c r="E686">
        <v>184.62</v>
      </c>
      <c r="F686">
        <v>117.4</v>
      </c>
      <c r="G686">
        <v>108.45</v>
      </c>
      <c r="H686">
        <v>100.67</v>
      </c>
      <c r="K686" s="9">
        <f t="shared" si="90"/>
        <v>0.37999999999999545</v>
      </c>
      <c r="L686">
        <f t="shared" si="91"/>
        <v>0.37999999999999545</v>
      </c>
      <c r="M686">
        <f t="shared" si="92"/>
        <v>0.5</v>
      </c>
      <c r="N686">
        <f t="shared" si="93"/>
        <v>0.26999999999999602</v>
      </c>
      <c r="O686">
        <f t="shared" si="94"/>
        <v>0.32999999999999829</v>
      </c>
      <c r="P686" s="10">
        <f t="shared" si="95"/>
        <v>0.10999999999999943</v>
      </c>
    </row>
    <row r="687" spans="1:16">
      <c r="A687">
        <v>110.33</v>
      </c>
      <c r="B687" s="42">
        <v>190.62</v>
      </c>
      <c r="C687">
        <v>185.62</v>
      </c>
      <c r="D687">
        <v>186.23</v>
      </c>
      <c r="E687">
        <v>185.01</v>
      </c>
      <c r="F687">
        <v>117.45</v>
      </c>
      <c r="G687">
        <v>108.62</v>
      </c>
      <c r="H687">
        <v>100.67</v>
      </c>
      <c r="K687" s="9">
        <f t="shared" si="90"/>
        <v>0</v>
      </c>
      <c r="L687">
        <f t="shared" si="91"/>
        <v>-0.21999999999999886</v>
      </c>
      <c r="M687">
        <f t="shared" si="92"/>
        <v>0</v>
      </c>
      <c r="N687">
        <f t="shared" si="93"/>
        <v>0.21999999999999886</v>
      </c>
      <c r="O687">
        <f t="shared" si="94"/>
        <v>0.15999999999999659</v>
      </c>
      <c r="P687" s="10">
        <f t="shared" si="95"/>
        <v>0.10999999999999943</v>
      </c>
    </row>
    <row r="688" spans="1:16">
      <c r="A688">
        <v>110.5</v>
      </c>
      <c r="B688" s="42">
        <v>190.4</v>
      </c>
      <c r="C688">
        <v>185.78</v>
      </c>
      <c r="D688">
        <v>186.28</v>
      </c>
      <c r="E688">
        <v>185.01</v>
      </c>
      <c r="F688">
        <v>117.56</v>
      </c>
      <c r="G688">
        <v>108.62</v>
      </c>
      <c r="H688">
        <v>100.73</v>
      </c>
      <c r="K688" s="9">
        <f t="shared" si="90"/>
        <v>-0.55000000000001137</v>
      </c>
      <c r="L688">
        <f t="shared" si="91"/>
        <v>-0.71999999999999886</v>
      </c>
      <c r="M688">
        <f t="shared" si="92"/>
        <v>5.0000000000011369E-2</v>
      </c>
      <c r="N688">
        <f t="shared" si="93"/>
        <v>0.17000000000000171</v>
      </c>
      <c r="O688">
        <f t="shared" si="94"/>
        <v>0.32999999999999829</v>
      </c>
      <c r="P688" s="10">
        <f t="shared" si="95"/>
        <v>0.28000000000000114</v>
      </c>
    </row>
    <row r="689" spans="1:16">
      <c r="A689">
        <v>110.67</v>
      </c>
      <c r="B689" s="42">
        <v>190.28</v>
      </c>
      <c r="C689">
        <v>185.78</v>
      </c>
      <c r="D689">
        <v>186.28</v>
      </c>
      <c r="E689">
        <v>185.12</v>
      </c>
      <c r="F689">
        <v>117.67</v>
      </c>
      <c r="G689">
        <v>108.78</v>
      </c>
      <c r="H689">
        <v>100.78</v>
      </c>
      <c r="K689" s="9">
        <f t="shared" si="90"/>
        <v>-0.71999999999999886</v>
      </c>
      <c r="L689">
        <f t="shared" si="91"/>
        <v>-1</v>
      </c>
      <c r="M689">
        <f t="shared" si="92"/>
        <v>-0.17000000000001592</v>
      </c>
      <c r="N689">
        <f t="shared" si="93"/>
        <v>6.0000000000002274E-2</v>
      </c>
      <c r="O689">
        <f t="shared" si="94"/>
        <v>0.17000000000000171</v>
      </c>
      <c r="P689" s="10">
        <f t="shared" si="95"/>
        <v>0.28000000000000114</v>
      </c>
    </row>
    <row r="690" spans="1:16">
      <c r="A690">
        <v>110.83</v>
      </c>
      <c r="B690" s="42">
        <v>190.01</v>
      </c>
      <c r="C690">
        <v>185.62</v>
      </c>
      <c r="D690">
        <v>186.01</v>
      </c>
      <c r="E690">
        <v>185.01</v>
      </c>
      <c r="F690">
        <v>117.67</v>
      </c>
      <c r="G690">
        <v>108.78</v>
      </c>
      <c r="H690">
        <v>100.78</v>
      </c>
      <c r="K690" s="9">
        <f t="shared" si="90"/>
        <v>-0.39000000000001478</v>
      </c>
      <c r="L690">
        <f t="shared" si="91"/>
        <v>-0.78000000000000114</v>
      </c>
      <c r="M690">
        <f t="shared" si="92"/>
        <v>-0.10999999999998522</v>
      </c>
      <c r="N690">
        <f t="shared" si="93"/>
        <v>6.0000000000002274E-2</v>
      </c>
      <c r="O690">
        <f t="shared" si="94"/>
        <v>0.17000000000000171</v>
      </c>
      <c r="P690" s="10">
        <f t="shared" si="95"/>
        <v>0.23000000000000398</v>
      </c>
    </row>
    <row r="691" spans="1:16">
      <c r="A691">
        <v>111</v>
      </c>
      <c r="B691" s="42">
        <v>189.78</v>
      </c>
      <c r="C691">
        <v>185.23</v>
      </c>
      <c r="D691">
        <v>185.56</v>
      </c>
      <c r="E691">
        <v>185.06</v>
      </c>
      <c r="F691">
        <v>117.73</v>
      </c>
      <c r="G691">
        <v>108.95</v>
      </c>
      <c r="H691">
        <v>101.01</v>
      </c>
      <c r="K691" s="9">
        <f t="shared" si="90"/>
        <v>0.21999999999999886</v>
      </c>
      <c r="L691">
        <f t="shared" si="91"/>
        <v>-0.15999999999999659</v>
      </c>
      <c r="M691">
        <f t="shared" si="92"/>
        <v>-0.21999999999999886</v>
      </c>
      <c r="N691">
        <f t="shared" si="93"/>
        <v>0.10999999999999943</v>
      </c>
      <c r="O691">
        <f t="shared" si="94"/>
        <v>0.17000000000000171</v>
      </c>
      <c r="P691" s="10">
        <f t="shared" si="95"/>
        <v>0.15999999999999659</v>
      </c>
    </row>
    <row r="692" spans="1:16">
      <c r="A692">
        <v>111.17</v>
      </c>
      <c r="B692" s="42">
        <v>189.34</v>
      </c>
      <c r="C692">
        <v>185.06</v>
      </c>
      <c r="D692">
        <v>185.28</v>
      </c>
      <c r="E692">
        <v>184.95</v>
      </c>
      <c r="F692">
        <v>117.73</v>
      </c>
      <c r="G692">
        <v>108.95</v>
      </c>
      <c r="H692">
        <v>101.06</v>
      </c>
      <c r="K692" s="9">
        <f t="shared" si="90"/>
        <v>0.56000000000000227</v>
      </c>
      <c r="L692">
        <f t="shared" si="91"/>
        <v>0.22999999999998977</v>
      </c>
      <c r="M692">
        <f t="shared" si="92"/>
        <v>-0.21999999999999886</v>
      </c>
      <c r="N692">
        <f t="shared" si="93"/>
        <v>0.10999999999999943</v>
      </c>
      <c r="O692">
        <f t="shared" si="94"/>
        <v>0.17000000000000171</v>
      </c>
      <c r="P692" s="10">
        <f t="shared" si="95"/>
        <v>0.10999999999999943</v>
      </c>
    </row>
    <row r="693" spans="1:16">
      <c r="A693">
        <v>111.33</v>
      </c>
      <c r="B693" s="42">
        <v>189.34</v>
      </c>
      <c r="C693">
        <v>185.23</v>
      </c>
      <c r="D693">
        <v>185.23</v>
      </c>
      <c r="E693">
        <v>184.9</v>
      </c>
      <c r="F693">
        <v>117.73</v>
      </c>
      <c r="G693">
        <v>108.95</v>
      </c>
      <c r="H693">
        <v>101.01</v>
      </c>
      <c r="K693" s="9">
        <f t="shared" si="90"/>
        <v>0.5</v>
      </c>
      <c r="L693">
        <f t="shared" si="91"/>
        <v>0.39000000000001478</v>
      </c>
      <c r="M693">
        <f t="shared" si="92"/>
        <v>-0.56000000000000227</v>
      </c>
      <c r="N693">
        <f t="shared" si="93"/>
        <v>0.17000000000000171</v>
      </c>
      <c r="O693">
        <f t="shared" si="94"/>
        <v>0.28000000000000114</v>
      </c>
      <c r="P693" s="10">
        <f t="shared" si="95"/>
        <v>0.21999999999999886</v>
      </c>
    </row>
    <row r="694" spans="1:16">
      <c r="A694">
        <v>111.5</v>
      </c>
      <c r="B694" s="42">
        <v>189.67</v>
      </c>
      <c r="C694">
        <v>185.45</v>
      </c>
      <c r="D694">
        <v>185.4</v>
      </c>
      <c r="E694">
        <v>184.84</v>
      </c>
      <c r="F694">
        <v>117.84</v>
      </c>
      <c r="G694">
        <v>109.12</v>
      </c>
      <c r="H694">
        <v>101.17</v>
      </c>
      <c r="K694" s="9">
        <f t="shared" si="90"/>
        <v>0.17000000000001592</v>
      </c>
      <c r="L694">
        <f t="shared" si="91"/>
        <v>0.21999999999999886</v>
      </c>
      <c r="M694">
        <f t="shared" si="92"/>
        <v>-0.83000000000001251</v>
      </c>
      <c r="N694">
        <f t="shared" si="93"/>
        <v>6.0000000000002274E-2</v>
      </c>
      <c r="O694">
        <f t="shared" si="94"/>
        <v>0.21999999999999886</v>
      </c>
      <c r="P694" s="10">
        <f t="shared" si="95"/>
        <v>0.10999999999999943</v>
      </c>
    </row>
    <row r="695" spans="1:16">
      <c r="A695">
        <v>111.67</v>
      </c>
      <c r="B695" s="42">
        <v>190.28</v>
      </c>
      <c r="C695">
        <v>185.62</v>
      </c>
      <c r="D695">
        <v>185.51</v>
      </c>
      <c r="E695">
        <v>184.73</v>
      </c>
      <c r="F695">
        <v>117.84</v>
      </c>
      <c r="G695">
        <v>109.12</v>
      </c>
      <c r="H695">
        <v>101.17</v>
      </c>
      <c r="K695" s="9">
        <f t="shared" si="90"/>
        <v>-0.17000000000001592</v>
      </c>
      <c r="L695">
        <f t="shared" si="91"/>
        <v>5.0000000000011369E-2</v>
      </c>
      <c r="M695">
        <f t="shared" si="92"/>
        <v>-0.71999999999999886</v>
      </c>
      <c r="N695">
        <f t="shared" si="93"/>
        <v>0.21999999999999886</v>
      </c>
      <c r="O695">
        <f t="shared" si="94"/>
        <v>0.28000000000000114</v>
      </c>
      <c r="P695" s="10">
        <f t="shared" si="95"/>
        <v>6.0000000000002274E-2</v>
      </c>
    </row>
    <row r="696" spans="1:16">
      <c r="A696">
        <v>111.83</v>
      </c>
      <c r="B696" s="42">
        <v>190.78</v>
      </c>
      <c r="C696">
        <v>185.73</v>
      </c>
      <c r="D696">
        <v>185.62</v>
      </c>
      <c r="E696">
        <v>184.34</v>
      </c>
      <c r="F696">
        <v>117.9</v>
      </c>
      <c r="G696">
        <v>109.23</v>
      </c>
      <c r="H696">
        <v>101.23</v>
      </c>
      <c r="K696" s="9">
        <f t="shared" si="90"/>
        <v>-0.56000000000000227</v>
      </c>
      <c r="L696">
        <f t="shared" si="91"/>
        <v>-0.34000000000000341</v>
      </c>
      <c r="M696">
        <f t="shared" si="92"/>
        <v>-0.33000000000001251</v>
      </c>
      <c r="N696">
        <f t="shared" si="93"/>
        <v>0.26999999999999602</v>
      </c>
      <c r="O696">
        <f t="shared" si="94"/>
        <v>0.21999999999999886</v>
      </c>
      <c r="P696" s="10">
        <f t="shared" si="95"/>
        <v>0.10999999999999943</v>
      </c>
    </row>
    <row r="697" spans="1:16">
      <c r="A697">
        <v>112</v>
      </c>
      <c r="B697" s="42">
        <v>191.9</v>
      </c>
      <c r="C697">
        <v>185.62</v>
      </c>
      <c r="D697">
        <v>185.62</v>
      </c>
      <c r="E697">
        <v>184.01</v>
      </c>
      <c r="F697">
        <v>117.9</v>
      </c>
      <c r="G697">
        <v>109.34</v>
      </c>
      <c r="H697">
        <v>101.28</v>
      </c>
      <c r="K697" s="9">
        <f t="shared" si="90"/>
        <v>-0.78000000000000114</v>
      </c>
      <c r="L697">
        <f t="shared" si="91"/>
        <v>-0.5</v>
      </c>
      <c r="M697">
        <f t="shared" si="92"/>
        <v>-6.0000000000002274E-2</v>
      </c>
      <c r="N697">
        <f t="shared" si="93"/>
        <v>0.21999999999999886</v>
      </c>
      <c r="O697">
        <f t="shared" si="94"/>
        <v>0.10999999999999943</v>
      </c>
      <c r="P697" s="10">
        <f t="shared" si="95"/>
        <v>0.17000000000000171</v>
      </c>
    </row>
    <row r="698" spans="1:16">
      <c r="A698">
        <v>112.17</v>
      </c>
      <c r="B698" s="42">
        <v>193.06</v>
      </c>
      <c r="C698">
        <v>185.45</v>
      </c>
      <c r="D698">
        <v>185.56</v>
      </c>
      <c r="E698">
        <v>184.01</v>
      </c>
      <c r="F698">
        <v>118.06</v>
      </c>
      <c r="G698">
        <v>109.4</v>
      </c>
      <c r="H698">
        <v>101.23</v>
      </c>
      <c r="K698" s="9">
        <f t="shared" si="90"/>
        <v>-0.82999999999998408</v>
      </c>
      <c r="L698">
        <f t="shared" si="91"/>
        <v>-0.61000000000001364</v>
      </c>
      <c r="M698">
        <f t="shared" si="92"/>
        <v>-0.10999999999998522</v>
      </c>
      <c r="N698">
        <f t="shared" si="93"/>
        <v>0.17000000000000171</v>
      </c>
      <c r="O698">
        <f t="shared" si="94"/>
        <v>0.21999999999999886</v>
      </c>
      <c r="P698" s="10">
        <f t="shared" si="95"/>
        <v>0.21999999999999886</v>
      </c>
    </row>
    <row r="699" spans="1:16">
      <c r="A699">
        <v>112.33</v>
      </c>
      <c r="B699" s="42">
        <v>193.73</v>
      </c>
      <c r="C699">
        <v>185.17</v>
      </c>
      <c r="D699">
        <v>185.28</v>
      </c>
      <c r="E699">
        <v>184.01</v>
      </c>
      <c r="F699">
        <v>118.17</v>
      </c>
      <c r="G699">
        <v>109.45</v>
      </c>
      <c r="H699">
        <v>101.34</v>
      </c>
      <c r="K699" s="9">
        <f t="shared" si="90"/>
        <v>-0.65999999999999659</v>
      </c>
      <c r="L699">
        <f t="shared" si="91"/>
        <v>-0.33000000000001251</v>
      </c>
      <c r="M699">
        <f t="shared" si="92"/>
        <v>-0.22999999999998977</v>
      </c>
      <c r="N699">
        <f t="shared" si="93"/>
        <v>6.0000000000002274E-2</v>
      </c>
      <c r="O699">
        <f t="shared" si="94"/>
        <v>0.17000000000000171</v>
      </c>
      <c r="P699" s="10">
        <f t="shared" si="95"/>
        <v>0.28000000000000114</v>
      </c>
    </row>
    <row r="700" spans="1:16">
      <c r="A700">
        <v>112.5</v>
      </c>
      <c r="B700" s="42">
        <v>193.9</v>
      </c>
      <c r="C700">
        <v>184.84</v>
      </c>
      <c r="D700">
        <v>185.12</v>
      </c>
      <c r="E700">
        <v>183.95</v>
      </c>
      <c r="F700">
        <v>118.12</v>
      </c>
      <c r="G700">
        <v>109.45</v>
      </c>
      <c r="H700">
        <v>101.45</v>
      </c>
      <c r="K700" s="9">
        <f t="shared" si="90"/>
        <v>0.16999999999998749</v>
      </c>
      <c r="L700">
        <f t="shared" si="91"/>
        <v>0.5</v>
      </c>
      <c r="M700">
        <f t="shared" si="92"/>
        <v>0</v>
      </c>
      <c r="N700">
        <f t="shared" si="93"/>
        <v>0.32999999999999829</v>
      </c>
      <c r="O700">
        <f t="shared" si="94"/>
        <v>0.28000000000000114</v>
      </c>
      <c r="P700" s="10">
        <f t="shared" si="95"/>
        <v>0.45000000000000284</v>
      </c>
    </row>
    <row r="701" spans="1:16">
      <c r="A701">
        <v>112.67</v>
      </c>
      <c r="B701" s="42">
        <v>193.84</v>
      </c>
      <c r="C701">
        <v>184.62</v>
      </c>
      <c r="D701">
        <v>184.95</v>
      </c>
      <c r="E701">
        <v>183.9</v>
      </c>
      <c r="F701">
        <v>118.23</v>
      </c>
      <c r="G701">
        <v>109.62</v>
      </c>
      <c r="H701">
        <v>101.45</v>
      </c>
      <c r="K701" s="9">
        <f t="shared" si="90"/>
        <v>0.5</v>
      </c>
      <c r="L701">
        <f t="shared" si="91"/>
        <v>0.83000000000001251</v>
      </c>
      <c r="M701">
        <f t="shared" si="92"/>
        <v>0.32999999999998408</v>
      </c>
      <c r="N701">
        <f t="shared" si="93"/>
        <v>0.28000000000000114</v>
      </c>
      <c r="O701">
        <f t="shared" si="94"/>
        <v>0.15999999999999659</v>
      </c>
      <c r="P701" s="10">
        <f t="shared" si="95"/>
        <v>0.60999999999999943</v>
      </c>
    </row>
    <row r="702" spans="1:16">
      <c r="A702">
        <v>112.83</v>
      </c>
      <c r="B702" s="42">
        <v>193.67</v>
      </c>
      <c r="C702">
        <v>184.51</v>
      </c>
      <c r="D702">
        <v>184.95</v>
      </c>
      <c r="E702">
        <v>183.78</v>
      </c>
      <c r="F702">
        <v>118.23</v>
      </c>
      <c r="G702">
        <v>109.62</v>
      </c>
      <c r="H702">
        <v>101.62</v>
      </c>
      <c r="K702" s="9">
        <f t="shared" si="90"/>
        <v>0.61000000000001364</v>
      </c>
      <c r="L702">
        <f t="shared" si="91"/>
        <v>1</v>
      </c>
      <c r="M702">
        <f t="shared" si="92"/>
        <v>0.94999999999998863</v>
      </c>
      <c r="N702">
        <f t="shared" si="93"/>
        <v>0.43999999999999773</v>
      </c>
      <c r="O702">
        <f t="shared" si="94"/>
        <v>0.15999999999999659</v>
      </c>
      <c r="P702" s="10">
        <f t="shared" si="95"/>
        <v>0.65999999999999659</v>
      </c>
    </row>
    <row r="703" spans="1:16">
      <c r="A703">
        <v>113</v>
      </c>
      <c r="B703" s="42">
        <v>193.51</v>
      </c>
      <c r="C703">
        <v>185.01</v>
      </c>
      <c r="D703">
        <v>185.62</v>
      </c>
      <c r="E703">
        <v>183.95</v>
      </c>
      <c r="F703">
        <v>118.45</v>
      </c>
      <c r="G703">
        <v>109.73</v>
      </c>
      <c r="H703">
        <v>101.9</v>
      </c>
      <c r="K703" s="9">
        <f t="shared" si="90"/>
        <v>0</v>
      </c>
      <c r="L703">
        <f t="shared" si="91"/>
        <v>0</v>
      </c>
      <c r="M703">
        <f t="shared" si="92"/>
        <v>0.71999999999999886</v>
      </c>
      <c r="N703">
        <f t="shared" si="93"/>
        <v>0.21999999999999886</v>
      </c>
      <c r="O703">
        <f t="shared" si="94"/>
        <v>0.10999999999999943</v>
      </c>
      <c r="P703" s="10">
        <f t="shared" si="95"/>
        <v>0.37999999999999545</v>
      </c>
    </row>
    <row r="704" spans="1:16">
      <c r="A704">
        <v>113.17</v>
      </c>
      <c r="B704" s="42">
        <v>193.23</v>
      </c>
      <c r="C704">
        <v>185.12</v>
      </c>
      <c r="D704">
        <v>185.78</v>
      </c>
      <c r="E704">
        <v>184.23</v>
      </c>
      <c r="F704">
        <v>118.51</v>
      </c>
      <c r="G704">
        <v>109.78</v>
      </c>
      <c r="H704">
        <v>102.06</v>
      </c>
      <c r="K704" s="9">
        <f t="shared" si="90"/>
        <v>-0.61000000000001364</v>
      </c>
      <c r="L704">
        <f t="shared" si="91"/>
        <v>-0.65999999999999659</v>
      </c>
      <c r="M704">
        <f t="shared" si="92"/>
        <v>0.55000000000001137</v>
      </c>
      <c r="N704">
        <f t="shared" si="93"/>
        <v>0.15999999999999659</v>
      </c>
      <c r="O704">
        <f t="shared" si="94"/>
        <v>0.12000000000000455</v>
      </c>
      <c r="P704" s="10">
        <f t="shared" si="95"/>
        <v>0.17000000000000171</v>
      </c>
    </row>
    <row r="705" spans="1:16">
      <c r="A705">
        <v>113.33</v>
      </c>
      <c r="B705" s="42">
        <v>193.06</v>
      </c>
      <c r="C705">
        <v>185.12</v>
      </c>
      <c r="D705">
        <v>185.95</v>
      </c>
      <c r="E705">
        <v>184.73</v>
      </c>
      <c r="F705">
        <v>118.67</v>
      </c>
      <c r="G705">
        <v>109.78</v>
      </c>
      <c r="H705">
        <v>102.28</v>
      </c>
      <c r="K705" s="9">
        <f t="shared" si="90"/>
        <v>-1.3400000000000034</v>
      </c>
      <c r="L705">
        <f t="shared" si="91"/>
        <v>-1.5</v>
      </c>
      <c r="M705">
        <f t="shared" si="92"/>
        <v>5.0000000000011369E-2</v>
      </c>
      <c r="N705">
        <f t="shared" si="93"/>
        <v>0</v>
      </c>
      <c r="O705">
        <f t="shared" si="94"/>
        <v>0.12000000000000455</v>
      </c>
      <c r="P705" s="10">
        <f t="shared" si="95"/>
        <v>0</v>
      </c>
    </row>
    <row r="706" spans="1:16">
      <c r="A706">
        <v>113.5</v>
      </c>
      <c r="B706" s="42">
        <v>192.84</v>
      </c>
      <c r="C706">
        <v>185.01</v>
      </c>
      <c r="D706">
        <v>185.62</v>
      </c>
      <c r="E706">
        <v>184.67</v>
      </c>
      <c r="F706">
        <v>118.67</v>
      </c>
      <c r="G706">
        <v>109.84</v>
      </c>
      <c r="H706">
        <v>102.28</v>
      </c>
      <c r="K706" s="9">
        <f t="shared" si="90"/>
        <v>-1.8899999999999864</v>
      </c>
      <c r="L706">
        <f t="shared" si="91"/>
        <v>-1.8400000000000034</v>
      </c>
      <c r="M706">
        <f t="shared" si="92"/>
        <v>6.0000000000002274E-2</v>
      </c>
      <c r="N706">
        <f t="shared" si="93"/>
        <v>0</v>
      </c>
      <c r="O706">
        <f t="shared" si="94"/>
        <v>0.10999999999999943</v>
      </c>
      <c r="P706" s="10">
        <f t="shared" si="95"/>
        <v>0</v>
      </c>
    </row>
    <row r="707" spans="1:16">
      <c r="A707">
        <v>113.67</v>
      </c>
      <c r="B707" s="42">
        <v>192.84</v>
      </c>
      <c r="C707">
        <v>184.51</v>
      </c>
      <c r="D707">
        <v>185.12</v>
      </c>
      <c r="E707">
        <v>184.78</v>
      </c>
      <c r="F707">
        <v>118.67</v>
      </c>
      <c r="G707">
        <v>109.9</v>
      </c>
      <c r="H707">
        <v>102.23</v>
      </c>
      <c r="K707" s="9">
        <f t="shared" si="90"/>
        <v>-1.6699999999999875</v>
      </c>
      <c r="L707">
        <f t="shared" si="91"/>
        <v>-1.6100000000000136</v>
      </c>
      <c r="M707">
        <f t="shared" si="92"/>
        <v>-0.11000000000001364</v>
      </c>
      <c r="N707">
        <f t="shared" si="93"/>
        <v>6.0000000000002274E-2</v>
      </c>
      <c r="O707">
        <f t="shared" si="94"/>
        <v>0.15999999999999659</v>
      </c>
      <c r="P707" s="10">
        <f t="shared" si="95"/>
        <v>0.17000000000000171</v>
      </c>
    </row>
    <row r="708" spans="1:16">
      <c r="A708">
        <v>113.83</v>
      </c>
      <c r="B708" s="42">
        <v>193.06</v>
      </c>
      <c r="C708">
        <v>183.78</v>
      </c>
      <c r="D708">
        <v>184.45</v>
      </c>
      <c r="E708">
        <v>184.78</v>
      </c>
      <c r="F708">
        <v>118.67</v>
      </c>
      <c r="G708">
        <v>109.9</v>
      </c>
      <c r="H708">
        <v>102.28</v>
      </c>
      <c r="K708" s="9">
        <f t="shared" si="90"/>
        <v>-1.2700000000000102</v>
      </c>
      <c r="L708">
        <f t="shared" si="91"/>
        <v>-1.3299999999999841</v>
      </c>
      <c r="M708">
        <f t="shared" si="92"/>
        <v>-0.15999999999999659</v>
      </c>
      <c r="N708">
        <f t="shared" si="93"/>
        <v>6.0000000000002274E-2</v>
      </c>
      <c r="O708">
        <f t="shared" si="94"/>
        <v>0.15999999999999659</v>
      </c>
      <c r="P708" s="10">
        <f t="shared" si="95"/>
        <v>0.12000000000000455</v>
      </c>
    </row>
    <row r="709" spans="1:16">
      <c r="A709">
        <v>114</v>
      </c>
      <c r="B709" s="42">
        <v>193.23</v>
      </c>
      <c r="C709">
        <v>183.12</v>
      </c>
      <c r="D709">
        <v>183.78</v>
      </c>
      <c r="E709">
        <v>184.73</v>
      </c>
      <c r="F709">
        <v>118.67</v>
      </c>
      <c r="G709">
        <v>109.95</v>
      </c>
      <c r="H709">
        <v>102.28</v>
      </c>
      <c r="K709" s="9">
        <f t="shared" si="90"/>
        <v>-0.45000000000001705</v>
      </c>
      <c r="L709">
        <f t="shared" si="91"/>
        <v>-0.77000000000001023</v>
      </c>
      <c r="M709">
        <f t="shared" si="92"/>
        <v>-0.21999999999999886</v>
      </c>
      <c r="N709">
        <f t="shared" si="93"/>
        <v>0.23000000000000398</v>
      </c>
      <c r="O709">
        <f t="shared" si="94"/>
        <v>0.17000000000000171</v>
      </c>
      <c r="P709" s="10">
        <f t="shared" si="95"/>
        <v>0.17000000000000171</v>
      </c>
    </row>
    <row r="710" spans="1:16">
      <c r="A710">
        <v>114.17</v>
      </c>
      <c r="B710" s="42">
        <v>193.56</v>
      </c>
      <c r="C710">
        <v>182.84</v>
      </c>
      <c r="D710">
        <v>183.51</v>
      </c>
      <c r="E710">
        <v>184.67</v>
      </c>
      <c r="F710">
        <v>118.73</v>
      </c>
      <c r="G710">
        <v>110.06</v>
      </c>
      <c r="H710">
        <v>102.4</v>
      </c>
      <c r="K710" s="9">
        <f t="shared" si="90"/>
        <v>6.0000000000002274E-2</v>
      </c>
      <c r="L710">
        <f t="shared" si="91"/>
        <v>-0.56000000000000227</v>
      </c>
      <c r="M710">
        <f t="shared" si="92"/>
        <v>-0.15999999999999659</v>
      </c>
      <c r="N710">
        <f t="shared" si="93"/>
        <v>0.17000000000000171</v>
      </c>
      <c r="O710">
        <f t="shared" si="94"/>
        <v>0.10999999999999943</v>
      </c>
      <c r="P710" s="10">
        <f t="shared" si="95"/>
        <v>0.10999999999999943</v>
      </c>
    </row>
    <row r="711" spans="1:16">
      <c r="A711">
        <v>114.33</v>
      </c>
      <c r="B711" s="42">
        <v>193.78</v>
      </c>
      <c r="C711">
        <v>182.51</v>
      </c>
      <c r="D711">
        <v>183.12</v>
      </c>
      <c r="E711">
        <v>184.62</v>
      </c>
      <c r="F711">
        <v>118.73</v>
      </c>
      <c r="G711">
        <v>110.06</v>
      </c>
      <c r="H711">
        <v>102.4</v>
      </c>
      <c r="K711" s="9">
        <f t="shared" si="90"/>
        <v>0.5</v>
      </c>
      <c r="L711">
        <f t="shared" si="91"/>
        <v>-6.0000000000002274E-2</v>
      </c>
      <c r="M711">
        <f t="shared" si="92"/>
        <v>-0.17000000000001592</v>
      </c>
      <c r="N711">
        <f t="shared" si="93"/>
        <v>0.17000000000000171</v>
      </c>
      <c r="O711">
        <f t="shared" si="94"/>
        <v>0.10999999999999943</v>
      </c>
      <c r="P711" s="10">
        <f t="shared" si="95"/>
        <v>0.15999999999999659</v>
      </c>
    </row>
    <row r="712" spans="1:16">
      <c r="A712">
        <v>114.5</v>
      </c>
      <c r="B712" s="42">
        <v>194.01</v>
      </c>
      <c r="C712">
        <v>182.67</v>
      </c>
      <c r="D712">
        <v>183.01</v>
      </c>
      <c r="E712">
        <v>184.51</v>
      </c>
      <c r="F712">
        <v>118.9</v>
      </c>
      <c r="G712">
        <v>110.12</v>
      </c>
      <c r="H712">
        <v>102.45</v>
      </c>
      <c r="K712" s="9">
        <f t="shared" si="90"/>
        <v>0.28000000000000114</v>
      </c>
      <c r="L712">
        <f t="shared" si="91"/>
        <v>0.15999999999999659</v>
      </c>
      <c r="M712">
        <f t="shared" si="92"/>
        <v>-6.0000000000002274E-2</v>
      </c>
      <c r="N712">
        <f t="shared" si="93"/>
        <v>0.10999999999999943</v>
      </c>
      <c r="O712">
        <f t="shared" si="94"/>
        <v>0.10999999999999943</v>
      </c>
      <c r="P712" s="10">
        <f t="shared" si="95"/>
        <v>0.21999999999999886</v>
      </c>
    </row>
    <row r="713" spans="1:16">
      <c r="A713">
        <v>114.67</v>
      </c>
      <c r="B713" s="42">
        <v>194.06</v>
      </c>
      <c r="C713">
        <v>182.9</v>
      </c>
      <c r="D713">
        <v>182.95</v>
      </c>
      <c r="E713">
        <v>184.51</v>
      </c>
      <c r="F713">
        <v>118.9</v>
      </c>
      <c r="G713">
        <v>110.17</v>
      </c>
      <c r="H713">
        <v>102.51</v>
      </c>
      <c r="K713" s="9">
        <f t="shared" si="90"/>
        <v>0.10999999999998522</v>
      </c>
      <c r="L713">
        <f t="shared" si="91"/>
        <v>0.17000000000001592</v>
      </c>
      <c r="M713">
        <f t="shared" si="92"/>
        <v>-0.16999999999998749</v>
      </c>
      <c r="N713">
        <f t="shared" si="93"/>
        <v>0.10999999999999943</v>
      </c>
      <c r="O713">
        <f t="shared" si="94"/>
        <v>6.0000000000002274E-2</v>
      </c>
      <c r="P713" s="10">
        <f t="shared" si="95"/>
        <v>0.5</v>
      </c>
    </row>
    <row r="714" spans="1:16">
      <c r="A714">
        <v>114.83</v>
      </c>
      <c r="B714" s="42">
        <v>194.17</v>
      </c>
      <c r="C714">
        <v>183.01</v>
      </c>
      <c r="D714">
        <v>183.06</v>
      </c>
      <c r="E714">
        <v>184.45</v>
      </c>
      <c r="F714">
        <v>118.9</v>
      </c>
      <c r="G714">
        <v>110.17</v>
      </c>
      <c r="H714">
        <v>102.56</v>
      </c>
      <c r="K714" s="9">
        <f t="shared" si="90"/>
        <v>-0.16999999999998749</v>
      </c>
      <c r="L714">
        <f t="shared" si="91"/>
        <v>0.10999999999998522</v>
      </c>
      <c r="M714">
        <f t="shared" si="92"/>
        <v>-0.16999999999998749</v>
      </c>
      <c r="N714">
        <f t="shared" si="93"/>
        <v>0.15999999999999659</v>
      </c>
      <c r="O714">
        <f t="shared" si="94"/>
        <v>0.17000000000000171</v>
      </c>
      <c r="P714" s="10">
        <f t="shared" si="95"/>
        <v>0.5</v>
      </c>
    </row>
    <row r="715" spans="1:16">
      <c r="A715">
        <v>115</v>
      </c>
      <c r="B715" s="42">
        <v>194.67</v>
      </c>
      <c r="C715">
        <v>182.95</v>
      </c>
      <c r="D715">
        <v>183.17</v>
      </c>
      <c r="E715">
        <v>184.45</v>
      </c>
      <c r="F715">
        <v>119.01</v>
      </c>
      <c r="G715">
        <v>110.23</v>
      </c>
      <c r="H715">
        <v>102.67</v>
      </c>
      <c r="K715" s="9">
        <f t="shared" si="90"/>
        <v>-0.21999999999999886</v>
      </c>
      <c r="L715">
        <f t="shared" si="91"/>
        <v>-0.21999999999999886</v>
      </c>
      <c r="M715">
        <f t="shared" si="92"/>
        <v>-0.10999999999998522</v>
      </c>
      <c r="N715">
        <f t="shared" si="93"/>
        <v>0.15999999999999659</v>
      </c>
      <c r="O715">
        <f t="shared" si="94"/>
        <v>0.17000000000000171</v>
      </c>
      <c r="P715" s="10">
        <f t="shared" si="95"/>
        <v>0.39000000000000057</v>
      </c>
    </row>
    <row r="716" spans="1:16">
      <c r="A716">
        <v>115.17</v>
      </c>
      <c r="B716" s="42">
        <v>195.17</v>
      </c>
      <c r="C716">
        <v>183.01</v>
      </c>
      <c r="D716">
        <v>183.12</v>
      </c>
      <c r="E716">
        <v>184.34</v>
      </c>
      <c r="F716">
        <v>119.01</v>
      </c>
      <c r="G716">
        <v>110.23</v>
      </c>
      <c r="H716">
        <v>103.01</v>
      </c>
      <c r="K716" s="9">
        <f t="shared" si="90"/>
        <v>-0.34000000000000341</v>
      </c>
      <c r="L716">
        <f t="shared" si="91"/>
        <v>-0.34000000000000341</v>
      </c>
      <c r="M716">
        <f t="shared" si="92"/>
        <v>0</v>
      </c>
      <c r="N716">
        <f t="shared" si="93"/>
        <v>0.10999999999999943</v>
      </c>
      <c r="O716">
        <f t="shared" si="94"/>
        <v>0.17000000000000171</v>
      </c>
      <c r="P716" s="10">
        <f t="shared" si="95"/>
        <v>4.9999999999997158E-2</v>
      </c>
    </row>
    <row r="717" spans="1:16">
      <c r="A717">
        <v>115.33</v>
      </c>
      <c r="B717" s="42">
        <v>195.67</v>
      </c>
      <c r="C717">
        <v>182.84</v>
      </c>
      <c r="D717">
        <v>183.17</v>
      </c>
      <c r="E717">
        <v>184.28</v>
      </c>
      <c r="F717">
        <v>119.06</v>
      </c>
      <c r="G717">
        <v>110.34</v>
      </c>
      <c r="H717">
        <v>103.06</v>
      </c>
      <c r="K717" s="9">
        <f t="shared" si="90"/>
        <v>-0.39000000000001478</v>
      </c>
      <c r="L717">
        <f t="shared" si="91"/>
        <v>-0.5</v>
      </c>
      <c r="M717">
        <f t="shared" si="92"/>
        <v>0.22999999999998977</v>
      </c>
      <c r="N717">
        <f t="shared" si="93"/>
        <v>6.0000000000002274E-2</v>
      </c>
      <c r="O717">
        <f t="shared" si="94"/>
        <v>6.0000000000002274E-2</v>
      </c>
      <c r="P717" s="10">
        <f t="shared" si="95"/>
        <v>0.10999999999999943</v>
      </c>
    </row>
    <row r="718" spans="1:16">
      <c r="A718">
        <v>115.5</v>
      </c>
      <c r="B718" s="42">
        <v>195.84</v>
      </c>
      <c r="C718">
        <v>182.73</v>
      </c>
      <c r="D718">
        <v>182.95</v>
      </c>
      <c r="E718">
        <v>184.34</v>
      </c>
      <c r="F718">
        <v>119.17</v>
      </c>
      <c r="G718">
        <v>110.4</v>
      </c>
      <c r="H718">
        <v>103.06</v>
      </c>
      <c r="K718" s="9">
        <f t="shared" si="90"/>
        <v>-0.44999999999998863</v>
      </c>
      <c r="L718">
        <f t="shared" si="91"/>
        <v>-0.5</v>
      </c>
      <c r="M718">
        <f t="shared" si="92"/>
        <v>0.66999999999998749</v>
      </c>
      <c r="N718">
        <f t="shared" si="93"/>
        <v>0</v>
      </c>
      <c r="O718">
        <f t="shared" si="94"/>
        <v>0.10999999999999943</v>
      </c>
      <c r="P718" s="10">
        <f t="shared" si="95"/>
        <v>0.17000000000000171</v>
      </c>
    </row>
    <row r="719" spans="1:16">
      <c r="A719">
        <v>115.67</v>
      </c>
      <c r="B719" s="42">
        <v>195.78</v>
      </c>
      <c r="C719">
        <v>182.67</v>
      </c>
      <c r="D719">
        <v>182.78</v>
      </c>
      <c r="E719">
        <v>184.34</v>
      </c>
      <c r="F719">
        <v>119.12</v>
      </c>
      <c r="G719">
        <v>110.4</v>
      </c>
      <c r="H719">
        <v>103.06</v>
      </c>
      <c r="K719" s="9">
        <f t="shared" si="90"/>
        <v>-0.65999999999999659</v>
      </c>
      <c r="L719">
        <f t="shared" si="91"/>
        <v>-0.5</v>
      </c>
      <c r="M719">
        <f t="shared" si="92"/>
        <v>1.3899999999999864</v>
      </c>
      <c r="N719">
        <f t="shared" si="93"/>
        <v>4.9999999999997158E-2</v>
      </c>
      <c r="O719">
        <f t="shared" si="94"/>
        <v>0.10999999999999943</v>
      </c>
      <c r="P719" s="10">
        <f t="shared" si="95"/>
        <v>0.21999999999999886</v>
      </c>
    </row>
    <row r="720" spans="1:16">
      <c r="A720">
        <v>115.83</v>
      </c>
      <c r="B720" s="42">
        <v>195.51</v>
      </c>
      <c r="C720">
        <v>182.45</v>
      </c>
      <c r="D720">
        <v>182.67</v>
      </c>
      <c r="E720">
        <v>184.51</v>
      </c>
      <c r="F720">
        <v>119.12</v>
      </c>
      <c r="G720">
        <v>110.4</v>
      </c>
      <c r="H720">
        <v>103.17</v>
      </c>
      <c r="K720" s="9">
        <f t="shared" si="90"/>
        <v>-0.71999999999999886</v>
      </c>
      <c r="L720">
        <f t="shared" si="91"/>
        <v>-0.60999999999998522</v>
      </c>
      <c r="M720">
        <f t="shared" si="92"/>
        <v>1.9399999999999977</v>
      </c>
      <c r="N720">
        <f t="shared" si="93"/>
        <v>4.9999999999997158E-2</v>
      </c>
      <c r="O720">
        <f t="shared" si="94"/>
        <v>0.15999999999999659</v>
      </c>
      <c r="P720" s="10">
        <f t="shared" si="95"/>
        <v>0.17000000000000171</v>
      </c>
    </row>
    <row r="721" spans="1:16">
      <c r="A721">
        <v>116</v>
      </c>
      <c r="B721" s="42">
        <v>195.17</v>
      </c>
      <c r="C721">
        <v>182.28</v>
      </c>
      <c r="D721">
        <v>182.45</v>
      </c>
      <c r="E721">
        <v>185.01</v>
      </c>
      <c r="F721">
        <v>119.17</v>
      </c>
      <c r="G721">
        <v>110.51</v>
      </c>
      <c r="H721">
        <v>103.23</v>
      </c>
      <c r="K721" s="9">
        <f t="shared" si="90"/>
        <v>-0.65999999999999659</v>
      </c>
      <c r="L721">
        <f t="shared" si="91"/>
        <v>-0.54999999999998295</v>
      </c>
      <c r="M721">
        <f t="shared" si="92"/>
        <v>1.2199999999999989</v>
      </c>
      <c r="N721">
        <f t="shared" si="93"/>
        <v>0</v>
      </c>
      <c r="O721">
        <f t="shared" si="94"/>
        <v>4.9999999999997158E-2</v>
      </c>
      <c r="P721" s="10">
        <f t="shared" si="95"/>
        <v>0.10999999999999943</v>
      </c>
    </row>
    <row r="722" spans="1:16">
      <c r="A722">
        <v>116.17</v>
      </c>
      <c r="B722" s="42">
        <v>194.73</v>
      </c>
      <c r="C722">
        <v>182.01</v>
      </c>
      <c r="D722">
        <v>182.28</v>
      </c>
      <c r="E722">
        <v>185.73</v>
      </c>
      <c r="F722">
        <v>119.17</v>
      </c>
      <c r="G722">
        <v>110.51</v>
      </c>
      <c r="H722">
        <v>103.28</v>
      </c>
      <c r="K722" s="9">
        <f t="shared" si="90"/>
        <v>-1.1099999999999852</v>
      </c>
      <c r="L722">
        <f t="shared" si="91"/>
        <v>-0.87999999999999545</v>
      </c>
      <c r="M722">
        <f t="shared" si="92"/>
        <v>0.21999999999999886</v>
      </c>
      <c r="N722">
        <f t="shared" si="93"/>
        <v>0</v>
      </c>
      <c r="O722">
        <f t="shared" si="94"/>
        <v>0.15999999999999659</v>
      </c>
      <c r="P722" s="10">
        <f t="shared" si="95"/>
        <v>6.0000000000002274E-2</v>
      </c>
    </row>
    <row r="723" spans="1:16">
      <c r="A723">
        <v>116.33</v>
      </c>
      <c r="B723" s="42">
        <v>194.56</v>
      </c>
      <c r="C723">
        <v>181.73</v>
      </c>
      <c r="D723">
        <v>182.06</v>
      </c>
      <c r="E723">
        <v>186.45</v>
      </c>
      <c r="F723">
        <v>119.17</v>
      </c>
      <c r="G723">
        <v>110.56</v>
      </c>
      <c r="H723">
        <v>103.34</v>
      </c>
      <c r="K723" s="9">
        <f t="shared" si="90"/>
        <v>-1.3899999999999864</v>
      </c>
      <c r="L723">
        <f t="shared" si="91"/>
        <v>-1.2199999999999989</v>
      </c>
      <c r="M723">
        <f t="shared" si="92"/>
        <v>-0.60999999999998522</v>
      </c>
      <c r="N723">
        <f t="shared" si="93"/>
        <v>6.0000000000002274E-2</v>
      </c>
      <c r="O723">
        <f t="shared" si="94"/>
        <v>0.21999999999999886</v>
      </c>
      <c r="P723" s="10">
        <f t="shared" si="95"/>
        <v>0.21999999999999886</v>
      </c>
    </row>
    <row r="724" spans="1:16">
      <c r="A724">
        <v>116.5</v>
      </c>
      <c r="B724" s="42">
        <v>194.12</v>
      </c>
      <c r="C724">
        <v>181.62</v>
      </c>
      <c r="D724">
        <v>181.9</v>
      </c>
      <c r="E724">
        <v>186.23</v>
      </c>
      <c r="F724">
        <v>119.17</v>
      </c>
      <c r="G724">
        <v>110.56</v>
      </c>
      <c r="H724">
        <v>103.34</v>
      </c>
      <c r="K724" s="9">
        <f t="shared" si="90"/>
        <v>-1.7800000000000011</v>
      </c>
      <c r="L724">
        <f t="shared" si="91"/>
        <v>-1.6700000000000159</v>
      </c>
      <c r="M724">
        <f t="shared" si="92"/>
        <v>-0.5</v>
      </c>
      <c r="N724">
        <f t="shared" si="93"/>
        <v>6.0000000000002274E-2</v>
      </c>
      <c r="O724">
        <f t="shared" si="94"/>
        <v>0.28000000000000114</v>
      </c>
      <c r="P724" s="10">
        <f t="shared" si="95"/>
        <v>0.21999999999999886</v>
      </c>
    </row>
    <row r="725" spans="1:16">
      <c r="A725">
        <v>116.67</v>
      </c>
      <c r="B725" s="42">
        <v>193.84</v>
      </c>
      <c r="C725">
        <v>180.9</v>
      </c>
      <c r="D725">
        <v>181.4</v>
      </c>
      <c r="E725">
        <v>185.95</v>
      </c>
      <c r="F725">
        <v>119.17</v>
      </c>
      <c r="G725">
        <v>110.67</v>
      </c>
      <c r="H725">
        <v>103.34</v>
      </c>
      <c r="K725" s="9">
        <f t="shared" si="90"/>
        <v>-1.5600000000000023</v>
      </c>
      <c r="L725">
        <f t="shared" si="91"/>
        <v>-1.7300000000000182</v>
      </c>
      <c r="M725">
        <f t="shared" si="92"/>
        <v>-0.28000000000000114</v>
      </c>
      <c r="N725">
        <f t="shared" si="93"/>
        <v>6.0000000000002274E-2</v>
      </c>
      <c r="O725">
        <f t="shared" si="94"/>
        <v>0.34000000000000341</v>
      </c>
      <c r="P725" s="10">
        <f t="shared" si="95"/>
        <v>0.5</v>
      </c>
    </row>
    <row r="726" spans="1:16">
      <c r="A726">
        <v>116.83</v>
      </c>
      <c r="B726" s="42">
        <v>193.78</v>
      </c>
      <c r="C726">
        <v>180.34</v>
      </c>
      <c r="D726">
        <v>180.84</v>
      </c>
      <c r="E726">
        <v>185.84</v>
      </c>
      <c r="F726">
        <v>119.23</v>
      </c>
      <c r="G726">
        <v>110.78</v>
      </c>
      <c r="H726">
        <v>103.56</v>
      </c>
      <c r="K726" s="9">
        <f t="shared" si="90"/>
        <v>-1.5</v>
      </c>
      <c r="L726">
        <f t="shared" si="91"/>
        <v>-1.7199999999999989</v>
      </c>
      <c r="M726">
        <f t="shared" si="92"/>
        <v>-0.11000000000001364</v>
      </c>
      <c r="N726">
        <f t="shared" si="93"/>
        <v>0</v>
      </c>
      <c r="O726">
        <f t="shared" si="94"/>
        <v>0.28000000000000114</v>
      </c>
      <c r="P726" s="10">
        <f t="shared" si="95"/>
        <v>0.56000000000000227</v>
      </c>
    </row>
    <row r="727" spans="1:16">
      <c r="A727">
        <v>117</v>
      </c>
      <c r="B727" s="42">
        <v>193.34</v>
      </c>
      <c r="C727">
        <v>179.84</v>
      </c>
      <c r="D727">
        <v>180.23</v>
      </c>
      <c r="E727">
        <v>185.73</v>
      </c>
      <c r="F727">
        <v>119.23</v>
      </c>
      <c r="G727">
        <v>110.84</v>
      </c>
      <c r="H727">
        <v>103.56</v>
      </c>
      <c r="K727" s="9">
        <f t="shared" si="90"/>
        <v>-1.1100000000000136</v>
      </c>
      <c r="L727">
        <f t="shared" si="91"/>
        <v>-1.5</v>
      </c>
      <c r="M727">
        <f t="shared" si="92"/>
        <v>-6.0000000000002274E-2</v>
      </c>
      <c r="N727">
        <f t="shared" si="93"/>
        <v>0.21999999999999886</v>
      </c>
      <c r="O727">
        <f t="shared" si="94"/>
        <v>0.32999999999999829</v>
      </c>
      <c r="P727" s="10">
        <f t="shared" si="95"/>
        <v>0.60999999999999943</v>
      </c>
    </row>
    <row r="728" spans="1:16">
      <c r="A728">
        <v>117.17</v>
      </c>
      <c r="B728" s="42">
        <v>193.01</v>
      </c>
      <c r="C728">
        <v>179.34</v>
      </c>
      <c r="D728">
        <v>179.67</v>
      </c>
      <c r="E728">
        <v>185.67</v>
      </c>
      <c r="F728">
        <v>119.23</v>
      </c>
      <c r="G728">
        <v>111.01</v>
      </c>
      <c r="H728">
        <v>103.84</v>
      </c>
      <c r="K728" s="9">
        <f t="shared" si="90"/>
        <v>-0.67000000000001592</v>
      </c>
      <c r="L728">
        <f t="shared" si="91"/>
        <v>-1.1599999999999966</v>
      </c>
      <c r="M728">
        <f t="shared" si="92"/>
        <v>-4.9999999999982947E-2</v>
      </c>
      <c r="N728">
        <f t="shared" si="93"/>
        <v>0.39000000000000057</v>
      </c>
      <c r="O728">
        <f t="shared" si="94"/>
        <v>0.32999999999999829</v>
      </c>
      <c r="P728" s="10">
        <f t="shared" si="95"/>
        <v>0.60999999999999943</v>
      </c>
    </row>
    <row r="729" spans="1:16">
      <c r="A729">
        <v>117.33</v>
      </c>
      <c r="B729" s="42">
        <v>192.9</v>
      </c>
      <c r="C729">
        <v>178.84</v>
      </c>
      <c r="D729">
        <v>179.12</v>
      </c>
      <c r="E729">
        <v>185.73</v>
      </c>
      <c r="F729">
        <v>119.23</v>
      </c>
      <c r="G729">
        <v>111.06</v>
      </c>
      <c r="H729">
        <v>104.12</v>
      </c>
      <c r="K729" s="9">
        <f t="shared" ref="K729:K792" si="96">C732-C729</f>
        <v>-0.33000000000001251</v>
      </c>
      <c r="L729">
        <f t="shared" ref="L729:L792" si="97">D732-D729</f>
        <v>-0.71999999999999886</v>
      </c>
      <c r="M729">
        <f t="shared" ref="M729:M792" si="98">E732-E729</f>
        <v>-0.21999999999999886</v>
      </c>
      <c r="N729">
        <f t="shared" ref="N729:N792" si="99">F732-F729</f>
        <v>0.43999999999999773</v>
      </c>
      <c r="O729">
        <f t="shared" ref="O729:O792" si="100">G732-G729</f>
        <v>0.34000000000000341</v>
      </c>
      <c r="P729" s="10">
        <f t="shared" ref="P729:P792" si="101">H732-H729</f>
        <v>0.39000000000000057</v>
      </c>
    </row>
    <row r="730" spans="1:16">
      <c r="A730">
        <v>117.5</v>
      </c>
      <c r="B730" s="42">
        <v>192.45</v>
      </c>
      <c r="C730">
        <v>178.73</v>
      </c>
      <c r="D730">
        <v>178.73</v>
      </c>
      <c r="E730">
        <v>185.67</v>
      </c>
      <c r="F730">
        <v>119.45</v>
      </c>
      <c r="G730">
        <v>111.17</v>
      </c>
      <c r="H730">
        <v>104.17</v>
      </c>
      <c r="K730" s="9">
        <f t="shared" si="96"/>
        <v>-0.21999999999999886</v>
      </c>
      <c r="L730">
        <f t="shared" si="97"/>
        <v>-0.32999999999998408</v>
      </c>
      <c r="M730">
        <f t="shared" si="98"/>
        <v>-0.10999999999998522</v>
      </c>
      <c r="N730">
        <f t="shared" si="99"/>
        <v>0.39000000000000057</v>
      </c>
      <c r="O730">
        <f t="shared" si="100"/>
        <v>0.56000000000000227</v>
      </c>
      <c r="P730" s="10">
        <f t="shared" si="101"/>
        <v>0.56000000000000227</v>
      </c>
    </row>
    <row r="731" spans="1:16">
      <c r="A731">
        <v>117.67</v>
      </c>
      <c r="B731" s="42">
        <v>192.17</v>
      </c>
      <c r="C731">
        <v>178.67</v>
      </c>
      <c r="D731">
        <v>178.51</v>
      </c>
      <c r="E731">
        <v>185.62</v>
      </c>
      <c r="F731">
        <v>119.62</v>
      </c>
      <c r="G731">
        <v>111.34</v>
      </c>
      <c r="H731">
        <v>104.45</v>
      </c>
      <c r="K731" s="9">
        <f t="shared" si="96"/>
        <v>-0.15999999999999659</v>
      </c>
      <c r="L731">
        <f t="shared" si="97"/>
        <v>0</v>
      </c>
      <c r="M731">
        <f t="shared" si="98"/>
        <v>-6.0000000000002274E-2</v>
      </c>
      <c r="N731">
        <f t="shared" si="99"/>
        <v>0.32999999999999829</v>
      </c>
      <c r="O731">
        <f t="shared" si="100"/>
        <v>0.5</v>
      </c>
      <c r="P731" s="10">
        <f t="shared" si="101"/>
        <v>0.39000000000000057</v>
      </c>
    </row>
    <row r="732" spans="1:16">
      <c r="A732">
        <v>117.83</v>
      </c>
      <c r="B732" s="42">
        <v>192.01</v>
      </c>
      <c r="C732">
        <v>178.51</v>
      </c>
      <c r="D732">
        <v>178.4</v>
      </c>
      <c r="E732">
        <v>185.51</v>
      </c>
      <c r="F732">
        <v>119.67</v>
      </c>
      <c r="G732">
        <v>111.4</v>
      </c>
      <c r="H732">
        <v>104.51</v>
      </c>
      <c r="K732" s="9">
        <f t="shared" si="96"/>
        <v>-0.10999999999998522</v>
      </c>
      <c r="L732">
        <f t="shared" si="97"/>
        <v>0.10999999999998522</v>
      </c>
      <c r="M732">
        <f t="shared" si="98"/>
        <v>0</v>
      </c>
      <c r="N732">
        <f t="shared" si="99"/>
        <v>0.45000000000000284</v>
      </c>
      <c r="O732">
        <f t="shared" si="100"/>
        <v>0.54999999999999716</v>
      </c>
      <c r="P732" s="10">
        <f t="shared" si="101"/>
        <v>0.32999999999999829</v>
      </c>
    </row>
    <row r="733" spans="1:16">
      <c r="A733">
        <v>118</v>
      </c>
      <c r="B733" s="42">
        <v>192.56</v>
      </c>
      <c r="C733">
        <v>178.51</v>
      </c>
      <c r="D733">
        <v>178.4</v>
      </c>
      <c r="E733">
        <v>185.56</v>
      </c>
      <c r="F733">
        <v>119.84</v>
      </c>
      <c r="G733">
        <v>111.73</v>
      </c>
      <c r="H733">
        <v>104.73</v>
      </c>
      <c r="K733" s="9">
        <f t="shared" si="96"/>
        <v>-0.16999999999998749</v>
      </c>
      <c r="L733">
        <f t="shared" si="97"/>
        <v>0.10999999999998522</v>
      </c>
      <c r="M733">
        <f t="shared" si="98"/>
        <v>-0.11000000000001364</v>
      </c>
      <c r="N733">
        <f t="shared" si="99"/>
        <v>0.56000000000000227</v>
      </c>
      <c r="O733">
        <f t="shared" si="100"/>
        <v>0.39000000000000057</v>
      </c>
      <c r="P733" s="10">
        <f t="shared" si="101"/>
        <v>0.17000000000000171</v>
      </c>
    </row>
    <row r="734" spans="1:16">
      <c r="A734">
        <v>118.17</v>
      </c>
      <c r="B734" s="42">
        <v>193.4</v>
      </c>
      <c r="C734">
        <v>178.51</v>
      </c>
      <c r="D734">
        <v>178.51</v>
      </c>
      <c r="E734">
        <v>185.56</v>
      </c>
      <c r="F734">
        <v>119.95</v>
      </c>
      <c r="G734">
        <v>111.84</v>
      </c>
      <c r="H734">
        <v>104.84</v>
      </c>
      <c r="K734" s="9">
        <f t="shared" si="96"/>
        <v>0</v>
      </c>
      <c r="L734">
        <f t="shared" si="97"/>
        <v>0.33000000000001251</v>
      </c>
      <c r="M734">
        <f t="shared" si="98"/>
        <v>-0.21999999999999886</v>
      </c>
      <c r="N734">
        <f t="shared" si="99"/>
        <v>0.5</v>
      </c>
      <c r="O734">
        <f t="shared" si="100"/>
        <v>0.5</v>
      </c>
      <c r="P734" s="10">
        <f t="shared" si="101"/>
        <v>0</v>
      </c>
    </row>
    <row r="735" spans="1:16">
      <c r="A735">
        <v>118.33</v>
      </c>
      <c r="B735" s="42">
        <v>193.78</v>
      </c>
      <c r="C735">
        <v>178.4</v>
      </c>
      <c r="D735">
        <v>178.51</v>
      </c>
      <c r="E735">
        <v>185.51</v>
      </c>
      <c r="F735">
        <v>120.12</v>
      </c>
      <c r="G735">
        <v>111.95</v>
      </c>
      <c r="H735">
        <v>104.84</v>
      </c>
      <c r="K735" s="9">
        <f t="shared" si="96"/>
        <v>0.82999999999998408</v>
      </c>
      <c r="L735">
        <f t="shared" si="97"/>
        <v>1.2199999999999989</v>
      </c>
      <c r="M735">
        <f t="shared" si="98"/>
        <v>-0.44999999999998863</v>
      </c>
      <c r="N735">
        <f t="shared" si="99"/>
        <v>0.39000000000000057</v>
      </c>
      <c r="O735">
        <f t="shared" si="100"/>
        <v>0.45000000000000284</v>
      </c>
      <c r="P735" s="10">
        <f t="shared" si="101"/>
        <v>0.71999999999999886</v>
      </c>
    </row>
    <row r="736" spans="1:16">
      <c r="A736">
        <v>118.5</v>
      </c>
      <c r="B736" s="42">
        <v>193.9</v>
      </c>
      <c r="C736">
        <v>178.34</v>
      </c>
      <c r="D736">
        <v>178.51</v>
      </c>
      <c r="E736">
        <v>185.45</v>
      </c>
      <c r="F736">
        <v>120.4</v>
      </c>
      <c r="G736">
        <v>112.12</v>
      </c>
      <c r="H736">
        <v>104.9</v>
      </c>
      <c r="K736" s="9">
        <f t="shared" si="96"/>
        <v>2.7800000000000011</v>
      </c>
      <c r="L736">
        <f t="shared" si="97"/>
        <v>3.1100000000000136</v>
      </c>
      <c r="M736">
        <f t="shared" si="98"/>
        <v>-0.28000000000000114</v>
      </c>
      <c r="N736">
        <f t="shared" si="99"/>
        <v>0.26999999999999602</v>
      </c>
      <c r="O736">
        <f t="shared" si="100"/>
        <v>0.43999999999999773</v>
      </c>
      <c r="P736" s="10">
        <f t="shared" si="101"/>
        <v>0.87999999999999545</v>
      </c>
    </row>
    <row r="737" spans="1:16">
      <c r="A737">
        <v>118.67</v>
      </c>
      <c r="B737" s="42">
        <v>193.73</v>
      </c>
      <c r="C737">
        <v>178.51</v>
      </c>
      <c r="D737">
        <v>178.84</v>
      </c>
      <c r="E737">
        <v>185.34</v>
      </c>
      <c r="F737">
        <v>120.45</v>
      </c>
      <c r="G737">
        <v>112.34</v>
      </c>
      <c r="H737">
        <v>104.84</v>
      </c>
      <c r="K737" s="9">
        <f t="shared" si="96"/>
        <v>3.2700000000000102</v>
      </c>
      <c r="L737">
        <f t="shared" si="97"/>
        <v>3.6699999999999875</v>
      </c>
      <c r="M737">
        <f t="shared" si="98"/>
        <v>0.88999999999998636</v>
      </c>
      <c r="N737">
        <f t="shared" si="99"/>
        <v>0.21999999999999886</v>
      </c>
      <c r="O737">
        <f t="shared" si="100"/>
        <v>0.39000000000000057</v>
      </c>
      <c r="P737" s="10">
        <f t="shared" si="101"/>
        <v>1.0600000000000023</v>
      </c>
    </row>
    <row r="738" spans="1:16">
      <c r="A738">
        <v>118.83</v>
      </c>
      <c r="B738" s="42">
        <v>193.4</v>
      </c>
      <c r="C738">
        <v>179.23</v>
      </c>
      <c r="D738">
        <v>179.73</v>
      </c>
      <c r="E738">
        <v>185.06</v>
      </c>
      <c r="F738">
        <v>120.51</v>
      </c>
      <c r="G738">
        <v>112.4</v>
      </c>
      <c r="H738">
        <v>105.56</v>
      </c>
      <c r="K738" s="9">
        <f t="shared" si="96"/>
        <v>2.7199999999999989</v>
      </c>
      <c r="L738">
        <f t="shared" si="97"/>
        <v>2.9399999999999977</v>
      </c>
      <c r="M738">
        <f t="shared" si="98"/>
        <v>1.6099999999999852</v>
      </c>
      <c r="N738">
        <f t="shared" si="99"/>
        <v>0.21999999999999886</v>
      </c>
      <c r="O738">
        <f t="shared" si="100"/>
        <v>0.37999999999999545</v>
      </c>
      <c r="P738" s="10">
        <f t="shared" si="101"/>
        <v>0.34000000000000341</v>
      </c>
    </row>
    <row r="739" spans="1:16">
      <c r="A739">
        <v>119</v>
      </c>
      <c r="B739" s="42">
        <v>193.06</v>
      </c>
      <c r="C739">
        <v>181.12</v>
      </c>
      <c r="D739">
        <v>181.62</v>
      </c>
      <c r="E739">
        <v>185.17</v>
      </c>
      <c r="F739">
        <v>120.67</v>
      </c>
      <c r="G739">
        <v>112.56</v>
      </c>
      <c r="H739">
        <v>105.78</v>
      </c>
      <c r="K739" s="9">
        <f t="shared" si="96"/>
        <v>0.60999999999998522</v>
      </c>
      <c r="L739">
        <f t="shared" si="97"/>
        <v>0.82999999999998408</v>
      </c>
      <c r="M739">
        <f t="shared" si="98"/>
        <v>1.6100000000000136</v>
      </c>
      <c r="N739">
        <f t="shared" si="99"/>
        <v>0.10999999999999943</v>
      </c>
      <c r="O739">
        <f t="shared" si="100"/>
        <v>0.39000000000000057</v>
      </c>
      <c r="P739" s="10">
        <f t="shared" si="101"/>
        <v>0.5</v>
      </c>
    </row>
    <row r="740" spans="1:16">
      <c r="A740">
        <v>119.17</v>
      </c>
      <c r="B740" s="42">
        <v>192.56</v>
      </c>
      <c r="C740">
        <v>181.78</v>
      </c>
      <c r="D740">
        <v>182.51</v>
      </c>
      <c r="E740">
        <v>186.23</v>
      </c>
      <c r="F740">
        <v>120.67</v>
      </c>
      <c r="G740">
        <v>112.73</v>
      </c>
      <c r="H740">
        <v>105.9</v>
      </c>
      <c r="K740" s="9">
        <f t="shared" si="96"/>
        <v>-0.15999999999999659</v>
      </c>
      <c r="L740">
        <f t="shared" si="97"/>
        <v>-0.34000000000000341</v>
      </c>
      <c r="M740">
        <f t="shared" si="98"/>
        <v>-0.16999999999998749</v>
      </c>
      <c r="N740">
        <f t="shared" si="99"/>
        <v>0.10999999999999943</v>
      </c>
      <c r="O740">
        <f t="shared" si="100"/>
        <v>0.39000000000000057</v>
      </c>
      <c r="P740" s="10">
        <f t="shared" si="101"/>
        <v>0.5</v>
      </c>
    </row>
    <row r="741" spans="1:16">
      <c r="A741">
        <v>119.33</v>
      </c>
      <c r="B741" s="42">
        <v>192.28</v>
      </c>
      <c r="C741">
        <v>181.95</v>
      </c>
      <c r="D741">
        <v>182.67</v>
      </c>
      <c r="E741">
        <v>186.67</v>
      </c>
      <c r="F741">
        <v>120.73</v>
      </c>
      <c r="G741">
        <v>112.78</v>
      </c>
      <c r="H741">
        <v>105.9</v>
      </c>
      <c r="K741" s="9">
        <f t="shared" si="96"/>
        <v>-0.5</v>
      </c>
      <c r="L741">
        <f t="shared" si="97"/>
        <v>-0.82999999999998408</v>
      </c>
      <c r="M741">
        <f t="shared" si="98"/>
        <v>-1.0499999999999829</v>
      </c>
      <c r="N741">
        <f t="shared" si="99"/>
        <v>0.21999999999999886</v>
      </c>
      <c r="O741">
        <f t="shared" si="100"/>
        <v>0.34000000000000341</v>
      </c>
      <c r="P741" s="10">
        <f t="shared" si="101"/>
        <v>0.65999999999999659</v>
      </c>
    </row>
    <row r="742" spans="1:16">
      <c r="A742">
        <v>119.5</v>
      </c>
      <c r="B742" s="42">
        <v>191.78</v>
      </c>
      <c r="C742">
        <v>181.73</v>
      </c>
      <c r="D742">
        <v>182.45</v>
      </c>
      <c r="E742">
        <v>186.78</v>
      </c>
      <c r="F742">
        <v>120.78</v>
      </c>
      <c r="G742">
        <v>112.95</v>
      </c>
      <c r="H742">
        <v>106.28</v>
      </c>
      <c r="K742" s="9">
        <f t="shared" si="96"/>
        <v>-0.5</v>
      </c>
      <c r="L742">
        <f t="shared" si="97"/>
        <v>-0.93999999999999773</v>
      </c>
      <c r="M742">
        <f t="shared" si="98"/>
        <v>-1.6599999999999966</v>
      </c>
      <c r="N742">
        <f t="shared" si="99"/>
        <v>0.45000000000000284</v>
      </c>
      <c r="O742">
        <f t="shared" si="100"/>
        <v>0.32999999999999829</v>
      </c>
      <c r="P742" s="10">
        <f t="shared" si="101"/>
        <v>0.45000000000000284</v>
      </c>
    </row>
    <row r="743" spans="1:16">
      <c r="A743">
        <v>119.67</v>
      </c>
      <c r="B743" s="42">
        <v>191.23</v>
      </c>
      <c r="C743">
        <v>181.62</v>
      </c>
      <c r="D743">
        <v>182.17</v>
      </c>
      <c r="E743">
        <v>186.06</v>
      </c>
      <c r="F743">
        <v>120.78</v>
      </c>
      <c r="G743">
        <v>113.12</v>
      </c>
      <c r="H743">
        <v>106.4</v>
      </c>
      <c r="K743" s="9">
        <f t="shared" si="96"/>
        <v>-0.5</v>
      </c>
      <c r="L743">
        <f t="shared" si="97"/>
        <v>-0.93999999999999773</v>
      </c>
      <c r="M743">
        <f t="shared" si="98"/>
        <v>-2.1599999999999966</v>
      </c>
      <c r="N743">
        <f t="shared" si="99"/>
        <v>0.62000000000000455</v>
      </c>
      <c r="O743">
        <f t="shared" si="100"/>
        <v>0.21999999999999886</v>
      </c>
      <c r="P743" s="10">
        <f t="shared" si="101"/>
        <v>0.15999999999999659</v>
      </c>
    </row>
    <row r="744" spans="1:16">
      <c r="A744">
        <v>119.83</v>
      </c>
      <c r="B744" s="42">
        <v>190.56</v>
      </c>
      <c r="C744">
        <v>181.45</v>
      </c>
      <c r="D744">
        <v>181.84</v>
      </c>
      <c r="E744">
        <v>185.62</v>
      </c>
      <c r="F744">
        <v>120.95</v>
      </c>
      <c r="G744">
        <v>113.12</v>
      </c>
      <c r="H744">
        <v>106.56</v>
      </c>
      <c r="K744" s="9">
        <f t="shared" si="96"/>
        <v>-0.32999999999998408</v>
      </c>
      <c r="L744">
        <f t="shared" si="97"/>
        <v>-0.67000000000001592</v>
      </c>
      <c r="M744">
        <f t="shared" si="98"/>
        <v>-2.2800000000000011</v>
      </c>
      <c r="N744">
        <f t="shared" si="99"/>
        <v>0.5</v>
      </c>
      <c r="O744">
        <f t="shared" si="100"/>
        <v>0.21999999999999886</v>
      </c>
      <c r="P744" s="10">
        <f t="shared" si="101"/>
        <v>0.28000000000000114</v>
      </c>
    </row>
    <row r="745" spans="1:16">
      <c r="A745">
        <v>120</v>
      </c>
      <c r="B745" s="42">
        <v>189.28</v>
      </c>
      <c r="C745">
        <v>181.23</v>
      </c>
      <c r="D745">
        <v>181.51</v>
      </c>
      <c r="E745">
        <v>185.12</v>
      </c>
      <c r="F745">
        <v>121.23</v>
      </c>
      <c r="G745">
        <v>113.28</v>
      </c>
      <c r="H745">
        <v>106.73</v>
      </c>
      <c r="K745" s="9">
        <f t="shared" si="96"/>
        <v>0.17000000000001592</v>
      </c>
      <c r="L745">
        <f t="shared" si="97"/>
        <v>-0.16999999999998749</v>
      </c>
      <c r="M745">
        <f t="shared" si="98"/>
        <v>-2.3400000000000034</v>
      </c>
      <c r="N745">
        <f t="shared" si="99"/>
        <v>0.21999999999999886</v>
      </c>
      <c r="O745">
        <f t="shared" si="100"/>
        <v>0.12000000000000455</v>
      </c>
      <c r="P745" s="10">
        <f t="shared" si="101"/>
        <v>0.21999999999999886</v>
      </c>
    </row>
    <row r="746" spans="1:16">
      <c r="A746">
        <v>120.17</v>
      </c>
      <c r="B746" s="42">
        <v>188.4</v>
      </c>
      <c r="C746">
        <v>181.12</v>
      </c>
      <c r="D746">
        <v>181.23</v>
      </c>
      <c r="E746">
        <v>183.9</v>
      </c>
      <c r="F746">
        <v>121.4</v>
      </c>
      <c r="G746">
        <v>113.34</v>
      </c>
      <c r="H746">
        <v>106.56</v>
      </c>
      <c r="K746" s="9">
        <f t="shared" si="96"/>
        <v>0.21999999999999886</v>
      </c>
      <c r="L746">
        <f t="shared" si="97"/>
        <v>0</v>
      </c>
      <c r="M746">
        <f t="shared" si="98"/>
        <v>-3.5600000000000023</v>
      </c>
      <c r="N746">
        <f t="shared" si="99"/>
        <v>0</v>
      </c>
      <c r="O746">
        <f t="shared" si="100"/>
        <v>0.10999999999999943</v>
      </c>
      <c r="P746" s="10">
        <f t="shared" si="101"/>
        <v>0.34000000000000341</v>
      </c>
    </row>
    <row r="747" spans="1:16">
      <c r="A747">
        <v>120.33</v>
      </c>
      <c r="B747" s="42">
        <v>187.62</v>
      </c>
      <c r="C747">
        <v>181.12</v>
      </c>
      <c r="D747">
        <v>181.17</v>
      </c>
      <c r="E747">
        <v>183.34</v>
      </c>
      <c r="F747">
        <v>121.45</v>
      </c>
      <c r="G747">
        <v>113.34</v>
      </c>
      <c r="H747">
        <v>106.84</v>
      </c>
      <c r="K747" s="9">
        <f t="shared" si="96"/>
        <v>-1.2800000000000011</v>
      </c>
      <c r="L747">
        <f t="shared" si="97"/>
        <v>-0.88999999999998636</v>
      </c>
      <c r="M747">
        <f t="shared" si="98"/>
        <v>-6</v>
      </c>
      <c r="N747">
        <f t="shared" si="99"/>
        <v>0</v>
      </c>
      <c r="O747">
        <f t="shared" si="100"/>
        <v>0.21999999999999886</v>
      </c>
      <c r="P747" s="10">
        <f t="shared" si="101"/>
        <v>0.10999999999999943</v>
      </c>
    </row>
    <row r="748" spans="1:16">
      <c r="A748">
        <v>120.5</v>
      </c>
      <c r="B748" s="42">
        <v>185.78</v>
      </c>
      <c r="C748">
        <v>181.4</v>
      </c>
      <c r="D748">
        <v>181.34</v>
      </c>
      <c r="E748">
        <v>182.78</v>
      </c>
      <c r="F748">
        <v>121.45</v>
      </c>
      <c r="G748">
        <v>113.4</v>
      </c>
      <c r="H748">
        <v>106.95</v>
      </c>
      <c r="K748" s="9">
        <f t="shared" si="96"/>
        <v>-3</v>
      </c>
      <c r="L748">
        <f t="shared" si="97"/>
        <v>-2.2800000000000011</v>
      </c>
      <c r="M748">
        <f t="shared" si="98"/>
        <v>-8.0500000000000114</v>
      </c>
      <c r="N748">
        <f t="shared" si="99"/>
        <v>0</v>
      </c>
      <c r="O748">
        <f t="shared" si="100"/>
        <v>0.10999999999999943</v>
      </c>
      <c r="P748" s="10">
        <f t="shared" si="101"/>
        <v>-4.9999999999997158E-2</v>
      </c>
    </row>
    <row r="749" spans="1:16">
      <c r="A749">
        <v>120.67</v>
      </c>
      <c r="B749" s="42">
        <v>183.28</v>
      </c>
      <c r="C749">
        <v>181.34</v>
      </c>
      <c r="D749">
        <v>181.23</v>
      </c>
      <c r="E749">
        <v>180.34</v>
      </c>
      <c r="F749">
        <v>121.4</v>
      </c>
      <c r="G749">
        <v>113.45</v>
      </c>
      <c r="H749">
        <v>106.9</v>
      </c>
      <c r="K749" s="9">
        <f t="shared" si="96"/>
        <v>-3.3300000000000125</v>
      </c>
      <c r="L749">
        <f t="shared" si="97"/>
        <v>-2.6099999999999852</v>
      </c>
      <c r="M749">
        <f t="shared" si="98"/>
        <v>-8.0600000000000023</v>
      </c>
      <c r="N749">
        <f t="shared" si="99"/>
        <v>0</v>
      </c>
      <c r="O749">
        <f t="shared" si="100"/>
        <v>6.0000000000002274E-2</v>
      </c>
      <c r="P749" s="10">
        <f t="shared" si="101"/>
        <v>0.10999999999999943</v>
      </c>
    </row>
    <row r="750" spans="1:16">
      <c r="A750">
        <v>120.83</v>
      </c>
      <c r="B750" s="42">
        <v>182.62</v>
      </c>
      <c r="C750">
        <v>179.84</v>
      </c>
      <c r="D750">
        <v>180.28</v>
      </c>
      <c r="E750">
        <v>177.34</v>
      </c>
      <c r="F750">
        <v>121.45</v>
      </c>
      <c r="G750">
        <v>113.56</v>
      </c>
      <c r="H750">
        <v>106.95</v>
      </c>
      <c r="K750" s="9">
        <f t="shared" si="96"/>
        <v>-2.2199999999999989</v>
      </c>
      <c r="L750">
        <f t="shared" si="97"/>
        <v>-2.0500000000000114</v>
      </c>
      <c r="M750">
        <f t="shared" si="98"/>
        <v>-7.1700000000000159</v>
      </c>
      <c r="N750">
        <f t="shared" si="99"/>
        <v>-0.17000000000000171</v>
      </c>
      <c r="O750">
        <f t="shared" si="100"/>
        <v>0</v>
      </c>
      <c r="P750" s="10">
        <f t="shared" si="101"/>
        <v>-0.10999999999999943</v>
      </c>
    </row>
    <row r="751" spans="1:16">
      <c r="A751">
        <v>121</v>
      </c>
      <c r="B751" s="42">
        <v>181.73</v>
      </c>
      <c r="C751">
        <v>178.4</v>
      </c>
      <c r="D751">
        <v>179.06</v>
      </c>
      <c r="E751">
        <v>174.73</v>
      </c>
      <c r="F751">
        <v>121.45</v>
      </c>
      <c r="G751">
        <v>113.51</v>
      </c>
      <c r="H751">
        <v>106.9</v>
      </c>
      <c r="K751" s="9">
        <f t="shared" si="96"/>
        <v>-1.1200000000000045</v>
      </c>
      <c r="L751">
        <f t="shared" si="97"/>
        <v>-1.1599999999999966</v>
      </c>
      <c r="M751">
        <f t="shared" si="98"/>
        <v>-6.4499999999999886</v>
      </c>
      <c r="N751">
        <f t="shared" si="99"/>
        <v>-0.32999999999999829</v>
      </c>
      <c r="O751">
        <f t="shared" si="100"/>
        <v>4.9999999999997158E-2</v>
      </c>
      <c r="P751" s="10">
        <f t="shared" si="101"/>
        <v>-0.23000000000000398</v>
      </c>
    </row>
    <row r="752" spans="1:16">
      <c r="A752">
        <v>121.17</v>
      </c>
      <c r="B752" s="42">
        <v>179.06</v>
      </c>
      <c r="C752">
        <v>178.01</v>
      </c>
      <c r="D752">
        <v>178.62</v>
      </c>
      <c r="E752">
        <v>172.28</v>
      </c>
      <c r="F752">
        <v>121.4</v>
      </c>
      <c r="G752">
        <v>113.51</v>
      </c>
      <c r="H752">
        <v>107.01</v>
      </c>
      <c r="K752" s="9">
        <f t="shared" si="96"/>
        <v>-0.28000000000000114</v>
      </c>
      <c r="L752">
        <f t="shared" si="97"/>
        <v>0</v>
      </c>
      <c r="M752">
        <f t="shared" si="98"/>
        <v>-4.5</v>
      </c>
      <c r="N752">
        <f t="shared" si="99"/>
        <v>-0.39000000000000057</v>
      </c>
      <c r="O752">
        <f t="shared" si="100"/>
        <v>4.9999999999997158E-2</v>
      </c>
      <c r="P752" s="10">
        <f t="shared" si="101"/>
        <v>-0.45000000000000284</v>
      </c>
    </row>
    <row r="753" spans="1:16">
      <c r="A753">
        <v>121.33</v>
      </c>
      <c r="B753" s="42">
        <v>176.17</v>
      </c>
      <c r="C753">
        <v>177.62</v>
      </c>
      <c r="D753">
        <v>178.23</v>
      </c>
      <c r="E753">
        <v>170.17</v>
      </c>
      <c r="F753">
        <v>121.28</v>
      </c>
      <c r="G753">
        <v>113.56</v>
      </c>
      <c r="H753">
        <v>106.84</v>
      </c>
      <c r="K753" s="9">
        <f t="shared" si="96"/>
        <v>1.8299999999999841</v>
      </c>
      <c r="L753">
        <f t="shared" si="97"/>
        <v>2.3300000000000125</v>
      </c>
      <c r="M753">
        <f t="shared" si="98"/>
        <v>-5.4399999999999977</v>
      </c>
      <c r="N753">
        <f t="shared" si="99"/>
        <v>-0.37999999999999545</v>
      </c>
      <c r="O753">
        <f t="shared" si="100"/>
        <v>0</v>
      </c>
      <c r="P753" s="10">
        <f t="shared" si="101"/>
        <v>-0.43999999999999773</v>
      </c>
    </row>
    <row r="754" spans="1:16">
      <c r="A754">
        <v>121.5</v>
      </c>
      <c r="B754" s="42">
        <v>174.62</v>
      </c>
      <c r="C754">
        <v>177.28</v>
      </c>
      <c r="D754">
        <v>177.9</v>
      </c>
      <c r="E754">
        <v>168.28</v>
      </c>
      <c r="F754">
        <v>121.12</v>
      </c>
      <c r="G754">
        <v>113.56</v>
      </c>
      <c r="H754">
        <v>106.67</v>
      </c>
      <c r="K754" s="9">
        <f t="shared" si="96"/>
        <v>2.8899999999999864</v>
      </c>
      <c r="L754">
        <f t="shared" si="97"/>
        <v>3.4399999999999977</v>
      </c>
      <c r="M754">
        <f t="shared" si="98"/>
        <v>-5.2700000000000102</v>
      </c>
      <c r="N754">
        <f t="shared" si="99"/>
        <v>-0.21999999999999886</v>
      </c>
      <c r="O754">
        <f t="shared" si="100"/>
        <v>0</v>
      </c>
      <c r="P754" s="10">
        <f t="shared" si="101"/>
        <v>-0.43999999999999773</v>
      </c>
    </row>
    <row r="755" spans="1:16">
      <c r="A755">
        <v>121.67</v>
      </c>
      <c r="B755" s="42">
        <v>172.17</v>
      </c>
      <c r="C755">
        <v>177.73</v>
      </c>
      <c r="D755">
        <v>178.62</v>
      </c>
      <c r="E755">
        <v>167.78</v>
      </c>
      <c r="F755">
        <v>121.01</v>
      </c>
      <c r="G755">
        <v>113.56</v>
      </c>
      <c r="H755">
        <v>106.56</v>
      </c>
      <c r="K755" s="9">
        <f t="shared" si="96"/>
        <v>2.2800000000000011</v>
      </c>
      <c r="L755">
        <f t="shared" si="97"/>
        <v>2.3899999999999864</v>
      </c>
      <c r="M755">
        <f t="shared" si="98"/>
        <v>-6.1599999999999966</v>
      </c>
      <c r="N755">
        <f t="shared" si="99"/>
        <v>-0.23000000000000398</v>
      </c>
      <c r="O755">
        <f t="shared" si="100"/>
        <v>-0.10999999999999943</v>
      </c>
      <c r="P755" s="10">
        <f t="shared" si="101"/>
        <v>-0.39000000000000057</v>
      </c>
    </row>
    <row r="756" spans="1:16">
      <c r="A756">
        <v>121.83</v>
      </c>
      <c r="B756" s="42">
        <v>170.84</v>
      </c>
      <c r="C756">
        <v>179.45</v>
      </c>
      <c r="D756">
        <v>180.56</v>
      </c>
      <c r="E756">
        <v>164.73</v>
      </c>
      <c r="F756">
        <v>120.9</v>
      </c>
      <c r="G756">
        <v>113.56</v>
      </c>
      <c r="H756">
        <v>106.4</v>
      </c>
      <c r="K756" s="9">
        <f t="shared" si="96"/>
        <v>0.33000000000001251</v>
      </c>
      <c r="L756">
        <f t="shared" si="97"/>
        <v>0</v>
      </c>
      <c r="M756">
        <f t="shared" si="98"/>
        <v>-5.3299999999999841</v>
      </c>
      <c r="N756">
        <f t="shared" si="99"/>
        <v>-0.12000000000000455</v>
      </c>
      <c r="O756">
        <f t="shared" si="100"/>
        <v>0</v>
      </c>
      <c r="P756" s="10">
        <f t="shared" si="101"/>
        <v>-0.34000000000000341</v>
      </c>
    </row>
    <row r="757" spans="1:16">
      <c r="A757">
        <v>122</v>
      </c>
      <c r="B757" s="42">
        <v>169.51</v>
      </c>
      <c r="C757">
        <v>180.17</v>
      </c>
      <c r="D757">
        <v>181.34</v>
      </c>
      <c r="E757">
        <v>163.01</v>
      </c>
      <c r="F757">
        <v>120.9</v>
      </c>
      <c r="G757">
        <v>113.56</v>
      </c>
      <c r="H757">
        <v>106.23</v>
      </c>
      <c r="K757" s="9">
        <f t="shared" si="96"/>
        <v>-0.32999999999998408</v>
      </c>
      <c r="L757">
        <f t="shared" si="97"/>
        <v>-1</v>
      </c>
      <c r="M757">
        <f t="shared" si="98"/>
        <v>-6.1699999999999875</v>
      </c>
      <c r="N757">
        <f t="shared" si="99"/>
        <v>-0.12000000000000455</v>
      </c>
      <c r="O757">
        <f t="shared" si="100"/>
        <v>-4.9999999999997158E-2</v>
      </c>
      <c r="P757" s="10">
        <f t="shared" si="101"/>
        <v>-0.10999999999999943</v>
      </c>
    </row>
    <row r="758" spans="1:16">
      <c r="A758">
        <v>122.17</v>
      </c>
      <c r="B758" s="42">
        <v>169.34</v>
      </c>
      <c r="C758">
        <v>180.01</v>
      </c>
      <c r="D758">
        <v>181.01</v>
      </c>
      <c r="E758">
        <v>161.62</v>
      </c>
      <c r="F758">
        <v>120.78</v>
      </c>
      <c r="G758">
        <v>113.45</v>
      </c>
      <c r="H758">
        <v>106.17</v>
      </c>
      <c r="K758" s="9">
        <f t="shared" si="96"/>
        <v>-0.5</v>
      </c>
      <c r="L758">
        <f t="shared" si="97"/>
        <v>-1.0600000000000023</v>
      </c>
      <c r="M758">
        <f t="shared" si="98"/>
        <v>-6.9500000000000171</v>
      </c>
      <c r="N758">
        <f t="shared" si="99"/>
        <v>-0.26999999999999602</v>
      </c>
      <c r="O758">
        <f t="shared" si="100"/>
        <v>6.0000000000002274E-2</v>
      </c>
      <c r="P758" s="10">
        <f t="shared" si="101"/>
        <v>-0.15999999999999659</v>
      </c>
    </row>
    <row r="759" spans="1:16">
      <c r="A759">
        <v>122.33</v>
      </c>
      <c r="B759" s="42">
        <v>169.17</v>
      </c>
      <c r="C759">
        <v>179.78</v>
      </c>
      <c r="D759">
        <v>180.56</v>
      </c>
      <c r="E759">
        <v>159.4</v>
      </c>
      <c r="F759">
        <v>120.78</v>
      </c>
      <c r="G759">
        <v>113.56</v>
      </c>
      <c r="H759">
        <v>106.06</v>
      </c>
      <c r="K759" s="9">
        <f t="shared" si="96"/>
        <v>-0.55000000000001137</v>
      </c>
      <c r="L759">
        <f t="shared" si="97"/>
        <v>-0.89000000000001478</v>
      </c>
      <c r="M759">
        <f t="shared" si="98"/>
        <v>-6.1200000000000045</v>
      </c>
      <c r="N759">
        <f t="shared" si="99"/>
        <v>-0.26999999999999602</v>
      </c>
      <c r="O759">
        <f t="shared" si="100"/>
        <v>0</v>
      </c>
      <c r="P759" s="10">
        <f t="shared" si="101"/>
        <v>-0.10999999999999943</v>
      </c>
    </row>
    <row r="760" spans="1:16">
      <c r="A760">
        <v>122.5</v>
      </c>
      <c r="B760" s="42">
        <v>168.73</v>
      </c>
      <c r="C760">
        <v>179.84</v>
      </c>
      <c r="D760">
        <v>180.34</v>
      </c>
      <c r="E760">
        <v>156.84</v>
      </c>
      <c r="F760">
        <v>120.78</v>
      </c>
      <c r="G760">
        <v>113.51</v>
      </c>
      <c r="H760">
        <v>106.12</v>
      </c>
      <c r="K760" s="9">
        <f t="shared" si="96"/>
        <v>-0.83000000000001251</v>
      </c>
      <c r="L760">
        <f t="shared" si="97"/>
        <v>-1.1100000000000136</v>
      </c>
      <c r="M760">
        <f t="shared" si="98"/>
        <v>-4.6100000000000136</v>
      </c>
      <c r="N760">
        <f t="shared" si="99"/>
        <v>-0.37999999999999545</v>
      </c>
      <c r="O760">
        <f t="shared" si="100"/>
        <v>-6.0000000000002274E-2</v>
      </c>
      <c r="P760" s="10">
        <f t="shared" si="101"/>
        <v>-0.10999999999999943</v>
      </c>
    </row>
    <row r="761" spans="1:16">
      <c r="A761">
        <v>122.67</v>
      </c>
      <c r="B761" s="42">
        <v>167.84</v>
      </c>
      <c r="C761">
        <v>179.51</v>
      </c>
      <c r="D761">
        <v>179.95</v>
      </c>
      <c r="E761">
        <v>154.66999999999999</v>
      </c>
      <c r="F761">
        <v>120.51</v>
      </c>
      <c r="G761">
        <v>113.51</v>
      </c>
      <c r="H761">
        <v>106.01</v>
      </c>
      <c r="K761" s="9">
        <f t="shared" si="96"/>
        <v>-0.84000000000000341</v>
      </c>
      <c r="L761">
        <f t="shared" si="97"/>
        <v>-1.0499999999999829</v>
      </c>
      <c r="M761">
        <f t="shared" si="98"/>
        <v>-3.6099999999999852</v>
      </c>
      <c r="N761">
        <f t="shared" si="99"/>
        <v>-0.17000000000000171</v>
      </c>
      <c r="O761">
        <f t="shared" si="100"/>
        <v>-0.10999999999999943</v>
      </c>
      <c r="P761" s="10">
        <f t="shared" si="101"/>
        <v>0</v>
      </c>
    </row>
    <row r="762" spans="1:16">
      <c r="A762">
        <v>122.83</v>
      </c>
      <c r="B762" s="42">
        <v>165.95</v>
      </c>
      <c r="C762">
        <v>179.23</v>
      </c>
      <c r="D762">
        <v>179.67</v>
      </c>
      <c r="E762">
        <v>153.28</v>
      </c>
      <c r="F762">
        <v>120.51</v>
      </c>
      <c r="G762">
        <v>113.56</v>
      </c>
      <c r="H762">
        <v>105.95</v>
      </c>
      <c r="K762" s="9">
        <f t="shared" si="96"/>
        <v>-1.3299999999999841</v>
      </c>
      <c r="L762">
        <f t="shared" si="97"/>
        <v>-1.2699999999999818</v>
      </c>
      <c r="M762">
        <f t="shared" si="98"/>
        <v>-3.6100000000000136</v>
      </c>
      <c r="N762">
        <f t="shared" si="99"/>
        <v>-0.23000000000000398</v>
      </c>
      <c r="O762">
        <f t="shared" si="100"/>
        <v>-0.10999999999999943</v>
      </c>
      <c r="P762" s="10">
        <f t="shared" si="101"/>
        <v>0.28000000000000114</v>
      </c>
    </row>
    <row r="763" spans="1:16">
      <c r="A763">
        <v>123</v>
      </c>
      <c r="B763" s="42">
        <v>163.51</v>
      </c>
      <c r="C763">
        <v>179.01</v>
      </c>
      <c r="D763">
        <v>179.23</v>
      </c>
      <c r="E763">
        <v>152.22999999999999</v>
      </c>
      <c r="F763">
        <v>120.4</v>
      </c>
      <c r="G763">
        <v>113.45</v>
      </c>
      <c r="H763">
        <v>106.01</v>
      </c>
      <c r="K763" s="9">
        <f t="shared" si="96"/>
        <v>-2.9499999999999886</v>
      </c>
      <c r="L763">
        <f t="shared" si="97"/>
        <v>-2.3899999999999864</v>
      </c>
      <c r="M763">
        <f t="shared" si="98"/>
        <v>-5.3899999999999864</v>
      </c>
      <c r="N763">
        <f t="shared" si="99"/>
        <v>-0.28000000000000114</v>
      </c>
      <c r="O763">
        <f t="shared" si="100"/>
        <v>0</v>
      </c>
      <c r="P763" s="10">
        <f t="shared" si="101"/>
        <v>0.15999999999999659</v>
      </c>
    </row>
    <row r="764" spans="1:16">
      <c r="A764">
        <v>123.17</v>
      </c>
      <c r="B764" s="42">
        <v>160.22999999999999</v>
      </c>
      <c r="C764">
        <v>178.67</v>
      </c>
      <c r="D764">
        <v>178.9</v>
      </c>
      <c r="E764">
        <v>151.06</v>
      </c>
      <c r="F764">
        <v>120.34</v>
      </c>
      <c r="G764">
        <v>113.4</v>
      </c>
      <c r="H764">
        <v>106.01</v>
      </c>
      <c r="K764" s="9">
        <f t="shared" si="96"/>
        <v>-4.0499999999999829</v>
      </c>
      <c r="L764">
        <f t="shared" si="97"/>
        <v>-3.2800000000000011</v>
      </c>
      <c r="M764">
        <f t="shared" si="98"/>
        <v>-6.5</v>
      </c>
      <c r="N764">
        <f t="shared" si="99"/>
        <v>-0.43999999999999773</v>
      </c>
      <c r="O764">
        <f t="shared" si="100"/>
        <v>0</v>
      </c>
      <c r="P764" s="10">
        <f t="shared" si="101"/>
        <v>0.10999999999999943</v>
      </c>
    </row>
    <row r="765" spans="1:16">
      <c r="A765">
        <v>123.33</v>
      </c>
      <c r="B765" s="42">
        <v>156.94999999999999</v>
      </c>
      <c r="C765">
        <v>177.9</v>
      </c>
      <c r="D765">
        <v>178.4</v>
      </c>
      <c r="E765">
        <v>149.66999999999999</v>
      </c>
      <c r="F765">
        <v>120.28</v>
      </c>
      <c r="G765">
        <v>113.45</v>
      </c>
      <c r="H765">
        <v>106.23</v>
      </c>
      <c r="K765" s="9">
        <f t="shared" si="96"/>
        <v>-4.1200000000000045</v>
      </c>
      <c r="L765">
        <f t="shared" si="97"/>
        <v>-3.5600000000000023</v>
      </c>
      <c r="M765">
        <f t="shared" si="98"/>
        <v>-7.1099999999999852</v>
      </c>
      <c r="N765">
        <f t="shared" si="99"/>
        <v>-0.54999999999999716</v>
      </c>
      <c r="O765">
        <f t="shared" si="100"/>
        <v>-0.17000000000000171</v>
      </c>
      <c r="P765" s="10">
        <f t="shared" si="101"/>
        <v>-0.21999999999999886</v>
      </c>
    </row>
    <row r="766" spans="1:16">
      <c r="A766">
        <v>123.5</v>
      </c>
      <c r="B766" s="42">
        <v>154.56</v>
      </c>
      <c r="C766">
        <v>176.06</v>
      </c>
      <c r="D766">
        <v>176.84</v>
      </c>
      <c r="E766">
        <v>146.84</v>
      </c>
      <c r="F766">
        <v>120.12</v>
      </c>
      <c r="G766">
        <v>113.45</v>
      </c>
      <c r="H766">
        <v>106.17</v>
      </c>
      <c r="K766" s="9">
        <f t="shared" si="96"/>
        <v>-2.5</v>
      </c>
      <c r="L766">
        <f t="shared" si="97"/>
        <v>-2.3300000000000125</v>
      </c>
      <c r="M766">
        <f t="shared" si="98"/>
        <v>-5.7199999999999989</v>
      </c>
      <c r="N766">
        <f t="shared" si="99"/>
        <v>-0.67000000000000171</v>
      </c>
      <c r="O766">
        <f t="shared" si="100"/>
        <v>-0.17000000000000171</v>
      </c>
      <c r="P766" s="10">
        <f t="shared" si="101"/>
        <v>-0.32999999999999829</v>
      </c>
    </row>
    <row r="767" spans="1:16">
      <c r="A767">
        <v>123.67</v>
      </c>
      <c r="B767" s="42">
        <v>152.12</v>
      </c>
      <c r="C767">
        <v>174.62</v>
      </c>
      <c r="D767">
        <v>175.62</v>
      </c>
      <c r="E767">
        <v>144.56</v>
      </c>
      <c r="F767">
        <v>119.9</v>
      </c>
      <c r="G767">
        <v>113.4</v>
      </c>
      <c r="H767">
        <v>106.12</v>
      </c>
      <c r="K767" s="9">
        <f t="shared" si="96"/>
        <v>-0.84000000000000341</v>
      </c>
      <c r="L767">
        <f t="shared" si="97"/>
        <v>-1.1700000000000159</v>
      </c>
      <c r="M767">
        <f t="shared" si="98"/>
        <v>-4.2199999999999989</v>
      </c>
      <c r="N767">
        <f t="shared" si="99"/>
        <v>-0.73000000000000398</v>
      </c>
      <c r="O767">
        <f t="shared" si="100"/>
        <v>-0.17000000000000171</v>
      </c>
      <c r="P767" s="10">
        <f t="shared" si="101"/>
        <v>-0.45000000000000284</v>
      </c>
    </row>
    <row r="768" spans="1:16">
      <c r="A768">
        <v>123.83</v>
      </c>
      <c r="B768" s="42">
        <v>150.78</v>
      </c>
      <c r="C768">
        <v>173.78</v>
      </c>
      <c r="D768">
        <v>174.84</v>
      </c>
      <c r="E768">
        <v>142.56</v>
      </c>
      <c r="F768">
        <v>119.73</v>
      </c>
      <c r="G768">
        <v>113.28</v>
      </c>
      <c r="H768">
        <v>106.01</v>
      </c>
      <c r="K768" s="9">
        <f t="shared" si="96"/>
        <v>-0.33000000000001251</v>
      </c>
      <c r="L768">
        <f t="shared" si="97"/>
        <v>-0.78000000000000114</v>
      </c>
      <c r="M768">
        <f t="shared" si="98"/>
        <v>-3.3900000000000148</v>
      </c>
      <c r="N768">
        <f t="shared" si="99"/>
        <v>-0.67000000000000171</v>
      </c>
      <c r="O768">
        <f t="shared" si="100"/>
        <v>-0.15999999999999659</v>
      </c>
      <c r="P768" s="10">
        <f t="shared" si="101"/>
        <v>-0.56000000000000227</v>
      </c>
    </row>
    <row r="769" spans="1:16">
      <c r="A769">
        <v>124</v>
      </c>
      <c r="B769" s="42">
        <v>150.28</v>
      </c>
      <c r="C769">
        <v>173.56</v>
      </c>
      <c r="D769">
        <v>174.51</v>
      </c>
      <c r="E769">
        <v>141.12</v>
      </c>
      <c r="F769">
        <v>119.45</v>
      </c>
      <c r="G769">
        <v>113.28</v>
      </c>
      <c r="H769">
        <v>105.84</v>
      </c>
      <c r="K769" s="9">
        <f t="shared" si="96"/>
        <v>-0.11000000000001364</v>
      </c>
      <c r="L769">
        <f t="shared" si="97"/>
        <v>-0.56000000000000227</v>
      </c>
      <c r="M769">
        <f t="shared" si="98"/>
        <v>-1.2199999999999989</v>
      </c>
      <c r="N769">
        <f t="shared" si="99"/>
        <v>-0.43999999999999773</v>
      </c>
      <c r="O769">
        <f t="shared" si="100"/>
        <v>-0.26999999999999602</v>
      </c>
      <c r="P769" s="10">
        <f t="shared" si="101"/>
        <v>-0.43999999999999773</v>
      </c>
    </row>
    <row r="770" spans="1:16">
      <c r="A770">
        <v>124.17</v>
      </c>
      <c r="B770" s="42">
        <v>151.01</v>
      </c>
      <c r="C770">
        <v>173.78</v>
      </c>
      <c r="D770">
        <v>174.45</v>
      </c>
      <c r="E770">
        <v>140.34</v>
      </c>
      <c r="F770">
        <v>119.17</v>
      </c>
      <c r="G770">
        <v>113.23</v>
      </c>
      <c r="H770">
        <v>105.67</v>
      </c>
      <c r="K770" s="9">
        <f t="shared" si="96"/>
        <v>-0.15999999999999659</v>
      </c>
      <c r="L770">
        <f t="shared" si="97"/>
        <v>-0.43999999999999773</v>
      </c>
      <c r="M770">
        <f t="shared" si="98"/>
        <v>-0.28000000000000114</v>
      </c>
      <c r="N770">
        <f t="shared" si="99"/>
        <v>-0.26999999999999602</v>
      </c>
      <c r="O770">
        <f t="shared" si="100"/>
        <v>-0.28000000000000114</v>
      </c>
      <c r="P770" s="10">
        <f t="shared" si="101"/>
        <v>-0.32999999999999829</v>
      </c>
    </row>
    <row r="771" spans="1:16">
      <c r="A771">
        <v>124.33</v>
      </c>
      <c r="B771" s="42">
        <v>151.62</v>
      </c>
      <c r="C771">
        <v>173.45</v>
      </c>
      <c r="D771">
        <v>174.06</v>
      </c>
      <c r="E771">
        <v>139.16999999999999</v>
      </c>
      <c r="F771">
        <v>119.06</v>
      </c>
      <c r="G771">
        <v>113.12</v>
      </c>
      <c r="H771">
        <v>105.45</v>
      </c>
      <c r="K771" s="9">
        <f t="shared" si="96"/>
        <v>2.6100000000000136</v>
      </c>
      <c r="L771">
        <f t="shared" si="97"/>
        <v>3.1699999999999875</v>
      </c>
      <c r="M771">
        <f t="shared" si="98"/>
        <v>1.6700000000000159</v>
      </c>
      <c r="N771">
        <f t="shared" si="99"/>
        <v>-0.10999999999999943</v>
      </c>
      <c r="O771">
        <f t="shared" si="100"/>
        <v>-0.34000000000000341</v>
      </c>
      <c r="P771" s="10">
        <f t="shared" si="101"/>
        <v>-0.21999999999999886</v>
      </c>
    </row>
    <row r="772" spans="1:16">
      <c r="A772">
        <v>124.5</v>
      </c>
      <c r="B772" s="42">
        <v>152.12</v>
      </c>
      <c r="C772">
        <v>173.45</v>
      </c>
      <c r="D772">
        <v>173.95</v>
      </c>
      <c r="E772">
        <v>139.9</v>
      </c>
      <c r="F772">
        <v>119.01</v>
      </c>
      <c r="G772">
        <v>113.01</v>
      </c>
      <c r="H772">
        <v>105.4</v>
      </c>
      <c r="K772" s="9">
        <f t="shared" si="96"/>
        <v>5.2800000000000011</v>
      </c>
      <c r="L772">
        <f t="shared" si="97"/>
        <v>6.0600000000000023</v>
      </c>
      <c r="M772">
        <f t="shared" si="98"/>
        <v>2.0499999999999829</v>
      </c>
      <c r="N772">
        <f t="shared" si="99"/>
        <v>0.15999999999999659</v>
      </c>
      <c r="O772">
        <f t="shared" si="100"/>
        <v>-0.39000000000000057</v>
      </c>
      <c r="P772" s="10">
        <f t="shared" si="101"/>
        <v>-0.28000000000000114</v>
      </c>
    </row>
    <row r="773" spans="1:16">
      <c r="A773">
        <v>124.67</v>
      </c>
      <c r="B773" s="42">
        <v>153.06</v>
      </c>
      <c r="C773">
        <v>173.62</v>
      </c>
      <c r="D773">
        <v>174.01</v>
      </c>
      <c r="E773">
        <v>140.06</v>
      </c>
      <c r="F773">
        <v>118.9</v>
      </c>
      <c r="G773">
        <v>112.95</v>
      </c>
      <c r="H773">
        <v>105.34</v>
      </c>
      <c r="K773" s="9">
        <f t="shared" si="96"/>
        <v>4.8899999999999864</v>
      </c>
      <c r="L773">
        <f t="shared" si="97"/>
        <v>5.6599999999999966</v>
      </c>
      <c r="M773">
        <f t="shared" si="98"/>
        <v>3.8899999999999864</v>
      </c>
      <c r="N773">
        <f t="shared" si="99"/>
        <v>0.32999999999999829</v>
      </c>
      <c r="O773">
        <f t="shared" si="100"/>
        <v>-0.28000000000000114</v>
      </c>
      <c r="P773" s="10">
        <f t="shared" si="101"/>
        <v>-0.10999999999999943</v>
      </c>
    </row>
    <row r="774" spans="1:16">
      <c r="A774">
        <v>124.83</v>
      </c>
      <c r="B774" s="42">
        <v>153.51</v>
      </c>
      <c r="C774">
        <v>176.06</v>
      </c>
      <c r="D774">
        <v>177.23</v>
      </c>
      <c r="E774">
        <v>140.84</v>
      </c>
      <c r="F774">
        <v>118.95</v>
      </c>
      <c r="G774">
        <v>112.78</v>
      </c>
      <c r="H774">
        <v>105.23</v>
      </c>
      <c r="K774" s="9">
        <f t="shared" si="96"/>
        <v>1.3899999999999864</v>
      </c>
      <c r="L774">
        <f t="shared" si="97"/>
        <v>1.1700000000000159</v>
      </c>
      <c r="M774">
        <f t="shared" si="98"/>
        <v>5.7199999999999989</v>
      </c>
      <c r="N774">
        <f t="shared" si="99"/>
        <v>0.56000000000000227</v>
      </c>
      <c r="O774">
        <f t="shared" si="100"/>
        <v>-0.15999999999999659</v>
      </c>
      <c r="P774" s="10">
        <f t="shared" si="101"/>
        <v>4.9999999999997158E-2</v>
      </c>
    </row>
    <row r="775" spans="1:16">
      <c r="A775">
        <v>125</v>
      </c>
      <c r="B775" s="42">
        <v>153.78</v>
      </c>
      <c r="C775">
        <v>178.73</v>
      </c>
      <c r="D775">
        <v>180.01</v>
      </c>
      <c r="E775">
        <v>141.94999999999999</v>
      </c>
      <c r="F775">
        <v>119.17</v>
      </c>
      <c r="G775">
        <v>112.62</v>
      </c>
      <c r="H775">
        <v>105.12</v>
      </c>
      <c r="K775" s="9">
        <f t="shared" si="96"/>
        <v>-2.9499999999999886</v>
      </c>
      <c r="L775">
        <f t="shared" si="97"/>
        <v>-3.4499999999999886</v>
      </c>
      <c r="M775">
        <f t="shared" si="98"/>
        <v>6.5</v>
      </c>
      <c r="N775">
        <f t="shared" si="99"/>
        <v>0.84000000000000341</v>
      </c>
      <c r="O775">
        <f t="shared" si="100"/>
        <v>0.15999999999999659</v>
      </c>
      <c r="P775" s="10">
        <f t="shared" si="101"/>
        <v>0.32999999999999829</v>
      </c>
    </row>
    <row r="776" spans="1:16">
      <c r="A776">
        <v>125.17</v>
      </c>
      <c r="B776" s="42">
        <v>154.06</v>
      </c>
      <c r="C776">
        <v>178.51</v>
      </c>
      <c r="D776">
        <v>179.67</v>
      </c>
      <c r="E776">
        <v>143.94999999999999</v>
      </c>
      <c r="F776">
        <v>119.23</v>
      </c>
      <c r="G776">
        <v>112.67</v>
      </c>
      <c r="H776">
        <v>105.23</v>
      </c>
      <c r="K776" s="9">
        <f t="shared" si="96"/>
        <v>-3.5600000000000023</v>
      </c>
      <c r="L776">
        <f t="shared" si="97"/>
        <v>-3.9399999999999977</v>
      </c>
      <c r="M776">
        <f t="shared" si="98"/>
        <v>6.1700000000000159</v>
      </c>
      <c r="N776">
        <f t="shared" si="99"/>
        <v>1.2199999999999989</v>
      </c>
      <c r="O776">
        <f t="shared" si="100"/>
        <v>0.23000000000000398</v>
      </c>
      <c r="P776" s="10">
        <f t="shared" si="101"/>
        <v>0.71999999999999886</v>
      </c>
    </row>
    <row r="777" spans="1:16">
      <c r="A777">
        <v>125.33</v>
      </c>
      <c r="B777" s="42">
        <v>154.06</v>
      </c>
      <c r="C777">
        <v>177.45</v>
      </c>
      <c r="D777">
        <v>178.4</v>
      </c>
      <c r="E777">
        <v>146.56</v>
      </c>
      <c r="F777">
        <v>119.51</v>
      </c>
      <c r="G777">
        <v>112.62</v>
      </c>
      <c r="H777">
        <v>105.28</v>
      </c>
      <c r="K777" s="9">
        <f t="shared" si="96"/>
        <v>-3</v>
      </c>
      <c r="L777">
        <f t="shared" si="97"/>
        <v>-3.3400000000000034</v>
      </c>
      <c r="M777">
        <f t="shared" si="98"/>
        <v>4.6699999999999875</v>
      </c>
      <c r="N777">
        <f t="shared" si="99"/>
        <v>0.93999999999999773</v>
      </c>
      <c r="O777">
        <f t="shared" si="100"/>
        <v>0.43999999999999773</v>
      </c>
      <c r="P777" s="10">
        <f t="shared" si="101"/>
        <v>0.73000000000000398</v>
      </c>
    </row>
    <row r="778" spans="1:16">
      <c r="A778">
        <v>125.5</v>
      </c>
      <c r="B778" s="42">
        <v>155.78</v>
      </c>
      <c r="C778">
        <v>175.78</v>
      </c>
      <c r="D778">
        <v>176.56</v>
      </c>
      <c r="E778">
        <v>148.44999999999999</v>
      </c>
      <c r="F778">
        <v>120.01</v>
      </c>
      <c r="G778">
        <v>112.78</v>
      </c>
      <c r="H778">
        <v>105.45</v>
      </c>
      <c r="K778" s="9">
        <f t="shared" si="96"/>
        <v>-1.8300000000000125</v>
      </c>
      <c r="L778">
        <f t="shared" si="97"/>
        <v>-1.9399999999999977</v>
      </c>
      <c r="M778">
        <f t="shared" si="98"/>
        <v>1.8300000000000125</v>
      </c>
      <c r="N778">
        <f t="shared" si="99"/>
        <v>0.65999999999999659</v>
      </c>
      <c r="O778">
        <f t="shared" si="100"/>
        <v>0.5</v>
      </c>
      <c r="P778" s="10">
        <f t="shared" si="101"/>
        <v>0.71999999999999886</v>
      </c>
    </row>
    <row r="779" spans="1:16">
      <c r="A779">
        <v>125.67</v>
      </c>
      <c r="B779" s="42">
        <v>155.28</v>
      </c>
      <c r="C779">
        <v>174.95</v>
      </c>
      <c r="D779">
        <v>175.73</v>
      </c>
      <c r="E779">
        <v>150.12</v>
      </c>
      <c r="F779">
        <v>120.45</v>
      </c>
      <c r="G779">
        <v>112.9</v>
      </c>
      <c r="H779">
        <v>105.95</v>
      </c>
      <c r="K779" s="9">
        <f t="shared" si="96"/>
        <v>-4.0499999999999829</v>
      </c>
      <c r="L779">
        <f t="shared" si="97"/>
        <v>-3.3899999999999864</v>
      </c>
      <c r="M779">
        <f t="shared" si="98"/>
        <v>-1.6100000000000136</v>
      </c>
      <c r="N779">
        <f t="shared" si="99"/>
        <v>0.56000000000000227</v>
      </c>
      <c r="O779">
        <f t="shared" si="100"/>
        <v>0.43999999999999773</v>
      </c>
      <c r="P779" s="10">
        <f t="shared" si="101"/>
        <v>0.28000000000000114</v>
      </c>
    </row>
    <row r="780" spans="1:16">
      <c r="A780">
        <v>125.83</v>
      </c>
      <c r="B780" s="42">
        <v>155.84</v>
      </c>
      <c r="C780">
        <v>174.45</v>
      </c>
      <c r="D780">
        <v>175.06</v>
      </c>
      <c r="E780">
        <v>151.22999999999999</v>
      </c>
      <c r="F780">
        <v>120.45</v>
      </c>
      <c r="G780">
        <v>113.06</v>
      </c>
      <c r="H780">
        <v>106.01</v>
      </c>
      <c r="K780" s="9">
        <f t="shared" si="96"/>
        <v>-5.5499999999999829</v>
      </c>
      <c r="L780">
        <f t="shared" si="97"/>
        <v>-4.7800000000000011</v>
      </c>
      <c r="M780">
        <f t="shared" si="98"/>
        <v>-4.3299999999999841</v>
      </c>
      <c r="N780">
        <f t="shared" si="99"/>
        <v>0.67000000000000171</v>
      </c>
      <c r="O780">
        <f t="shared" si="100"/>
        <v>0.56000000000000227</v>
      </c>
      <c r="P780" s="10">
        <f t="shared" si="101"/>
        <v>0.21999999999999886</v>
      </c>
    </row>
    <row r="781" spans="1:16">
      <c r="A781">
        <v>126</v>
      </c>
      <c r="B781" s="42">
        <v>154.66999999999999</v>
      </c>
      <c r="C781">
        <v>173.95</v>
      </c>
      <c r="D781">
        <v>174.62</v>
      </c>
      <c r="E781">
        <v>150.28</v>
      </c>
      <c r="F781">
        <v>120.67</v>
      </c>
      <c r="G781">
        <v>113.28</v>
      </c>
      <c r="H781">
        <v>106.17</v>
      </c>
      <c r="K781" s="9">
        <f t="shared" si="96"/>
        <v>-8.8299999999999841</v>
      </c>
      <c r="L781">
        <f t="shared" si="97"/>
        <v>-7.5</v>
      </c>
      <c r="M781">
        <f t="shared" si="98"/>
        <v>-4.5</v>
      </c>
      <c r="N781">
        <f t="shared" si="99"/>
        <v>0.60999999999999943</v>
      </c>
      <c r="O781">
        <f t="shared" si="100"/>
        <v>0.45000000000000284</v>
      </c>
      <c r="P781" s="10">
        <f t="shared" si="101"/>
        <v>6.0000000000002274E-2</v>
      </c>
    </row>
    <row r="782" spans="1:16">
      <c r="A782">
        <v>126.17</v>
      </c>
      <c r="B782" s="42">
        <v>152.28</v>
      </c>
      <c r="C782">
        <v>170.9</v>
      </c>
      <c r="D782">
        <v>172.34</v>
      </c>
      <c r="E782">
        <v>148.51</v>
      </c>
      <c r="F782">
        <v>121.01</v>
      </c>
      <c r="G782">
        <v>113.34</v>
      </c>
      <c r="H782">
        <v>106.23</v>
      </c>
      <c r="K782" s="9">
        <f t="shared" si="96"/>
        <v>-9.0600000000000023</v>
      </c>
      <c r="L782">
        <f t="shared" si="97"/>
        <v>-8.2800000000000011</v>
      </c>
      <c r="M782">
        <f t="shared" si="98"/>
        <v>-5.3400000000000034</v>
      </c>
      <c r="N782">
        <f t="shared" si="99"/>
        <v>0.54999999999999716</v>
      </c>
      <c r="O782">
        <f t="shared" si="100"/>
        <v>0.56000000000000227</v>
      </c>
      <c r="P782" s="10">
        <f t="shared" si="101"/>
        <v>0.10999999999999943</v>
      </c>
    </row>
    <row r="783" spans="1:16">
      <c r="A783">
        <v>126.33</v>
      </c>
      <c r="B783" s="42">
        <v>150.62</v>
      </c>
      <c r="C783">
        <v>168.9</v>
      </c>
      <c r="D783">
        <v>170.28</v>
      </c>
      <c r="E783">
        <v>146.9</v>
      </c>
      <c r="F783">
        <v>121.12</v>
      </c>
      <c r="G783">
        <v>113.62</v>
      </c>
      <c r="H783">
        <v>106.23</v>
      </c>
      <c r="K783" s="9">
        <f t="shared" si="96"/>
        <v>-8.9500000000000171</v>
      </c>
      <c r="L783">
        <f t="shared" si="97"/>
        <v>-8</v>
      </c>
      <c r="M783">
        <f t="shared" si="98"/>
        <v>-6.0600000000000023</v>
      </c>
      <c r="N783">
        <f t="shared" si="99"/>
        <v>0.78000000000000114</v>
      </c>
      <c r="O783">
        <f t="shared" si="100"/>
        <v>0.43999999999999773</v>
      </c>
      <c r="P783" s="10">
        <f t="shared" si="101"/>
        <v>0.32999999999999829</v>
      </c>
    </row>
    <row r="784" spans="1:16">
      <c r="A784">
        <v>126.5</v>
      </c>
      <c r="B784" s="42">
        <v>147.62</v>
      </c>
      <c r="C784">
        <v>165.12</v>
      </c>
      <c r="D784">
        <v>167.12</v>
      </c>
      <c r="E784">
        <v>145.78</v>
      </c>
      <c r="F784">
        <v>121.28</v>
      </c>
      <c r="G784">
        <v>113.73</v>
      </c>
      <c r="H784">
        <v>106.23</v>
      </c>
      <c r="K784" s="9">
        <f t="shared" si="96"/>
        <v>-6.8400000000000034</v>
      </c>
      <c r="L784">
        <f t="shared" si="97"/>
        <v>-6.2800000000000011</v>
      </c>
      <c r="M784">
        <f t="shared" si="98"/>
        <v>-6.5500000000000114</v>
      </c>
      <c r="N784">
        <f t="shared" si="99"/>
        <v>0.56000000000000227</v>
      </c>
      <c r="O784">
        <f t="shared" si="100"/>
        <v>0.5</v>
      </c>
      <c r="P784" s="10">
        <f t="shared" si="101"/>
        <v>0.43999999999999773</v>
      </c>
    </row>
    <row r="785" spans="1:16">
      <c r="A785">
        <v>126.67</v>
      </c>
      <c r="B785" s="42">
        <v>145.66999999999999</v>
      </c>
      <c r="C785">
        <v>161.84</v>
      </c>
      <c r="D785">
        <v>164.06</v>
      </c>
      <c r="E785">
        <v>143.16999999999999</v>
      </c>
      <c r="F785">
        <v>121.56</v>
      </c>
      <c r="G785">
        <v>113.9</v>
      </c>
      <c r="H785">
        <v>106.34</v>
      </c>
      <c r="K785" s="9">
        <f t="shared" si="96"/>
        <v>-3.7199999999999989</v>
      </c>
      <c r="L785">
        <f t="shared" si="97"/>
        <v>-3.8300000000000125</v>
      </c>
      <c r="M785">
        <f t="shared" si="98"/>
        <v>-5.7199999999999989</v>
      </c>
      <c r="N785">
        <f t="shared" si="99"/>
        <v>0.39000000000000057</v>
      </c>
      <c r="O785">
        <f t="shared" si="100"/>
        <v>0.5</v>
      </c>
      <c r="P785" s="10">
        <f t="shared" si="101"/>
        <v>0.71999999999999886</v>
      </c>
    </row>
    <row r="786" spans="1:16">
      <c r="A786">
        <v>126.83</v>
      </c>
      <c r="B786" s="42">
        <v>147.78</v>
      </c>
      <c r="C786">
        <v>159.94999999999999</v>
      </c>
      <c r="D786">
        <v>162.28</v>
      </c>
      <c r="E786">
        <v>140.84</v>
      </c>
      <c r="F786">
        <v>121.9</v>
      </c>
      <c r="G786">
        <v>114.06</v>
      </c>
      <c r="H786">
        <v>106.56</v>
      </c>
      <c r="K786" s="9">
        <f t="shared" si="96"/>
        <v>-2.2199999999999989</v>
      </c>
      <c r="L786">
        <f t="shared" si="97"/>
        <v>-2.6100000000000136</v>
      </c>
      <c r="M786">
        <f t="shared" si="98"/>
        <v>-5.4399999999999977</v>
      </c>
      <c r="N786">
        <f t="shared" si="99"/>
        <v>0.10999999999999943</v>
      </c>
      <c r="O786">
        <f t="shared" si="100"/>
        <v>0.5</v>
      </c>
      <c r="P786" s="10">
        <f t="shared" si="101"/>
        <v>0.60999999999999943</v>
      </c>
    </row>
    <row r="787" spans="1:16">
      <c r="A787">
        <v>127</v>
      </c>
      <c r="B787" s="42">
        <v>149.28</v>
      </c>
      <c r="C787">
        <v>158.28</v>
      </c>
      <c r="D787">
        <v>160.84</v>
      </c>
      <c r="E787">
        <v>139.22999999999999</v>
      </c>
      <c r="F787">
        <v>121.84</v>
      </c>
      <c r="G787">
        <v>114.23</v>
      </c>
      <c r="H787">
        <v>106.67</v>
      </c>
      <c r="K787" s="9">
        <f t="shared" si="96"/>
        <v>-0.27000000000001023</v>
      </c>
      <c r="L787">
        <f t="shared" si="97"/>
        <v>-1.4399999999999977</v>
      </c>
      <c r="M787">
        <f t="shared" si="98"/>
        <v>-5.1699999999999875</v>
      </c>
      <c r="N787">
        <f t="shared" si="99"/>
        <v>0.39000000000000057</v>
      </c>
      <c r="O787">
        <f t="shared" si="100"/>
        <v>0.5</v>
      </c>
      <c r="P787" s="10">
        <f t="shared" si="101"/>
        <v>0.39000000000000057</v>
      </c>
    </row>
    <row r="788" spans="1:16">
      <c r="A788">
        <v>127.17</v>
      </c>
      <c r="B788" s="42">
        <v>148.06</v>
      </c>
      <c r="C788">
        <v>158.12</v>
      </c>
      <c r="D788">
        <v>160.22999999999999</v>
      </c>
      <c r="E788">
        <v>137.44999999999999</v>
      </c>
      <c r="F788">
        <v>121.95</v>
      </c>
      <c r="G788">
        <v>114.4</v>
      </c>
      <c r="H788">
        <v>107.06</v>
      </c>
      <c r="K788" s="9">
        <f t="shared" si="96"/>
        <v>1.6099999999999852</v>
      </c>
      <c r="L788">
        <f t="shared" si="97"/>
        <v>1</v>
      </c>
      <c r="M788">
        <f t="shared" si="98"/>
        <v>-4.1099999999999852</v>
      </c>
      <c r="N788">
        <f t="shared" si="99"/>
        <v>0.32999999999999829</v>
      </c>
      <c r="O788">
        <f t="shared" si="100"/>
        <v>0.37999999999999545</v>
      </c>
      <c r="P788" s="10">
        <f t="shared" si="101"/>
        <v>6.0000000000002274E-2</v>
      </c>
    </row>
    <row r="789" spans="1:16">
      <c r="A789">
        <v>127.33</v>
      </c>
      <c r="B789" s="42">
        <v>146.12</v>
      </c>
      <c r="C789">
        <v>157.72999999999999</v>
      </c>
      <c r="D789">
        <v>159.66999999999999</v>
      </c>
      <c r="E789">
        <v>135.4</v>
      </c>
      <c r="F789">
        <v>122.01</v>
      </c>
      <c r="G789">
        <v>114.56</v>
      </c>
      <c r="H789">
        <v>107.17</v>
      </c>
      <c r="K789" s="9">
        <f t="shared" si="96"/>
        <v>6.9399999999999977</v>
      </c>
      <c r="L789">
        <f t="shared" si="97"/>
        <v>6.6700000000000159</v>
      </c>
      <c r="M789">
        <f t="shared" si="98"/>
        <v>-2.0600000000000023</v>
      </c>
      <c r="N789">
        <f t="shared" si="99"/>
        <v>0.39000000000000057</v>
      </c>
      <c r="O789">
        <f t="shared" si="100"/>
        <v>0.45000000000000284</v>
      </c>
      <c r="P789" s="10">
        <f t="shared" si="101"/>
        <v>0</v>
      </c>
    </row>
    <row r="790" spans="1:16">
      <c r="A790">
        <v>127.5</v>
      </c>
      <c r="B790" s="42">
        <v>144.06</v>
      </c>
      <c r="C790">
        <v>158.01</v>
      </c>
      <c r="D790">
        <v>159.4</v>
      </c>
      <c r="E790">
        <v>134.06</v>
      </c>
      <c r="F790">
        <v>122.23</v>
      </c>
      <c r="G790">
        <v>114.73</v>
      </c>
      <c r="H790">
        <v>107.06</v>
      </c>
      <c r="K790" s="9">
        <f t="shared" si="96"/>
        <v>8.9399999999999977</v>
      </c>
      <c r="L790">
        <f t="shared" si="97"/>
        <v>8.9399999999999977</v>
      </c>
      <c r="M790">
        <f t="shared" si="98"/>
        <v>-0.15999999999999659</v>
      </c>
      <c r="N790">
        <f t="shared" si="99"/>
        <v>0.28000000000000114</v>
      </c>
      <c r="O790">
        <f t="shared" si="100"/>
        <v>0.28000000000000114</v>
      </c>
      <c r="P790" s="10">
        <f t="shared" si="101"/>
        <v>0.45000000000000284</v>
      </c>
    </row>
    <row r="791" spans="1:16">
      <c r="A791">
        <v>127.67</v>
      </c>
      <c r="B791" s="42">
        <v>142.51</v>
      </c>
      <c r="C791">
        <v>159.72999999999999</v>
      </c>
      <c r="D791">
        <v>161.22999999999999</v>
      </c>
      <c r="E791">
        <v>133.34</v>
      </c>
      <c r="F791">
        <v>122.28</v>
      </c>
      <c r="G791">
        <v>114.78</v>
      </c>
      <c r="H791">
        <v>107.12</v>
      </c>
      <c r="K791" s="9">
        <f t="shared" si="96"/>
        <v>7.6100000000000136</v>
      </c>
      <c r="L791">
        <f t="shared" si="97"/>
        <v>7.1700000000000159</v>
      </c>
      <c r="M791">
        <f t="shared" si="98"/>
        <v>-0.21999999999999886</v>
      </c>
      <c r="N791">
        <f t="shared" si="99"/>
        <v>0.28000000000000114</v>
      </c>
      <c r="O791">
        <f t="shared" si="100"/>
        <v>0.28000000000000114</v>
      </c>
      <c r="P791" s="10">
        <f t="shared" si="101"/>
        <v>0.39000000000000057</v>
      </c>
    </row>
    <row r="792" spans="1:16">
      <c r="A792">
        <v>127.83</v>
      </c>
      <c r="B792" s="42">
        <v>142.01</v>
      </c>
      <c r="C792">
        <v>164.67</v>
      </c>
      <c r="D792">
        <v>166.34</v>
      </c>
      <c r="E792">
        <v>133.34</v>
      </c>
      <c r="F792">
        <v>122.4</v>
      </c>
      <c r="G792">
        <v>115.01</v>
      </c>
      <c r="H792">
        <v>107.17</v>
      </c>
      <c r="K792" s="9">
        <f t="shared" si="96"/>
        <v>2.6700000000000159</v>
      </c>
      <c r="L792">
        <f t="shared" si="97"/>
        <v>1.9399999999999977</v>
      </c>
      <c r="M792">
        <f t="shared" si="98"/>
        <v>-0.28000000000000114</v>
      </c>
      <c r="N792">
        <f t="shared" si="99"/>
        <v>0.21999999999999886</v>
      </c>
      <c r="O792">
        <f t="shared" si="100"/>
        <v>0.10999999999999943</v>
      </c>
      <c r="P792" s="10">
        <f t="shared" si="101"/>
        <v>0.39000000000000057</v>
      </c>
    </row>
    <row r="793" spans="1:16">
      <c r="A793">
        <v>128</v>
      </c>
      <c r="B793" s="42">
        <v>143.12</v>
      </c>
      <c r="C793">
        <v>166.95</v>
      </c>
      <c r="D793">
        <v>168.34</v>
      </c>
      <c r="E793">
        <v>133.9</v>
      </c>
      <c r="F793">
        <v>122.51</v>
      </c>
      <c r="G793">
        <v>115.01</v>
      </c>
      <c r="H793">
        <v>107.51</v>
      </c>
      <c r="K793" s="9">
        <f t="shared" ref="K793:K856" si="102">C796-C793</f>
        <v>0.28000000000000114</v>
      </c>
      <c r="L793">
        <f t="shared" ref="L793:L856" si="103">D796-D793</f>
        <v>-0.33000000000001251</v>
      </c>
      <c r="M793">
        <f t="shared" ref="M793:M856" si="104">E796-E793</f>
        <v>0.32999999999998408</v>
      </c>
      <c r="N793">
        <f t="shared" ref="N793:N856" si="105">F796-F793</f>
        <v>0.32999999999999829</v>
      </c>
      <c r="O793">
        <f t="shared" ref="O793:O856" si="106">G796-G793</f>
        <v>0.15999999999999659</v>
      </c>
      <c r="P793" s="10">
        <f t="shared" ref="P793:P856" si="107">H796-H793</f>
        <v>0.10999999999999943</v>
      </c>
    </row>
    <row r="794" spans="1:16">
      <c r="A794">
        <v>128.16999999999999</v>
      </c>
      <c r="B794" s="42">
        <v>143.84</v>
      </c>
      <c r="C794">
        <v>167.34</v>
      </c>
      <c r="D794">
        <v>168.4</v>
      </c>
      <c r="E794">
        <v>133.12</v>
      </c>
      <c r="F794">
        <v>122.56</v>
      </c>
      <c r="G794">
        <v>115.06</v>
      </c>
      <c r="H794">
        <v>107.51</v>
      </c>
      <c r="K794" s="9">
        <f t="shared" si="102"/>
        <v>-0.43999999999999773</v>
      </c>
      <c r="L794">
        <f t="shared" si="103"/>
        <v>-0.89000000000001478</v>
      </c>
      <c r="M794">
        <f t="shared" si="104"/>
        <v>0.82999999999998408</v>
      </c>
      <c r="N794">
        <f t="shared" si="105"/>
        <v>0.45000000000000284</v>
      </c>
      <c r="O794">
        <f t="shared" si="106"/>
        <v>0.28000000000000114</v>
      </c>
      <c r="P794" s="10">
        <f t="shared" si="107"/>
        <v>0.10999999999999943</v>
      </c>
    </row>
    <row r="795" spans="1:16">
      <c r="A795">
        <v>128.33000000000001</v>
      </c>
      <c r="B795" s="42">
        <v>144.01</v>
      </c>
      <c r="C795">
        <v>167.34</v>
      </c>
      <c r="D795">
        <v>168.28</v>
      </c>
      <c r="E795">
        <v>133.06</v>
      </c>
      <c r="F795">
        <v>122.62</v>
      </c>
      <c r="G795">
        <v>115.12</v>
      </c>
      <c r="H795">
        <v>107.56</v>
      </c>
      <c r="K795" s="9">
        <f t="shared" si="102"/>
        <v>-0.61000000000001364</v>
      </c>
      <c r="L795">
        <f t="shared" si="103"/>
        <v>-1.1100000000000136</v>
      </c>
      <c r="M795">
        <f t="shared" si="104"/>
        <v>-0.78000000000000114</v>
      </c>
      <c r="N795">
        <f t="shared" si="105"/>
        <v>0.54999999999999716</v>
      </c>
      <c r="O795">
        <f t="shared" si="106"/>
        <v>0.39000000000000057</v>
      </c>
      <c r="P795" s="10">
        <f t="shared" si="107"/>
        <v>0.10999999999999943</v>
      </c>
    </row>
    <row r="796" spans="1:16">
      <c r="A796">
        <v>128.5</v>
      </c>
      <c r="B796" s="42">
        <v>141.78</v>
      </c>
      <c r="C796">
        <v>167.23</v>
      </c>
      <c r="D796">
        <v>168.01</v>
      </c>
      <c r="E796">
        <v>134.22999999999999</v>
      </c>
      <c r="F796">
        <v>122.84</v>
      </c>
      <c r="G796">
        <v>115.17</v>
      </c>
      <c r="H796">
        <v>107.62</v>
      </c>
      <c r="K796" s="9">
        <f t="shared" si="102"/>
        <v>-0.38999999999998636</v>
      </c>
      <c r="L796">
        <f t="shared" si="103"/>
        <v>-0.88999999999998636</v>
      </c>
      <c r="M796">
        <f t="shared" si="104"/>
        <v>-3.1099999999999852</v>
      </c>
      <c r="N796">
        <f t="shared" si="105"/>
        <v>0.39000000000000057</v>
      </c>
      <c r="O796">
        <f t="shared" si="106"/>
        <v>0.5</v>
      </c>
      <c r="P796" s="10">
        <f t="shared" si="107"/>
        <v>0.15999999999999659</v>
      </c>
    </row>
    <row r="797" spans="1:16">
      <c r="A797">
        <v>128.66999999999999</v>
      </c>
      <c r="B797" s="42">
        <v>140.56</v>
      </c>
      <c r="C797">
        <v>166.9</v>
      </c>
      <c r="D797">
        <v>167.51</v>
      </c>
      <c r="E797">
        <v>133.94999999999999</v>
      </c>
      <c r="F797">
        <v>123.01</v>
      </c>
      <c r="G797">
        <v>115.34</v>
      </c>
      <c r="H797">
        <v>107.62</v>
      </c>
      <c r="K797" s="9">
        <f t="shared" si="102"/>
        <v>-6.0000000000002274E-2</v>
      </c>
      <c r="L797">
        <f t="shared" si="103"/>
        <v>-0.5</v>
      </c>
      <c r="M797">
        <f t="shared" si="104"/>
        <v>-3.9399999999999977</v>
      </c>
      <c r="N797">
        <f t="shared" si="105"/>
        <v>0.26999999999999602</v>
      </c>
      <c r="O797">
        <f t="shared" si="106"/>
        <v>0.5</v>
      </c>
      <c r="P797" s="10">
        <f t="shared" si="107"/>
        <v>0.21999999999999886</v>
      </c>
    </row>
    <row r="798" spans="1:16">
      <c r="A798">
        <v>128.83000000000001</v>
      </c>
      <c r="B798" s="42">
        <v>141.16999999999999</v>
      </c>
      <c r="C798">
        <v>166.73</v>
      </c>
      <c r="D798">
        <v>167.17</v>
      </c>
      <c r="E798">
        <v>132.28</v>
      </c>
      <c r="F798">
        <v>123.17</v>
      </c>
      <c r="G798">
        <v>115.51</v>
      </c>
      <c r="H798">
        <v>107.67</v>
      </c>
      <c r="K798" s="9">
        <f t="shared" si="102"/>
        <v>0.21999999999999886</v>
      </c>
      <c r="L798">
        <f t="shared" si="103"/>
        <v>-0.15999999999999659</v>
      </c>
      <c r="M798">
        <f t="shared" si="104"/>
        <v>-1.9399999999999977</v>
      </c>
      <c r="N798">
        <f t="shared" si="105"/>
        <v>-0.21999999999999886</v>
      </c>
      <c r="O798">
        <f t="shared" si="106"/>
        <v>0.39000000000000057</v>
      </c>
      <c r="P798" s="10">
        <f t="shared" si="107"/>
        <v>0.17000000000000171</v>
      </c>
    </row>
    <row r="799" spans="1:16">
      <c r="A799">
        <v>129</v>
      </c>
      <c r="B799" s="42">
        <v>138.94999999999999</v>
      </c>
      <c r="C799">
        <v>166.84</v>
      </c>
      <c r="D799">
        <v>167.12</v>
      </c>
      <c r="E799">
        <v>131.12</v>
      </c>
      <c r="F799">
        <v>123.23</v>
      </c>
      <c r="G799">
        <v>115.67</v>
      </c>
      <c r="H799">
        <v>107.78</v>
      </c>
      <c r="K799" s="9">
        <f t="shared" si="102"/>
        <v>-0.11000000000001364</v>
      </c>
      <c r="L799">
        <f t="shared" si="103"/>
        <v>-0.28000000000000114</v>
      </c>
      <c r="M799">
        <f t="shared" si="104"/>
        <v>-2</v>
      </c>
      <c r="N799">
        <f t="shared" si="105"/>
        <v>-0.5</v>
      </c>
      <c r="O799">
        <f t="shared" si="106"/>
        <v>0.28000000000000114</v>
      </c>
      <c r="P799" s="10">
        <f t="shared" si="107"/>
        <v>0.12000000000000455</v>
      </c>
    </row>
    <row r="800" spans="1:16">
      <c r="A800">
        <v>129.16999999999999</v>
      </c>
      <c r="B800" s="42">
        <v>138.56</v>
      </c>
      <c r="C800">
        <v>166.84</v>
      </c>
      <c r="D800">
        <v>167.01</v>
      </c>
      <c r="E800">
        <v>130.01</v>
      </c>
      <c r="F800">
        <v>123.28</v>
      </c>
      <c r="G800">
        <v>115.84</v>
      </c>
      <c r="H800">
        <v>107.84</v>
      </c>
      <c r="K800" s="9">
        <f t="shared" si="102"/>
        <v>-0.17000000000001592</v>
      </c>
      <c r="L800">
        <f t="shared" si="103"/>
        <v>-0.28000000000000114</v>
      </c>
      <c r="M800">
        <f t="shared" si="104"/>
        <v>-1.4499999999999886</v>
      </c>
      <c r="N800">
        <f t="shared" si="105"/>
        <v>-0.60999999999999943</v>
      </c>
      <c r="O800">
        <f t="shared" si="106"/>
        <v>0.17000000000000171</v>
      </c>
      <c r="P800" s="10">
        <f t="shared" si="107"/>
        <v>0</v>
      </c>
    </row>
    <row r="801" spans="1:16">
      <c r="A801">
        <v>129.33000000000001</v>
      </c>
      <c r="B801" s="42">
        <v>139.01</v>
      </c>
      <c r="C801">
        <v>166.95</v>
      </c>
      <c r="D801">
        <v>167.01</v>
      </c>
      <c r="E801">
        <v>130.34</v>
      </c>
      <c r="F801">
        <v>122.95</v>
      </c>
      <c r="G801">
        <v>115.9</v>
      </c>
      <c r="H801">
        <v>107.84</v>
      </c>
      <c r="K801" s="9">
        <f t="shared" si="102"/>
        <v>-0.21999999999999886</v>
      </c>
      <c r="L801">
        <f t="shared" si="103"/>
        <v>-0.28000000000000114</v>
      </c>
      <c r="M801">
        <f t="shared" si="104"/>
        <v>-1.5</v>
      </c>
      <c r="N801">
        <f t="shared" si="105"/>
        <v>-0.54999999999999716</v>
      </c>
      <c r="O801">
        <f t="shared" si="106"/>
        <v>4.9999999999997158E-2</v>
      </c>
      <c r="P801" s="10">
        <f t="shared" si="107"/>
        <v>-0.21999999999999886</v>
      </c>
    </row>
    <row r="802" spans="1:16">
      <c r="A802">
        <v>129.5</v>
      </c>
      <c r="B802" s="42">
        <v>139.9</v>
      </c>
      <c r="C802">
        <v>166.73</v>
      </c>
      <c r="D802">
        <v>166.84</v>
      </c>
      <c r="E802">
        <v>129.12</v>
      </c>
      <c r="F802">
        <v>122.73</v>
      </c>
      <c r="G802">
        <v>115.95</v>
      </c>
      <c r="H802">
        <v>107.9</v>
      </c>
      <c r="K802" s="9">
        <f t="shared" si="102"/>
        <v>0</v>
      </c>
      <c r="L802">
        <f t="shared" si="103"/>
        <v>-0.11000000000001364</v>
      </c>
      <c r="M802">
        <f t="shared" si="104"/>
        <v>0.71999999999999886</v>
      </c>
      <c r="N802">
        <f t="shared" si="105"/>
        <v>-0.21999999999999886</v>
      </c>
      <c r="O802">
        <f t="shared" si="106"/>
        <v>0</v>
      </c>
      <c r="P802" s="10">
        <f t="shared" si="107"/>
        <v>-0.23000000000000398</v>
      </c>
    </row>
    <row r="803" spans="1:16">
      <c r="A803">
        <v>129.66999999999999</v>
      </c>
      <c r="B803" s="42">
        <v>140.16999999999999</v>
      </c>
      <c r="C803">
        <v>166.67</v>
      </c>
      <c r="D803">
        <v>166.73</v>
      </c>
      <c r="E803">
        <v>128.56</v>
      </c>
      <c r="F803">
        <v>122.67</v>
      </c>
      <c r="G803">
        <v>116.01</v>
      </c>
      <c r="H803">
        <v>107.84</v>
      </c>
      <c r="K803" s="9">
        <f t="shared" si="102"/>
        <v>-4.9999999999982947E-2</v>
      </c>
      <c r="L803">
        <f t="shared" si="103"/>
        <v>-0.16999999999998749</v>
      </c>
      <c r="M803">
        <f t="shared" si="104"/>
        <v>2</v>
      </c>
      <c r="N803">
        <f t="shared" si="105"/>
        <v>0.23000000000000398</v>
      </c>
      <c r="O803">
        <f t="shared" si="106"/>
        <v>-0.10999999999999943</v>
      </c>
      <c r="P803" s="10">
        <f t="shared" si="107"/>
        <v>-0.28000000000000114</v>
      </c>
    </row>
    <row r="804" spans="1:16">
      <c r="A804">
        <v>129.83000000000001</v>
      </c>
      <c r="B804" s="42">
        <v>140.01</v>
      </c>
      <c r="C804">
        <v>166.73</v>
      </c>
      <c r="D804">
        <v>166.73</v>
      </c>
      <c r="E804">
        <v>128.84</v>
      </c>
      <c r="F804">
        <v>122.4</v>
      </c>
      <c r="G804">
        <v>115.95</v>
      </c>
      <c r="H804">
        <v>107.62</v>
      </c>
      <c r="K804" s="9">
        <f t="shared" si="102"/>
        <v>-0.5</v>
      </c>
      <c r="L804">
        <f t="shared" si="103"/>
        <v>-0.5</v>
      </c>
      <c r="M804">
        <f t="shared" si="104"/>
        <v>2.6099999999999852</v>
      </c>
      <c r="N804">
        <f t="shared" si="105"/>
        <v>0.5</v>
      </c>
      <c r="O804">
        <f t="shared" si="106"/>
        <v>-4.9999999999997158E-2</v>
      </c>
      <c r="P804" s="10">
        <f t="shared" si="107"/>
        <v>0.15999999999999659</v>
      </c>
    </row>
    <row r="805" spans="1:16">
      <c r="A805">
        <v>130</v>
      </c>
      <c r="B805" s="42">
        <v>139.34</v>
      </c>
      <c r="C805">
        <v>166.73</v>
      </c>
      <c r="D805">
        <v>166.73</v>
      </c>
      <c r="E805">
        <v>129.84</v>
      </c>
      <c r="F805">
        <v>122.51</v>
      </c>
      <c r="G805">
        <v>115.95</v>
      </c>
      <c r="H805">
        <v>107.67</v>
      </c>
      <c r="K805" s="9">
        <f t="shared" si="102"/>
        <v>-1.5</v>
      </c>
      <c r="L805">
        <f t="shared" si="103"/>
        <v>-1.1699999999999875</v>
      </c>
      <c r="M805">
        <f t="shared" si="104"/>
        <v>2.7199999999999989</v>
      </c>
      <c r="N805">
        <f t="shared" si="105"/>
        <v>0.26999999999999602</v>
      </c>
      <c r="O805">
        <f t="shared" si="106"/>
        <v>-0.10999999999999943</v>
      </c>
      <c r="P805" s="10">
        <f t="shared" si="107"/>
        <v>0.10999999999999943</v>
      </c>
    </row>
    <row r="806" spans="1:16">
      <c r="A806">
        <v>130.16999999999999</v>
      </c>
      <c r="B806" s="42">
        <v>138.78</v>
      </c>
      <c r="C806">
        <v>166.62</v>
      </c>
      <c r="D806">
        <v>166.56</v>
      </c>
      <c r="E806">
        <v>130.56</v>
      </c>
      <c r="F806">
        <v>122.9</v>
      </c>
      <c r="G806">
        <v>115.9</v>
      </c>
      <c r="H806">
        <v>107.56</v>
      </c>
      <c r="K806" s="9">
        <f t="shared" si="102"/>
        <v>-2.5</v>
      </c>
      <c r="L806">
        <f t="shared" si="103"/>
        <v>-2.3300000000000125</v>
      </c>
      <c r="M806">
        <f t="shared" si="104"/>
        <v>3.4499999999999886</v>
      </c>
      <c r="N806">
        <f t="shared" si="105"/>
        <v>0.32999999999999829</v>
      </c>
      <c r="O806">
        <f t="shared" si="106"/>
        <v>-0.12000000000000455</v>
      </c>
      <c r="P806" s="10">
        <f t="shared" si="107"/>
        <v>0.21999999999999886</v>
      </c>
    </row>
    <row r="807" spans="1:16">
      <c r="A807">
        <v>130.33000000000001</v>
      </c>
      <c r="B807" s="42">
        <v>138.9</v>
      </c>
      <c r="C807">
        <v>166.23</v>
      </c>
      <c r="D807">
        <v>166.23</v>
      </c>
      <c r="E807">
        <v>131.44999999999999</v>
      </c>
      <c r="F807">
        <v>122.9</v>
      </c>
      <c r="G807">
        <v>115.9</v>
      </c>
      <c r="H807">
        <v>107.78</v>
      </c>
      <c r="K807" s="9">
        <f t="shared" si="102"/>
        <v>-3.0600000000000023</v>
      </c>
      <c r="L807">
        <f t="shared" si="103"/>
        <v>-2.9499999999999886</v>
      </c>
      <c r="M807">
        <f t="shared" si="104"/>
        <v>4.1700000000000159</v>
      </c>
      <c r="N807">
        <f t="shared" si="105"/>
        <v>0.37999999999999545</v>
      </c>
      <c r="O807">
        <f t="shared" si="106"/>
        <v>-0.17000000000000171</v>
      </c>
      <c r="P807" s="10">
        <f t="shared" si="107"/>
        <v>-0.10999999999999943</v>
      </c>
    </row>
    <row r="808" spans="1:16">
      <c r="A808">
        <v>130.5</v>
      </c>
      <c r="B808" s="42">
        <v>138.72999999999999</v>
      </c>
      <c r="C808">
        <v>165.23</v>
      </c>
      <c r="D808">
        <v>165.56</v>
      </c>
      <c r="E808">
        <v>132.56</v>
      </c>
      <c r="F808">
        <v>122.78</v>
      </c>
      <c r="G808">
        <v>115.84</v>
      </c>
      <c r="H808">
        <v>107.78</v>
      </c>
      <c r="K808" s="9">
        <f t="shared" si="102"/>
        <v>-2.7800000000000011</v>
      </c>
      <c r="L808">
        <f t="shared" si="103"/>
        <v>-2.8300000000000125</v>
      </c>
      <c r="M808">
        <f t="shared" si="104"/>
        <v>3.6699999999999875</v>
      </c>
      <c r="N808">
        <f t="shared" si="105"/>
        <v>0.62000000000000455</v>
      </c>
      <c r="O808">
        <f t="shared" si="106"/>
        <v>-0.10999999999999943</v>
      </c>
      <c r="P808" s="10">
        <f t="shared" si="107"/>
        <v>6.0000000000002274E-2</v>
      </c>
    </row>
    <row r="809" spans="1:16">
      <c r="A809">
        <v>130.66999999999999</v>
      </c>
      <c r="B809" s="42">
        <v>138.84</v>
      </c>
      <c r="C809">
        <v>164.12</v>
      </c>
      <c r="D809">
        <v>164.23</v>
      </c>
      <c r="E809">
        <v>134.01</v>
      </c>
      <c r="F809">
        <v>123.23</v>
      </c>
      <c r="G809">
        <v>115.78</v>
      </c>
      <c r="H809">
        <v>107.78</v>
      </c>
      <c r="K809" s="9">
        <f t="shared" si="102"/>
        <v>-1.6700000000000159</v>
      </c>
      <c r="L809">
        <f t="shared" si="103"/>
        <v>-1.3299999999999841</v>
      </c>
      <c r="M809">
        <f t="shared" si="104"/>
        <v>3.0500000000000114</v>
      </c>
      <c r="N809">
        <f t="shared" si="105"/>
        <v>0.32999999999999829</v>
      </c>
      <c r="O809">
        <f t="shared" si="106"/>
        <v>-4.9999999999997158E-2</v>
      </c>
      <c r="P809" s="10">
        <f t="shared" si="107"/>
        <v>0.12000000000000455</v>
      </c>
    </row>
    <row r="810" spans="1:16">
      <c r="A810">
        <v>130.83000000000001</v>
      </c>
      <c r="B810" s="42">
        <v>138.78</v>
      </c>
      <c r="C810">
        <v>163.16999999999999</v>
      </c>
      <c r="D810">
        <v>163.28</v>
      </c>
      <c r="E810">
        <v>135.62</v>
      </c>
      <c r="F810">
        <v>123.28</v>
      </c>
      <c r="G810">
        <v>115.73</v>
      </c>
      <c r="H810">
        <v>107.67</v>
      </c>
      <c r="K810" s="9">
        <f t="shared" si="102"/>
        <v>-0.93999999999999773</v>
      </c>
      <c r="L810">
        <f t="shared" si="103"/>
        <v>-0.71999999999999886</v>
      </c>
      <c r="M810">
        <f t="shared" si="104"/>
        <v>2.4399999999999977</v>
      </c>
      <c r="N810">
        <f t="shared" si="105"/>
        <v>0.45000000000000284</v>
      </c>
      <c r="O810">
        <f t="shared" si="106"/>
        <v>0</v>
      </c>
      <c r="P810" s="10">
        <f t="shared" si="107"/>
        <v>0.34000000000000341</v>
      </c>
    </row>
    <row r="811" spans="1:16">
      <c r="A811">
        <v>131</v>
      </c>
      <c r="B811" s="42">
        <v>139.06</v>
      </c>
      <c r="C811">
        <v>162.44999999999999</v>
      </c>
      <c r="D811">
        <v>162.72999999999999</v>
      </c>
      <c r="E811">
        <v>136.22999999999999</v>
      </c>
      <c r="F811">
        <v>123.4</v>
      </c>
      <c r="G811">
        <v>115.73</v>
      </c>
      <c r="H811">
        <v>107.84</v>
      </c>
      <c r="K811" s="9">
        <f t="shared" si="102"/>
        <v>-0.71999999999999886</v>
      </c>
      <c r="L811">
        <f t="shared" si="103"/>
        <v>-0.5</v>
      </c>
      <c r="M811">
        <f t="shared" si="104"/>
        <v>2.9399999999999977</v>
      </c>
      <c r="N811">
        <f t="shared" si="105"/>
        <v>0.37999999999999545</v>
      </c>
      <c r="O811">
        <f t="shared" si="106"/>
        <v>0</v>
      </c>
      <c r="P811" s="10">
        <f t="shared" si="107"/>
        <v>0.32999999999999829</v>
      </c>
    </row>
    <row r="812" spans="1:16">
      <c r="A812">
        <v>131.16999999999999</v>
      </c>
      <c r="B812" s="42">
        <v>138.51</v>
      </c>
      <c r="C812">
        <v>162.44999999999999</v>
      </c>
      <c r="D812">
        <v>162.9</v>
      </c>
      <c r="E812">
        <v>137.06</v>
      </c>
      <c r="F812">
        <v>123.56</v>
      </c>
      <c r="G812">
        <v>115.73</v>
      </c>
      <c r="H812">
        <v>107.9</v>
      </c>
      <c r="K812" s="9">
        <f t="shared" si="102"/>
        <v>-1.7199999999999989</v>
      </c>
      <c r="L812">
        <f t="shared" si="103"/>
        <v>-1.3900000000000148</v>
      </c>
      <c r="M812">
        <f t="shared" si="104"/>
        <v>2.9499999999999886</v>
      </c>
      <c r="N812">
        <f t="shared" si="105"/>
        <v>0.34000000000000341</v>
      </c>
      <c r="O812">
        <f t="shared" si="106"/>
        <v>0.10999999999999943</v>
      </c>
      <c r="P812" s="10">
        <f t="shared" si="107"/>
        <v>0.37999999999999545</v>
      </c>
    </row>
    <row r="813" spans="1:16">
      <c r="A813">
        <v>131.33000000000001</v>
      </c>
      <c r="B813" s="42">
        <v>138.72999999999999</v>
      </c>
      <c r="C813">
        <v>162.22999999999999</v>
      </c>
      <c r="D813">
        <v>162.56</v>
      </c>
      <c r="E813">
        <v>138.06</v>
      </c>
      <c r="F813">
        <v>123.73</v>
      </c>
      <c r="G813">
        <v>115.73</v>
      </c>
      <c r="H813">
        <v>108.01</v>
      </c>
      <c r="K813" s="9">
        <f t="shared" si="102"/>
        <v>-2.8899999999999864</v>
      </c>
      <c r="L813">
        <f t="shared" si="103"/>
        <v>-2.2800000000000011</v>
      </c>
      <c r="M813">
        <f t="shared" si="104"/>
        <v>2.0600000000000023</v>
      </c>
      <c r="N813">
        <f t="shared" si="105"/>
        <v>0.28000000000000114</v>
      </c>
      <c r="O813">
        <f t="shared" si="106"/>
        <v>0.21999999999999886</v>
      </c>
      <c r="P813" s="10">
        <f t="shared" si="107"/>
        <v>0.26999999999999602</v>
      </c>
    </row>
    <row r="814" spans="1:16">
      <c r="A814">
        <v>131.5</v>
      </c>
      <c r="B814" s="42">
        <v>139.9</v>
      </c>
      <c r="C814">
        <v>161.72999999999999</v>
      </c>
      <c r="D814">
        <v>162.22999999999999</v>
      </c>
      <c r="E814">
        <v>139.16999999999999</v>
      </c>
      <c r="F814">
        <v>123.78</v>
      </c>
      <c r="G814">
        <v>115.73</v>
      </c>
      <c r="H814">
        <v>108.17</v>
      </c>
      <c r="K814" s="9">
        <f t="shared" si="102"/>
        <v>-5.5</v>
      </c>
      <c r="L814">
        <f t="shared" si="103"/>
        <v>-4.6099999999999852</v>
      </c>
      <c r="M814">
        <f t="shared" si="104"/>
        <v>1.7800000000000011</v>
      </c>
      <c r="N814">
        <f t="shared" si="105"/>
        <v>0.34000000000000341</v>
      </c>
      <c r="O814">
        <f t="shared" si="106"/>
        <v>0.28000000000000114</v>
      </c>
      <c r="P814" s="10">
        <f t="shared" si="107"/>
        <v>0.23000000000000398</v>
      </c>
    </row>
    <row r="815" spans="1:16">
      <c r="A815">
        <v>131.66999999999999</v>
      </c>
      <c r="B815" s="42">
        <v>140.9</v>
      </c>
      <c r="C815">
        <v>160.72999999999999</v>
      </c>
      <c r="D815">
        <v>161.51</v>
      </c>
      <c r="E815">
        <v>140.01</v>
      </c>
      <c r="F815">
        <v>123.9</v>
      </c>
      <c r="G815">
        <v>115.84</v>
      </c>
      <c r="H815">
        <v>108.28</v>
      </c>
      <c r="K815" s="9">
        <f t="shared" si="102"/>
        <v>-6.8299999999999841</v>
      </c>
      <c r="L815">
        <f t="shared" si="103"/>
        <v>-5.6099999999999852</v>
      </c>
      <c r="M815">
        <f t="shared" si="104"/>
        <v>0</v>
      </c>
      <c r="N815">
        <f t="shared" si="105"/>
        <v>0.26999999999999602</v>
      </c>
      <c r="O815">
        <f t="shared" si="106"/>
        <v>0.28000000000000114</v>
      </c>
      <c r="P815" s="10">
        <f t="shared" si="107"/>
        <v>6.0000000000002274E-2</v>
      </c>
    </row>
    <row r="816" spans="1:16">
      <c r="A816">
        <v>131.83000000000001</v>
      </c>
      <c r="B816" s="42">
        <v>141.22999999999999</v>
      </c>
      <c r="C816">
        <v>159.34</v>
      </c>
      <c r="D816">
        <v>160.28</v>
      </c>
      <c r="E816">
        <v>140.12</v>
      </c>
      <c r="F816">
        <v>124.01</v>
      </c>
      <c r="G816">
        <v>115.95</v>
      </c>
      <c r="H816">
        <v>108.28</v>
      </c>
      <c r="K816" s="9">
        <f t="shared" si="102"/>
        <v>-7.4399999999999977</v>
      </c>
      <c r="L816">
        <f t="shared" si="103"/>
        <v>-5.8799999999999955</v>
      </c>
      <c r="M816">
        <f t="shared" si="104"/>
        <v>-2.6700000000000159</v>
      </c>
      <c r="N816">
        <f t="shared" si="105"/>
        <v>0.54999999999999716</v>
      </c>
      <c r="O816">
        <f t="shared" si="106"/>
        <v>0.32999999999999829</v>
      </c>
      <c r="P816" s="10">
        <f t="shared" si="107"/>
        <v>0.34000000000000341</v>
      </c>
    </row>
    <row r="817" spans="1:16">
      <c r="A817">
        <v>132</v>
      </c>
      <c r="B817" s="42">
        <v>141.12</v>
      </c>
      <c r="C817">
        <v>156.22999999999999</v>
      </c>
      <c r="D817">
        <v>157.62</v>
      </c>
      <c r="E817">
        <v>140.94999999999999</v>
      </c>
      <c r="F817">
        <v>124.12</v>
      </c>
      <c r="G817">
        <v>116.01</v>
      </c>
      <c r="H817">
        <v>108.4</v>
      </c>
      <c r="K817" s="9">
        <f t="shared" si="102"/>
        <v>-6.5600000000000023</v>
      </c>
      <c r="L817">
        <f t="shared" si="103"/>
        <v>-4.8900000000000148</v>
      </c>
      <c r="M817">
        <f t="shared" si="104"/>
        <v>-5.5</v>
      </c>
      <c r="N817">
        <f t="shared" si="105"/>
        <v>0.43999999999999773</v>
      </c>
      <c r="O817">
        <f t="shared" si="106"/>
        <v>0.26999999999999602</v>
      </c>
      <c r="P817" s="10">
        <f t="shared" si="107"/>
        <v>0.10999999999999943</v>
      </c>
    </row>
    <row r="818" spans="1:16">
      <c r="A818">
        <v>132.16999999999999</v>
      </c>
      <c r="B818" s="42">
        <v>141.34</v>
      </c>
      <c r="C818">
        <v>153.9</v>
      </c>
      <c r="D818">
        <v>155.9</v>
      </c>
      <c r="E818">
        <v>140.01</v>
      </c>
      <c r="F818">
        <v>124.17</v>
      </c>
      <c r="G818">
        <v>116.12</v>
      </c>
      <c r="H818">
        <v>108.34</v>
      </c>
      <c r="K818" s="9">
        <f t="shared" si="102"/>
        <v>-4.2800000000000011</v>
      </c>
      <c r="L818">
        <f t="shared" si="103"/>
        <v>-3.6200000000000045</v>
      </c>
      <c r="M818">
        <f t="shared" si="104"/>
        <v>-4.3899999999999864</v>
      </c>
      <c r="N818">
        <f t="shared" si="105"/>
        <v>0.45000000000000284</v>
      </c>
      <c r="O818">
        <f t="shared" si="106"/>
        <v>0.28000000000000114</v>
      </c>
      <c r="P818" s="10">
        <f t="shared" si="107"/>
        <v>0.10999999999999943</v>
      </c>
    </row>
    <row r="819" spans="1:16">
      <c r="A819">
        <v>132.33000000000001</v>
      </c>
      <c r="B819" s="42">
        <v>139.56</v>
      </c>
      <c r="C819">
        <v>151.9</v>
      </c>
      <c r="D819">
        <v>154.4</v>
      </c>
      <c r="E819">
        <v>137.44999999999999</v>
      </c>
      <c r="F819">
        <v>124.56</v>
      </c>
      <c r="G819">
        <v>116.28</v>
      </c>
      <c r="H819">
        <v>108.62</v>
      </c>
      <c r="K819" s="9">
        <f t="shared" si="102"/>
        <v>-1.6200000000000045</v>
      </c>
      <c r="L819">
        <f t="shared" si="103"/>
        <v>-1.9500000000000171</v>
      </c>
      <c r="M819">
        <f t="shared" si="104"/>
        <v>-1.1699999999999875</v>
      </c>
      <c r="N819">
        <f t="shared" si="105"/>
        <v>0.45000000000000284</v>
      </c>
      <c r="O819">
        <f t="shared" si="106"/>
        <v>0.17000000000000171</v>
      </c>
      <c r="P819" s="10">
        <f t="shared" si="107"/>
        <v>-6.0000000000002274E-2</v>
      </c>
    </row>
    <row r="820" spans="1:16">
      <c r="A820">
        <v>132.5</v>
      </c>
      <c r="B820" s="42">
        <v>137.9</v>
      </c>
      <c r="C820">
        <v>149.66999999999999</v>
      </c>
      <c r="D820">
        <v>152.72999999999999</v>
      </c>
      <c r="E820">
        <v>135.44999999999999</v>
      </c>
      <c r="F820">
        <v>124.56</v>
      </c>
      <c r="G820">
        <v>116.28</v>
      </c>
      <c r="H820">
        <v>108.51</v>
      </c>
      <c r="K820" s="9">
        <f t="shared" si="102"/>
        <v>0.67000000000001592</v>
      </c>
      <c r="L820">
        <f t="shared" si="103"/>
        <v>-0.5</v>
      </c>
      <c r="M820">
        <f t="shared" si="104"/>
        <v>1.2199999999999989</v>
      </c>
      <c r="N820">
        <f t="shared" si="105"/>
        <v>1</v>
      </c>
      <c r="O820">
        <f t="shared" si="106"/>
        <v>0.28000000000000114</v>
      </c>
      <c r="P820" s="10">
        <f t="shared" si="107"/>
        <v>-0.10999999999999943</v>
      </c>
    </row>
    <row r="821" spans="1:16">
      <c r="A821">
        <v>132.66999999999999</v>
      </c>
      <c r="B821" s="42">
        <v>135.01</v>
      </c>
      <c r="C821">
        <v>149.62</v>
      </c>
      <c r="D821">
        <v>152.28</v>
      </c>
      <c r="E821">
        <v>135.62</v>
      </c>
      <c r="F821">
        <v>124.62</v>
      </c>
      <c r="G821">
        <v>116.4</v>
      </c>
      <c r="H821">
        <v>108.45</v>
      </c>
      <c r="K821" s="9">
        <f t="shared" si="102"/>
        <v>-4.3900000000000148</v>
      </c>
      <c r="L821">
        <f t="shared" si="103"/>
        <v>-3.6100000000000136</v>
      </c>
      <c r="M821">
        <f t="shared" si="104"/>
        <v>2.8899999999999864</v>
      </c>
      <c r="N821">
        <f t="shared" si="105"/>
        <v>1</v>
      </c>
      <c r="O821">
        <f t="shared" si="106"/>
        <v>0.32999999999999829</v>
      </c>
      <c r="P821" s="10">
        <f t="shared" si="107"/>
        <v>-0.17000000000000171</v>
      </c>
    </row>
    <row r="822" spans="1:16">
      <c r="A822">
        <v>132.83000000000001</v>
      </c>
      <c r="B822" s="42">
        <v>133.4</v>
      </c>
      <c r="C822">
        <v>150.28</v>
      </c>
      <c r="D822">
        <v>152.44999999999999</v>
      </c>
      <c r="E822">
        <v>136.28</v>
      </c>
      <c r="F822">
        <v>125.01</v>
      </c>
      <c r="G822">
        <v>116.45</v>
      </c>
      <c r="H822">
        <v>108.56</v>
      </c>
      <c r="K822" s="9">
        <f t="shared" si="102"/>
        <v>-5</v>
      </c>
      <c r="L822">
        <f t="shared" si="103"/>
        <v>-4.8299999999999841</v>
      </c>
      <c r="M822">
        <f t="shared" si="104"/>
        <v>5.0600000000000023</v>
      </c>
      <c r="N822">
        <f t="shared" si="105"/>
        <v>0.5</v>
      </c>
      <c r="O822">
        <f t="shared" si="106"/>
        <v>0.32999999999999829</v>
      </c>
      <c r="P822" s="10">
        <f t="shared" si="107"/>
        <v>-0.39000000000000057</v>
      </c>
    </row>
    <row r="823" spans="1:16">
      <c r="A823">
        <v>133</v>
      </c>
      <c r="B823" s="42">
        <v>131.28</v>
      </c>
      <c r="C823">
        <v>150.34</v>
      </c>
      <c r="D823">
        <v>152.22999999999999</v>
      </c>
      <c r="E823">
        <v>136.66999999999999</v>
      </c>
      <c r="F823">
        <v>125.56</v>
      </c>
      <c r="G823">
        <v>116.56</v>
      </c>
      <c r="H823">
        <v>108.4</v>
      </c>
      <c r="K823" s="9">
        <f t="shared" si="102"/>
        <v>-4.6100000000000136</v>
      </c>
      <c r="L823">
        <f t="shared" si="103"/>
        <v>-4.2800000000000011</v>
      </c>
      <c r="M823">
        <f t="shared" si="104"/>
        <v>7.3900000000000148</v>
      </c>
      <c r="N823">
        <f t="shared" si="105"/>
        <v>-0.15999999999999659</v>
      </c>
      <c r="O823">
        <f t="shared" si="106"/>
        <v>0.28000000000000114</v>
      </c>
      <c r="P823" s="10">
        <f t="shared" si="107"/>
        <v>-0.23000000000000398</v>
      </c>
    </row>
    <row r="824" spans="1:16">
      <c r="A824">
        <v>133.16999999999999</v>
      </c>
      <c r="B824" s="42">
        <v>129.78</v>
      </c>
      <c r="C824">
        <v>145.22999999999999</v>
      </c>
      <c r="D824">
        <v>148.66999999999999</v>
      </c>
      <c r="E824">
        <v>138.51</v>
      </c>
      <c r="F824">
        <v>125.62</v>
      </c>
      <c r="G824">
        <v>116.73</v>
      </c>
      <c r="H824">
        <v>108.28</v>
      </c>
      <c r="K824" s="9">
        <f t="shared" si="102"/>
        <v>2.3300000000000125</v>
      </c>
      <c r="L824">
        <f t="shared" si="103"/>
        <v>0.5</v>
      </c>
      <c r="M824">
        <f t="shared" si="104"/>
        <v>7.6599999999999966</v>
      </c>
      <c r="N824">
        <f t="shared" si="105"/>
        <v>-0.34000000000000341</v>
      </c>
      <c r="O824">
        <f t="shared" si="106"/>
        <v>0.17000000000000171</v>
      </c>
      <c r="P824" s="10">
        <f t="shared" si="107"/>
        <v>-0.15999999999999659</v>
      </c>
    </row>
    <row r="825" spans="1:16">
      <c r="A825">
        <v>133.33000000000001</v>
      </c>
      <c r="B825" s="42">
        <v>132.4</v>
      </c>
      <c r="C825">
        <v>145.28</v>
      </c>
      <c r="D825">
        <v>147.62</v>
      </c>
      <c r="E825">
        <v>141.34</v>
      </c>
      <c r="F825">
        <v>125.51</v>
      </c>
      <c r="G825">
        <v>116.78</v>
      </c>
      <c r="H825">
        <v>108.17</v>
      </c>
      <c r="K825" s="9">
        <f t="shared" si="102"/>
        <v>4</v>
      </c>
      <c r="L825">
        <f t="shared" si="103"/>
        <v>2.7800000000000011</v>
      </c>
      <c r="M825">
        <f t="shared" si="104"/>
        <v>6.6699999999999875</v>
      </c>
      <c r="N825">
        <f t="shared" si="105"/>
        <v>-0.23000000000000398</v>
      </c>
      <c r="O825">
        <f t="shared" si="106"/>
        <v>0.12000000000000455</v>
      </c>
      <c r="P825" s="10">
        <f t="shared" si="107"/>
        <v>-4.9999999999997158E-2</v>
      </c>
    </row>
    <row r="826" spans="1:16">
      <c r="A826">
        <v>133.5</v>
      </c>
      <c r="B826" s="42">
        <v>133.22999999999999</v>
      </c>
      <c r="C826">
        <v>145.72999999999999</v>
      </c>
      <c r="D826">
        <v>147.94999999999999</v>
      </c>
      <c r="E826">
        <v>144.06</v>
      </c>
      <c r="F826">
        <v>125.4</v>
      </c>
      <c r="G826">
        <v>116.84</v>
      </c>
      <c r="H826">
        <v>108.17</v>
      </c>
      <c r="K826" s="9">
        <f t="shared" si="102"/>
        <v>5</v>
      </c>
      <c r="L826">
        <f t="shared" si="103"/>
        <v>3.6700000000000159</v>
      </c>
      <c r="M826">
        <f t="shared" si="104"/>
        <v>5.1099999999999852</v>
      </c>
      <c r="N826">
        <f t="shared" si="105"/>
        <v>-0.23000000000000398</v>
      </c>
      <c r="O826">
        <f t="shared" si="106"/>
        <v>0.10999999999999943</v>
      </c>
      <c r="P826" s="10">
        <f t="shared" si="107"/>
        <v>-0.10999999999999943</v>
      </c>
    </row>
    <row r="827" spans="1:16">
      <c r="A827">
        <v>133.66999999999999</v>
      </c>
      <c r="B827" s="42">
        <v>135.28</v>
      </c>
      <c r="C827">
        <v>147.56</v>
      </c>
      <c r="D827">
        <v>149.16999999999999</v>
      </c>
      <c r="E827">
        <v>146.16999999999999</v>
      </c>
      <c r="F827">
        <v>125.28</v>
      </c>
      <c r="G827">
        <v>116.9</v>
      </c>
      <c r="H827">
        <v>108.12</v>
      </c>
      <c r="K827" s="9">
        <f t="shared" si="102"/>
        <v>3.7199999999999989</v>
      </c>
      <c r="L827">
        <f t="shared" si="103"/>
        <v>2.7800000000000011</v>
      </c>
      <c r="M827">
        <f t="shared" si="104"/>
        <v>3.5600000000000023</v>
      </c>
      <c r="N827">
        <f t="shared" si="105"/>
        <v>0</v>
      </c>
      <c r="O827">
        <f t="shared" si="106"/>
        <v>0.15999999999999659</v>
      </c>
      <c r="P827" s="10">
        <f t="shared" si="107"/>
        <v>-6.0000000000002274E-2</v>
      </c>
    </row>
    <row r="828" spans="1:16">
      <c r="A828">
        <v>133.83000000000001</v>
      </c>
      <c r="B828" s="42">
        <v>137.01</v>
      </c>
      <c r="C828">
        <v>149.28</v>
      </c>
      <c r="D828">
        <v>150.4</v>
      </c>
      <c r="E828">
        <v>148.01</v>
      </c>
      <c r="F828">
        <v>125.28</v>
      </c>
      <c r="G828">
        <v>116.9</v>
      </c>
      <c r="H828">
        <v>108.12</v>
      </c>
      <c r="K828" s="9">
        <f t="shared" si="102"/>
        <v>2.7800000000000011</v>
      </c>
      <c r="L828">
        <f t="shared" si="103"/>
        <v>2.0499999999999829</v>
      </c>
      <c r="M828">
        <f t="shared" si="104"/>
        <v>2.5</v>
      </c>
      <c r="N828">
        <f t="shared" si="105"/>
        <v>0.12000000000000455</v>
      </c>
      <c r="O828">
        <f t="shared" si="106"/>
        <v>0.15999999999999659</v>
      </c>
      <c r="P828" s="10">
        <f t="shared" si="107"/>
        <v>-0.10999999999999943</v>
      </c>
    </row>
    <row r="829" spans="1:16">
      <c r="A829">
        <v>134</v>
      </c>
      <c r="B829" s="42">
        <v>138.66999999999999</v>
      </c>
      <c r="C829">
        <v>150.72999999999999</v>
      </c>
      <c r="D829">
        <v>151.62</v>
      </c>
      <c r="E829">
        <v>149.16999999999999</v>
      </c>
      <c r="F829">
        <v>125.17</v>
      </c>
      <c r="G829">
        <v>116.95</v>
      </c>
      <c r="H829">
        <v>108.06</v>
      </c>
      <c r="K829" s="9">
        <f t="shared" si="102"/>
        <v>2.3300000000000125</v>
      </c>
      <c r="L829">
        <f t="shared" si="103"/>
        <v>1.6599999999999966</v>
      </c>
      <c r="M829">
        <f t="shared" si="104"/>
        <v>1.4500000000000171</v>
      </c>
      <c r="N829">
        <f t="shared" si="105"/>
        <v>0.5</v>
      </c>
      <c r="O829">
        <f t="shared" si="106"/>
        <v>0.10999999999999943</v>
      </c>
      <c r="P829" s="10">
        <f t="shared" si="107"/>
        <v>6.0000000000002274E-2</v>
      </c>
    </row>
    <row r="830" spans="1:16">
      <c r="A830">
        <v>134.16999999999999</v>
      </c>
      <c r="B830" s="42">
        <v>140.34</v>
      </c>
      <c r="C830">
        <v>151.28</v>
      </c>
      <c r="D830">
        <v>151.94999999999999</v>
      </c>
      <c r="E830">
        <v>149.72999999999999</v>
      </c>
      <c r="F830">
        <v>125.28</v>
      </c>
      <c r="G830">
        <v>117.06</v>
      </c>
      <c r="H830">
        <v>108.06</v>
      </c>
      <c r="K830" s="9">
        <f t="shared" si="102"/>
        <v>2.2800000000000011</v>
      </c>
      <c r="L830">
        <f t="shared" si="103"/>
        <v>2</v>
      </c>
      <c r="M830">
        <f t="shared" si="104"/>
        <v>1.0500000000000114</v>
      </c>
      <c r="N830">
        <f t="shared" si="105"/>
        <v>0.17000000000000171</v>
      </c>
      <c r="O830">
        <f t="shared" si="106"/>
        <v>6.0000000000002274E-2</v>
      </c>
      <c r="P830" s="10">
        <f t="shared" si="107"/>
        <v>0.10999999999999943</v>
      </c>
    </row>
    <row r="831" spans="1:16">
      <c r="A831">
        <v>134.33000000000001</v>
      </c>
      <c r="B831" s="42">
        <v>142.06</v>
      </c>
      <c r="C831">
        <v>152.06</v>
      </c>
      <c r="D831">
        <v>152.44999999999999</v>
      </c>
      <c r="E831">
        <v>150.51</v>
      </c>
      <c r="F831">
        <v>125.4</v>
      </c>
      <c r="G831">
        <v>117.06</v>
      </c>
      <c r="H831">
        <v>108.01</v>
      </c>
      <c r="K831" s="9">
        <f t="shared" si="102"/>
        <v>2.3400000000000034</v>
      </c>
      <c r="L831">
        <f t="shared" si="103"/>
        <v>2.2199999999999989</v>
      </c>
      <c r="M831">
        <f t="shared" si="104"/>
        <v>0.43999999999999773</v>
      </c>
      <c r="N831">
        <f t="shared" si="105"/>
        <v>-0.45000000000000284</v>
      </c>
      <c r="O831">
        <f t="shared" si="106"/>
        <v>0.17000000000000171</v>
      </c>
      <c r="P831" s="10">
        <f t="shared" si="107"/>
        <v>0.15999999999999659</v>
      </c>
    </row>
    <row r="832" spans="1:16">
      <c r="A832">
        <v>134.5</v>
      </c>
      <c r="B832" s="42">
        <v>143.28</v>
      </c>
      <c r="C832">
        <v>153.06</v>
      </c>
      <c r="D832">
        <v>153.28</v>
      </c>
      <c r="E832">
        <v>150.62</v>
      </c>
      <c r="F832">
        <v>125.67</v>
      </c>
      <c r="G832">
        <v>117.06</v>
      </c>
      <c r="H832">
        <v>108.12</v>
      </c>
      <c r="K832" s="9">
        <f t="shared" si="102"/>
        <v>1.6699999999999875</v>
      </c>
      <c r="L832">
        <f t="shared" si="103"/>
        <v>1.7800000000000011</v>
      </c>
      <c r="M832">
        <f t="shared" si="104"/>
        <v>0.93999999999999773</v>
      </c>
      <c r="N832">
        <f t="shared" si="105"/>
        <v>-0.89000000000000057</v>
      </c>
      <c r="O832">
        <f t="shared" si="106"/>
        <v>6.0000000000002274E-2</v>
      </c>
      <c r="P832" s="10">
        <f t="shared" si="107"/>
        <v>-0.17000000000000171</v>
      </c>
    </row>
    <row r="833" spans="1:16">
      <c r="A833">
        <v>134.66999999999999</v>
      </c>
      <c r="B833" s="42">
        <v>144.22999999999999</v>
      </c>
      <c r="C833">
        <v>153.56</v>
      </c>
      <c r="D833">
        <v>153.94999999999999</v>
      </c>
      <c r="E833">
        <v>150.78</v>
      </c>
      <c r="F833">
        <v>125.45</v>
      </c>
      <c r="G833">
        <v>117.12</v>
      </c>
      <c r="H833">
        <v>108.17</v>
      </c>
      <c r="K833" s="9">
        <f t="shared" si="102"/>
        <v>1.7800000000000011</v>
      </c>
      <c r="L833">
        <f t="shared" si="103"/>
        <v>1.6100000000000136</v>
      </c>
      <c r="M833">
        <f t="shared" si="104"/>
        <v>1.0600000000000023</v>
      </c>
      <c r="N833">
        <f t="shared" si="105"/>
        <v>-0.71999999999999886</v>
      </c>
      <c r="O833">
        <f t="shared" si="106"/>
        <v>0.10999999999999943</v>
      </c>
      <c r="P833" s="10">
        <f t="shared" si="107"/>
        <v>-0.21999999999999886</v>
      </c>
    </row>
    <row r="834" spans="1:16">
      <c r="A834">
        <v>134.83000000000001</v>
      </c>
      <c r="B834" s="42">
        <v>143.12</v>
      </c>
      <c r="C834">
        <v>154.4</v>
      </c>
      <c r="D834">
        <v>154.66999999999999</v>
      </c>
      <c r="E834">
        <v>150.94999999999999</v>
      </c>
      <c r="F834">
        <v>124.95</v>
      </c>
      <c r="G834">
        <v>117.23</v>
      </c>
      <c r="H834">
        <v>108.17</v>
      </c>
      <c r="K834" s="9">
        <f t="shared" si="102"/>
        <v>1.2199999999999989</v>
      </c>
      <c r="L834">
        <f t="shared" si="103"/>
        <v>1.2300000000000182</v>
      </c>
      <c r="M834">
        <f t="shared" si="104"/>
        <v>1.4500000000000171</v>
      </c>
      <c r="N834">
        <f t="shared" si="105"/>
        <v>-0.39000000000000057</v>
      </c>
      <c r="O834">
        <f t="shared" si="106"/>
        <v>-6.0000000000002274E-2</v>
      </c>
      <c r="P834" s="10">
        <f t="shared" si="107"/>
        <v>-0.32999999999999829</v>
      </c>
    </row>
    <row r="835" spans="1:16">
      <c r="A835">
        <v>135</v>
      </c>
      <c r="B835" s="42">
        <v>142.12</v>
      </c>
      <c r="C835">
        <v>154.72999999999999</v>
      </c>
      <c r="D835">
        <v>155.06</v>
      </c>
      <c r="E835">
        <v>151.56</v>
      </c>
      <c r="F835">
        <v>124.78</v>
      </c>
      <c r="G835">
        <v>117.12</v>
      </c>
      <c r="H835">
        <v>107.95</v>
      </c>
      <c r="K835" s="9">
        <f t="shared" si="102"/>
        <v>1.1100000000000136</v>
      </c>
      <c r="L835">
        <f t="shared" si="103"/>
        <v>1.0600000000000023</v>
      </c>
      <c r="M835">
        <f t="shared" si="104"/>
        <v>-2.1100000000000136</v>
      </c>
      <c r="N835">
        <f t="shared" si="105"/>
        <v>-0.43999999999999773</v>
      </c>
      <c r="O835">
        <f t="shared" si="106"/>
        <v>0</v>
      </c>
      <c r="P835" s="10">
        <f t="shared" si="107"/>
        <v>0</v>
      </c>
    </row>
    <row r="836" spans="1:16">
      <c r="A836">
        <v>135.16999999999999</v>
      </c>
      <c r="B836" s="42">
        <v>143.01</v>
      </c>
      <c r="C836">
        <v>155.34</v>
      </c>
      <c r="D836">
        <v>155.56</v>
      </c>
      <c r="E836">
        <v>151.84</v>
      </c>
      <c r="F836">
        <v>124.73</v>
      </c>
      <c r="G836">
        <v>117.23</v>
      </c>
      <c r="H836">
        <v>107.95</v>
      </c>
      <c r="K836" s="9">
        <f t="shared" si="102"/>
        <v>0.56000000000000227</v>
      </c>
      <c r="L836">
        <f t="shared" si="103"/>
        <v>0.60999999999998522</v>
      </c>
      <c r="M836">
        <f t="shared" si="104"/>
        <v>-2.2800000000000011</v>
      </c>
      <c r="N836">
        <f t="shared" si="105"/>
        <v>-0.71999999999999886</v>
      </c>
      <c r="O836">
        <f t="shared" si="106"/>
        <v>-0.17000000000000171</v>
      </c>
      <c r="P836" s="10">
        <f t="shared" si="107"/>
        <v>-4.9999999999997158E-2</v>
      </c>
    </row>
    <row r="837" spans="1:16">
      <c r="A837">
        <v>135.33000000000001</v>
      </c>
      <c r="B837" s="42">
        <v>143.84</v>
      </c>
      <c r="C837">
        <v>155.62</v>
      </c>
      <c r="D837">
        <v>155.9</v>
      </c>
      <c r="E837">
        <v>152.4</v>
      </c>
      <c r="F837">
        <v>124.56</v>
      </c>
      <c r="G837">
        <v>117.17</v>
      </c>
      <c r="H837">
        <v>107.84</v>
      </c>
      <c r="K837" s="9">
        <f t="shared" si="102"/>
        <v>0.54999999999998295</v>
      </c>
      <c r="L837">
        <f t="shared" si="103"/>
        <v>0.5</v>
      </c>
      <c r="M837">
        <f t="shared" si="104"/>
        <v>-2.3400000000000034</v>
      </c>
      <c r="N837">
        <f t="shared" si="105"/>
        <v>-0.78000000000000114</v>
      </c>
      <c r="O837">
        <f t="shared" si="106"/>
        <v>-0.10999999999999943</v>
      </c>
      <c r="P837" s="10">
        <f t="shared" si="107"/>
        <v>-0.10999999999999943</v>
      </c>
    </row>
    <row r="838" spans="1:16">
      <c r="A838">
        <v>135.5</v>
      </c>
      <c r="B838" s="42">
        <v>143.4</v>
      </c>
      <c r="C838">
        <v>155.84</v>
      </c>
      <c r="D838">
        <v>156.12</v>
      </c>
      <c r="E838">
        <v>149.44999999999999</v>
      </c>
      <c r="F838">
        <v>124.34</v>
      </c>
      <c r="G838">
        <v>117.12</v>
      </c>
      <c r="H838">
        <v>107.95</v>
      </c>
      <c r="K838" s="9">
        <f t="shared" si="102"/>
        <v>0.60999999999998522</v>
      </c>
      <c r="L838">
        <f t="shared" si="103"/>
        <v>0.54999999999998295</v>
      </c>
      <c r="M838">
        <f t="shared" si="104"/>
        <v>-2.6099999999999852</v>
      </c>
      <c r="N838">
        <f t="shared" si="105"/>
        <v>-0.78000000000000114</v>
      </c>
      <c r="O838">
        <f t="shared" si="106"/>
        <v>-6.0000000000002274E-2</v>
      </c>
      <c r="P838" s="10">
        <f t="shared" si="107"/>
        <v>-0.21999999999999886</v>
      </c>
    </row>
    <row r="839" spans="1:16">
      <c r="A839">
        <v>135.66999999999999</v>
      </c>
      <c r="B839" s="42">
        <v>142.62</v>
      </c>
      <c r="C839">
        <v>155.9</v>
      </c>
      <c r="D839">
        <v>156.16999999999999</v>
      </c>
      <c r="E839">
        <v>149.56</v>
      </c>
      <c r="F839">
        <v>124.01</v>
      </c>
      <c r="G839">
        <v>117.06</v>
      </c>
      <c r="H839">
        <v>107.9</v>
      </c>
      <c r="K839" s="9">
        <f t="shared" si="102"/>
        <v>0.87999999999999545</v>
      </c>
      <c r="L839">
        <f t="shared" si="103"/>
        <v>0.84000000000000341</v>
      </c>
      <c r="M839">
        <f t="shared" si="104"/>
        <v>-4.5500000000000114</v>
      </c>
      <c r="N839">
        <f t="shared" si="105"/>
        <v>-0.5</v>
      </c>
      <c r="O839">
        <f t="shared" si="106"/>
        <v>-0.10999999999999943</v>
      </c>
      <c r="P839" s="10">
        <f t="shared" si="107"/>
        <v>-0.23000000000000398</v>
      </c>
    </row>
    <row r="840" spans="1:16">
      <c r="A840">
        <v>135.83000000000001</v>
      </c>
      <c r="B840" s="42">
        <v>143.9</v>
      </c>
      <c r="C840">
        <v>156.16999999999999</v>
      </c>
      <c r="D840">
        <v>156.4</v>
      </c>
      <c r="E840">
        <v>150.06</v>
      </c>
      <c r="F840">
        <v>123.78</v>
      </c>
      <c r="G840">
        <v>117.06</v>
      </c>
      <c r="H840">
        <v>107.73</v>
      </c>
      <c r="K840" s="9">
        <f t="shared" si="102"/>
        <v>0.95000000000001705</v>
      </c>
      <c r="L840">
        <f t="shared" si="103"/>
        <v>0.82999999999998408</v>
      </c>
      <c r="M840">
        <f t="shared" si="104"/>
        <v>-9.5</v>
      </c>
      <c r="N840">
        <f t="shared" si="105"/>
        <v>-1.2199999999999989</v>
      </c>
      <c r="O840">
        <f t="shared" si="106"/>
        <v>-0.21999999999999886</v>
      </c>
      <c r="P840" s="10">
        <f t="shared" si="107"/>
        <v>-0.39000000000000057</v>
      </c>
    </row>
    <row r="841" spans="1:16">
      <c r="A841">
        <v>136</v>
      </c>
      <c r="B841" s="42">
        <v>143.9</v>
      </c>
      <c r="C841">
        <v>156.44999999999999</v>
      </c>
      <c r="D841">
        <v>156.66999999999999</v>
      </c>
      <c r="E841">
        <v>146.84</v>
      </c>
      <c r="F841">
        <v>123.56</v>
      </c>
      <c r="G841">
        <v>117.06</v>
      </c>
      <c r="H841">
        <v>107.73</v>
      </c>
      <c r="K841" s="9">
        <f t="shared" si="102"/>
        <v>0.78000000000000114</v>
      </c>
      <c r="L841">
        <f t="shared" si="103"/>
        <v>0.73000000000001819</v>
      </c>
      <c r="M841">
        <f t="shared" si="104"/>
        <v>-7.4399999999999977</v>
      </c>
      <c r="N841">
        <f t="shared" si="105"/>
        <v>-1.2199999999999989</v>
      </c>
      <c r="O841">
        <f t="shared" si="106"/>
        <v>-0.32999999999999829</v>
      </c>
      <c r="P841" s="10">
        <f t="shared" si="107"/>
        <v>-0.89000000000000057</v>
      </c>
    </row>
    <row r="842" spans="1:16">
      <c r="A842">
        <v>136.16999999999999</v>
      </c>
      <c r="B842" s="42">
        <v>141.22999999999999</v>
      </c>
      <c r="C842">
        <v>156.78</v>
      </c>
      <c r="D842">
        <v>157.01</v>
      </c>
      <c r="E842">
        <v>145.01</v>
      </c>
      <c r="F842">
        <v>123.51</v>
      </c>
      <c r="G842">
        <v>116.95</v>
      </c>
      <c r="H842">
        <v>107.67</v>
      </c>
      <c r="K842" s="9">
        <f t="shared" si="102"/>
        <v>0.44999999999998863</v>
      </c>
      <c r="L842">
        <f t="shared" si="103"/>
        <v>0.5</v>
      </c>
      <c r="M842">
        <f t="shared" si="104"/>
        <v>-5.8400000000000034</v>
      </c>
      <c r="N842">
        <f t="shared" si="105"/>
        <v>-1.5</v>
      </c>
      <c r="O842">
        <f t="shared" si="106"/>
        <v>-0.32999999999999829</v>
      </c>
      <c r="P842" s="10">
        <f t="shared" si="107"/>
        <v>-1.5</v>
      </c>
    </row>
    <row r="843" spans="1:16">
      <c r="A843">
        <v>136.33000000000001</v>
      </c>
      <c r="B843" s="42">
        <v>142.62</v>
      </c>
      <c r="C843">
        <v>157.12</v>
      </c>
      <c r="D843">
        <v>157.22999999999999</v>
      </c>
      <c r="E843">
        <v>140.56</v>
      </c>
      <c r="F843">
        <v>122.56</v>
      </c>
      <c r="G843">
        <v>116.84</v>
      </c>
      <c r="H843">
        <v>107.34</v>
      </c>
      <c r="K843" s="9">
        <f t="shared" si="102"/>
        <v>0.21999999999999886</v>
      </c>
      <c r="L843">
        <f t="shared" si="103"/>
        <v>0.33000000000001251</v>
      </c>
      <c r="M843">
        <f t="shared" si="104"/>
        <v>-2.1599999999999966</v>
      </c>
      <c r="N843">
        <f t="shared" si="105"/>
        <v>-0.82999999999999829</v>
      </c>
      <c r="O843">
        <f t="shared" si="106"/>
        <v>-0.39000000000000057</v>
      </c>
      <c r="P843" s="10">
        <f t="shared" si="107"/>
        <v>-1.2800000000000011</v>
      </c>
    </row>
    <row r="844" spans="1:16">
      <c r="A844">
        <v>136.5</v>
      </c>
      <c r="B844" s="42">
        <v>140.06</v>
      </c>
      <c r="C844">
        <v>157.22999999999999</v>
      </c>
      <c r="D844">
        <v>157.4</v>
      </c>
      <c r="E844">
        <v>139.4</v>
      </c>
      <c r="F844">
        <v>122.34</v>
      </c>
      <c r="G844">
        <v>116.73</v>
      </c>
      <c r="H844">
        <v>106.84</v>
      </c>
      <c r="K844" s="9">
        <f t="shared" si="102"/>
        <v>0.28000000000000114</v>
      </c>
      <c r="L844">
        <f t="shared" si="103"/>
        <v>0.32999999999998408</v>
      </c>
      <c r="M844">
        <f t="shared" si="104"/>
        <v>-4.8900000000000148</v>
      </c>
      <c r="N844">
        <f t="shared" si="105"/>
        <v>-0.89000000000000057</v>
      </c>
      <c r="O844">
        <f t="shared" si="106"/>
        <v>-0.5</v>
      </c>
      <c r="P844" s="10">
        <f t="shared" si="107"/>
        <v>-1.1099999999999994</v>
      </c>
    </row>
    <row r="845" spans="1:16">
      <c r="A845">
        <v>136.66999999999999</v>
      </c>
      <c r="B845" s="42">
        <v>140.01</v>
      </c>
      <c r="C845">
        <v>157.22999999999999</v>
      </c>
      <c r="D845">
        <v>157.51</v>
      </c>
      <c r="E845">
        <v>139.16999999999999</v>
      </c>
      <c r="F845">
        <v>122.01</v>
      </c>
      <c r="G845">
        <v>116.62</v>
      </c>
      <c r="H845">
        <v>106.17</v>
      </c>
      <c r="K845" s="9">
        <f t="shared" si="102"/>
        <v>0.61000000000001364</v>
      </c>
      <c r="L845">
        <f t="shared" si="103"/>
        <v>0.5</v>
      </c>
      <c r="M845">
        <f t="shared" si="104"/>
        <v>-4.8299999999999841</v>
      </c>
      <c r="N845">
        <f t="shared" si="105"/>
        <v>-0.84000000000000341</v>
      </c>
      <c r="O845">
        <f t="shared" si="106"/>
        <v>-0.60999999999999943</v>
      </c>
      <c r="P845" s="10">
        <f t="shared" si="107"/>
        <v>-0.43999999999999773</v>
      </c>
    </row>
    <row r="846" spans="1:16">
      <c r="A846">
        <v>136.83000000000001</v>
      </c>
      <c r="B846" s="42">
        <v>140.01</v>
      </c>
      <c r="C846">
        <v>157.34</v>
      </c>
      <c r="D846">
        <v>157.56</v>
      </c>
      <c r="E846">
        <v>138.4</v>
      </c>
      <c r="F846">
        <v>121.73</v>
      </c>
      <c r="G846">
        <v>116.45</v>
      </c>
      <c r="H846">
        <v>106.06</v>
      </c>
      <c r="K846" s="9">
        <f t="shared" si="102"/>
        <v>0.56000000000000227</v>
      </c>
      <c r="L846">
        <f t="shared" si="103"/>
        <v>0.56000000000000227</v>
      </c>
      <c r="M846">
        <f t="shared" si="104"/>
        <v>-2.8400000000000034</v>
      </c>
      <c r="N846">
        <f t="shared" si="105"/>
        <v>-0.89000000000000057</v>
      </c>
      <c r="O846">
        <f t="shared" si="106"/>
        <v>-0.60999999999999943</v>
      </c>
      <c r="P846" s="10">
        <f t="shared" si="107"/>
        <v>-0.43999999999999773</v>
      </c>
    </row>
    <row r="847" spans="1:16">
      <c r="A847">
        <v>137</v>
      </c>
      <c r="B847" s="42">
        <v>140.62</v>
      </c>
      <c r="C847">
        <v>157.51</v>
      </c>
      <c r="D847">
        <v>157.72999999999999</v>
      </c>
      <c r="E847">
        <v>134.51</v>
      </c>
      <c r="F847">
        <v>121.45</v>
      </c>
      <c r="G847">
        <v>116.23</v>
      </c>
      <c r="H847">
        <v>105.73</v>
      </c>
      <c r="K847" s="9">
        <f t="shared" si="102"/>
        <v>0.65999999999999659</v>
      </c>
      <c r="L847">
        <f t="shared" si="103"/>
        <v>0.71999999999999886</v>
      </c>
      <c r="M847">
        <f t="shared" si="104"/>
        <v>2.3900000000000148</v>
      </c>
      <c r="N847">
        <f t="shared" si="105"/>
        <v>-0.82999999999999829</v>
      </c>
      <c r="O847">
        <f t="shared" si="106"/>
        <v>-0.5</v>
      </c>
      <c r="P847" s="10">
        <f t="shared" si="107"/>
        <v>-0.17000000000000171</v>
      </c>
    </row>
    <row r="848" spans="1:16">
      <c r="A848">
        <v>137.16999999999999</v>
      </c>
      <c r="B848" s="42">
        <v>141.66999999999999</v>
      </c>
      <c r="C848">
        <v>157.84</v>
      </c>
      <c r="D848">
        <v>158.01</v>
      </c>
      <c r="E848">
        <v>134.34</v>
      </c>
      <c r="F848">
        <v>121.17</v>
      </c>
      <c r="G848">
        <v>116.01</v>
      </c>
      <c r="H848">
        <v>105.73</v>
      </c>
      <c r="K848" s="9">
        <f t="shared" si="102"/>
        <v>0.43999999999999773</v>
      </c>
      <c r="L848">
        <f t="shared" si="103"/>
        <v>0.61000000000001364</v>
      </c>
      <c r="M848">
        <f t="shared" si="104"/>
        <v>3.5</v>
      </c>
      <c r="N848">
        <f t="shared" si="105"/>
        <v>-0.89000000000000057</v>
      </c>
      <c r="O848">
        <f t="shared" si="106"/>
        <v>-0.67000000000000171</v>
      </c>
      <c r="P848" s="10">
        <f t="shared" si="107"/>
        <v>-0.28000000000000114</v>
      </c>
    </row>
    <row r="849" spans="1:16">
      <c r="A849">
        <v>137.33000000000001</v>
      </c>
      <c r="B849" s="42">
        <v>142.94999999999999</v>
      </c>
      <c r="C849">
        <v>157.9</v>
      </c>
      <c r="D849">
        <v>158.12</v>
      </c>
      <c r="E849">
        <v>135.56</v>
      </c>
      <c r="F849">
        <v>120.84</v>
      </c>
      <c r="G849">
        <v>115.84</v>
      </c>
      <c r="H849">
        <v>105.62</v>
      </c>
      <c r="K849" s="9">
        <f t="shared" si="102"/>
        <v>0.37999999999999545</v>
      </c>
      <c r="L849">
        <f t="shared" si="103"/>
        <v>0.60999999999998522</v>
      </c>
      <c r="M849">
        <f t="shared" si="104"/>
        <v>3.5600000000000023</v>
      </c>
      <c r="N849">
        <f t="shared" si="105"/>
        <v>-0.82999999999999829</v>
      </c>
      <c r="O849">
        <f t="shared" si="106"/>
        <v>-0.60999999999999943</v>
      </c>
      <c r="P849" s="10">
        <f t="shared" si="107"/>
        <v>-0.17000000000000171</v>
      </c>
    </row>
    <row r="850" spans="1:16">
      <c r="A850">
        <v>137.5</v>
      </c>
      <c r="B850" s="42">
        <v>144.06</v>
      </c>
      <c r="C850">
        <v>158.16999999999999</v>
      </c>
      <c r="D850">
        <v>158.44999999999999</v>
      </c>
      <c r="E850">
        <v>136.9</v>
      </c>
      <c r="F850">
        <v>120.62</v>
      </c>
      <c r="G850">
        <v>115.73</v>
      </c>
      <c r="H850">
        <v>105.56</v>
      </c>
      <c r="K850" s="9">
        <f t="shared" si="102"/>
        <v>0.34000000000000341</v>
      </c>
      <c r="L850">
        <f t="shared" si="103"/>
        <v>0.5</v>
      </c>
      <c r="M850">
        <f t="shared" si="104"/>
        <v>-0.45000000000001705</v>
      </c>
      <c r="N850">
        <f t="shared" si="105"/>
        <v>-0.60999999999999943</v>
      </c>
      <c r="O850">
        <f t="shared" si="106"/>
        <v>-0.56000000000000227</v>
      </c>
      <c r="P850" s="10">
        <f t="shared" si="107"/>
        <v>-0.10999999999999943</v>
      </c>
    </row>
    <row r="851" spans="1:16">
      <c r="A851">
        <v>137.66999999999999</v>
      </c>
      <c r="B851" s="42">
        <v>145.06</v>
      </c>
      <c r="C851">
        <v>158.28</v>
      </c>
      <c r="D851">
        <v>158.62</v>
      </c>
      <c r="E851">
        <v>137.84</v>
      </c>
      <c r="F851">
        <v>120.28</v>
      </c>
      <c r="G851">
        <v>115.34</v>
      </c>
      <c r="H851">
        <v>105.45</v>
      </c>
      <c r="K851" s="9">
        <f t="shared" si="102"/>
        <v>0.38999999999998636</v>
      </c>
      <c r="L851">
        <f t="shared" si="103"/>
        <v>0.32999999999998408</v>
      </c>
      <c r="M851">
        <f t="shared" si="104"/>
        <v>-5.0600000000000023</v>
      </c>
      <c r="N851">
        <f t="shared" si="105"/>
        <v>-0.32999999999999829</v>
      </c>
      <c r="O851">
        <f t="shared" si="106"/>
        <v>-0.32999999999999829</v>
      </c>
      <c r="P851" s="10">
        <f t="shared" si="107"/>
        <v>0</v>
      </c>
    </row>
    <row r="852" spans="1:16">
      <c r="A852">
        <v>137.83000000000001</v>
      </c>
      <c r="B852" s="42">
        <v>146.01</v>
      </c>
      <c r="C852">
        <v>158.28</v>
      </c>
      <c r="D852">
        <v>158.72999999999999</v>
      </c>
      <c r="E852">
        <v>139.12</v>
      </c>
      <c r="F852">
        <v>120.01</v>
      </c>
      <c r="G852">
        <v>115.23</v>
      </c>
      <c r="H852">
        <v>105.45</v>
      </c>
      <c r="K852" s="9">
        <f t="shared" si="102"/>
        <v>0.44999999999998863</v>
      </c>
      <c r="L852">
        <f t="shared" si="103"/>
        <v>0.28000000000000114</v>
      </c>
      <c r="M852">
        <f t="shared" si="104"/>
        <v>-9</v>
      </c>
      <c r="N852">
        <f t="shared" si="105"/>
        <v>0</v>
      </c>
      <c r="O852">
        <f t="shared" si="106"/>
        <v>-0.39000000000000057</v>
      </c>
      <c r="P852" s="10">
        <f t="shared" si="107"/>
        <v>0</v>
      </c>
    </row>
    <row r="853" spans="1:16">
      <c r="A853">
        <v>138</v>
      </c>
      <c r="B853" s="42">
        <v>147.06</v>
      </c>
      <c r="C853">
        <v>158.51</v>
      </c>
      <c r="D853">
        <v>158.94999999999999</v>
      </c>
      <c r="E853">
        <v>136.44999999999999</v>
      </c>
      <c r="F853">
        <v>120.01</v>
      </c>
      <c r="G853">
        <v>115.17</v>
      </c>
      <c r="H853">
        <v>105.45</v>
      </c>
      <c r="K853" s="9">
        <f t="shared" si="102"/>
        <v>0.33000000000001251</v>
      </c>
      <c r="L853">
        <f t="shared" si="103"/>
        <v>6.0000000000002274E-2</v>
      </c>
      <c r="M853">
        <f t="shared" si="104"/>
        <v>-6.5</v>
      </c>
      <c r="N853">
        <f t="shared" si="105"/>
        <v>-0.10999999999999943</v>
      </c>
      <c r="O853">
        <f t="shared" si="106"/>
        <v>-0.32999999999999829</v>
      </c>
      <c r="P853" s="10">
        <f t="shared" si="107"/>
        <v>0.17000000000000171</v>
      </c>
    </row>
    <row r="854" spans="1:16">
      <c r="A854">
        <v>138.16999999999999</v>
      </c>
      <c r="B854" s="42">
        <v>147.51</v>
      </c>
      <c r="C854">
        <v>158.66999999999999</v>
      </c>
      <c r="D854">
        <v>158.94999999999999</v>
      </c>
      <c r="E854">
        <v>132.78</v>
      </c>
      <c r="F854">
        <v>119.95</v>
      </c>
      <c r="G854">
        <v>115.01</v>
      </c>
      <c r="H854">
        <v>105.45</v>
      </c>
      <c r="K854" s="9">
        <f t="shared" si="102"/>
        <v>0.45000000000001705</v>
      </c>
      <c r="L854">
        <f t="shared" si="103"/>
        <v>0.33000000000001251</v>
      </c>
      <c r="M854">
        <f t="shared" si="104"/>
        <v>-0.5</v>
      </c>
      <c r="N854">
        <f t="shared" si="105"/>
        <v>-0.5</v>
      </c>
      <c r="O854">
        <f t="shared" si="106"/>
        <v>-0.28000000000000114</v>
      </c>
      <c r="P854" s="10">
        <f t="shared" si="107"/>
        <v>0.21999999999999886</v>
      </c>
    </row>
    <row r="855" spans="1:16">
      <c r="A855">
        <v>138.33000000000001</v>
      </c>
      <c r="B855" s="42">
        <v>146.9</v>
      </c>
      <c r="C855">
        <v>158.72999999999999</v>
      </c>
      <c r="D855">
        <v>159.01</v>
      </c>
      <c r="E855">
        <v>130.12</v>
      </c>
      <c r="F855">
        <v>120.01</v>
      </c>
      <c r="G855">
        <v>114.84</v>
      </c>
      <c r="H855">
        <v>105.45</v>
      </c>
      <c r="K855" s="9">
        <f t="shared" si="102"/>
        <v>0.61000000000001364</v>
      </c>
      <c r="L855">
        <f t="shared" si="103"/>
        <v>0.61000000000001364</v>
      </c>
      <c r="M855">
        <f t="shared" si="104"/>
        <v>4.1099999999999852</v>
      </c>
      <c r="N855">
        <f t="shared" si="105"/>
        <v>-0.56000000000000227</v>
      </c>
      <c r="O855">
        <f t="shared" si="106"/>
        <v>-0.17000000000000171</v>
      </c>
      <c r="P855" s="10">
        <f t="shared" si="107"/>
        <v>0.17000000000000171</v>
      </c>
    </row>
    <row r="856" spans="1:16">
      <c r="A856">
        <v>138.5</v>
      </c>
      <c r="B856" s="42">
        <v>142.9</v>
      </c>
      <c r="C856">
        <v>158.84</v>
      </c>
      <c r="D856">
        <v>159.01</v>
      </c>
      <c r="E856">
        <v>129.94999999999999</v>
      </c>
      <c r="F856">
        <v>119.9</v>
      </c>
      <c r="G856">
        <v>114.84</v>
      </c>
      <c r="H856">
        <v>105.62</v>
      </c>
      <c r="K856" s="9">
        <f t="shared" si="102"/>
        <v>0.66999999999998749</v>
      </c>
      <c r="L856">
        <f t="shared" si="103"/>
        <v>0.65999999999999659</v>
      </c>
      <c r="M856">
        <f t="shared" si="104"/>
        <v>5.7199999999999989</v>
      </c>
      <c r="N856">
        <f t="shared" si="105"/>
        <v>-0.5</v>
      </c>
      <c r="O856">
        <f t="shared" si="106"/>
        <v>-0.28000000000000114</v>
      </c>
      <c r="P856" s="10">
        <f t="shared" si="107"/>
        <v>-6.0000000000002274E-2</v>
      </c>
    </row>
    <row r="857" spans="1:16">
      <c r="A857">
        <v>138.66999999999999</v>
      </c>
      <c r="B857" s="42">
        <v>143.44999999999999</v>
      </c>
      <c r="C857">
        <v>159.12</v>
      </c>
      <c r="D857">
        <v>159.28</v>
      </c>
      <c r="E857">
        <v>132.28</v>
      </c>
      <c r="F857">
        <v>119.45</v>
      </c>
      <c r="G857">
        <v>114.73</v>
      </c>
      <c r="H857">
        <v>105.67</v>
      </c>
      <c r="K857" s="9">
        <f t="shared" ref="K857:K920" si="108">C860-C857</f>
        <v>0.5</v>
      </c>
      <c r="L857">
        <f t="shared" ref="L857:L920" si="109">D860-D857</f>
        <v>0.5</v>
      </c>
      <c r="M857">
        <f t="shared" ref="M857:M920" si="110">E860-E857</f>
        <v>2.5600000000000023</v>
      </c>
      <c r="N857">
        <f t="shared" ref="N857:N920" si="111">F860-F857</f>
        <v>-0.17000000000000171</v>
      </c>
      <c r="O857">
        <f t="shared" ref="O857:O920" si="112">G860-G857</f>
        <v>-0.21999999999999886</v>
      </c>
      <c r="P857" s="10">
        <f t="shared" ref="P857:P920" si="113">H860-H857</f>
        <v>-4.9999999999997158E-2</v>
      </c>
    </row>
    <row r="858" spans="1:16">
      <c r="A858">
        <v>138.83000000000001</v>
      </c>
      <c r="B858" s="42">
        <v>141.44999999999999</v>
      </c>
      <c r="C858">
        <v>159.34</v>
      </c>
      <c r="D858">
        <v>159.62</v>
      </c>
      <c r="E858">
        <v>134.22999999999999</v>
      </c>
      <c r="F858">
        <v>119.45</v>
      </c>
      <c r="G858">
        <v>114.67</v>
      </c>
      <c r="H858">
        <v>105.62</v>
      </c>
      <c r="K858" s="9">
        <f t="shared" si="108"/>
        <v>0.32999999999998408</v>
      </c>
      <c r="L858">
        <f t="shared" si="109"/>
        <v>0.32999999999998408</v>
      </c>
      <c r="M858">
        <f t="shared" si="110"/>
        <v>-3.2800000000000011</v>
      </c>
      <c r="N858">
        <f t="shared" si="111"/>
        <v>-0.39000000000000057</v>
      </c>
      <c r="O858">
        <f t="shared" si="112"/>
        <v>-0.26999999999999602</v>
      </c>
      <c r="P858" s="10">
        <f t="shared" si="113"/>
        <v>4.9999999999997158E-2</v>
      </c>
    </row>
    <row r="859" spans="1:16">
      <c r="A859">
        <v>139</v>
      </c>
      <c r="B859" s="42">
        <v>140.62</v>
      </c>
      <c r="C859">
        <v>159.51</v>
      </c>
      <c r="D859">
        <v>159.66999999999999</v>
      </c>
      <c r="E859">
        <v>135.66999999999999</v>
      </c>
      <c r="F859">
        <v>119.4</v>
      </c>
      <c r="G859">
        <v>114.56</v>
      </c>
      <c r="H859">
        <v>105.56</v>
      </c>
      <c r="K859" s="9">
        <f t="shared" si="108"/>
        <v>0.43999999999999773</v>
      </c>
      <c r="L859">
        <f t="shared" si="109"/>
        <v>0.5</v>
      </c>
      <c r="M859">
        <f t="shared" si="110"/>
        <v>-7.8299999999999841</v>
      </c>
      <c r="N859">
        <f t="shared" si="111"/>
        <v>-0.73000000000000398</v>
      </c>
      <c r="O859">
        <f t="shared" si="112"/>
        <v>-0.15999999999999659</v>
      </c>
      <c r="P859" s="10">
        <f t="shared" si="113"/>
        <v>0.17000000000000171</v>
      </c>
    </row>
    <row r="860" spans="1:16">
      <c r="A860">
        <v>139.16999999999999</v>
      </c>
      <c r="B860" s="42">
        <v>142.4</v>
      </c>
      <c r="C860">
        <v>159.62</v>
      </c>
      <c r="D860">
        <v>159.78</v>
      </c>
      <c r="E860">
        <v>134.84</v>
      </c>
      <c r="F860">
        <v>119.28</v>
      </c>
      <c r="G860">
        <v>114.51</v>
      </c>
      <c r="H860">
        <v>105.62</v>
      </c>
      <c r="K860" s="9">
        <f t="shared" si="108"/>
        <v>0.38999999999998636</v>
      </c>
      <c r="L860">
        <f t="shared" si="109"/>
        <v>0.5</v>
      </c>
      <c r="M860">
        <f t="shared" si="110"/>
        <v>-7.8900000000000006</v>
      </c>
      <c r="N860">
        <f t="shared" si="111"/>
        <v>-1.0499999999999972</v>
      </c>
      <c r="O860">
        <f t="shared" si="112"/>
        <v>-0.28000000000000114</v>
      </c>
      <c r="P860" s="10">
        <f t="shared" si="113"/>
        <v>4.9999999999997158E-2</v>
      </c>
    </row>
    <row r="861" spans="1:16">
      <c r="A861">
        <v>139.33000000000001</v>
      </c>
      <c r="B861" s="42">
        <v>141.72999999999999</v>
      </c>
      <c r="C861">
        <v>159.66999999999999</v>
      </c>
      <c r="D861">
        <v>159.94999999999999</v>
      </c>
      <c r="E861">
        <v>130.94999999999999</v>
      </c>
      <c r="F861">
        <v>119.06</v>
      </c>
      <c r="G861">
        <v>114.4</v>
      </c>
      <c r="H861">
        <v>105.67</v>
      </c>
      <c r="K861" s="9">
        <f t="shared" si="108"/>
        <v>0.61000000000001364</v>
      </c>
      <c r="L861">
        <f t="shared" si="109"/>
        <v>0.56000000000000227</v>
      </c>
      <c r="M861">
        <f t="shared" si="110"/>
        <v>-2.3899999999999864</v>
      </c>
      <c r="N861">
        <f t="shared" si="111"/>
        <v>-1</v>
      </c>
      <c r="O861">
        <f t="shared" si="112"/>
        <v>-0.17000000000000171</v>
      </c>
      <c r="P861" s="10">
        <f t="shared" si="113"/>
        <v>-0.32999999999999829</v>
      </c>
    </row>
    <row r="862" spans="1:16">
      <c r="A862">
        <v>139.5</v>
      </c>
      <c r="B862" s="42">
        <v>138.72999999999999</v>
      </c>
      <c r="C862">
        <v>159.94999999999999</v>
      </c>
      <c r="D862">
        <v>160.16999999999999</v>
      </c>
      <c r="E862">
        <v>127.84</v>
      </c>
      <c r="F862">
        <v>118.67</v>
      </c>
      <c r="G862">
        <v>114.4</v>
      </c>
      <c r="H862">
        <v>105.73</v>
      </c>
      <c r="K862" s="9">
        <f t="shared" si="108"/>
        <v>0.45000000000001705</v>
      </c>
      <c r="L862">
        <f t="shared" si="109"/>
        <v>0.39000000000001478</v>
      </c>
      <c r="M862">
        <f t="shared" si="110"/>
        <v>2.7800000000000011</v>
      </c>
      <c r="N862">
        <f t="shared" si="111"/>
        <v>-0.76999999999999602</v>
      </c>
      <c r="O862">
        <f t="shared" si="112"/>
        <v>-0.23000000000000398</v>
      </c>
      <c r="P862" s="10">
        <f t="shared" si="113"/>
        <v>-0.56000000000000227</v>
      </c>
    </row>
    <row r="863" spans="1:16">
      <c r="A863">
        <v>139.66999999999999</v>
      </c>
      <c r="B863" s="42">
        <v>139.34</v>
      </c>
      <c r="C863">
        <v>160.01</v>
      </c>
      <c r="D863">
        <v>160.28</v>
      </c>
      <c r="E863">
        <v>126.95</v>
      </c>
      <c r="F863">
        <v>118.23</v>
      </c>
      <c r="G863">
        <v>114.23</v>
      </c>
      <c r="H863">
        <v>105.67</v>
      </c>
      <c r="K863" s="9">
        <f t="shared" si="108"/>
        <v>0.43999999999999773</v>
      </c>
      <c r="L863">
        <f t="shared" si="109"/>
        <v>0.34000000000000341</v>
      </c>
      <c r="M863">
        <f t="shared" si="110"/>
        <v>5.9500000000000028</v>
      </c>
      <c r="N863">
        <f t="shared" si="111"/>
        <v>-0.39000000000000057</v>
      </c>
      <c r="O863">
        <f t="shared" si="112"/>
        <v>-0.17000000000000171</v>
      </c>
      <c r="P863" s="10">
        <f t="shared" si="113"/>
        <v>-0.60999999999999943</v>
      </c>
    </row>
    <row r="864" spans="1:16">
      <c r="A864">
        <v>139.83000000000001</v>
      </c>
      <c r="B864" s="42">
        <v>141.34</v>
      </c>
      <c r="C864">
        <v>160.28</v>
      </c>
      <c r="D864">
        <v>160.51</v>
      </c>
      <c r="E864">
        <v>128.56</v>
      </c>
      <c r="F864">
        <v>118.06</v>
      </c>
      <c r="G864">
        <v>114.23</v>
      </c>
      <c r="H864">
        <v>105.34</v>
      </c>
      <c r="K864" s="9">
        <f t="shared" si="108"/>
        <v>-1.5</v>
      </c>
      <c r="L864">
        <f t="shared" si="109"/>
        <v>-0.88999999999998636</v>
      </c>
      <c r="M864">
        <f t="shared" si="110"/>
        <v>6.6699999999999875</v>
      </c>
      <c r="N864">
        <f t="shared" si="111"/>
        <v>-0.82999999999999829</v>
      </c>
      <c r="O864">
        <f t="shared" si="112"/>
        <v>-0.32999999999999829</v>
      </c>
      <c r="P864" s="10">
        <f t="shared" si="113"/>
        <v>-0.39000000000000057</v>
      </c>
    </row>
    <row r="865" spans="1:16">
      <c r="A865">
        <v>140</v>
      </c>
      <c r="B865" s="42">
        <v>141.84</v>
      </c>
      <c r="C865">
        <v>160.4</v>
      </c>
      <c r="D865">
        <v>160.56</v>
      </c>
      <c r="E865">
        <v>130.62</v>
      </c>
      <c r="F865">
        <v>117.9</v>
      </c>
      <c r="G865">
        <v>114.17</v>
      </c>
      <c r="H865">
        <v>105.17</v>
      </c>
      <c r="K865" s="9">
        <f t="shared" si="108"/>
        <v>-2.8400000000000034</v>
      </c>
      <c r="L865">
        <f t="shared" si="109"/>
        <v>-2.0500000000000114</v>
      </c>
      <c r="M865">
        <f t="shared" si="110"/>
        <v>6.6599999999999966</v>
      </c>
      <c r="N865">
        <f t="shared" si="111"/>
        <v>-0.95000000000000284</v>
      </c>
      <c r="O865">
        <f t="shared" si="112"/>
        <v>-0.39000000000000057</v>
      </c>
      <c r="P865" s="10">
        <f t="shared" si="113"/>
        <v>-0.21999999999999886</v>
      </c>
    </row>
    <row r="866" spans="1:16">
      <c r="A866">
        <v>140.16999999999999</v>
      </c>
      <c r="B866" s="42">
        <v>139.78</v>
      </c>
      <c r="C866">
        <v>160.44999999999999</v>
      </c>
      <c r="D866">
        <v>160.62</v>
      </c>
      <c r="E866">
        <v>132.9</v>
      </c>
      <c r="F866">
        <v>117.84</v>
      </c>
      <c r="G866">
        <v>114.06</v>
      </c>
      <c r="H866">
        <v>105.06</v>
      </c>
      <c r="K866" s="9">
        <f t="shared" si="108"/>
        <v>-3.8899999999999864</v>
      </c>
      <c r="L866">
        <f t="shared" si="109"/>
        <v>-2.8900000000000148</v>
      </c>
      <c r="M866">
        <f t="shared" si="110"/>
        <v>6.4399999999999977</v>
      </c>
      <c r="N866">
        <f t="shared" si="111"/>
        <v>-1.0600000000000023</v>
      </c>
      <c r="O866">
        <f t="shared" si="112"/>
        <v>-0.28000000000000114</v>
      </c>
      <c r="P866" s="10">
        <f t="shared" si="113"/>
        <v>-0.10999999999999943</v>
      </c>
    </row>
    <row r="867" spans="1:16">
      <c r="A867">
        <v>140.33000000000001</v>
      </c>
      <c r="B867" s="42">
        <v>137.51</v>
      </c>
      <c r="C867">
        <v>158.78</v>
      </c>
      <c r="D867">
        <v>159.62</v>
      </c>
      <c r="E867">
        <v>135.22999999999999</v>
      </c>
      <c r="F867">
        <v>117.23</v>
      </c>
      <c r="G867">
        <v>113.9</v>
      </c>
      <c r="H867">
        <v>104.95</v>
      </c>
      <c r="K867" s="9">
        <f t="shared" si="108"/>
        <v>-1.4399999999999977</v>
      </c>
      <c r="L867">
        <f t="shared" si="109"/>
        <v>-1.6100000000000136</v>
      </c>
      <c r="M867">
        <f t="shared" si="110"/>
        <v>5.7800000000000011</v>
      </c>
      <c r="N867">
        <f t="shared" si="111"/>
        <v>-0.56000000000000227</v>
      </c>
      <c r="O867">
        <f t="shared" si="112"/>
        <v>-0.17000000000000171</v>
      </c>
      <c r="P867" s="10">
        <f t="shared" si="113"/>
        <v>-0.17000000000000171</v>
      </c>
    </row>
    <row r="868" spans="1:16">
      <c r="A868">
        <v>140.5</v>
      </c>
      <c r="B868" s="42">
        <v>136.66999999999999</v>
      </c>
      <c r="C868">
        <v>157.56</v>
      </c>
      <c r="D868">
        <v>158.51</v>
      </c>
      <c r="E868">
        <v>137.28</v>
      </c>
      <c r="F868">
        <v>116.95</v>
      </c>
      <c r="G868">
        <v>113.78</v>
      </c>
      <c r="H868">
        <v>104.95</v>
      </c>
      <c r="K868" s="9">
        <f t="shared" si="108"/>
        <v>0.44999999999998863</v>
      </c>
      <c r="L868">
        <f t="shared" si="109"/>
        <v>0</v>
      </c>
      <c r="M868">
        <f t="shared" si="110"/>
        <v>8.3899999999999864</v>
      </c>
      <c r="N868">
        <f t="shared" si="111"/>
        <v>-0.5</v>
      </c>
      <c r="O868">
        <f t="shared" si="112"/>
        <v>-0.21999999999999886</v>
      </c>
      <c r="P868" s="10">
        <f t="shared" si="113"/>
        <v>-4.9999999999997158E-2</v>
      </c>
    </row>
    <row r="869" spans="1:16">
      <c r="A869">
        <v>140.66999999999999</v>
      </c>
      <c r="B869" s="42">
        <v>138.9</v>
      </c>
      <c r="C869">
        <v>156.56</v>
      </c>
      <c r="D869">
        <v>157.72999999999999</v>
      </c>
      <c r="E869">
        <v>139.34</v>
      </c>
      <c r="F869">
        <v>116.78</v>
      </c>
      <c r="G869">
        <v>113.78</v>
      </c>
      <c r="H869">
        <v>104.95</v>
      </c>
      <c r="K869" s="9">
        <f t="shared" si="108"/>
        <v>2.3899999999999864</v>
      </c>
      <c r="L869">
        <f t="shared" si="109"/>
        <v>1.5</v>
      </c>
      <c r="M869">
        <f t="shared" si="110"/>
        <v>16.829999999999984</v>
      </c>
      <c r="N869">
        <f t="shared" si="111"/>
        <v>-0.5</v>
      </c>
      <c r="O869">
        <f t="shared" si="112"/>
        <v>-0.21999999999999886</v>
      </c>
      <c r="P869" s="10">
        <f t="shared" si="113"/>
        <v>-0.10999999999999943</v>
      </c>
    </row>
    <row r="870" spans="1:16">
      <c r="A870">
        <v>140.83000000000001</v>
      </c>
      <c r="B870" s="42">
        <v>140.84</v>
      </c>
      <c r="C870">
        <v>157.34</v>
      </c>
      <c r="D870">
        <v>158.01</v>
      </c>
      <c r="E870">
        <v>141.01</v>
      </c>
      <c r="F870">
        <v>116.67</v>
      </c>
      <c r="G870">
        <v>113.73</v>
      </c>
      <c r="H870">
        <v>104.78</v>
      </c>
      <c r="K870" s="9">
        <f t="shared" si="108"/>
        <v>2.2800000000000011</v>
      </c>
      <c r="L870">
        <f t="shared" si="109"/>
        <v>1.7199999999999989</v>
      </c>
      <c r="M870">
        <f t="shared" si="110"/>
        <v>30.110000000000014</v>
      </c>
      <c r="N870">
        <f t="shared" si="111"/>
        <v>-0.32999999999999829</v>
      </c>
      <c r="O870">
        <f t="shared" si="112"/>
        <v>-0.17000000000000171</v>
      </c>
      <c r="P870" s="10">
        <f t="shared" si="113"/>
        <v>0</v>
      </c>
    </row>
    <row r="871" spans="1:16">
      <c r="A871">
        <v>141</v>
      </c>
      <c r="B871" s="42">
        <v>143.28</v>
      </c>
      <c r="C871">
        <v>158.01</v>
      </c>
      <c r="D871">
        <v>158.51</v>
      </c>
      <c r="E871">
        <v>145.66999999999999</v>
      </c>
      <c r="F871">
        <v>116.45</v>
      </c>
      <c r="G871">
        <v>113.56</v>
      </c>
      <c r="H871">
        <v>104.9</v>
      </c>
      <c r="K871" s="9">
        <f t="shared" si="108"/>
        <v>2.3900000000000148</v>
      </c>
      <c r="L871">
        <f t="shared" si="109"/>
        <v>1.7700000000000102</v>
      </c>
      <c r="M871">
        <f t="shared" si="110"/>
        <v>31.730000000000018</v>
      </c>
      <c r="N871">
        <f t="shared" si="111"/>
        <v>-0.17000000000000171</v>
      </c>
      <c r="O871">
        <f t="shared" si="112"/>
        <v>0</v>
      </c>
      <c r="P871" s="10">
        <f t="shared" si="113"/>
        <v>-6.0000000000002274E-2</v>
      </c>
    </row>
    <row r="872" spans="1:16">
      <c r="A872">
        <v>141.16999999999999</v>
      </c>
      <c r="B872" s="42">
        <v>149.44999999999999</v>
      </c>
      <c r="C872">
        <v>158.94999999999999</v>
      </c>
      <c r="D872">
        <v>159.22999999999999</v>
      </c>
      <c r="E872">
        <v>156.16999999999999</v>
      </c>
      <c r="F872">
        <v>116.28</v>
      </c>
      <c r="G872">
        <v>113.56</v>
      </c>
      <c r="H872">
        <v>104.84</v>
      </c>
      <c r="K872" s="9">
        <f t="shared" si="108"/>
        <v>2.4500000000000171</v>
      </c>
      <c r="L872">
        <f t="shared" si="109"/>
        <v>1.7800000000000011</v>
      </c>
      <c r="M872">
        <f t="shared" si="110"/>
        <v>26.670000000000016</v>
      </c>
      <c r="N872">
        <f t="shared" si="111"/>
        <v>-0.15999999999999659</v>
      </c>
      <c r="O872">
        <f t="shared" si="112"/>
        <v>-4.9999999999997158E-2</v>
      </c>
      <c r="P872" s="10">
        <f t="shared" si="113"/>
        <v>-0.39000000000000057</v>
      </c>
    </row>
    <row r="873" spans="1:16">
      <c r="A873">
        <v>141.33000000000001</v>
      </c>
      <c r="B873" s="42">
        <v>161.34</v>
      </c>
      <c r="C873">
        <v>159.62</v>
      </c>
      <c r="D873">
        <v>159.72999999999999</v>
      </c>
      <c r="E873">
        <v>171.12</v>
      </c>
      <c r="F873">
        <v>116.34</v>
      </c>
      <c r="G873">
        <v>113.56</v>
      </c>
      <c r="H873">
        <v>104.78</v>
      </c>
      <c r="K873" s="9">
        <f t="shared" si="108"/>
        <v>3</v>
      </c>
      <c r="L873">
        <f t="shared" si="109"/>
        <v>2.3300000000000125</v>
      </c>
      <c r="M873">
        <f t="shared" si="110"/>
        <v>7.8899999999999864</v>
      </c>
      <c r="N873">
        <f t="shared" si="111"/>
        <v>-0.17000000000000171</v>
      </c>
      <c r="O873">
        <f t="shared" si="112"/>
        <v>6.0000000000002274E-2</v>
      </c>
      <c r="P873" s="10">
        <f t="shared" si="113"/>
        <v>-0.32999999999999829</v>
      </c>
    </row>
    <row r="874" spans="1:16">
      <c r="A874">
        <v>141.5</v>
      </c>
      <c r="B874" s="42">
        <v>264.62</v>
      </c>
      <c r="C874">
        <v>160.4</v>
      </c>
      <c r="D874">
        <v>160.28</v>
      </c>
      <c r="E874">
        <v>177.4</v>
      </c>
      <c r="F874">
        <v>116.28</v>
      </c>
      <c r="G874">
        <v>113.56</v>
      </c>
      <c r="H874">
        <v>104.84</v>
      </c>
      <c r="K874" s="9">
        <f t="shared" si="108"/>
        <v>3</v>
      </c>
      <c r="L874">
        <f t="shared" si="109"/>
        <v>2.5</v>
      </c>
      <c r="M874">
        <f t="shared" si="110"/>
        <v>-5.8900000000000148</v>
      </c>
      <c r="N874">
        <f t="shared" si="111"/>
        <v>-0.10999999999999943</v>
      </c>
      <c r="O874">
        <f t="shared" si="112"/>
        <v>0</v>
      </c>
      <c r="P874" s="10">
        <f t="shared" si="113"/>
        <v>-0.5</v>
      </c>
    </row>
    <row r="875" spans="1:16">
      <c r="A875">
        <v>141.66999999999999</v>
      </c>
      <c r="B875" s="42">
        <v>267.89999999999998</v>
      </c>
      <c r="C875">
        <v>161.4</v>
      </c>
      <c r="D875">
        <v>161.01</v>
      </c>
      <c r="E875">
        <v>182.84</v>
      </c>
      <c r="F875">
        <v>116.12</v>
      </c>
      <c r="G875">
        <v>113.51</v>
      </c>
      <c r="H875">
        <v>104.45</v>
      </c>
      <c r="K875" s="9">
        <f t="shared" si="108"/>
        <v>27.109999999999985</v>
      </c>
      <c r="L875">
        <f t="shared" si="109"/>
        <v>61.22</v>
      </c>
      <c r="M875">
        <f t="shared" si="110"/>
        <v>-13.719999999999999</v>
      </c>
      <c r="N875">
        <f t="shared" si="111"/>
        <v>0</v>
      </c>
      <c r="O875">
        <f t="shared" si="112"/>
        <v>0.10999999999999943</v>
      </c>
      <c r="P875" s="10">
        <f t="shared" si="113"/>
        <v>-0.17000000000000171</v>
      </c>
    </row>
    <row r="876" spans="1:16">
      <c r="A876">
        <v>141.83000000000001</v>
      </c>
      <c r="B876" s="42">
        <v>269.45</v>
      </c>
      <c r="C876">
        <v>162.62</v>
      </c>
      <c r="D876">
        <v>162.06</v>
      </c>
      <c r="E876">
        <v>179.01</v>
      </c>
      <c r="F876">
        <v>116.17</v>
      </c>
      <c r="G876">
        <v>113.62</v>
      </c>
      <c r="H876">
        <v>104.45</v>
      </c>
      <c r="K876" s="9">
        <f t="shared" si="108"/>
        <v>101.44</v>
      </c>
      <c r="L876">
        <f t="shared" si="109"/>
        <v>97.339999999999975</v>
      </c>
      <c r="M876">
        <f t="shared" si="110"/>
        <v>50.890000000000015</v>
      </c>
      <c r="N876">
        <f t="shared" si="111"/>
        <v>0</v>
      </c>
      <c r="O876">
        <f t="shared" si="112"/>
        <v>0</v>
      </c>
      <c r="P876" s="10">
        <f t="shared" si="113"/>
        <v>-0.54999999999999716</v>
      </c>
    </row>
    <row r="877" spans="1:16">
      <c r="A877">
        <v>142</v>
      </c>
      <c r="B877" s="42">
        <v>269.23</v>
      </c>
      <c r="C877">
        <v>163.4</v>
      </c>
      <c r="D877">
        <v>162.78</v>
      </c>
      <c r="E877">
        <v>171.51</v>
      </c>
      <c r="F877">
        <v>116.17</v>
      </c>
      <c r="G877">
        <v>113.56</v>
      </c>
      <c r="H877">
        <v>104.34</v>
      </c>
      <c r="K877" s="34">
        <f t="shared" si="108"/>
        <v>103.99999999999997</v>
      </c>
      <c r="L877">
        <f t="shared" si="109"/>
        <v>99.950000000000017</v>
      </c>
      <c r="M877">
        <f t="shared" si="110"/>
        <v>96.720000000000027</v>
      </c>
      <c r="N877">
        <f t="shared" si="111"/>
        <v>-4.9999999999997158E-2</v>
      </c>
      <c r="O877">
        <f t="shared" si="112"/>
        <v>6.0000000000002274E-2</v>
      </c>
      <c r="P877" s="10">
        <f t="shared" si="113"/>
        <v>-0.60999999999999943</v>
      </c>
    </row>
    <row r="878" spans="1:16">
      <c r="A878">
        <v>142.16999999999999</v>
      </c>
      <c r="B878" s="42">
        <v>269.23</v>
      </c>
      <c r="C878">
        <v>188.51</v>
      </c>
      <c r="D878">
        <v>222.23</v>
      </c>
      <c r="E878">
        <v>169.12</v>
      </c>
      <c r="F878">
        <v>116.12</v>
      </c>
      <c r="G878">
        <v>113.62</v>
      </c>
      <c r="H878">
        <v>104.28</v>
      </c>
      <c r="K878" s="9">
        <f t="shared" si="108"/>
        <v>79.44</v>
      </c>
      <c r="L878">
        <f t="shared" si="109"/>
        <v>41.78</v>
      </c>
      <c r="M878">
        <f t="shared" si="110"/>
        <v>99.389999999999986</v>
      </c>
      <c r="N878">
        <f t="shared" si="111"/>
        <v>4.9999999999997158E-2</v>
      </c>
      <c r="O878">
        <f t="shared" si="112"/>
        <v>-6.0000000000002274E-2</v>
      </c>
      <c r="P878" s="10">
        <f t="shared" si="113"/>
        <v>-0.76999999999999602</v>
      </c>
    </row>
    <row r="879" spans="1:16">
      <c r="A879">
        <v>142.33000000000001</v>
      </c>
      <c r="B879" s="42">
        <v>269.51</v>
      </c>
      <c r="C879">
        <v>264.06</v>
      </c>
      <c r="D879">
        <v>259.39999999999998</v>
      </c>
      <c r="E879">
        <v>229.9</v>
      </c>
      <c r="F879">
        <v>116.17</v>
      </c>
      <c r="G879">
        <v>113.62</v>
      </c>
      <c r="H879">
        <v>103.9</v>
      </c>
      <c r="K879" s="9">
        <f t="shared" si="108"/>
        <v>5</v>
      </c>
      <c r="L879">
        <f t="shared" si="109"/>
        <v>8.3799999999999955</v>
      </c>
      <c r="M879">
        <f t="shared" si="110"/>
        <v>39.499999999999972</v>
      </c>
      <c r="N879">
        <f t="shared" si="111"/>
        <v>0.10999999999999943</v>
      </c>
      <c r="O879">
        <f t="shared" si="112"/>
        <v>0</v>
      </c>
      <c r="P879" s="10">
        <f t="shared" si="113"/>
        <v>-0.56000000000000227</v>
      </c>
    </row>
    <row r="880" spans="1:16">
      <c r="A880">
        <v>142.5</v>
      </c>
      <c r="B880" s="42">
        <v>269.89999999999998</v>
      </c>
      <c r="C880">
        <v>267.39999999999998</v>
      </c>
      <c r="D880">
        <v>262.73</v>
      </c>
      <c r="E880">
        <v>268.23</v>
      </c>
      <c r="F880">
        <v>116.12</v>
      </c>
      <c r="G880">
        <v>113.62</v>
      </c>
      <c r="H880">
        <v>103.73</v>
      </c>
      <c r="K880" s="9">
        <f t="shared" si="108"/>
        <v>1.5</v>
      </c>
      <c r="L880">
        <f t="shared" si="109"/>
        <v>5.5</v>
      </c>
      <c r="M880">
        <f t="shared" si="110"/>
        <v>1.1699999999999591</v>
      </c>
      <c r="N880">
        <f t="shared" si="111"/>
        <v>0</v>
      </c>
      <c r="O880">
        <f t="shared" si="112"/>
        <v>-0.10999999999999943</v>
      </c>
      <c r="P880" s="10">
        <f t="shared" si="113"/>
        <v>-0.32999999999999829</v>
      </c>
    </row>
    <row r="881" spans="1:16">
      <c r="A881">
        <v>142.66999999999999</v>
      </c>
      <c r="B881" s="42">
        <v>269.77999999999997</v>
      </c>
      <c r="C881">
        <v>267.95</v>
      </c>
      <c r="D881">
        <v>264.01</v>
      </c>
      <c r="E881">
        <v>268.51</v>
      </c>
      <c r="F881">
        <v>116.17</v>
      </c>
      <c r="G881">
        <v>113.56</v>
      </c>
      <c r="H881">
        <v>103.51</v>
      </c>
      <c r="K881" s="9">
        <f t="shared" si="108"/>
        <v>1.2800000000000296</v>
      </c>
      <c r="L881">
        <f t="shared" si="109"/>
        <v>5.2699999999999818</v>
      </c>
      <c r="M881">
        <f t="shared" si="110"/>
        <v>1</v>
      </c>
      <c r="N881">
        <f t="shared" si="111"/>
        <v>-0.15999999999999659</v>
      </c>
      <c r="O881">
        <f t="shared" si="112"/>
        <v>-0.10999999999999943</v>
      </c>
      <c r="P881" s="10">
        <f t="shared" si="113"/>
        <v>-0.28000000000000114</v>
      </c>
    </row>
    <row r="882" spans="1:16">
      <c r="A882">
        <v>142.83000000000001</v>
      </c>
      <c r="B882" s="42">
        <v>270.39999999999998</v>
      </c>
      <c r="C882">
        <v>269.06</v>
      </c>
      <c r="D882">
        <v>267.77999999999997</v>
      </c>
      <c r="E882">
        <v>269.39999999999998</v>
      </c>
      <c r="F882">
        <v>116.28</v>
      </c>
      <c r="G882">
        <v>113.62</v>
      </c>
      <c r="H882">
        <v>103.34</v>
      </c>
      <c r="K882" s="9">
        <f t="shared" si="108"/>
        <v>0.17000000000001592</v>
      </c>
      <c r="L882">
        <f t="shared" si="109"/>
        <v>1.6200000000000045</v>
      </c>
      <c r="M882">
        <f t="shared" si="110"/>
        <v>-0.22999999999996135</v>
      </c>
      <c r="N882">
        <f t="shared" si="111"/>
        <v>-0.54999999999999716</v>
      </c>
      <c r="O882">
        <f t="shared" si="112"/>
        <v>-0.21999999999999886</v>
      </c>
      <c r="P882" s="10">
        <f t="shared" si="113"/>
        <v>-0.32999999999999829</v>
      </c>
    </row>
    <row r="883" spans="1:16">
      <c r="A883">
        <v>143</v>
      </c>
      <c r="B883" s="42">
        <v>269.12</v>
      </c>
      <c r="C883" s="1">
        <v>268.89999999999998</v>
      </c>
      <c r="D883">
        <v>268.23</v>
      </c>
      <c r="E883">
        <v>269.39999999999998</v>
      </c>
      <c r="F883">
        <v>116.12</v>
      </c>
      <c r="G883">
        <v>113.51</v>
      </c>
      <c r="H883">
        <v>103.4</v>
      </c>
      <c r="K883" s="9">
        <f t="shared" si="108"/>
        <v>0.5</v>
      </c>
      <c r="L883">
        <f t="shared" si="109"/>
        <v>1.3899999999999864</v>
      </c>
      <c r="M883">
        <f t="shared" si="110"/>
        <v>0.5</v>
      </c>
      <c r="N883">
        <f t="shared" si="111"/>
        <v>-0.34000000000000341</v>
      </c>
      <c r="O883">
        <f t="shared" si="112"/>
        <v>-0.23000000000000398</v>
      </c>
      <c r="P883" s="10">
        <f t="shared" si="113"/>
        <v>-0.45000000000000284</v>
      </c>
    </row>
    <row r="884" spans="1:16">
      <c r="A884">
        <v>143.16999999999999</v>
      </c>
      <c r="B884" s="42">
        <v>263.73</v>
      </c>
      <c r="C884" s="1">
        <v>269.23</v>
      </c>
      <c r="D884">
        <v>269.27999999999997</v>
      </c>
      <c r="E884">
        <v>269.51</v>
      </c>
      <c r="F884">
        <v>116.01</v>
      </c>
      <c r="G884">
        <v>113.45</v>
      </c>
      <c r="H884">
        <v>103.23</v>
      </c>
      <c r="K884" s="9">
        <f t="shared" si="108"/>
        <v>0.32999999999998408</v>
      </c>
      <c r="L884">
        <f t="shared" si="109"/>
        <v>0.62000000000000455</v>
      </c>
      <c r="M884">
        <f t="shared" si="110"/>
        <v>-6.0000000000002274E-2</v>
      </c>
      <c r="N884">
        <f t="shared" si="111"/>
        <v>-0.17000000000000171</v>
      </c>
      <c r="O884">
        <f t="shared" si="112"/>
        <v>-0.17000000000000171</v>
      </c>
      <c r="P884" s="10">
        <f t="shared" si="113"/>
        <v>-0.17000000000000171</v>
      </c>
    </row>
    <row r="885" spans="1:16">
      <c r="A885">
        <v>143.33000000000001</v>
      </c>
      <c r="B885" s="42">
        <v>255.17</v>
      </c>
      <c r="C885" s="1">
        <v>269.23</v>
      </c>
      <c r="D885">
        <v>269.39999999999998</v>
      </c>
      <c r="E885">
        <v>269.17</v>
      </c>
      <c r="F885">
        <v>115.73</v>
      </c>
      <c r="G885">
        <v>113.4</v>
      </c>
      <c r="H885">
        <v>103.01</v>
      </c>
      <c r="K885" s="9">
        <f t="shared" si="108"/>
        <v>0</v>
      </c>
      <c r="L885">
        <f t="shared" si="109"/>
        <v>0.22000000000002728</v>
      </c>
      <c r="M885">
        <f t="shared" si="110"/>
        <v>6.0000000000002274E-2</v>
      </c>
      <c r="N885">
        <f t="shared" si="111"/>
        <v>0.21999999999999886</v>
      </c>
      <c r="O885">
        <f t="shared" si="112"/>
        <v>-0.12000000000000455</v>
      </c>
      <c r="P885" s="10">
        <f t="shared" si="113"/>
        <v>0.10999999999999943</v>
      </c>
    </row>
    <row r="886" spans="1:16">
      <c r="A886">
        <v>143.5</v>
      </c>
      <c r="B886" s="42">
        <v>249.28</v>
      </c>
      <c r="C886" s="1">
        <v>269.39999999999998</v>
      </c>
      <c r="D886">
        <v>269.62</v>
      </c>
      <c r="E886" s="27">
        <v>269.89999999999998</v>
      </c>
      <c r="F886">
        <v>115.78</v>
      </c>
      <c r="G886">
        <v>113.28</v>
      </c>
      <c r="H886">
        <v>102.95</v>
      </c>
      <c r="K886" s="9">
        <f t="shared" si="108"/>
        <v>-1.2799999999999727</v>
      </c>
      <c r="L886">
        <f t="shared" si="109"/>
        <v>-0.72000000000002728</v>
      </c>
      <c r="M886">
        <f t="shared" si="110"/>
        <v>-0.72999999999996135</v>
      </c>
      <c r="N886">
        <f t="shared" si="111"/>
        <v>0.23000000000000398</v>
      </c>
      <c r="O886">
        <f t="shared" si="112"/>
        <v>0</v>
      </c>
      <c r="P886" s="10">
        <f t="shared" si="113"/>
        <v>-0.17000000000000171</v>
      </c>
    </row>
    <row r="887" spans="1:16">
      <c r="A887">
        <v>143.66999999999999</v>
      </c>
      <c r="B887" s="42">
        <v>243.28</v>
      </c>
      <c r="C887" s="35">
        <v>269.56</v>
      </c>
      <c r="D887" s="27">
        <v>269.89999999999998</v>
      </c>
      <c r="E887">
        <v>269.45</v>
      </c>
      <c r="F887">
        <v>115.84</v>
      </c>
      <c r="G887">
        <v>113.28</v>
      </c>
      <c r="H887">
        <v>103.06</v>
      </c>
      <c r="K887" s="9">
        <f t="shared" si="108"/>
        <v>-2.8299999999999841</v>
      </c>
      <c r="L887">
        <f t="shared" si="109"/>
        <v>-1.8899999999999864</v>
      </c>
      <c r="M887">
        <f t="shared" si="110"/>
        <v>-0.11000000000001364</v>
      </c>
      <c r="N887">
        <f t="shared" si="111"/>
        <v>0.10999999999999943</v>
      </c>
      <c r="O887">
        <f t="shared" si="112"/>
        <v>6.0000000000002274E-2</v>
      </c>
      <c r="P887" s="10">
        <f t="shared" si="113"/>
        <v>-0.32999999999999829</v>
      </c>
    </row>
    <row r="888" spans="1:16">
      <c r="A888">
        <v>143.83000000000001</v>
      </c>
      <c r="B888" s="42">
        <v>237.67</v>
      </c>
      <c r="C888">
        <v>269.23</v>
      </c>
      <c r="D888">
        <v>269.62</v>
      </c>
      <c r="E888">
        <v>269.23</v>
      </c>
      <c r="F888">
        <v>115.95</v>
      </c>
      <c r="G888">
        <v>113.28</v>
      </c>
      <c r="H888">
        <v>103.12</v>
      </c>
      <c r="K888" s="9">
        <f t="shared" si="108"/>
        <v>-14.78000000000003</v>
      </c>
      <c r="L888">
        <f t="shared" si="109"/>
        <v>-9.3899999999999864</v>
      </c>
      <c r="M888">
        <f t="shared" si="110"/>
        <v>0.1099999999999568</v>
      </c>
      <c r="N888">
        <f t="shared" si="111"/>
        <v>0.17000000000000171</v>
      </c>
      <c r="O888">
        <f t="shared" si="112"/>
        <v>6.0000000000002274E-2</v>
      </c>
      <c r="P888" s="10">
        <f t="shared" si="113"/>
        <v>-0.84000000000000341</v>
      </c>
    </row>
    <row r="889" spans="1:16">
      <c r="A889">
        <v>144</v>
      </c>
      <c r="B889" s="42">
        <v>234.01</v>
      </c>
      <c r="C889">
        <v>268.12</v>
      </c>
      <c r="D889">
        <v>268.89999999999998</v>
      </c>
      <c r="E889">
        <v>269.17</v>
      </c>
      <c r="F889">
        <v>116.01</v>
      </c>
      <c r="G889">
        <v>113.28</v>
      </c>
      <c r="H889">
        <v>102.78</v>
      </c>
      <c r="K889" s="9">
        <f t="shared" si="108"/>
        <v>-20.840000000000003</v>
      </c>
      <c r="L889">
        <f t="shared" si="109"/>
        <v>-14.779999999999973</v>
      </c>
      <c r="M889">
        <f t="shared" si="110"/>
        <v>-0.11000000000001364</v>
      </c>
      <c r="N889">
        <f t="shared" si="111"/>
        <v>0.26999999999999602</v>
      </c>
      <c r="O889">
        <f t="shared" si="112"/>
        <v>0.23000000000000398</v>
      </c>
      <c r="P889" s="10">
        <f t="shared" si="113"/>
        <v>-0.65999999999999659</v>
      </c>
    </row>
    <row r="890" spans="1:16">
      <c r="A890">
        <v>144.16999999999999</v>
      </c>
      <c r="B890" s="42">
        <v>226.73</v>
      </c>
      <c r="C890">
        <v>266.73</v>
      </c>
      <c r="D890">
        <v>268.01</v>
      </c>
      <c r="E890">
        <v>269.33999999999997</v>
      </c>
      <c r="F890">
        <v>115.95</v>
      </c>
      <c r="G890">
        <v>113.34</v>
      </c>
      <c r="H890">
        <v>102.73</v>
      </c>
      <c r="K890" s="9">
        <f t="shared" si="108"/>
        <v>-25.000000000000028</v>
      </c>
      <c r="L890">
        <f t="shared" si="109"/>
        <v>-19.669999999999987</v>
      </c>
      <c r="M890">
        <f t="shared" si="110"/>
        <v>-2.9399999999999977</v>
      </c>
      <c r="N890">
        <f t="shared" si="111"/>
        <v>0.39000000000000057</v>
      </c>
      <c r="O890">
        <f t="shared" si="112"/>
        <v>0.32999999999999829</v>
      </c>
      <c r="P890" s="10">
        <f t="shared" si="113"/>
        <v>-6.0000000000002274E-2</v>
      </c>
    </row>
    <row r="891" spans="1:16">
      <c r="A891">
        <v>144.33000000000001</v>
      </c>
      <c r="B891" s="42">
        <v>221.01</v>
      </c>
      <c r="C891" s="36">
        <v>254.45</v>
      </c>
      <c r="D891" s="36">
        <v>260.23</v>
      </c>
      <c r="E891">
        <v>269.33999999999997</v>
      </c>
      <c r="F891">
        <v>116.12</v>
      </c>
      <c r="G891">
        <v>113.34</v>
      </c>
      <c r="H891">
        <v>102.28</v>
      </c>
      <c r="K891" s="53">
        <f t="shared" si="108"/>
        <v>-19.28</v>
      </c>
      <c r="L891" s="36">
        <f t="shared" si="109"/>
        <v>-17.720000000000027</v>
      </c>
      <c r="M891" s="36">
        <f t="shared" si="110"/>
        <v>-11.109999999999957</v>
      </c>
      <c r="N891">
        <f t="shared" si="111"/>
        <v>-0.28000000000000114</v>
      </c>
      <c r="O891">
        <f t="shared" si="112"/>
        <v>0.39000000000000057</v>
      </c>
      <c r="P891" s="10">
        <f t="shared" si="113"/>
        <v>0.62000000000000455</v>
      </c>
    </row>
    <row r="892" spans="1:16">
      <c r="A892">
        <v>144.5</v>
      </c>
      <c r="B892" s="42">
        <v>216.23</v>
      </c>
      <c r="C892">
        <v>247.28</v>
      </c>
      <c r="D892">
        <v>254.12</v>
      </c>
      <c r="E892">
        <v>269.06</v>
      </c>
      <c r="F892">
        <v>116.28</v>
      </c>
      <c r="G892">
        <v>113.51</v>
      </c>
      <c r="H892">
        <v>102.12</v>
      </c>
      <c r="K892" s="53">
        <f t="shared" si="108"/>
        <v>-16.439999999999998</v>
      </c>
      <c r="L892" s="36">
        <f t="shared" si="109"/>
        <v>-16.610000000000014</v>
      </c>
      <c r="M892" s="36">
        <f t="shared" si="110"/>
        <v>-15.610000000000014</v>
      </c>
      <c r="N892">
        <f t="shared" si="111"/>
        <v>-0.37999999999999545</v>
      </c>
      <c r="O892">
        <f t="shared" si="112"/>
        <v>0.39000000000000057</v>
      </c>
      <c r="P892" s="10">
        <f t="shared" si="113"/>
        <v>1.0499999999999972</v>
      </c>
    </row>
    <row r="893" spans="1:16">
      <c r="A893">
        <v>144.66999999999999</v>
      </c>
      <c r="B893" s="42">
        <v>211.28</v>
      </c>
      <c r="C893" s="29">
        <v>241.73</v>
      </c>
      <c r="D893">
        <v>248.34</v>
      </c>
      <c r="E893">
        <v>266.39999999999998</v>
      </c>
      <c r="F893">
        <v>116.34</v>
      </c>
      <c r="G893">
        <v>113.67</v>
      </c>
      <c r="H893">
        <v>102.67</v>
      </c>
      <c r="K893" s="34">
        <f t="shared" si="108"/>
        <v>-12.719999999999999</v>
      </c>
      <c r="L893" s="36">
        <f t="shared" si="109"/>
        <v>-14.5</v>
      </c>
      <c r="M893" s="36">
        <f t="shared" si="110"/>
        <v>-16.449999999999989</v>
      </c>
      <c r="N893">
        <f t="shared" si="111"/>
        <v>-0.56000000000000227</v>
      </c>
      <c r="O893">
        <f t="shared" si="112"/>
        <v>0.17000000000000171</v>
      </c>
      <c r="P893" s="10">
        <f t="shared" si="113"/>
        <v>0.56000000000000227</v>
      </c>
    </row>
    <row r="894" spans="1:16">
      <c r="A894">
        <v>144.83000000000001</v>
      </c>
      <c r="B894" s="42">
        <v>205.56</v>
      </c>
      <c r="C894">
        <v>235.17</v>
      </c>
      <c r="D894">
        <v>242.51</v>
      </c>
      <c r="E894" s="36">
        <v>258.23</v>
      </c>
      <c r="F894">
        <v>115.84</v>
      </c>
      <c r="G894">
        <v>113.73</v>
      </c>
      <c r="H894">
        <v>102.9</v>
      </c>
      <c r="K894" s="53">
        <f t="shared" si="108"/>
        <v>-7.6099999999999852</v>
      </c>
      <c r="L894" s="36">
        <f t="shared" si="109"/>
        <v>-13.060000000000002</v>
      </c>
      <c r="M894" s="36">
        <f t="shared" si="110"/>
        <v>-9.3300000000000125</v>
      </c>
      <c r="N894">
        <f t="shared" si="111"/>
        <v>-0.17000000000000171</v>
      </c>
      <c r="O894">
        <f t="shared" si="112"/>
        <v>0.17000000000000171</v>
      </c>
      <c r="P894" s="10">
        <f t="shared" si="113"/>
        <v>0.10999999999999943</v>
      </c>
    </row>
    <row r="895" spans="1:16">
      <c r="A895">
        <v>145</v>
      </c>
      <c r="B895" s="42">
        <v>200.28</v>
      </c>
      <c r="C895">
        <v>230.84</v>
      </c>
      <c r="D895">
        <v>237.51</v>
      </c>
      <c r="E895">
        <v>253.45</v>
      </c>
      <c r="F895">
        <v>115.9</v>
      </c>
      <c r="G895">
        <v>113.9</v>
      </c>
      <c r="H895">
        <v>103.17</v>
      </c>
      <c r="K895" s="9">
        <f t="shared" si="108"/>
        <v>-5.9399999999999977</v>
      </c>
      <c r="L895">
        <f t="shared" si="109"/>
        <v>-10.340000000000003</v>
      </c>
      <c r="M895">
        <f t="shared" si="110"/>
        <v>-5.7199999999999989</v>
      </c>
      <c r="N895">
        <f t="shared" si="111"/>
        <v>-0.23000000000000398</v>
      </c>
      <c r="O895">
        <f t="shared" si="112"/>
        <v>-0.12000000000000455</v>
      </c>
      <c r="P895" s="10">
        <f t="shared" si="113"/>
        <v>-0.26999999999999602</v>
      </c>
    </row>
    <row r="896" spans="1:16">
      <c r="A896">
        <v>145.16999999999999</v>
      </c>
      <c r="B896" s="42">
        <v>195.95</v>
      </c>
      <c r="C896">
        <v>229.01</v>
      </c>
      <c r="D896">
        <v>233.84</v>
      </c>
      <c r="E896">
        <v>249.95</v>
      </c>
      <c r="F896">
        <v>115.78</v>
      </c>
      <c r="G896">
        <v>113.84</v>
      </c>
      <c r="H896">
        <v>103.23</v>
      </c>
      <c r="K896" s="9">
        <f t="shared" si="108"/>
        <v>-9.7299999999999898</v>
      </c>
      <c r="L896">
        <f t="shared" si="109"/>
        <v>-11</v>
      </c>
      <c r="M896">
        <f t="shared" si="110"/>
        <v>-6.6099999999999852</v>
      </c>
      <c r="N896">
        <f t="shared" si="111"/>
        <v>-0.10999999999999943</v>
      </c>
      <c r="O896">
        <f t="shared" si="112"/>
        <v>-0.10999999999999943</v>
      </c>
      <c r="P896" s="10">
        <f t="shared" si="113"/>
        <v>-0.21999999999999886</v>
      </c>
    </row>
    <row r="897" spans="1:16">
      <c r="A897">
        <v>145.33000000000001</v>
      </c>
      <c r="B897" s="42">
        <v>193.9</v>
      </c>
      <c r="C897">
        <v>227.56</v>
      </c>
      <c r="D897">
        <v>229.45</v>
      </c>
      <c r="E897">
        <v>248.9</v>
      </c>
      <c r="F897">
        <v>115.67</v>
      </c>
      <c r="G897">
        <v>113.9</v>
      </c>
      <c r="H897">
        <v>103.01</v>
      </c>
      <c r="K897" s="9">
        <f t="shared" si="108"/>
        <v>-14.050000000000011</v>
      </c>
      <c r="L897">
        <f t="shared" si="109"/>
        <v>-10.829999999999984</v>
      </c>
      <c r="M897">
        <f t="shared" si="110"/>
        <v>-10.950000000000017</v>
      </c>
      <c r="N897">
        <f t="shared" si="111"/>
        <v>0</v>
      </c>
      <c r="O897">
        <f t="shared" si="112"/>
        <v>-0.23000000000000398</v>
      </c>
      <c r="P897" s="10">
        <f t="shared" si="113"/>
        <v>-0.23000000000000398</v>
      </c>
    </row>
    <row r="898" spans="1:16">
      <c r="A898">
        <v>145.5</v>
      </c>
      <c r="B898" s="42">
        <v>190.56</v>
      </c>
      <c r="C898">
        <v>224.9</v>
      </c>
      <c r="D898">
        <v>227.17</v>
      </c>
      <c r="E898">
        <v>247.73</v>
      </c>
      <c r="F898">
        <v>115.67</v>
      </c>
      <c r="G898">
        <v>113.78</v>
      </c>
      <c r="H898">
        <v>102.9</v>
      </c>
      <c r="K898" s="9">
        <f t="shared" si="108"/>
        <v>-15.620000000000005</v>
      </c>
      <c r="L898">
        <f t="shared" si="109"/>
        <v>-13.549999999999983</v>
      </c>
      <c r="M898">
        <f t="shared" si="110"/>
        <v>-13.389999999999986</v>
      </c>
      <c r="N898">
        <f t="shared" si="111"/>
        <v>-0.10999999999999943</v>
      </c>
      <c r="O898">
        <f t="shared" si="112"/>
        <v>-0.10999999999999943</v>
      </c>
      <c r="P898" s="10">
        <f t="shared" si="113"/>
        <v>0</v>
      </c>
    </row>
    <row r="899" spans="1:16">
      <c r="A899">
        <v>145.66999999999999</v>
      </c>
      <c r="B899" s="42">
        <v>189.62</v>
      </c>
      <c r="C899">
        <v>219.28</v>
      </c>
      <c r="D899">
        <v>222.84</v>
      </c>
      <c r="E899">
        <v>243.34</v>
      </c>
      <c r="F899">
        <v>115.67</v>
      </c>
      <c r="G899">
        <v>113.73</v>
      </c>
      <c r="H899">
        <v>103.01</v>
      </c>
      <c r="K899" s="9">
        <f t="shared" si="108"/>
        <v>-11.659999999999997</v>
      </c>
      <c r="L899">
        <f t="shared" si="109"/>
        <v>-11.439999999999998</v>
      </c>
      <c r="M899">
        <f t="shared" si="110"/>
        <v>-13.610000000000014</v>
      </c>
      <c r="N899">
        <f t="shared" si="111"/>
        <v>-0.32999999999999829</v>
      </c>
      <c r="O899">
        <f t="shared" si="112"/>
        <v>-6.0000000000002274E-2</v>
      </c>
      <c r="P899" s="10">
        <f t="shared" si="113"/>
        <v>-6.0000000000002274E-2</v>
      </c>
    </row>
    <row r="900" spans="1:16">
      <c r="A900">
        <v>145.83000000000001</v>
      </c>
      <c r="B900" s="42">
        <v>193.45</v>
      </c>
      <c r="C900">
        <v>213.51</v>
      </c>
      <c r="D900">
        <v>218.62</v>
      </c>
      <c r="E900">
        <v>237.95</v>
      </c>
      <c r="F900">
        <v>115.67</v>
      </c>
      <c r="G900">
        <v>113.67</v>
      </c>
      <c r="H900">
        <v>102.78</v>
      </c>
      <c r="K900" s="9">
        <f t="shared" si="108"/>
        <v>-7.2800000000000011</v>
      </c>
      <c r="L900">
        <f t="shared" si="109"/>
        <v>-9.0600000000000023</v>
      </c>
      <c r="M900">
        <f t="shared" si="110"/>
        <v>-11.219999999999999</v>
      </c>
      <c r="N900">
        <f t="shared" si="111"/>
        <v>-4.9999999999997158E-2</v>
      </c>
      <c r="O900">
        <f t="shared" si="112"/>
        <v>-4.9999999999997158E-2</v>
      </c>
      <c r="P900" s="10">
        <f t="shared" si="113"/>
        <v>0.39000000000000057</v>
      </c>
    </row>
    <row r="901" spans="1:16">
      <c r="A901">
        <v>146</v>
      </c>
      <c r="B901" s="42">
        <v>192.73</v>
      </c>
      <c r="C901">
        <v>209.28</v>
      </c>
      <c r="D901">
        <v>213.62</v>
      </c>
      <c r="E901">
        <v>234.34</v>
      </c>
      <c r="F901">
        <v>115.56</v>
      </c>
      <c r="G901">
        <v>113.67</v>
      </c>
      <c r="H901">
        <v>102.9</v>
      </c>
      <c r="K901" s="9">
        <f t="shared" si="108"/>
        <v>-4.8300000000000125</v>
      </c>
      <c r="L901">
        <f t="shared" si="109"/>
        <v>-5.9500000000000171</v>
      </c>
      <c r="M901">
        <f t="shared" si="110"/>
        <v>-10.219999999999999</v>
      </c>
      <c r="N901">
        <f t="shared" si="111"/>
        <v>0.56000000000000227</v>
      </c>
      <c r="O901">
        <f t="shared" si="112"/>
        <v>0</v>
      </c>
      <c r="P901" s="10">
        <f t="shared" si="113"/>
        <v>0.15999999999999659</v>
      </c>
    </row>
    <row r="902" spans="1:16">
      <c r="A902">
        <v>146.16999999999999</v>
      </c>
      <c r="B902" s="42">
        <v>251.4</v>
      </c>
      <c r="C902">
        <v>207.62</v>
      </c>
      <c r="D902">
        <v>211.4</v>
      </c>
      <c r="E902">
        <v>229.73</v>
      </c>
      <c r="F902">
        <v>115.34</v>
      </c>
      <c r="G902">
        <v>113.67</v>
      </c>
      <c r="H902">
        <v>102.95</v>
      </c>
      <c r="K902" s="9">
        <f t="shared" si="108"/>
        <v>-5.8400000000000034</v>
      </c>
      <c r="L902">
        <f t="shared" si="109"/>
        <v>-6.5</v>
      </c>
      <c r="M902">
        <f t="shared" si="110"/>
        <v>-8.1099999999999852</v>
      </c>
      <c r="N902">
        <f t="shared" si="111"/>
        <v>0.93999999999999773</v>
      </c>
      <c r="O902">
        <f t="shared" si="112"/>
        <v>6.0000000000002274E-2</v>
      </c>
      <c r="P902" s="10">
        <f t="shared" si="113"/>
        <v>0.56000000000000227</v>
      </c>
    </row>
    <row r="903" spans="1:16">
      <c r="A903">
        <v>146.33000000000001</v>
      </c>
      <c r="B903" s="42">
        <v>268.95</v>
      </c>
      <c r="C903">
        <v>206.23</v>
      </c>
      <c r="D903">
        <v>209.56</v>
      </c>
      <c r="E903">
        <v>226.73</v>
      </c>
      <c r="F903">
        <v>115.62</v>
      </c>
      <c r="G903">
        <v>113.62</v>
      </c>
      <c r="H903">
        <v>103.17</v>
      </c>
      <c r="K903" s="9">
        <f t="shared" si="108"/>
        <v>-6.9499999999999886</v>
      </c>
      <c r="L903">
        <f t="shared" si="109"/>
        <v>-7.5</v>
      </c>
      <c r="M903">
        <f t="shared" si="110"/>
        <v>-9.2199999999999989</v>
      </c>
      <c r="N903">
        <f t="shared" si="111"/>
        <v>0.65999999999999659</v>
      </c>
      <c r="O903">
        <f t="shared" si="112"/>
        <v>0.15999999999999659</v>
      </c>
      <c r="P903" s="10">
        <f t="shared" si="113"/>
        <v>0.60999999999999943</v>
      </c>
    </row>
    <row r="904" spans="1:16">
      <c r="A904">
        <v>146.5</v>
      </c>
      <c r="B904" s="42">
        <v>269.62</v>
      </c>
      <c r="C904">
        <v>204.45</v>
      </c>
      <c r="D904">
        <v>207.67</v>
      </c>
      <c r="E904">
        <v>224.12</v>
      </c>
      <c r="F904">
        <v>116.12</v>
      </c>
      <c r="G904">
        <v>113.67</v>
      </c>
      <c r="H904">
        <v>103.06</v>
      </c>
      <c r="K904" s="9">
        <f t="shared" si="108"/>
        <v>37.670000000000016</v>
      </c>
      <c r="L904">
        <f t="shared" si="109"/>
        <v>42.390000000000015</v>
      </c>
      <c r="M904">
        <f t="shared" si="110"/>
        <v>2</v>
      </c>
      <c r="N904">
        <f t="shared" si="111"/>
        <v>0.5</v>
      </c>
      <c r="O904">
        <f t="shared" si="112"/>
        <v>0.28000000000000114</v>
      </c>
      <c r="P904" s="10">
        <f t="shared" si="113"/>
        <v>0.95000000000000284</v>
      </c>
    </row>
    <row r="905" spans="1:16">
      <c r="A905">
        <v>146.66999999999999</v>
      </c>
      <c r="B905" s="42">
        <v>269.73</v>
      </c>
      <c r="C905">
        <v>201.78</v>
      </c>
      <c r="D905">
        <v>204.9</v>
      </c>
      <c r="E905">
        <v>221.62</v>
      </c>
      <c r="F905">
        <v>116.28</v>
      </c>
      <c r="G905">
        <v>113.73</v>
      </c>
      <c r="H905">
        <v>103.51</v>
      </c>
      <c r="K905" s="53">
        <f t="shared" si="108"/>
        <v>60.450000000000017</v>
      </c>
      <c r="L905" s="36">
        <f t="shared" si="109"/>
        <v>56.499999999999972</v>
      </c>
      <c r="M905">
        <f t="shared" si="110"/>
        <v>44.829999999999984</v>
      </c>
      <c r="N905">
        <f t="shared" si="111"/>
        <v>0.39000000000000057</v>
      </c>
      <c r="O905">
        <f t="shared" si="112"/>
        <v>0.32999999999999829</v>
      </c>
      <c r="P905" s="10">
        <f t="shared" si="113"/>
        <v>0.82999999999999829</v>
      </c>
    </row>
    <row r="906" spans="1:16">
      <c r="A906">
        <v>146.83000000000001</v>
      </c>
      <c r="B906" s="42">
        <v>269.83999999999997</v>
      </c>
      <c r="C906">
        <v>199.28</v>
      </c>
      <c r="D906">
        <v>202.06</v>
      </c>
      <c r="E906">
        <v>217.51</v>
      </c>
      <c r="F906">
        <v>116.28</v>
      </c>
      <c r="G906">
        <v>113.78</v>
      </c>
      <c r="H906">
        <v>103.78</v>
      </c>
      <c r="K906" s="85">
        <f t="shared" si="108"/>
        <v>67.559999999999974</v>
      </c>
      <c r="L906" s="36">
        <f t="shared" si="109"/>
        <v>62</v>
      </c>
      <c r="M906">
        <f t="shared" si="110"/>
        <v>51.550000000000011</v>
      </c>
      <c r="N906">
        <f t="shared" si="111"/>
        <v>0.5</v>
      </c>
      <c r="O906">
        <f t="shared" si="112"/>
        <v>0.45000000000000284</v>
      </c>
      <c r="P906" s="10">
        <f t="shared" si="113"/>
        <v>0.84000000000000341</v>
      </c>
    </row>
    <row r="907" spans="1:16">
      <c r="A907">
        <v>147</v>
      </c>
      <c r="B907" s="42">
        <v>269.83999999999997</v>
      </c>
      <c r="C907">
        <v>242.12</v>
      </c>
      <c r="D907">
        <v>250.06</v>
      </c>
      <c r="E907">
        <v>226.12</v>
      </c>
      <c r="F907">
        <v>116.62</v>
      </c>
      <c r="G907">
        <v>113.95</v>
      </c>
      <c r="H907">
        <v>104.01</v>
      </c>
      <c r="K907" s="53">
        <f t="shared" si="108"/>
        <v>26.550000000000011</v>
      </c>
      <c r="L907" s="36">
        <f t="shared" si="109"/>
        <v>15.560000000000002</v>
      </c>
      <c r="M907">
        <f t="shared" si="110"/>
        <v>43.279999999999973</v>
      </c>
      <c r="N907">
        <f t="shared" si="111"/>
        <v>0.43999999999999773</v>
      </c>
      <c r="O907">
        <f t="shared" si="112"/>
        <v>0.5</v>
      </c>
      <c r="P907" s="10">
        <f t="shared" si="113"/>
        <v>1.0499999999999972</v>
      </c>
    </row>
    <row r="908" spans="1:16">
      <c r="A908">
        <v>147.16999999999999</v>
      </c>
      <c r="B908" s="42">
        <v>269.95</v>
      </c>
      <c r="C908">
        <v>262.23</v>
      </c>
      <c r="D908">
        <v>261.39999999999998</v>
      </c>
      <c r="E908">
        <v>266.45</v>
      </c>
      <c r="F908">
        <v>116.67</v>
      </c>
      <c r="G908">
        <v>114.06</v>
      </c>
      <c r="H908">
        <v>104.34</v>
      </c>
      <c r="K908" s="53">
        <f t="shared" si="108"/>
        <v>6.9399999999999977</v>
      </c>
      <c r="L908" s="36">
        <f t="shared" si="109"/>
        <v>4</v>
      </c>
      <c r="M908">
        <f t="shared" si="110"/>
        <v>1.3899999999999864</v>
      </c>
      <c r="N908">
        <f t="shared" si="111"/>
        <v>0.28000000000000114</v>
      </c>
      <c r="O908">
        <f t="shared" si="112"/>
        <v>0.56000000000000227</v>
      </c>
      <c r="P908" s="10">
        <f t="shared" si="113"/>
        <v>0.60999999999999943</v>
      </c>
    </row>
    <row r="909" spans="1:16">
      <c r="A909">
        <v>147.33000000000001</v>
      </c>
      <c r="B909" s="42">
        <v>269.73</v>
      </c>
      <c r="C909">
        <v>266.83999999999997</v>
      </c>
      <c r="D909">
        <v>264.06</v>
      </c>
      <c r="E909">
        <v>269.06</v>
      </c>
      <c r="F909">
        <v>116.78</v>
      </c>
      <c r="G909">
        <v>114.23</v>
      </c>
      <c r="H909">
        <v>104.62</v>
      </c>
      <c r="K909" s="53">
        <f t="shared" si="108"/>
        <v>2.1700000000000159</v>
      </c>
      <c r="L909" s="36">
        <f t="shared" si="109"/>
        <v>1</v>
      </c>
      <c r="M909">
        <f t="shared" si="110"/>
        <v>-3.5500000000000114</v>
      </c>
      <c r="N909">
        <f t="shared" si="111"/>
        <v>0</v>
      </c>
      <c r="O909">
        <f t="shared" si="112"/>
        <v>0.5</v>
      </c>
      <c r="P909" s="10">
        <f t="shared" si="113"/>
        <v>0.54999999999999716</v>
      </c>
    </row>
    <row r="910" spans="1:16">
      <c r="A910">
        <v>147.5</v>
      </c>
      <c r="B910" s="42">
        <v>268.73</v>
      </c>
      <c r="C910">
        <v>268.67</v>
      </c>
      <c r="D910">
        <v>265.62</v>
      </c>
      <c r="E910">
        <v>269.39999999999998</v>
      </c>
      <c r="F910">
        <v>117.06</v>
      </c>
      <c r="G910">
        <v>114.45</v>
      </c>
      <c r="H910">
        <v>105.06</v>
      </c>
      <c r="K910" s="53">
        <f t="shared" si="108"/>
        <v>0.38999999999998636</v>
      </c>
      <c r="L910" s="36">
        <f t="shared" si="109"/>
        <v>-0.17000000000001592</v>
      </c>
      <c r="M910">
        <f t="shared" si="110"/>
        <v>-7.7799999999999727</v>
      </c>
      <c r="N910">
        <f t="shared" si="111"/>
        <v>-0.54999999999999716</v>
      </c>
      <c r="O910">
        <f t="shared" si="112"/>
        <v>0.45000000000000284</v>
      </c>
      <c r="P910" s="10">
        <f t="shared" si="113"/>
        <v>0.21999999999999886</v>
      </c>
    </row>
    <row r="911" spans="1:16">
      <c r="A911">
        <v>147.66999999999999</v>
      </c>
      <c r="B911" s="42">
        <v>267.83999999999997</v>
      </c>
      <c r="C911">
        <v>269.17</v>
      </c>
      <c r="D911">
        <v>265.39999999999998</v>
      </c>
      <c r="E911">
        <v>267.83999999999997</v>
      </c>
      <c r="F911">
        <v>116.95</v>
      </c>
      <c r="G911">
        <v>114.62</v>
      </c>
      <c r="H911">
        <v>104.95</v>
      </c>
      <c r="K911" s="53">
        <f t="shared" si="108"/>
        <v>0.1099999999999568</v>
      </c>
      <c r="L911" s="36">
        <f t="shared" si="109"/>
        <v>1.3799999999999955</v>
      </c>
      <c r="M911">
        <f t="shared" si="110"/>
        <v>-9.5</v>
      </c>
      <c r="N911">
        <f t="shared" si="111"/>
        <v>-0.43999999999999773</v>
      </c>
      <c r="O911">
        <f t="shared" si="112"/>
        <v>0.39000000000000057</v>
      </c>
      <c r="P911" s="10">
        <f t="shared" si="113"/>
        <v>0.32999999999999829</v>
      </c>
    </row>
    <row r="912" spans="1:16">
      <c r="A912">
        <v>147.83000000000001</v>
      </c>
      <c r="B912" s="42">
        <v>267.23</v>
      </c>
      <c r="C912">
        <v>269.01</v>
      </c>
      <c r="D912">
        <v>265.06</v>
      </c>
      <c r="E912">
        <v>265.51</v>
      </c>
      <c r="F912">
        <v>116.78</v>
      </c>
      <c r="G912">
        <v>114.73</v>
      </c>
      <c r="H912">
        <v>105.17</v>
      </c>
      <c r="K912" s="53">
        <f t="shared" si="108"/>
        <v>0.22000000000002728</v>
      </c>
      <c r="L912" s="36">
        <f t="shared" si="109"/>
        <v>2.6700000000000159</v>
      </c>
      <c r="M912">
        <f t="shared" si="110"/>
        <v>-8.1700000000000159</v>
      </c>
      <c r="N912">
        <f t="shared" si="111"/>
        <v>-0.32999999999999829</v>
      </c>
      <c r="O912">
        <f t="shared" si="112"/>
        <v>0.28000000000000114</v>
      </c>
      <c r="P912" s="10">
        <f t="shared" si="113"/>
        <v>0.10999999999999943</v>
      </c>
    </row>
    <row r="913" spans="1:16">
      <c r="A913">
        <v>148</v>
      </c>
      <c r="B913" s="42">
        <v>266.77999999999997</v>
      </c>
      <c r="C913">
        <v>269.06</v>
      </c>
      <c r="D913">
        <v>265.45</v>
      </c>
      <c r="E913">
        <v>261.62</v>
      </c>
      <c r="F913">
        <v>116.51</v>
      </c>
      <c r="G913">
        <v>114.9</v>
      </c>
      <c r="H913">
        <v>105.28</v>
      </c>
      <c r="K913" s="53">
        <f t="shared" si="108"/>
        <v>0.27999999999997272</v>
      </c>
      <c r="L913" s="36">
        <f t="shared" si="109"/>
        <v>3</v>
      </c>
      <c r="M913">
        <f t="shared" si="110"/>
        <v>4.1599999999999682</v>
      </c>
      <c r="N913">
        <f t="shared" si="111"/>
        <v>-6.0000000000002274E-2</v>
      </c>
      <c r="O913">
        <f t="shared" si="112"/>
        <v>0.10999999999999943</v>
      </c>
      <c r="P913" s="10">
        <f t="shared" si="113"/>
        <v>0</v>
      </c>
    </row>
    <row r="914" spans="1:16">
      <c r="A914">
        <v>148.16999999999999</v>
      </c>
      <c r="B914" s="42">
        <v>266.67</v>
      </c>
      <c r="C914" s="36">
        <v>269.27999999999997</v>
      </c>
      <c r="D914">
        <v>266.77999999999997</v>
      </c>
      <c r="E914">
        <v>258.33999999999997</v>
      </c>
      <c r="F914">
        <v>116.51</v>
      </c>
      <c r="G914">
        <v>115.01</v>
      </c>
      <c r="H914">
        <v>105.28</v>
      </c>
      <c r="K914" s="53">
        <f t="shared" si="108"/>
        <v>0.12000000000000455</v>
      </c>
      <c r="L914" s="36">
        <f t="shared" si="109"/>
        <v>1.8900000000000432</v>
      </c>
      <c r="M914">
        <f t="shared" si="110"/>
        <v>10.220000000000027</v>
      </c>
      <c r="N914">
        <f t="shared" si="111"/>
        <v>-6.0000000000002274E-2</v>
      </c>
      <c r="O914">
        <f t="shared" si="112"/>
        <v>0</v>
      </c>
      <c r="P914" s="10">
        <f t="shared" si="113"/>
        <v>0.12000000000000455</v>
      </c>
    </row>
    <row r="915" spans="1:16">
      <c r="A915">
        <v>148.33000000000001</v>
      </c>
      <c r="B915" s="42">
        <v>266.77999999999997</v>
      </c>
      <c r="C915" s="36">
        <v>269.23</v>
      </c>
      <c r="D915">
        <v>267.73</v>
      </c>
      <c r="E915">
        <v>257.33999999999997</v>
      </c>
      <c r="F915">
        <v>116.45</v>
      </c>
      <c r="G915">
        <v>115.01</v>
      </c>
      <c r="H915">
        <v>105.28</v>
      </c>
      <c r="K915" s="53">
        <f t="shared" si="108"/>
        <v>0.21999999999997044</v>
      </c>
      <c r="L915" s="36">
        <f t="shared" si="109"/>
        <v>1.2199999999999704</v>
      </c>
      <c r="M915">
        <f t="shared" si="110"/>
        <v>11.830000000000041</v>
      </c>
      <c r="N915">
        <f t="shared" si="111"/>
        <v>0</v>
      </c>
      <c r="O915">
        <f t="shared" si="112"/>
        <v>-6.0000000000002274E-2</v>
      </c>
      <c r="P915" s="10">
        <f t="shared" si="113"/>
        <v>0.12000000000000455</v>
      </c>
    </row>
    <row r="916" spans="1:16">
      <c r="A916">
        <v>148.5</v>
      </c>
      <c r="B916" s="42">
        <v>267.33999999999997</v>
      </c>
      <c r="C916" s="36">
        <v>269.33999999999997</v>
      </c>
      <c r="D916">
        <v>268.45</v>
      </c>
      <c r="E916">
        <v>265.77999999999997</v>
      </c>
      <c r="F916">
        <v>116.45</v>
      </c>
      <c r="G916">
        <v>115.01</v>
      </c>
      <c r="H916">
        <v>105.28</v>
      </c>
      <c r="K916" s="53">
        <f t="shared" si="108"/>
        <v>0.11000000000001364</v>
      </c>
      <c r="L916" s="36">
        <f t="shared" si="109"/>
        <v>1.1100000000000136</v>
      </c>
      <c r="M916">
        <f t="shared" si="110"/>
        <v>3.7800000000000296</v>
      </c>
      <c r="N916">
        <f t="shared" si="111"/>
        <v>0.10999999999999943</v>
      </c>
      <c r="O916">
        <f t="shared" si="112"/>
        <v>-0.10999999999999943</v>
      </c>
      <c r="P916" s="10">
        <f t="shared" si="113"/>
        <v>0.17000000000000171</v>
      </c>
    </row>
    <row r="917" spans="1:16">
      <c r="A917">
        <v>148.66999999999999</v>
      </c>
      <c r="B917" s="42">
        <v>269.33999999999997</v>
      </c>
      <c r="C917" s="36">
        <v>269.39999999999998</v>
      </c>
      <c r="D917">
        <v>268.67</v>
      </c>
      <c r="E917">
        <v>268.56</v>
      </c>
      <c r="F917">
        <v>116.45</v>
      </c>
      <c r="G917">
        <v>115.01</v>
      </c>
      <c r="H917">
        <v>105.4</v>
      </c>
      <c r="K917" s="53">
        <f t="shared" si="108"/>
        <v>0</v>
      </c>
      <c r="L917" s="36">
        <f t="shared" si="109"/>
        <v>1</v>
      </c>
      <c r="M917">
        <f t="shared" si="110"/>
        <v>0.83999999999997499</v>
      </c>
      <c r="N917">
        <f t="shared" si="111"/>
        <v>0.21999999999999886</v>
      </c>
      <c r="O917">
        <f t="shared" si="112"/>
        <v>-6.0000000000002274E-2</v>
      </c>
      <c r="P917" s="10">
        <f t="shared" si="113"/>
        <v>0.21999999999999886</v>
      </c>
    </row>
    <row r="918" spans="1:16">
      <c r="A918">
        <v>148.83000000000001</v>
      </c>
      <c r="B918" s="42">
        <v>270.01</v>
      </c>
      <c r="C918" s="37">
        <v>269.45</v>
      </c>
      <c r="D918">
        <v>268.95</v>
      </c>
      <c r="E918">
        <v>269.17</v>
      </c>
      <c r="F918">
        <v>116.45</v>
      </c>
      <c r="G918">
        <v>114.95</v>
      </c>
      <c r="H918">
        <v>105.4</v>
      </c>
      <c r="K918" s="73">
        <f t="shared" si="108"/>
        <v>-0.11000000000001364</v>
      </c>
      <c r="L918" s="36">
        <f t="shared" si="109"/>
        <v>0.72000000000002728</v>
      </c>
      <c r="M918">
        <f t="shared" si="110"/>
        <v>0.27999999999997272</v>
      </c>
      <c r="N918">
        <f t="shared" si="111"/>
        <v>0.10999999999999943</v>
      </c>
      <c r="O918">
        <f t="shared" si="112"/>
        <v>-0.10999999999999943</v>
      </c>
      <c r="P918" s="10">
        <f t="shared" si="113"/>
        <v>0.32999999999999829</v>
      </c>
    </row>
    <row r="919" spans="1:16" ht="14.25" customHeight="1">
      <c r="A919">
        <v>149</v>
      </c>
      <c r="B919" s="42">
        <v>270.12</v>
      </c>
      <c r="C919" s="36">
        <v>269.45</v>
      </c>
      <c r="D919">
        <v>269.56</v>
      </c>
      <c r="E919">
        <v>269.56</v>
      </c>
      <c r="F919">
        <v>116.56</v>
      </c>
      <c r="G919">
        <v>114.9</v>
      </c>
      <c r="H919">
        <v>105.45</v>
      </c>
      <c r="K919" s="85">
        <f t="shared" si="108"/>
        <v>-0.11000000000001364</v>
      </c>
      <c r="L919" s="36">
        <f t="shared" si="109"/>
        <v>0.11000000000001364</v>
      </c>
      <c r="M919">
        <f t="shared" si="110"/>
        <v>6.0000000000002274E-2</v>
      </c>
      <c r="N919">
        <f t="shared" si="111"/>
        <v>-0.15999999999999659</v>
      </c>
      <c r="O919">
        <f t="shared" si="112"/>
        <v>-6.0000000000002274E-2</v>
      </c>
      <c r="P919" s="10">
        <f t="shared" si="113"/>
        <v>0.32999999999999829</v>
      </c>
    </row>
    <row r="920" spans="1:16">
      <c r="A920">
        <v>149.16999999999999</v>
      </c>
      <c r="B920" s="42">
        <v>270.17</v>
      </c>
      <c r="C920" s="36">
        <v>269.39999999999998</v>
      </c>
      <c r="D920">
        <v>269.67</v>
      </c>
      <c r="E920">
        <v>269.39999999999998</v>
      </c>
      <c r="F920">
        <v>116.67</v>
      </c>
      <c r="G920">
        <v>114.95</v>
      </c>
      <c r="H920">
        <v>105.62</v>
      </c>
      <c r="K920" s="53">
        <f t="shared" si="108"/>
        <v>0</v>
      </c>
      <c r="L920" s="36">
        <f t="shared" si="109"/>
        <v>0</v>
      </c>
      <c r="M920">
        <f t="shared" si="110"/>
        <v>0.22000000000002728</v>
      </c>
      <c r="N920">
        <f t="shared" si="111"/>
        <v>-0.43999999999999773</v>
      </c>
      <c r="O920">
        <f t="shared" si="112"/>
        <v>-0.10999999999999943</v>
      </c>
      <c r="P920" s="10">
        <f t="shared" si="113"/>
        <v>0.21999999999999886</v>
      </c>
    </row>
    <row r="921" spans="1:16">
      <c r="A921">
        <v>149.33000000000001</v>
      </c>
      <c r="B921" s="42">
        <v>270.12</v>
      </c>
      <c r="C921" s="36">
        <v>269.33999999999997</v>
      </c>
      <c r="D921">
        <v>269.67</v>
      </c>
      <c r="E921">
        <v>269.45</v>
      </c>
      <c r="F921">
        <v>116.56</v>
      </c>
      <c r="G921">
        <v>114.84</v>
      </c>
      <c r="H921">
        <v>105.73</v>
      </c>
      <c r="K921" s="53">
        <f t="shared" ref="K921:K984" si="114">C924-C921</f>
        <v>0</v>
      </c>
      <c r="L921" s="36">
        <f t="shared" ref="L921:L984" si="115">D924-D921</f>
        <v>-5.0000000000011369E-2</v>
      </c>
      <c r="M921">
        <f t="shared" ref="M921:M984" si="116">E924-E921</f>
        <v>-0.32999999999998408</v>
      </c>
      <c r="N921">
        <f t="shared" ref="N921:N984" si="117">F924-F921</f>
        <v>-0.32999999999999829</v>
      </c>
      <c r="O921">
        <f t="shared" ref="O921:O984" si="118">G924-G921</f>
        <v>-6.0000000000002274E-2</v>
      </c>
      <c r="P921" s="10">
        <f t="shared" ref="P921:P984" si="119">H924-H921</f>
        <v>-0.10999999999999943</v>
      </c>
    </row>
    <row r="922" spans="1:16">
      <c r="A922">
        <v>149.5</v>
      </c>
      <c r="B922" s="42">
        <v>270.12</v>
      </c>
      <c r="C922" s="36">
        <v>269.33999999999997</v>
      </c>
      <c r="D922">
        <v>269.67</v>
      </c>
      <c r="E922">
        <v>269.62</v>
      </c>
      <c r="F922">
        <v>116.4</v>
      </c>
      <c r="G922">
        <v>114.84</v>
      </c>
      <c r="H922">
        <v>105.78</v>
      </c>
      <c r="K922" s="53">
        <f t="shared" si="114"/>
        <v>6.0000000000002274E-2</v>
      </c>
      <c r="L922" s="36">
        <f t="shared" si="115"/>
        <v>-5.0000000000011369E-2</v>
      </c>
      <c r="M922">
        <f t="shared" si="116"/>
        <v>0</v>
      </c>
      <c r="N922">
        <f t="shared" si="117"/>
        <v>4.9999999999997158E-2</v>
      </c>
      <c r="O922">
        <f t="shared" si="118"/>
        <v>-6.0000000000002274E-2</v>
      </c>
      <c r="P922" s="10">
        <f t="shared" si="119"/>
        <v>-0.21999999999999886</v>
      </c>
    </row>
    <row r="923" spans="1:16">
      <c r="A923">
        <v>149.66999999999999</v>
      </c>
      <c r="B923" s="42">
        <v>270.17</v>
      </c>
      <c r="C923" s="36">
        <v>269.39999999999998</v>
      </c>
      <c r="D923">
        <v>269.67</v>
      </c>
      <c r="E923">
        <v>269.62</v>
      </c>
      <c r="F923">
        <v>116.23</v>
      </c>
      <c r="G923">
        <v>114.84</v>
      </c>
      <c r="H923">
        <v>105.84</v>
      </c>
      <c r="K923" s="53">
        <f t="shared" si="114"/>
        <v>-6.0000000000002274E-2</v>
      </c>
      <c r="L923" s="36">
        <f t="shared" si="115"/>
        <v>-5.0000000000011369E-2</v>
      </c>
      <c r="M923">
        <f t="shared" si="116"/>
        <v>0</v>
      </c>
      <c r="N923">
        <f t="shared" si="117"/>
        <v>0.21999999999999886</v>
      </c>
      <c r="O923">
        <f t="shared" si="118"/>
        <v>-6.0000000000002274E-2</v>
      </c>
      <c r="P923" s="10">
        <f t="shared" si="119"/>
        <v>-0.39000000000000057</v>
      </c>
    </row>
    <row r="924" spans="1:16">
      <c r="A924">
        <v>149.83000000000001</v>
      </c>
      <c r="B924" s="42">
        <v>270.12</v>
      </c>
      <c r="C924" s="36">
        <v>269.33999999999997</v>
      </c>
      <c r="D924">
        <v>269.62</v>
      </c>
      <c r="E924">
        <v>269.12</v>
      </c>
      <c r="F924">
        <v>116.23</v>
      </c>
      <c r="G924">
        <v>114.78</v>
      </c>
      <c r="H924">
        <v>105.62</v>
      </c>
      <c r="K924" s="53">
        <f t="shared" si="114"/>
        <v>6.0000000000002274E-2</v>
      </c>
      <c r="L924" s="36">
        <f t="shared" si="115"/>
        <v>-6.0000000000002274E-2</v>
      </c>
      <c r="M924">
        <f t="shared" si="116"/>
        <v>0.5</v>
      </c>
      <c r="N924">
        <f t="shared" si="117"/>
        <v>0.28000000000000114</v>
      </c>
      <c r="O924">
        <f t="shared" si="118"/>
        <v>6.0000000000002274E-2</v>
      </c>
      <c r="P924" s="10">
        <f t="shared" si="119"/>
        <v>-0.21999999999999886</v>
      </c>
    </row>
    <row r="925" spans="1:16">
      <c r="A925">
        <v>150</v>
      </c>
      <c r="B925" s="42">
        <v>270.17</v>
      </c>
      <c r="C925" s="36">
        <v>269.39999999999998</v>
      </c>
      <c r="D925">
        <v>269.62</v>
      </c>
      <c r="E925">
        <v>269.62</v>
      </c>
      <c r="F925">
        <v>116.45</v>
      </c>
      <c r="G925">
        <v>114.78</v>
      </c>
      <c r="H925">
        <v>105.56</v>
      </c>
      <c r="K925" s="53">
        <f t="shared" si="114"/>
        <v>-6.0000000000002274E-2</v>
      </c>
      <c r="L925" s="36">
        <f t="shared" si="115"/>
        <v>-6.0000000000002274E-2</v>
      </c>
      <c r="M925">
        <f t="shared" si="116"/>
        <v>-0.11000000000001364</v>
      </c>
      <c r="N925">
        <f t="shared" si="117"/>
        <v>0.17000000000000171</v>
      </c>
      <c r="O925">
        <f t="shared" si="118"/>
        <v>0</v>
      </c>
      <c r="P925" s="10">
        <f t="shared" si="119"/>
        <v>-0.15999999999999659</v>
      </c>
    </row>
    <row r="926" spans="1:16">
      <c r="A926">
        <v>150.16999999999999</v>
      </c>
      <c r="B926" s="42">
        <v>270.12</v>
      </c>
      <c r="C926" s="36">
        <v>269.33999999999997</v>
      </c>
      <c r="D926">
        <v>269.62</v>
      </c>
      <c r="E926">
        <v>269.62</v>
      </c>
      <c r="F926">
        <v>116.45</v>
      </c>
      <c r="G926">
        <v>114.78</v>
      </c>
      <c r="H926">
        <v>105.45</v>
      </c>
      <c r="K926" s="53">
        <f t="shared" si="114"/>
        <v>0</v>
      </c>
      <c r="L926" s="36">
        <f t="shared" si="115"/>
        <v>5.0000000000011369E-2</v>
      </c>
      <c r="M926">
        <f t="shared" si="116"/>
        <v>5.0000000000011369E-2</v>
      </c>
      <c r="N926">
        <f t="shared" si="117"/>
        <v>0.10999999999999943</v>
      </c>
      <c r="O926">
        <f t="shared" si="118"/>
        <v>0</v>
      </c>
      <c r="P926" s="10">
        <f t="shared" si="119"/>
        <v>-0.54999999999999716</v>
      </c>
    </row>
    <row r="927" spans="1:16">
      <c r="A927">
        <v>150.33000000000001</v>
      </c>
      <c r="B927" s="42">
        <v>270.23</v>
      </c>
      <c r="C927" s="36">
        <v>269.39999999999998</v>
      </c>
      <c r="D927">
        <v>269.56</v>
      </c>
      <c r="E927">
        <v>269.62</v>
      </c>
      <c r="F927">
        <v>116.51</v>
      </c>
      <c r="G927">
        <v>114.84</v>
      </c>
      <c r="H927">
        <v>105.4</v>
      </c>
      <c r="K927" s="53">
        <f t="shared" si="114"/>
        <v>0</v>
      </c>
      <c r="L927" s="36">
        <f t="shared" si="115"/>
        <v>0.17000000000001592</v>
      </c>
      <c r="M927">
        <f t="shared" si="116"/>
        <v>5.0000000000011369E-2</v>
      </c>
      <c r="N927">
        <f t="shared" si="117"/>
        <v>4.9999999999997158E-2</v>
      </c>
      <c r="O927">
        <f t="shared" si="118"/>
        <v>-6.0000000000002274E-2</v>
      </c>
      <c r="P927" s="10">
        <f t="shared" si="119"/>
        <v>-0.56000000000000227</v>
      </c>
    </row>
    <row r="928" spans="1:16">
      <c r="A928">
        <v>150.5</v>
      </c>
      <c r="B928" s="42">
        <v>270.12</v>
      </c>
      <c r="C928" s="36">
        <v>269.33999999999997</v>
      </c>
      <c r="D928">
        <v>269.56</v>
      </c>
      <c r="E928">
        <v>269.51</v>
      </c>
      <c r="F928">
        <v>116.62</v>
      </c>
      <c r="G928">
        <v>114.78</v>
      </c>
      <c r="H928">
        <v>105.4</v>
      </c>
      <c r="K928" s="53">
        <f t="shared" si="114"/>
        <v>6.0000000000002274E-2</v>
      </c>
      <c r="L928" s="36">
        <f t="shared" si="115"/>
        <v>0.11000000000001364</v>
      </c>
      <c r="M928">
        <f t="shared" si="116"/>
        <v>0.11000000000001364</v>
      </c>
      <c r="N928">
        <f t="shared" si="117"/>
        <v>-0.34000000000000341</v>
      </c>
      <c r="O928">
        <f t="shared" si="118"/>
        <v>6.0000000000002274E-2</v>
      </c>
      <c r="P928" s="10">
        <f t="shared" si="119"/>
        <v>-0.95000000000000284</v>
      </c>
    </row>
    <row r="929" spans="1:16">
      <c r="A929">
        <v>150.66999999999999</v>
      </c>
      <c r="B929" s="42">
        <v>270.17</v>
      </c>
      <c r="C929" s="36">
        <v>269.33999999999997</v>
      </c>
      <c r="D929">
        <v>269.67</v>
      </c>
      <c r="E929">
        <v>269.67</v>
      </c>
      <c r="F929">
        <v>116.56</v>
      </c>
      <c r="G929">
        <v>114.78</v>
      </c>
      <c r="H929">
        <v>104.9</v>
      </c>
      <c r="K929" s="53">
        <f t="shared" si="114"/>
        <v>6.0000000000002274E-2</v>
      </c>
      <c r="L929" s="36">
        <f t="shared" si="115"/>
        <v>-5.0000000000011369E-2</v>
      </c>
      <c r="M929">
        <f t="shared" si="116"/>
        <v>-0.11000000000001364</v>
      </c>
      <c r="N929">
        <f t="shared" si="117"/>
        <v>-0.43999999999999773</v>
      </c>
      <c r="O929">
        <f t="shared" si="118"/>
        <v>6.0000000000002274E-2</v>
      </c>
      <c r="P929" s="10">
        <f t="shared" si="119"/>
        <v>-0.56000000000000227</v>
      </c>
    </row>
    <row r="930" spans="1:16">
      <c r="A930">
        <v>150.83000000000001</v>
      </c>
      <c r="B930" s="42">
        <v>270.23</v>
      </c>
      <c r="C930" s="36">
        <v>269.39999999999998</v>
      </c>
      <c r="D930" s="62">
        <v>269.73</v>
      </c>
      <c r="E930">
        <v>269.67</v>
      </c>
      <c r="F930">
        <v>116.56</v>
      </c>
      <c r="G930">
        <v>114.78</v>
      </c>
      <c r="H930">
        <v>104.84</v>
      </c>
      <c r="K930" s="53">
        <f t="shared" si="114"/>
        <v>-0.38999999999998636</v>
      </c>
      <c r="L930" s="37">
        <f t="shared" si="115"/>
        <v>-0.33000000000004093</v>
      </c>
      <c r="M930">
        <f t="shared" si="116"/>
        <v>-5.0000000000011369E-2</v>
      </c>
      <c r="N930">
        <f t="shared" si="117"/>
        <v>-0.60999999999999943</v>
      </c>
      <c r="O930">
        <f t="shared" si="118"/>
        <v>6.0000000000002274E-2</v>
      </c>
      <c r="P930" s="10">
        <f t="shared" si="119"/>
        <v>-0.5</v>
      </c>
    </row>
    <row r="931" spans="1:16">
      <c r="A931">
        <v>151</v>
      </c>
      <c r="B931" s="42">
        <v>270.17</v>
      </c>
      <c r="C931" s="29">
        <v>269.39999999999998</v>
      </c>
      <c r="D931">
        <v>269.67</v>
      </c>
      <c r="E931">
        <v>269.62</v>
      </c>
      <c r="F931">
        <v>116.28</v>
      </c>
      <c r="G931">
        <v>114.84</v>
      </c>
      <c r="H931">
        <v>104.45</v>
      </c>
      <c r="K931" s="53">
        <f t="shared" si="114"/>
        <v>-6.0000000000002274E-2</v>
      </c>
      <c r="L931" s="84">
        <f t="shared" si="115"/>
        <v>0</v>
      </c>
      <c r="M931">
        <f t="shared" si="116"/>
        <v>-6.0000000000002274E-2</v>
      </c>
      <c r="N931">
        <f t="shared" si="117"/>
        <v>-0.43999999999999773</v>
      </c>
      <c r="O931">
        <f t="shared" si="118"/>
        <v>-6.0000000000002274E-2</v>
      </c>
      <c r="P931" s="10">
        <f t="shared" si="119"/>
        <v>0.10999999999999943</v>
      </c>
    </row>
    <row r="932" spans="1:16">
      <c r="A932">
        <v>151.16999999999999</v>
      </c>
      <c r="B932" s="42">
        <v>270.17</v>
      </c>
      <c r="C932" s="36">
        <v>269.39999999999998</v>
      </c>
      <c r="D932">
        <v>269.62</v>
      </c>
      <c r="E932">
        <v>269.56</v>
      </c>
      <c r="F932">
        <v>116.12</v>
      </c>
      <c r="G932">
        <v>114.84</v>
      </c>
      <c r="H932">
        <v>104.34</v>
      </c>
      <c r="K932" s="53">
        <f t="shared" si="114"/>
        <v>-0.12000000000000455</v>
      </c>
      <c r="L932" s="36">
        <f t="shared" si="115"/>
        <v>0</v>
      </c>
      <c r="M932">
        <f t="shared" si="116"/>
        <v>6.0000000000002274E-2</v>
      </c>
      <c r="N932">
        <f t="shared" si="117"/>
        <v>-0.45000000000000284</v>
      </c>
      <c r="O932">
        <f t="shared" si="118"/>
        <v>0</v>
      </c>
      <c r="P932" s="10">
        <f t="shared" si="119"/>
        <v>0.10999999999999943</v>
      </c>
    </row>
    <row r="933" spans="1:16">
      <c r="A933">
        <v>151.33000000000001</v>
      </c>
      <c r="B933" s="42">
        <v>270.12</v>
      </c>
      <c r="C933" s="36">
        <v>269.01</v>
      </c>
      <c r="D933">
        <v>269.39999999999998</v>
      </c>
      <c r="E933">
        <v>269.62</v>
      </c>
      <c r="F933">
        <v>115.95</v>
      </c>
      <c r="G933">
        <v>114.84</v>
      </c>
      <c r="H933">
        <v>104.34</v>
      </c>
      <c r="K933" s="53">
        <f t="shared" si="114"/>
        <v>0.22000000000002728</v>
      </c>
      <c r="L933" s="36">
        <f t="shared" si="115"/>
        <v>0.16000000000002501</v>
      </c>
      <c r="M933">
        <f t="shared" si="116"/>
        <v>-0.5</v>
      </c>
      <c r="N933">
        <f t="shared" si="117"/>
        <v>-0.28000000000000114</v>
      </c>
      <c r="O933">
        <f t="shared" si="118"/>
        <v>-0.17000000000000171</v>
      </c>
      <c r="P933" s="10">
        <f t="shared" si="119"/>
        <v>-0.32999999999999829</v>
      </c>
    </row>
    <row r="934" spans="1:16">
      <c r="A934">
        <v>151.5</v>
      </c>
      <c r="B934" s="42">
        <v>270.27999999999997</v>
      </c>
      <c r="C934" s="36">
        <v>269.33999999999997</v>
      </c>
      <c r="D934">
        <v>269.67</v>
      </c>
      <c r="E934">
        <v>269.56</v>
      </c>
      <c r="F934">
        <v>115.84</v>
      </c>
      <c r="G934">
        <v>114.78</v>
      </c>
      <c r="H934">
        <v>104.56</v>
      </c>
      <c r="K934" s="53">
        <f t="shared" si="114"/>
        <v>-0.43999999999999773</v>
      </c>
      <c r="L934" s="36">
        <f t="shared" si="115"/>
        <v>-0.43999999999999773</v>
      </c>
      <c r="M934">
        <f t="shared" si="116"/>
        <v>-0.16000000000002501</v>
      </c>
      <c r="N934">
        <f t="shared" si="117"/>
        <v>-0.10999999999999943</v>
      </c>
      <c r="O934">
        <f t="shared" si="118"/>
        <v>-0.10999999999999943</v>
      </c>
      <c r="P934" s="10">
        <f t="shared" si="119"/>
        <v>-0.71999999999999886</v>
      </c>
    </row>
    <row r="935" spans="1:16">
      <c r="A935">
        <v>151.66999999999999</v>
      </c>
      <c r="B935" s="42">
        <v>270.12</v>
      </c>
      <c r="C935" s="36">
        <v>269.27999999999997</v>
      </c>
      <c r="D935">
        <v>269.62</v>
      </c>
      <c r="E935">
        <v>269.62</v>
      </c>
      <c r="F935">
        <v>115.67</v>
      </c>
      <c r="G935">
        <v>114.84</v>
      </c>
      <c r="H935">
        <v>104.45</v>
      </c>
      <c r="K935" s="53">
        <f t="shared" si="114"/>
        <v>0.12000000000000455</v>
      </c>
      <c r="L935" s="36">
        <f t="shared" si="115"/>
        <v>0</v>
      </c>
      <c r="M935">
        <f t="shared" si="116"/>
        <v>-0.56000000000000227</v>
      </c>
      <c r="N935">
        <f t="shared" si="117"/>
        <v>0.23000000000000398</v>
      </c>
      <c r="O935">
        <f t="shared" si="118"/>
        <v>-0.10999999999999943</v>
      </c>
      <c r="P935" s="10">
        <f t="shared" si="119"/>
        <v>-0.5</v>
      </c>
    </row>
    <row r="936" spans="1:16">
      <c r="A936">
        <v>151.83000000000001</v>
      </c>
      <c r="B936" s="42">
        <v>270.12</v>
      </c>
      <c r="C936" s="36">
        <v>269.23</v>
      </c>
      <c r="D936">
        <v>269.56</v>
      </c>
      <c r="E936">
        <v>269.12</v>
      </c>
      <c r="F936">
        <v>115.67</v>
      </c>
      <c r="G936">
        <v>114.67</v>
      </c>
      <c r="H936">
        <v>104.01</v>
      </c>
      <c r="K936" s="53">
        <f t="shared" si="114"/>
        <v>0.1099999999999568</v>
      </c>
      <c r="L936" s="36">
        <f t="shared" si="115"/>
        <v>6.0000000000002274E-2</v>
      </c>
      <c r="M936">
        <f t="shared" si="116"/>
        <v>0.43999999999999773</v>
      </c>
      <c r="N936">
        <f t="shared" si="117"/>
        <v>0.17000000000000171</v>
      </c>
      <c r="O936">
        <f t="shared" si="118"/>
        <v>0</v>
      </c>
      <c r="P936" s="10">
        <f t="shared" si="119"/>
        <v>0.10999999999999943</v>
      </c>
    </row>
    <row r="937" spans="1:16">
      <c r="A937">
        <v>152</v>
      </c>
      <c r="B937" s="42">
        <v>269.56</v>
      </c>
      <c r="C937" s="36">
        <v>268.89999999999998</v>
      </c>
      <c r="D937">
        <v>269.23</v>
      </c>
      <c r="E937">
        <v>269.39999999999998</v>
      </c>
      <c r="F937">
        <v>115.73</v>
      </c>
      <c r="G937">
        <v>114.67</v>
      </c>
      <c r="H937">
        <v>103.84</v>
      </c>
      <c r="K937" s="53">
        <f t="shared" si="114"/>
        <v>0.55000000000001137</v>
      </c>
      <c r="L937" s="36">
        <f t="shared" si="115"/>
        <v>0.38999999999998636</v>
      </c>
      <c r="M937">
        <f t="shared" si="116"/>
        <v>0.16000000000002501</v>
      </c>
      <c r="N937">
        <f t="shared" si="117"/>
        <v>0.17000000000000171</v>
      </c>
      <c r="O937">
        <f t="shared" si="118"/>
        <v>0</v>
      </c>
      <c r="P937" s="10">
        <f t="shared" si="119"/>
        <v>-0.43999999999999773</v>
      </c>
    </row>
    <row r="938" spans="1:16">
      <c r="A938">
        <v>152.16999999999999</v>
      </c>
      <c r="B938" s="42">
        <v>269.83999999999997</v>
      </c>
      <c r="C938" s="36">
        <v>269.39999999999998</v>
      </c>
      <c r="D938">
        <v>269.62</v>
      </c>
      <c r="E938">
        <v>269.06</v>
      </c>
      <c r="F938">
        <v>115.9</v>
      </c>
      <c r="G938">
        <v>114.73</v>
      </c>
      <c r="H938">
        <v>103.95</v>
      </c>
      <c r="K938" s="53">
        <f t="shared" si="114"/>
        <v>0</v>
      </c>
      <c r="L938" s="36">
        <f t="shared" si="115"/>
        <v>0</v>
      </c>
      <c r="M938">
        <f t="shared" si="116"/>
        <v>0.5</v>
      </c>
      <c r="N938">
        <f t="shared" si="117"/>
        <v>-0.17000000000000171</v>
      </c>
      <c r="O938">
        <f t="shared" si="118"/>
        <v>-6.0000000000002274E-2</v>
      </c>
      <c r="P938" s="10">
        <f t="shared" si="119"/>
        <v>-0.71999999999999886</v>
      </c>
    </row>
    <row r="939" spans="1:16">
      <c r="A939">
        <v>152.33000000000001</v>
      </c>
      <c r="B939" s="42">
        <v>269.95</v>
      </c>
      <c r="C939" s="36">
        <v>269.33999999999997</v>
      </c>
      <c r="D939">
        <v>269.62</v>
      </c>
      <c r="E939">
        <v>269.56</v>
      </c>
      <c r="F939">
        <v>115.84</v>
      </c>
      <c r="G939">
        <v>114.67</v>
      </c>
      <c r="H939">
        <v>104.12</v>
      </c>
      <c r="K939" s="53">
        <f t="shared" si="114"/>
        <v>6.0000000000002274E-2</v>
      </c>
      <c r="L939" s="36">
        <f t="shared" si="115"/>
        <v>-6.0000000000002274E-2</v>
      </c>
      <c r="M939">
        <f t="shared" si="116"/>
        <v>-0.22000000000002728</v>
      </c>
      <c r="N939">
        <f t="shared" si="117"/>
        <v>-0.39000000000000057</v>
      </c>
      <c r="O939">
        <f t="shared" si="118"/>
        <v>-4.9999999999997158E-2</v>
      </c>
      <c r="P939" s="10">
        <f t="shared" si="119"/>
        <v>-0.95000000000000284</v>
      </c>
    </row>
    <row r="940" spans="1:16">
      <c r="A940">
        <v>152.5</v>
      </c>
      <c r="B940" s="42">
        <v>269.67</v>
      </c>
      <c r="C940" s="36">
        <v>269.45</v>
      </c>
      <c r="D940">
        <v>269.62</v>
      </c>
      <c r="E940">
        <v>269.56</v>
      </c>
      <c r="F940">
        <v>115.9</v>
      </c>
      <c r="G940">
        <v>114.67</v>
      </c>
      <c r="H940">
        <v>103.4</v>
      </c>
      <c r="K940" s="53">
        <f t="shared" si="114"/>
        <v>-0.21999999999997044</v>
      </c>
      <c r="L940" s="36">
        <f t="shared" si="115"/>
        <v>-0.11000000000001364</v>
      </c>
      <c r="M940">
        <f t="shared" si="116"/>
        <v>-0.11000000000001364</v>
      </c>
      <c r="N940">
        <f t="shared" si="117"/>
        <v>-0.73000000000000398</v>
      </c>
      <c r="O940">
        <f t="shared" si="118"/>
        <v>6.0000000000002274E-2</v>
      </c>
      <c r="P940" s="10">
        <f t="shared" si="119"/>
        <v>-0.17000000000000171</v>
      </c>
    </row>
    <row r="941" spans="1:16">
      <c r="A941">
        <v>152.66999999999999</v>
      </c>
      <c r="B941" s="42">
        <v>269.62</v>
      </c>
      <c r="C941" s="36">
        <v>269.39999999999998</v>
      </c>
      <c r="D941">
        <v>269.62</v>
      </c>
      <c r="E941">
        <v>269.56</v>
      </c>
      <c r="F941">
        <v>115.73</v>
      </c>
      <c r="G941">
        <v>114.67</v>
      </c>
      <c r="H941">
        <v>103.23</v>
      </c>
      <c r="K941" s="53">
        <f t="shared" si="114"/>
        <v>-0.5</v>
      </c>
      <c r="L941" s="36">
        <f t="shared" si="115"/>
        <v>-0.38999999999998636</v>
      </c>
      <c r="M941">
        <f t="shared" si="116"/>
        <v>-0.93999999999999773</v>
      </c>
      <c r="N941">
        <f t="shared" si="117"/>
        <v>-0.89000000000000057</v>
      </c>
      <c r="O941">
        <f t="shared" si="118"/>
        <v>-0.10999999999999943</v>
      </c>
      <c r="P941" s="10">
        <f t="shared" si="119"/>
        <v>-0.17000000000000171</v>
      </c>
    </row>
    <row r="942" spans="1:16">
      <c r="A942">
        <v>152.83000000000001</v>
      </c>
      <c r="B942" s="42">
        <v>269.23</v>
      </c>
      <c r="C942" s="36">
        <v>269.39999999999998</v>
      </c>
      <c r="D942">
        <v>269.56</v>
      </c>
      <c r="E942">
        <v>269.33999999999997</v>
      </c>
      <c r="F942">
        <v>115.45</v>
      </c>
      <c r="G942">
        <v>114.62</v>
      </c>
      <c r="H942">
        <v>103.17</v>
      </c>
      <c r="K942" s="53">
        <f t="shared" si="114"/>
        <v>-0.72999999999996135</v>
      </c>
      <c r="L942" s="36">
        <f t="shared" si="115"/>
        <v>-0.43999999999999773</v>
      </c>
      <c r="M942">
        <f t="shared" si="116"/>
        <v>0</v>
      </c>
      <c r="N942">
        <f t="shared" si="117"/>
        <v>-0.67000000000000171</v>
      </c>
      <c r="O942">
        <f t="shared" si="118"/>
        <v>-0.10999999999999943</v>
      </c>
      <c r="P942" s="10">
        <f t="shared" si="119"/>
        <v>-0.10999999999999943</v>
      </c>
    </row>
    <row r="943" spans="1:16">
      <c r="A943">
        <v>153</v>
      </c>
      <c r="B943" s="42">
        <v>269.77999999999997</v>
      </c>
      <c r="C943" s="36">
        <v>269.23</v>
      </c>
      <c r="D943">
        <v>269.51</v>
      </c>
      <c r="E943">
        <v>269.45</v>
      </c>
      <c r="F943">
        <v>115.17</v>
      </c>
      <c r="G943">
        <v>114.73</v>
      </c>
      <c r="H943">
        <v>103.23</v>
      </c>
      <c r="K943" s="53">
        <f t="shared" si="114"/>
        <v>-1.3900000000000432</v>
      </c>
      <c r="L943" s="36">
        <f t="shared" si="115"/>
        <v>-1.2300000000000182</v>
      </c>
      <c r="M943">
        <f t="shared" si="116"/>
        <v>-5.0000000000011369E-2</v>
      </c>
      <c r="N943">
        <f t="shared" si="117"/>
        <v>-0.26999999999999602</v>
      </c>
      <c r="O943">
        <f t="shared" si="118"/>
        <v>-0.32999999999999829</v>
      </c>
      <c r="P943" s="10">
        <f t="shared" si="119"/>
        <v>-0.32999999999999829</v>
      </c>
    </row>
    <row r="944" spans="1:16">
      <c r="A944">
        <v>153.16999999999999</v>
      </c>
      <c r="B944" s="42">
        <v>269.83999999999997</v>
      </c>
      <c r="C944" s="36">
        <v>268.89999999999998</v>
      </c>
      <c r="D944">
        <v>269.23</v>
      </c>
      <c r="E944">
        <v>268.62</v>
      </c>
      <c r="F944">
        <v>114.84</v>
      </c>
      <c r="G944">
        <v>114.56</v>
      </c>
      <c r="H944">
        <v>103.06</v>
      </c>
      <c r="K944" s="53">
        <f t="shared" si="114"/>
        <v>-0.27999999999997272</v>
      </c>
      <c r="L944" s="36">
        <f t="shared" si="115"/>
        <v>-0.22000000000002728</v>
      </c>
      <c r="M944">
        <f t="shared" si="116"/>
        <v>0.61000000000001364</v>
      </c>
      <c r="N944">
        <f t="shared" si="117"/>
        <v>0.17000000000000171</v>
      </c>
      <c r="O944">
        <f t="shared" si="118"/>
        <v>-0.32999999999999829</v>
      </c>
      <c r="P944" s="10">
        <f t="shared" si="119"/>
        <v>-0.15999999999999659</v>
      </c>
    </row>
    <row r="945" spans="1:16">
      <c r="A945">
        <v>153.33000000000001</v>
      </c>
      <c r="B945" s="42">
        <v>269.56</v>
      </c>
      <c r="C945" s="36">
        <v>268.67</v>
      </c>
      <c r="D945">
        <v>269.12</v>
      </c>
      <c r="E945">
        <v>269.33999999999997</v>
      </c>
      <c r="F945">
        <v>114.78</v>
      </c>
      <c r="G945">
        <v>114.51</v>
      </c>
      <c r="H945">
        <v>103.06</v>
      </c>
      <c r="K945" s="53">
        <f t="shared" si="114"/>
        <v>-0.11000000000001364</v>
      </c>
      <c r="L945" s="36">
        <f t="shared" si="115"/>
        <v>-0.28000000000002956</v>
      </c>
      <c r="M945">
        <f t="shared" si="116"/>
        <v>-0.38999999999998636</v>
      </c>
      <c r="N945">
        <f t="shared" si="117"/>
        <v>0.39000000000000057</v>
      </c>
      <c r="O945">
        <f t="shared" si="118"/>
        <v>-0.34000000000000341</v>
      </c>
      <c r="P945" s="10">
        <f t="shared" si="119"/>
        <v>-0.10999999999999943</v>
      </c>
    </row>
    <row r="946" spans="1:16">
      <c r="A946">
        <v>153.5</v>
      </c>
      <c r="B946" s="42">
        <v>269.56</v>
      </c>
      <c r="C946" s="36">
        <v>267.83999999999997</v>
      </c>
      <c r="D946">
        <v>268.27999999999997</v>
      </c>
      <c r="E946">
        <v>269.39999999999998</v>
      </c>
      <c r="F946">
        <v>114.9</v>
      </c>
      <c r="G946">
        <v>114.4</v>
      </c>
      <c r="H946">
        <v>102.9</v>
      </c>
      <c r="K946" s="53">
        <f t="shared" si="114"/>
        <v>0.83000000000004093</v>
      </c>
      <c r="L946" s="36">
        <f t="shared" si="115"/>
        <v>0.73000000000001819</v>
      </c>
      <c r="M946">
        <f t="shared" si="116"/>
        <v>-0.72999999999996135</v>
      </c>
      <c r="N946">
        <f t="shared" si="117"/>
        <v>0.37999999999999545</v>
      </c>
      <c r="O946">
        <f t="shared" si="118"/>
        <v>-0.34000000000000341</v>
      </c>
      <c r="P946" s="10">
        <f t="shared" si="119"/>
        <v>0.10999999999999943</v>
      </c>
    </row>
    <row r="947" spans="1:16">
      <c r="A947">
        <v>153.66999999999999</v>
      </c>
      <c r="B947" s="42">
        <v>268.45</v>
      </c>
      <c r="C947" s="36">
        <v>268.62</v>
      </c>
      <c r="D947">
        <v>269.01</v>
      </c>
      <c r="E947">
        <v>269.23</v>
      </c>
      <c r="F947">
        <v>115.01</v>
      </c>
      <c r="G947">
        <v>114.23</v>
      </c>
      <c r="H947">
        <v>102.9</v>
      </c>
      <c r="K947" s="53">
        <f t="shared" si="114"/>
        <v>-0.56000000000000227</v>
      </c>
      <c r="L947" s="36">
        <f t="shared" si="115"/>
        <v>-0.73000000000001819</v>
      </c>
      <c r="M947">
        <f t="shared" si="116"/>
        <v>-0.33000000000004093</v>
      </c>
      <c r="N947">
        <f t="shared" si="117"/>
        <v>0.39000000000000057</v>
      </c>
      <c r="O947">
        <f t="shared" si="118"/>
        <v>-0.17000000000000171</v>
      </c>
      <c r="P947" s="10">
        <f t="shared" si="119"/>
        <v>0.21999999999999886</v>
      </c>
    </row>
    <row r="948" spans="1:16">
      <c r="A948">
        <v>153.83000000000001</v>
      </c>
      <c r="B948" s="42">
        <v>267.73</v>
      </c>
      <c r="C948" s="36">
        <v>268.56</v>
      </c>
      <c r="D948">
        <v>268.83999999999997</v>
      </c>
      <c r="E948">
        <v>268.95</v>
      </c>
      <c r="F948">
        <v>115.17</v>
      </c>
      <c r="G948">
        <v>114.17</v>
      </c>
      <c r="H948">
        <v>102.95</v>
      </c>
      <c r="K948" s="53">
        <f t="shared" si="114"/>
        <v>-0.55000000000001137</v>
      </c>
      <c r="L948" s="36">
        <f t="shared" si="115"/>
        <v>-0.38999999999998636</v>
      </c>
      <c r="M948">
        <f t="shared" si="116"/>
        <v>6.0000000000002274E-2</v>
      </c>
      <c r="N948">
        <f t="shared" si="117"/>
        <v>0.34000000000000341</v>
      </c>
      <c r="O948">
        <f t="shared" si="118"/>
        <v>-0.15999999999999659</v>
      </c>
      <c r="P948" s="10">
        <f t="shared" si="119"/>
        <v>0.17000000000000171</v>
      </c>
    </row>
    <row r="949" spans="1:16">
      <c r="A949">
        <v>154</v>
      </c>
      <c r="B949" s="42">
        <v>267.83999999999997</v>
      </c>
      <c r="C949">
        <v>268.67</v>
      </c>
      <c r="D949">
        <v>269.01</v>
      </c>
      <c r="E949">
        <v>268.67</v>
      </c>
      <c r="F949">
        <v>115.28</v>
      </c>
      <c r="G949">
        <v>114.06</v>
      </c>
      <c r="H949">
        <v>103.01</v>
      </c>
      <c r="K949" s="9">
        <f t="shared" si="114"/>
        <v>-0.5</v>
      </c>
      <c r="L949">
        <f t="shared" si="115"/>
        <v>-0.56000000000000227</v>
      </c>
      <c r="M949">
        <f t="shared" si="116"/>
        <v>0.56000000000000227</v>
      </c>
      <c r="N949">
        <f t="shared" si="117"/>
        <v>0.39000000000000057</v>
      </c>
      <c r="O949">
        <f t="shared" si="118"/>
        <v>0</v>
      </c>
      <c r="P949" s="10">
        <f t="shared" si="119"/>
        <v>0.21999999999999886</v>
      </c>
    </row>
    <row r="950" spans="1:16">
      <c r="A950">
        <v>154.16999999999999</v>
      </c>
      <c r="B950" s="42">
        <v>267.73</v>
      </c>
      <c r="C950">
        <v>268.06</v>
      </c>
      <c r="D950">
        <v>268.27999999999997</v>
      </c>
      <c r="E950">
        <v>268.89999999999998</v>
      </c>
      <c r="F950">
        <v>115.4</v>
      </c>
      <c r="G950">
        <v>114.06</v>
      </c>
      <c r="H950">
        <v>103.12</v>
      </c>
      <c r="K950" s="9">
        <f t="shared" si="114"/>
        <v>6.0000000000002274E-2</v>
      </c>
      <c r="L950">
        <f t="shared" si="115"/>
        <v>6.0000000000002274E-2</v>
      </c>
      <c r="M950">
        <f t="shared" si="116"/>
        <v>0.27000000000003865</v>
      </c>
      <c r="N950">
        <f t="shared" si="117"/>
        <v>0.32999999999999829</v>
      </c>
      <c r="O950">
        <f t="shared" si="118"/>
        <v>0</v>
      </c>
      <c r="P950" s="10">
        <f t="shared" si="119"/>
        <v>-0.21999999999999886</v>
      </c>
    </row>
    <row r="951" spans="1:16">
      <c r="A951">
        <v>154.33000000000001</v>
      </c>
      <c r="B951" s="42">
        <v>268.17</v>
      </c>
      <c r="C951">
        <v>268.01</v>
      </c>
      <c r="D951">
        <v>268.45</v>
      </c>
      <c r="E951">
        <v>269.01</v>
      </c>
      <c r="F951">
        <v>115.51</v>
      </c>
      <c r="G951">
        <v>114.01</v>
      </c>
      <c r="H951">
        <v>103.12</v>
      </c>
      <c r="K951" s="9">
        <f t="shared" si="114"/>
        <v>0.43999999999999773</v>
      </c>
      <c r="L951">
        <f t="shared" si="115"/>
        <v>0.38999999999998636</v>
      </c>
      <c r="M951">
        <f t="shared" si="116"/>
        <v>-0.61000000000001364</v>
      </c>
      <c r="N951">
        <f t="shared" si="117"/>
        <v>0.32999999999999829</v>
      </c>
      <c r="O951">
        <f t="shared" si="118"/>
        <v>4.9999999999997158E-2</v>
      </c>
      <c r="P951" s="10">
        <f t="shared" si="119"/>
        <v>-0.28000000000000114</v>
      </c>
    </row>
    <row r="952" spans="1:16">
      <c r="A952">
        <v>154.5</v>
      </c>
      <c r="B952" s="42">
        <v>268.89999999999998</v>
      </c>
      <c r="C952">
        <v>268.17</v>
      </c>
      <c r="D952">
        <v>268.45</v>
      </c>
      <c r="E952">
        <v>269.23</v>
      </c>
      <c r="F952">
        <v>115.67</v>
      </c>
      <c r="G952">
        <v>114.06</v>
      </c>
      <c r="H952">
        <v>103.23</v>
      </c>
      <c r="K952" s="9">
        <f t="shared" si="114"/>
        <v>0.22999999999996135</v>
      </c>
      <c r="L952">
        <f t="shared" si="115"/>
        <v>0.22000000000002728</v>
      </c>
      <c r="M952">
        <f t="shared" si="116"/>
        <v>-1.0600000000000023</v>
      </c>
      <c r="N952">
        <f t="shared" si="117"/>
        <v>0.23000000000000398</v>
      </c>
      <c r="O952">
        <f t="shared" si="118"/>
        <v>0.10999999999999943</v>
      </c>
      <c r="P952" s="10">
        <f t="shared" si="119"/>
        <v>-0.28000000000000114</v>
      </c>
    </row>
    <row r="953" spans="1:16">
      <c r="A953">
        <v>154.66999999999999</v>
      </c>
      <c r="B953" s="42">
        <v>268.89999999999998</v>
      </c>
      <c r="C953">
        <v>268.12</v>
      </c>
      <c r="D953">
        <v>268.33999999999997</v>
      </c>
      <c r="E953">
        <v>269.17</v>
      </c>
      <c r="F953">
        <v>115.73</v>
      </c>
      <c r="G953">
        <v>114.06</v>
      </c>
      <c r="H953">
        <v>102.9</v>
      </c>
      <c r="K953" s="9">
        <f t="shared" si="114"/>
        <v>-0.28000000000002956</v>
      </c>
      <c r="L953">
        <f t="shared" si="115"/>
        <v>-6.0000000000002274E-2</v>
      </c>
      <c r="M953">
        <f t="shared" si="116"/>
        <v>-1.2200000000000273</v>
      </c>
      <c r="N953">
        <f t="shared" si="117"/>
        <v>0.32999999999999829</v>
      </c>
      <c r="O953">
        <f t="shared" si="118"/>
        <v>0.10999999999999943</v>
      </c>
      <c r="P953" s="10">
        <f t="shared" si="119"/>
        <v>0.32999999999999829</v>
      </c>
    </row>
    <row r="954" spans="1:16">
      <c r="A954">
        <v>154.83000000000001</v>
      </c>
      <c r="B954" s="42">
        <v>268.73</v>
      </c>
      <c r="C954">
        <v>268.45</v>
      </c>
      <c r="D954">
        <v>268.83999999999997</v>
      </c>
      <c r="E954">
        <v>268.39999999999998</v>
      </c>
      <c r="F954">
        <v>115.84</v>
      </c>
      <c r="G954">
        <v>114.06</v>
      </c>
      <c r="H954">
        <v>102.84</v>
      </c>
      <c r="K954" s="9">
        <f t="shared" si="114"/>
        <v>-0.77999999999997272</v>
      </c>
      <c r="L954">
        <f t="shared" si="115"/>
        <v>-0.43999999999999773</v>
      </c>
      <c r="M954">
        <f t="shared" si="116"/>
        <v>5.0000000000011369E-2</v>
      </c>
      <c r="N954">
        <f t="shared" si="117"/>
        <v>0.43999999999999773</v>
      </c>
      <c r="O954">
        <f t="shared" si="118"/>
        <v>0.21999999999999886</v>
      </c>
      <c r="P954" s="10">
        <f t="shared" si="119"/>
        <v>0.67000000000000171</v>
      </c>
    </row>
    <row r="955" spans="1:16">
      <c r="A955">
        <v>155</v>
      </c>
      <c r="B955" s="42">
        <v>268.67</v>
      </c>
      <c r="C955">
        <v>268.39999999999998</v>
      </c>
      <c r="D955">
        <v>268.67</v>
      </c>
      <c r="E955">
        <v>268.17</v>
      </c>
      <c r="F955">
        <v>115.9</v>
      </c>
      <c r="G955">
        <v>114.17</v>
      </c>
      <c r="H955">
        <v>102.95</v>
      </c>
      <c r="K955" s="9">
        <f t="shared" si="114"/>
        <v>-4</v>
      </c>
      <c r="L955">
        <f t="shared" si="115"/>
        <v>-1.7200000000000273</v>
      </c>
      <c r="M955">
        <f t="shared" si="116"/>
        <v>0.44999999999998863</v>
      </c>
      <c r="N955">
        <f t="shared" si="117"/>
        <v>0.43999999999999773</v>
      </c>
      <c r="O955">
        <f t="shared" si="118"/>
        <v>0.17000000000000171</v>
      </c>
      <c r="P955" s="10">
        <f t="shared" si="119"/>
        <v>0.78000000000000114</v>
      </c>
    </row>
    <row r="956" spans="1:16">
      <c r="A956">
        <v>155.16999999999999</v>
      </c>
      <c r="B956" s="42">
        <v>269.01</v>
      </c>
      <c r="C956">
        <v>267.83999999999997</v>
      </c>
      <c r="D956">
        <v>268.27999999999997</v>
      </c>
      <c r="E956">
        <v>267.95</v>
      </c>
      <c r="F956">
        <v>116.06</v>
      </c>
      <c r="G956">
        <v>114.17</v>
      </c>
      <c r="H956">
        <v>103.23</v>
      </c>
      <c r="K956" s="9">
        <f t="shared" si="114"/>
        <v>-7.7799999999999727</v>
      </c>
      <c r="L956">
        <f t="shared" si="115"/>
        <v>-6</v>
      </c>
      <c r="M956">
        <f t="shared" si="116"/>
        <v>0.94999999999998863</v>
      </c>
      <c r="N956">
        <f t="shared" si="117"/>
        <v>0.39000000000000057</v>
      </c>
      <c r="O956">
        <f t="shared" si="118"/>
        <v>0.23000000000000398</v>
      </c>
      <c r="P956" s="10">
        <f t="shared" si="119"/>
        <v>0.17000000000000171</v>
      </c>
    </row>
    <row r="957" spans="1:16">
      <c r="A957">
        <v>155.33000000000001</v>
      </c>
      <c r="B957" s="42">
        <v>268.95</v>
      </c>
      <c r="C957">
        <v>267.67</v>
      </c>
      <c r="D957">
        <v>268.39999999999998</v>
      </c>
      <c r="E957">
        <v>268.45</v>
      </c>
      <c r="F957">
        <v>116.28</v>
      </c>
      <c r="G957">
        <v>114.28</v>
      </c>
      <c r="H957">
        <v>103.51</v>
      </c>
      <c r="K957" s="9">
        <f t="shared" si="114"/>
        <v>-12.77000000000001</v>
      </c>
      <c r="L957">
        <f t="shared" si="115"/>
        <v>-12.339999999999975</v>
      </c>
      <c r="M957">
        <f t="shared" si="116"/>
        <v>0.17000000000001592</v>
      </c>
      <c r="N957">
        <f t="shared" si="117"/>
        <v>0.28000000000000114</v>
      </c>
      <c r="O957">
        <f t="shared" si="118"/>
        <v>0.23000000000000398</v>
      </c>
      <c r="P957" s="10">
        <f t="shared" si="119"/>
        <v>-0.67000000000000171</v>
      </c>
    </row>
    <row r="958" spans="1:16">
      <c r="A958">
        <v>155.5</v>
      </c>
      <c r="B958" s="42">
        <v>258.06</v>
      </c>
      <c r="C958">
        <v>264.39999999999998</v>
      </c>
      <c r="D958">
        <v>266.95</v>
      </c>
      <c r="E958">
        <v>268.62</v>
      </c>
      <c r="F958">
        <v>116.34</v>
      </c>
      <c r="G958">
        <v>114.34</v>
      </c>
      <c r="H958">
        <v>103.73</v>
      </c>
      <c r="K958" s="9">
        <f t="shared" si="114"/>
        <v>-15.499999999999972</v>
      </c>
      <c r="L958">
        <f t="shared" si="115"/>
        <v>-18.28</v>
      </c>
      <c r="M958">
        <f t="shared" si="116"/>
        <v>-2.3400000000000318</v>
      </c>
      <c r="N958">
        <f t="shared" si="117"/>
        <v>0.28000000000000114</v>
      </c>
      <c r="O958">
        <f t="shared" si="118"/>
        <v>0.28000000000000114</v>
      </c>
      <c r="P958" s="10">
        <f t="shared" si="119"/>
        <v>-1</v>
      </c>
    </row>
    <row r="959" spans="1:16">
      <c r="A959">
        <v>155.66999999999999</v>
      </c>
      <c r="B959" s="42">
        <v>248.4</v>
      </c>
      <c r="C959">
        <v>260.06</v>
      </c>
      <c r="D959">
        <v>262.27999999999997</v>
      </c>
      <c r="E959">
        <v>268.89999999999998</v>
      </c>
      <c r="F959">
        <v>116.45</v>
      </c>
      <c r="G959">
        <v>114.4</v>
      </c>
      <c r="H959">
        <v>103.4</v>
      </c>
      <c r="K959" s="85">
        <f t="shared" si="114"/>
        <v>-16.390000000000015</v>
      </c>
      <c r="L959">
        <f t="shared" si="115"/>
        <v>-19.109999999999985</v>
      </c>
      <c r="M959">
        <f t="shared" si="116"/>
        <v>-7.9499999999999886</v>
      </c>
      <c r="N959">
        <f t="shared" si="117"/>
        <v>-0.43999999999999773</v>
      </c>
      <c r="O959">
        <f t="shared" si="118"/>
        <v>0.26999999999999602</v>
      </c>
      <c r="P959" s="10">
        <f t="shared" si="119"/>
        <v>-0.95000000000000284</v>
      </c>
    </row>
    <row r="960" spans="1:16">
      <c r="A960">
        <v>155.83000000000001</v>
      </c>
      <c r="B960" s="42">
        <v>241.45</v>
      </c>
      <c r="C960">
        <v>254.9</v>
      </c>
      <c r="D960">
        <v>256.06</v>
      </c>
      <c r="E960">
        <v>268.62</v>
      </c>
      <c r="F960">
        <v>116.56</v>
      </c>
      <c r="G960">
        <v>114.51</v>
      </c>
      <c r="H960">
        <v>102.84</v>
      </c>
      <c r="K960" s="9">
        <f t="shared" si="114"/>
        <v>-15.120000000000005</v>
      </c>
      <c r="L960">
        <f t="shared" si="115"/>
        <v>-17.390000000000015</v>
      </c>
      <c r="M960">
        <f t="shared" si="116"/>
        <v>-14.5</v>
      </c>
      <c r="N960">
        <f t="shared" si="117"/>
        <v>-0.65999999999999659</v>
      </c>
      <c r="O960">
        <f t="shared" si="118"/>
        <v>0.32999999999999829</v>
      </c>
      <c r="P960" s="10">
        <f t="shared" si="119"/>
        <v>-0.71999999999999886</v>
      </c>
    </row>
    <row r="961" spans="1:16">
      <c r="A961">
        <v>156</v>
      </c>
      <c r="B961" s="42">
        <v>233.17</v>
      </c>
      <c r="C961">
        <v>248.9</v>
      </c>
      <c r="D961">
        <v>248.67</v>
      </c>
      <c r="E961">
        <v>266.27999999999997</v>
      </c>
      <c r="F961">
        <v>116.62</v>
      </c>
      <c r="G961">
        <v>114.62</v>
      </c>
      <c r="H961">
        <v>102.73</v>
      </c>
      <c r="K961" s="9">
        <f t="shared" si="114"/>
        <v>-13</v>
      </c>
      <c r="L961">
        <f t="shared" si="115"/>
        <v>-14.269999999999982</v>
      </c>
      <c r="M961">
        <f t="shared" si="116"/>
        <v>-21.049999999999983</v>
      </c>
      <c r="N961">
        <f t="shared" si="117"/>
        <v>-0.67000000000000171</v>
      </c>
      <c r="O961">
        <f t="shared" si="118"/>
        <v>0.15999999999999659</v>
      </c>
      <c r="P961" s="10">
        <f t="shared" si="119"/>
        <v>-0.5</v>
      </c>
    </row>
    <row r="962" spans="1:16">
      <c r="A962">
        <v>156.16999999999999</v>
      </c>
      <c r="B962" s="42">
        <v>226.84</v>
      </c>
      <c r="C962">
        <v>243.67</v>
      </c>
      <c r="D962">
        <v>243.17</v>
      </c>
      <c r="E962">
        <v>260.95</v>
      </c>
      <c r="F962">
        <v>116.01</v>
      </c>
      <c r="G962">
        <v>114.67</v>
      </c>
      <c r="H962">
        <v>102.45</v>
      </c>
      <c r="K962" s="9">
        <f t="shared" si="114"/>
        <v>-10.829999999999984</v>
      </c>
      <c r="L962">
        <f t="shared" si="115"/>
        <v>-11.829999999999984</v>
      </c>
      <c r="M962">
        <f t="shared" si="116"/>
        <v>-23.939999999999998</v>
      </c>
      <c r="N962">
        <f t="shared" si="117"/>
        <v>-6.0000000000002274E-2</v>
      </c>
      <c r="O962">
        <f t="shared" si="118"/>
        <v>0.17000000000000171</v>
      </c>
      <c r="P962" s="10">
        <f t="shared" si="119"/>
        <v>-0.54999999999999716</v>
      </c>
    </row>
    <row r="963" spans="1:16">
      <c r="A963">
        <v>156.33000000000001</v>
      </c>
      <c r="B963" s="42">
        <v>220.95</v>
      </c>
      <c r="C963">
        <v>239.78</v>
      </c>
      <c r="D963">
        <v>238.67</v>
      </c>
      <c r="E963">
        <v>254.12</v>
      </c>
      <c r="F963">
        <v>115.9</v>
      </c>
      <c r="G963">
        <v>114.84</v>
      </c>
      <c r="H963">
        <v>102.12</v>
      </c>
      <c r="K963" s="9">
        <f t="shared" si="114"/>
        <v>-11.719999999999999</v>
      </c>
      <c r="L963">
        <f t="shared" si="115"/>
        <v>-11.939999999999998</v>
      </c>
      <c r="M963">
        <f t="shared" si="116"/>
        <v>-22.840000000000003</v>
      </c>
      <c r="N963">
        <f t="shared" si="117"/>
        <v>-0.23000000000000398</v>
      </c>
      <c r="O963">
        <f t="shared" si="118"/>
        <v>-6.0000000000002274E-2</v>
      </c>
      <c r="P963" s="10">
        <f t="shared" si="119"/>
        <v>-0.39000000000000057</v>
      </c>
    </row>
    <row r="964" spans="1:16">
      <c r="A964">
        <v>156.5</v>
      </c>
      <c r="B964" s="42">
        <v>216.01</v>
      </c>
      <c r="C964">
        <v>235.9</v>
      </c>
      <c r="D964">
        <v>234.4</v>
      </c>
      <c r="E964">
        <v>245.23</v>
      </c>
      <c r="F964">
        <v>115.95</v>
      </c>
      <c r="G964">
        <v>114.78</v>
      </c>
      <c r="H964">
        <v>102.23</v>
      </c>
      <c r="K964" s="9">
        <f t="shared" si="114"/>
        <v>-12.120000000000005</v>
      </c>
      <c r="L964">
        <f t="shared" si="115"/>
        <v>-12.450000000000017</v>
      </c>
      <c r="M964">
        <f t="shared" si="116"/>
        <v>-22.78</v>
      </c>
      <c r="N964">
        <f t="shared" si="117"/>
        <v>-0.39000000000000057</v>
      </c>
      <c r="O964">
        <f t="shared" si="118"/>
        <v>6.0000000000002274E-2</v>
      </c>
      <c r="P964" s="10">
        <f t="shared" si="119"/>
        <v>-0.32999999999999829</v>
      </c>
    </row>
    <row r="965" spans="1:16">
      <c r="A965">
        <v>156.66999999999999</v>
      </c>
      <c r="B965" s="42">
        <v>210.17</v>
      </c>
      <c r="C965">
        <v>232.84</v>
      </c>
      <c r="D965">
        <v>231.34</v>
      </c>
      <c r="E965">
        <v>237.01</v>
      </c>
      <c r="F965">
        <v>115.95</v>
      </c>
      <c r="G965">
        <v>114.84</v>
      </c>
      <c r="H965">
        <v>101.9</v>
      </c>
      <c r="K965" s="9">
        <f t="shared" si="114"/>
        <v>-13.939999999999998</v>
      </c>
      <c r="L965">
        <f t="shared" si="115"/>
        <v>-14.170000000000016</v>
      </c>
      <c r="M965">
        <f t="shared" si="116"/>
        <v>-21.340000000000003</v>
      </c>
      <c r="N965">
        <f t="shared" si="117"/>
        <v>-0.43999999999999773</v>
      </c>
      <c r="O965">
        <f t="shared" si="118"/>
        <v>-0.17000000000000171</v>
      </c>
      <c r="P965" s="10">
        <f t="shared" si="119"/>
        <v>0.37999999999999545</v>
      </c>
    </row>
    <row r="966" spans="1:16">
      <c r="A966">
        <v>156.83000000000001</v>
      </c>
      <c r="B966" s="42">
        <v>203.28</v>
      </c>
      <c r="C966">
        <v>228.06</v>
      </c>
      <c r="D966">
        <v>226.73</v>
      </c>
      <c r="E966">
        <v>231.28</v>
      </c>
      <c r="F966">
        <v>115.67</v>
      </c>
      <c r="G966">
        <v>114.78</v>
      </c>
      <c r="H966">
        <v>101.73</v>
      </c>
      <c r="K966" s="9">
        <f t="shared" si="114"/>
        <v>-13.110000000000014</v>
      </c>
      <c r="L966">
        <f t="shared" si="115"/>
        <v>-13.780000000000001</v>
      </c>
      <c r="M966">
        <f t="shared" si="116"/>
        <v>-19.879999999999995</v>
      </c>
      <c r="N966">
        <f t="shared" si="117"/>
        <v>0</v>
      </c>
      <c r="O966">
        <f t="shared" si="118"/>
        <v>-0.15999999999999659</v>
      </c>
      <c r="P966" s="10">
        <f t="shared" si="119"/>
        <v>0.67000000000000171</v>
      </c>
    </row>
    <row r="967" spans="1:16">
      <c r="A967">
        <v>157</v>
      </c>
      <c r="B967" s="42">
        <v>197.9</v>
      </c>
      <c r="C967">
        <v>223.78</v>
      </c>
      <c r="D967">
        <v>221.95</v>
      </c>
      <c r="E967">
        <v>222.45</v>
      </c>
      <c r="F967">
        <v>115.56</v>
      </c>
      <c r="G967">
        <v>114.84</v>
      </c>
      <c r="H967">
        <v>101.9</v>
      </c>
      <c r="K967" s="9">
        <f t="shared" si="114"/>
        <v>-12.330000000000013</v>
      </c>
      <c r="L967">
        <f t="shared" si="115"/>
        <v>-13.5</v>
      </c>
      <c r="M967">
        <f t="shared" si="116"/>
        <v>-12.829999999999984</v>
      </c>
      <c r="N967">
        <f t="shared" si="117"/>
        <v>6.0000000000002274E-2</v>
      </c>
      <c r="O967">
        <f t="shared" si="118"/>
        <v>-0.28000000000000114</v>
      </c>
      <c r="P967" s="10">
        <f t="shared" si="119"/>
        <v>0.60999999999999943</v>
      </c>
    </row>
    <row r="968" spans="1:16">
      <c r="A968">
        <v>157.16999999999999</v>
      </c>
      <c r="B968" s="42">
        <v>204.06</v>
      </c>
      <c r="C968">
        <v>218.9</v>
      </c>
      <c r="D968">
        <v>217.17</v>
      </c>
      <c r="E968">
        <v>215.67</v>
      </c>
      <c r="F968">
        <v>115.51</v>
      </c>
      <c r="G968">
        <v>114.67</v>
      </c>
      <c r="H968">
        <v>102.28</v>
      </c>
      <c r="K968" s="9">
        <f t="shared" si="114"/>
        <v>-9.9500000000000171</v>
      </c>
      <c r="L968">
        <f t="shared" si="115"/>
        <v>-10.889999999999986</v>
      </c>
      <c r="M968">
        <f t="shared" si="116"/>
        <v>-3.4399999999999977</v>
      </c>
      <c r="N968">
        <f t="shared" si="117"/>
        <v>0.39000000000000057</v>
      </c>
      <c r="O968">
        <f t="shared" si="118"/>
        <v>-0.10999999999999943</v>
      </c>
      <c r="P968" s="10">
        <f t="shared" si="119"/>
        <v>-0.15999999999999659</v>
      </c>
    </row>
    <row r="969" spans="1:16">
      <c r="A969">
        <v>157.33000000000001</v>
      </c>
      <c r="B969" s="42">
        <v>206.06</v>
      </c>
      <c r="C969">
        <v>214.95</v>
      </c>
      <c r="D969">
        <v>212.95</v>
      </c>
      <c r="E969">
        <v>211.4</v>
      </c>
      <c r="F969">
        <v>115.67</v>
      </c>
      <c r="G969">
        <v>114.62</v>
      </c>
      <c r="H969">
        <v>102.4</v>
      </c>
      <c r="K969" s="9">
        <f t="shared" si="114"/>
        <v>-8.5499999999999829</v>
      </c>
      <c r="L969">
        <f t="shared" si="115"/>
        <v>-7.8899999999999864</v>
      </c>
      <c r="M969">
        <f t="shared" si="116"/>
        <v>1.9399999999999977</v>
      </c>
      <c r="N969">
        <f t="shared" si="117"/>
        <v>0.23000000000000398</v>
      </c>
      <c r="O969">
        <f t="shared" si="118"/>
        <v>-0.10999999999999943</v>
      </c>
      <c r="P969" s="10">
        <f t="shared" si="119"/>
        <v>-0.12000000000000455</v>
      </c>
    </row>
    <row r="970" spans="1:16">
      <c r="A970">
        <v>157.5</v>
      </c>
      <c r="B970" s="42">
        <v>203.95</v>
      </c>
      <c r="C970">
        <v>211.45</v>
      </c>
      <c r="D970">
        <v>208.45</v>
      </c>
      <c r="E970">
        <v>209.62</v>
      </c>
      <c r="F970">
        <v>115.62</v>
      </c>
      <c r="G970">
        <v>114.56</v>
      </c>
      <c r="H970">
        <v>102.51</v>
      </c>
      <c r="K970" s="9">
        <f t="shared" si="114"/>
        <v>-3.7800000000000011</v>
      </c>
      <c r="L970">
        <f t="shared" si="115"/>
        <v>2.1700000000000159</v>
      </c>
      <c r="M970">
        <f t="shared" si="116"/>
        <v>3.5499999999999829</v>
      </c>
      <c r="N970">
        <f t="shared" si="117"/>
        <v>4.9999999999997158E-2</v>
      </c>
      <c r="O970">
        <f t="shared" si="118"/>
        <v>-0.10999999999999943</v>
      </c>
      <c r="P970" s="10">
        <f t="shared" si="119"/>
        <v>-6.0000000000002274E-2</v>
      </c>
    </row>
    <row r="971" spans="1:16">
      <c r="A971">
        <v>157.66999999999999</v>
      </c>
      <c r="B971" s="42">
        <v>202.95</v>
      </c>
      <c r="C971">
        <v>208.95</v>
      </c>
      <c r="D971">
        <v>206.28</v>
      </c>
      <c r="E971">
        <v>212.23</v>
      </c>
      <c r="F971">
        <v>115.9</v>
      </c>
      <c r="G971">
        <v>114.56</v>
      </c>
      <c r="H971">
        <v>102.12</v>
      </c>
      <c r="K971" s="9">
        <f t="shared" si="114"/>
        <v>1.8300000000000125</v>
      </c>
      <c r="L971">
        <f t="shared" si="115"/>
        <v>6</v>
      </c>
      <c r="M971">
        <f t="shared" si="116"/>
        <v>0.55000000000001137</v>
      </c>
      <c r="N971">
        <f t="shared" si="117"/>
        <v>-0.73000000000000398</v>
      </c>
      <c r="O971">
        <f t="shared" si="118"/>
        <v>-0.15999999999999659</v>
      </c>
      <c r="P971" s="10">
        <f t="shared" si="119"/>
        <v>0.10999999999999943</v>
      </c>
    </row>
    <row r="972" spans="1:16">
      <c r="A972">
        <v>157.83000000000001</v>
      </c>
      <c r="B972" s="42">
        <v>197.95</v>
      </c>
      <c r="C972">
        <v>206.4</v>
      </c>
      <c r="D972">
        <v>205.06</v>
      </c>
      <c r="E972">
        <v>213.34</v>
      </c>
      <c r="F972">
        <v>115.9</v>
      </c>
      <c r="G972">
        <v>114.51</v>
      </c>
      <c r="H972">
        <v>102.28</v>
      </c>
      <c r="K972" s="74">
        <f t="shared" si="114"/>
        <v>5.3799999999999955</v>
      </c>
      <c r="L972" s="62">
        <f t="shared" si="115"/>
        <v>6.8400000000000034</v>
      </c>
      <c r="M972">
        <f t="shared" si="116"/>
        <v>-1.4399999999999977</v>
      </c>
      <c r="N972">
        <f t="shared" si="117"/>
        <v>-0.89000000000000057</v>
      </c>
      <c r="O972">
        <f t="shared" si="118"/>
        <v>-0.10999999999999943</v>
      </c>
      <c r="P972" s="10">
        <f t="shared" si="119"/>
        <v>-0.21999999999999886</v>
      </c>
    </row>
    <row r="973" spans="1:16">
      <c r="A973">
        <v>158</v>
      </c>
      <c r="B973" s="42">
        <v>190.28</v>
      </c>
      <c r="C973">
        <v>207.67</v>
      </c>
      <c r="D973">
        <v>210.62</v>
      </c>
      <c r="E973">
        <v>213.17</v>
      </c>
      <c r="F973">
        <v>115.67</v>
      </c>
      <c r="G973">
        <v>114.45</v>
      </c>
      <c r="H973">
        <v>102.45</v>
      </c>
      <c r="K973" s="9">
        <f t="shared" si="114"/>
        <v>4.0600000000000023</v>
      </c>
      <c r="L973">
        <f t="shared" si="115"/>
        <v>0.15999999999999659</v>
      </c>
      <c r="M973">
        <f t="shared" si="116"/>
        <v>-1.6099999999999852</v>
      </c>
      <c r="N973">
        <f t="shared" si="117"/>
        <v>-0.65999999999999659</v>
      </c>
      <c r="O973">
        <f t="shared" si="118"/>
        <v>-0.10999999999999943</v>
      </c>
      <c r="P973" s="10">
        <f t="shared" si="119"/>
        <v>-0.21999999999999886</v>
      </c>
    </row>
    <row r="974" spans="1:16">
      <c r="A974">
        <v>158.16999999999999</v>
      </c>
      <c r="B974" s="42">
        <v>182.51</v>
      </c>
      <c r="C974">
        <v>210.78</v>
      </c>
      <c r="D974">
        <v>212.28</v>
      </c>
      <c r="E974">
        <v>212.78</v>
      </c>
      <c r="F974">
        <v>115.17</v>
      </c>
      <c r="G974">
        <v>114.4</v>
      </c>
      <c r="H974">
        <v>102.23</v>
      </c>
      <c r="K974" s="9">
        <f t="shared" si="114"/>
        <v>-5.0000000000011369E-2</v>
      </c>
      <c r="L974">
        <f t="shared" si="115"/>
        <v>-2.5</v>
      </c>
      <c r="M974">
        <f t="shared" si="116"/>
        <v>-2.2199999999999989</v>
      </c>
      <c r="N974">
        <f t="shared" si="117"/>
        <v>-0.32999999999999829</v>
      </c>
      <c r="O974">
        <f t="shared" si="118"/>
        <v>-0.17000000000000171</v>
      </c>
      <c r="P974" s="10">
        <f t="shared" si="119"/>
        <v>-0.10999999999999943</v>
      </c>
    </row>
    <row r="975" spans="1:16">
      <c r="A975">
        <v>158.33000000000001</v>
      </c>
      <c r="B975" s="42">
        <v>176.56</v>
      </c>
      <c r="C975">
        <v>211.78</v>
      </c>
      <c r="D975">
        <v>211.9</v>
      </c>
      <c r="E975">
        <v>211.9</v>
      </c>
      <c r="F975">
        <v>115.01</v>
      </c>
      <c r="G975">
        <v>114.4</v>
      </c>
      <c r="H975">
        <v>102.06</v>
      </c>
      <c r="K975" s="9">
        <f t="shared" si="114"/>
        <v>-2.6599999999999966</v>
      </c>
      <c r="L975">
        <f t="shared" si="115"/>
        <v>-3.3400000000000034</v>
      </c>
      <c r="M975">
        <f t="shared" si="116"/>
        <v>-2.5600000000000023</v>
      </c>
      <c r="N975">
        <f t="shared" si="117"/>
        <v>-0.34000000000000341</v>
      </c>
      <c r="O975">
        <f t="shared" si="118"/>
        <v>-6.0000000000002274E-2</v>
      </c>
      <c r="P975" s="10">
        <f t="shared" si="119"/>
        <v>-0.71999999999999886</v>
      </c>
    </row>
    <row r="976" spans="1:16">
      <c r="A976">
        <v>158.5</v>
      </c>
      <c r="B976" s="42">
        <v>170.56</v>
      </c>
      <c r="C976">
        <v>211.73</v>
      </c>
      <c r="D976">
        <v>210.78</v>
      </c>
      <c r="E976">
        <v>211.56</v>
      </c>
      <c r="F976">
        <v>115.01</v>
      </c>
      <c r="G976">
        <v>114.34</v>
      </c>
      <c r="H976">
        <v>102.23</v>
      </c>
      <c r="K976" s="9">
        <f t="shared" si="114"/>
        <v>-2.9499999999999886</v>
      </c>
      <c r="L976">
        <f t="shared" si="115"/>
        <v>-2.1599999999999966</v>
      </c>
      <c r="M976">
        <f t="shared" si="116"/>
        <v>-2.7800000000000011</v>
      </c>
      <c r="N976">
        <f t="shared" si="117"/>
        <v>-0.39000000000000057</v>
      </c>
      <c r="O976">
        <f t="shared" si="118"/>
        <v>-6.0000000000002274E-2</v>
      </c>
      <c r="P976" s="10">
        <f t="shared" si="119"/>
        <v>-0.82999999999999829</v>
      </c>
    </row>
    <row r="977" spans="1:16">
      <c r="A977">
        <v>158.66999999999999</v>
      </c>
      <c r="B977" s="42">
        <v>166.17</v>
      </c>
      <c r="C977">
        <v>210.73</v>
      </c>
      <c r="D977">
        <v>209.78</v>
      </c>
      <c r="E977">
        <v>210.56</v>
      </c>
      <c r="F977">
        <v>114.84</v>
      </c>
      <c r="G977">
        <v>114.23</v>
      </c>
      <c r="H977">
        <v>102.12</v>
      </c>
      <c r="K977" s="9">
        <f t="shared" si="114"/>
        <v>-0.38999999999998636</v>
      </c>
      <c r="L977">
        <f t="shared" si="115"/>
        <v>0</v>
      </c>
      <c r="M977">
        <f t="shared" si="116"/>
        <v>-1.6100000000000136</v>
      </c>
      <c r="N977">
        <f t="shared" si="117"/>
        <v>-0.78000000000000114</v>
      </c>
      <c r="O977">
        <f t="shared" si="118"/>
        <v>0.10999999999999943</v>
      </c>
      <c r="P977" s="10">
        <f t="shared" si="119"/>
        <v>-0.56000000000000227</v>
      </c>
    </row>
    <row r="978" spans="1:16">
      <c r="A978">
        <v>158.83000000000001</v>
      </c>
      <c r="B978" s="42">
        <v>162.44999999999999</v>
      </c>
      <c r="C978">
        <v>209.12</v>
      </c>
      <c r="D978">
        <v>208.56</v>
      </c>
      <c r="E978">
        <v>209.34</v>
      </c>
      <c r="F978">
        <v>114.67</v>
      </c>
      <c r="G978">
        <v>114.34</v>
      </c>
      <c r="H978">
        <v>101.34</v>
      </c>
      <c r="K978" s="9">
        <f t="shared" si="114"/>
        <v>1.4399999999999977</v>
      </c>
      <c r="L978">
        <f t="shared" si="115"/>
        <v>1.0600000000000023</v>
      </c>
      <c r="M978">
        <f t="shared" si="116"/>
        <v>0.16999999999998749</v>
      </c>
      <c r="N978">
        <f t="shared" si="117"/>
        <v>-0.76999999999999602</v>
      </c>
      <c r="O978">
        <f t="shared" si="118"/>
        <v>0</v>
      </c>
      <c r="P978" s="10">
        <f t="shared" si="119"/>
        <v>0.21999999999999886</v>
      </c>
    </row>
    <row r="979" spans="1:16">
      <c r="A979">
        <v>159</v>
      </c>
      <c r="B979" s="42">
        <v>159.16999999999999</v>
      </c>
      <c r="C979">
        <v>208.78</v>
      </c>
      <c r="D979">
        <v>208.62</v>
      </c>
      <c r="E979">
        <v>208.78</v>
      </c>
      <c r="F979">
        <v>114.62</v>
      </c>
      <c r="G979">
        <v>114.28</v>
      </c>
      <c r="H979">
        <v>101.4</v>
      </c>
      <c r="K979" s="9">
        <f t="shared" si="114"/>
        <v>1.1200000000000045</v>
      </c>
      <c r="L979">
        <f t="shared" si="115"/>
        <v>0.78000000000000114</v>
      </c>
      <c r="M979">
        <f t="shared" si="116"/>
        <v>0.16999999999998749</v>
      </c>
      <c r="N979">
        <f t="shared" si="117"/>
        <v>-0.67000000000000171</v>
      </c>
      <c r="O979">
        <f t="shared" si="118"/>
        <v>-4.9999999999997158E-2</v>
      </c>
      <c r="P979" s="10">
        <f t="shared" si="119"/>
        <v>0.15999999999999659</v>
      </c>
    </row>
    <row r="980" spans="1:16">
      <c r="A980">
        <v>159.16999999999999</v>
      </c>
      <c r="B980" s="42">
        <v>155.62</v>
      </c>
      <c r="C980">
        <v>210.34</v>
      </c>
      <c r="D980">
        <v>209.78</v>
      </c>
      <c r="E980">
        <v>208.95</v>
      </c>
      <c r="F980">
        <v>114.06</v>
      </c>
      <c r="G980">
        <v>114.34</v>
      </c>
      <c r="H980">
        <v>101.56</v>
      </c>
      <c r="K980" s="9">
        <f t="shared" si="114"/>
        <v>-1.3900000000000148</v>
      </c>
      <c r="L980">
        <f t="shared" si="115"/>
        <v>-0.33000000000001251</v>
      </c>
      <c r="M980">
        <f t="shared" si="116"/>
        <v>-4.9999999999982947E-2</v>
      </c>
      <c r="N980">
        <f t="shared" si="117"/>
        <v>6.0000000000002274E-2</v>
      </c>
      <c r="O980">
        <f t="shared" si="118"/>
        <v>-6.0000000000002274E-2</v>
      </c>
      <c r="P980" s="10">
        <f t="shared" si="119"/>
        <v>0.17000000000000171</v>
      </c>
    </row>
    <row r="981" spans="1:16">
      <c r="A981">
        <v>159.33000000000001</v>
      </c>
      <c r="B981" s="42">
        <v>152.56</v>
      </c>
      <c r="C981">
        <v>210.56</v>
      </c>
      <c r="D981">
        <v>209.62</v>
      </c>
      <c r="E981">
        <v>209.51</v>
      </c>
      <c r="F981">
        <v>113.9</v>
      </c>
      <c r="G981">
        <v>114.34</v>
      </c>
      <c r="H981">
        <v>101.56</v>
      </c>
      <c r="K981" s="9">
        <f t="shared" si="114"/>
        <v>-5.3300000000000125</v>
      </c>
      <c r="L981">
        <f t="shared" si="115"/>
        <v>-1.1100000000000136</v>
      </c>
      <c r="M981">
        <f t="shared" si="116"/>
        <v>-1.2800000000000011</v>
      </c>
      <c r="N981">
        <f t="shared" si="117"/>
        <v>0.32999999999999829</v>
      </c>
      <c r="O981">
        <f t="shared" si="118"/>
        <v>-6.0000000000002274E-2</v>
      </c>
      <c r="P981" s="10">
        <f t="shared" si="119"/>
        <v>0.39000000000000057</v>
      </c>
    </row>
    <row r="982" spans="1:16">
      <c r="A982">
        <v>159.5</v>
      </c>
      <c r="B982" s="42">
        <v>149.94999999999999</v>
      </c>
      <c r="C982">
        <v>209.9</v>
      </c>
      <c r="D982">
        <v>209.4</v>
      </c>
      <c r="E982">
        <v>208.95</v>
      </c>
      <c r="F982">
        <v>113.95</v>
      </c>
      <c r="G982">
        <v>114.23</v>
      </c>
      <c r="H982">
        <v>101.56</v>
      </c>
      <c r="K982" s="9">
        <f t="shared" si="114"/>
        <v>-8.3900000000000148</v>
      </c>
      <c r="L982">
        <f t="shared" si="115"/>
        <v>-3.7300000000000182</v>
      </c>
      <c r="M982">
        <f t="shared" si="116"/>
        <v>-1.6099999999999852</v>
      </c>
      <c r="N982">
        <f t="shared" si="117"/>
        <v>0.32999999999999829</v>
      </c>
      <c r="O982">
        <f t="shared" si="118"/>
        <v>0</v>
      </c>
      <c r="P982" s="10">
        <f t="shared" si="119"/>
        <v>0.17000000000000171</v>
      </c>
    </row>
    <row r="983" spans="1:16">
      <c r="A983">
        <v>159.66999999999999</v>
      </c>
      <c r="B983" s="42">
        <v>146.78</v>
      </c>
      <c r="C983">
        <v>208.95</v>
      </c>
      <c r="D983">
        <v>209.45</v>
      </c>
      <c r="E983">
        <v>208.9</v>
      </c>
      <c r="F983">
        <v>114.12</v>
      </c>
      <c r="G983">
        <v>114.28</v>
      </c>
      <c r="H983">
        <v>101.73</v>
      </c>
      <c r="K983" s="9">
        <f t="shared" si="114"/>
        <v>-12</v>
      </c>
      <c r="L983">
        <f t="shared" si="115"/>
        <v>-9.8899999999999864</v>
      </c>
      <c r="M983">
        <f t="shared" si="116"/>
        <v>-2.8400000000000034</v>
      </c>
      <c r="N983">
        <f t="shared" si="117"/>
        <v>0.28000000000000114</v>
      </c>
      <c r="O983">
        <f t="shared" si="118"/>
        <v>-0.10999999999999943</v>
      </c>
      <c r="P983" s="10">
        <f t="shared" si="119"/>
        <v>-0.17000000000000171</v>
      </c>
    </row>
    <row r="984" spans="1:16">
      <c r="A984">
        <v>159.83000000000001</v>
      </c>
      <c r="B984" s="42">
        <v>143.44999999999999</v>
      </c>
      <c r="C984">
        <v>205.23</v>
      </c>
      <c r="D984">
        <v>208.51</v>
      </c>
      <c r="E984">
        <v>208.23</v>
      </c>
      <c r="F984">
        <v>114.23</v>
      </c>
      <c r="G984">
        <v>114.28</v>
      </c>
      <c r="H984">
        <v>101.95</v>
      </c>
      <c r="K984" s="86">
        <f t="shared" si="114"/>
        <v>-12.669999999999987</v>
      </c>
      <c r="L984">
        <f t="shared" si="115"/>
        <v>-14.669999999999987</v>
      </c>
      <c r="M984">
        <f t="shared" si="116"/>
        <v>-9.7199999999999989</v>
      </c>
      <c r="N984">
        <f t="shared" si="117"/>
        <v>0.32999999999999829</v>
      </c>
      <c r="O984">
        <f t="shared" si="118"/>
        <v>-0.10999999999999943</v>
      </c>
      <c r="P984" s="10">
        <f t="shared" si="119"/>
        <v>-0.60999999999999943</v>
      </c>
    </row>
    <row r="985" spans="1:16">
      <c r="A985">
        <v>160</v>
      </c>
      <c r="B985" s="42">
        <v>139.84</v>
      </c>
      <c r="C985">
        <v>201.51</v>
      </c>
      <c r="D985">
        <v>205.67</v>
      </c>
      <c r="E985">
        <v>207.34</v>
      </c>
      <c r="F985">
        <v>114.28</v>
      </c>
      <c r="G985">
        <v>114.23</v>
      </c>
      <c r="H985">
        <v>101.73</v>
      </c>
      <c r="K985" s="9">
        <f t="shared" ref="K985:K1048" si="120">C988-C985</f>
        <v>-12.5</v>
      </c>
      <c r="L985">
        <f t="shared" ref="L985:L1048" si="121">D988-D985</f>
        <v>-16.609999999999985</v>
      </c>
      <c r="M985">
        <f t="shared" ref="M985:M1048" si="122">E988-E985</f>
        <v>-16.670000000000016</v>
      </c>
      <c r="N985">
        <f t="shared" ref="N985:N1048" si="123">F988-F985</f>
        <v>0.28000000000000114</v>
      </c>
      <c r="O985">
        <f t="shared" ref="O985:O1048" si="124">G988-G985</f>
        <v>-6.0000000000002274E-2</v>
      </c>
      <c r="P985" s="10">
        <f t="shared" ref="P985:P1048" si="125">H988-H985</f>
        <v>-0.45000000000000284</v>
      </c>
    </row>
    <row r="986" spans="1:16">
      <c r="A986">
        <v>160.16999999999999</v>
      </c>
      <c r="B986" s="42">
        <v>136.28</v>
      </c>
      <c r="C986">
        <v>196.95</v>
      </c>
      <c r="D986">
        <v>199.56</v>
      </c>
      <c r="E986">
        <v>206.06</v>
      </c>
      <c r="F986">
        <v>114.4</v>
      </c>
      <c r="G986">
        <v>114.17</v>
      </c>
      <c r="H986">
        <v>101.56</v>
      </c>
      <c r="K986" s="9">
        <f t="shared" si="120"/>
        <v>-11.329999999999984</v>
      </c>
      <c r="L986">
        <f t="shared" si="121"/>
        <v>-14.050000000000011</v>
      </c>
      <c r="M986">
        <f t="shared" si="122"/>
        <v>-21.550000000000011</v>
      </c>
      <c r="N986">
        <f t="shared" si="123"/>
        <v>0.15999999999999659</v>
      </c>
      <c r="O986">
        <f t="shared" si="124"/>
        <v>0</v>
      </c>
      <c r="P986" s="10">
        <f t="shared" si="125"/>
        <v>-0.54999999999999716</v>
      </c>
    </row>
    <row r="987" spans="1:16">
      <c r="A987">
        <v>160.33000000000001</v>
      </c>
      <c r="B987" s="42">
        <v>132.72999999999999</v>
      </c>
      <c r="C987">
        <v>192.56</v>
      </c>
      <c r="D987">
        <v>193.84</v>
      </c>
      <c r="E987">
        <v>198.51</v>
      </c>
      <c r="F987">
        <v>114.56</v>
      </c>
      <c r="G987">
        <v>114.17</v>
      </c>
      <c r="H987">
        <v>101.34</v>
      </c>
      <c r="K987" s="9">
        <f t="shared" si="120"/>
        <v>-10.050000000000011</v>
      </c>
      <c r="L987">
        <f t="shared" si="121"/>
        <v>-11.560000000000002</v>
      </c>
      <c r="M987">
        <f t="shared" si="122"/>
        <v>-19.669999999999987</v>
      </c>
      <c r="N987">
        <f t="shared" si="123"/>
        <v>-4.9999999999997158E-2</v>
      </c>
      <c r="O987">
        <f t="shared" si="124"/>
        <v>0</v>
      </c>
      <c r="P987" s="10">
        <f t="shared" si="125"/>
        <v>-0.60999999999999943</v>
      </c>
    </row>
    <row r="988" spans="1:16">
      <c r="A988">
        <v>160.5</v>
      </c>
      <c r="B988" s="42">
        <v>128.44999999999999</v>
      </c>
      <c r="C988">
        <v>189.01</v>
      </c>
      <c r="D988">
        <v>189.06</v>
      </c>
      <c r="E988">
        <v>190.67</v>
      </c>
      <c r="F988">
        <v>114.56</v>
      </c>
      <c r="G988">
        <v>114.17</v>
      </c>
      <c r="H988">
        <v>101.28</v>
      </c>
      <c r="K988" s="9">
        <f t="shared" si="120"/>
        <v>-9.6699999999999875</v>
      </c>
      <c r="L988">
        <f t="shared" si="121"/>
        <v>-10.159999999999997</v>
      </c>
      <c r="M988">
        <f t="shared" si="122"/>
        <v>-16.659999999999997</v>
      </c>
      <c r="N988">
        <f t="shared" si="123"/>
        <v>-0.39000000000000057</v>
      </c>
      <c r="O988">
        <f t="shared" si="124"/>
        <v>0</v>
      </c>
      <c r="P988" s="10">
        <f t="shared" si="125"/>
        <v>-0.60999999999999943</v>
      </c>
    </row>
    <row r="989" spans="1:16">
      <c r="A989">
        <v>160.66999999999999</v>
      </c>
      <c r="B989" s="42">
        <v>124.84</v>
      </c>
      <c r="C989">
        <v>185.62</v>
      </c>
      <c r="D989">
        <v>185.51</v>
      </c>
      <c r="E989">
        <v>184.51</v>
      </c>
      <c r="F989">
        <v>114.56</v>
      </c>
      <c r="G989">
        <v>114.17</v>
      </c>
      <c r="H989">
        <v>101.01</v>
      </c>
      <c r="K989" s="9">
        <f t="shared" si="120"/>
        <v>-9.8400000000000034</v>
      </c>
      <c r="L989">
        <f t="shared" si="121"/>
        <v>-10.22999999999999</v>
      </c>
      <c r="M989">
        <f t="shared" si="122"/>
        <v>-15.560000000000002</v>
      </c>
      <c r="N989">
        <f t="shared" si="123"/>
        <v>-0.39000000000000057</v>
      </c>
      <c r="O989">
        <f t="shared" si="124"/>
        <v>0.10999999999999943</v>
      </c>
      <c r="P989" s="10">
        <f t="shared" si="125"/>
        <v>0</v>
      </c>
    </row>
    <row r="990" spans="1:16">
      <c r="A990">
        <v>160.83000000000001</v>
      </c>
      <c r="B990" s="42">
        <v>121.4</v>
      </c>
      <c r="C990">
        <v>182.51</v>
      </c>
      <c r="D990">
        <v>182.28</v>
      </c>
      <c r="E990">
        <v>178.84</v>
      </c>
      <c r="F990">
        <v>114.51</v>
      </c>
      <c r="G990">
        <v>114.17</v>
      </c>
      <c r="H990">
        <v>100.73</v>
      </c>
      <c r="K990" s="9">
        <f t="shared" si="120"/>
        <v>-9.0600000000000023</v>
      </c>
      <c r="L990">
        <f t="shared" si="121"/>
        <v>-9.3300000000000125</v>
      </c>
      <c r="M990">
        <f t="shared" si="122"/>
        <v>-14.939999999999998</v>
      </c>
      <c r="N990">
        <f t="shared" si="123"/>
        <v>-0.5</v>
      </c>
      <c r="O990">
        <f t="shared" si="124"/>
        <v>0.17000000000000171</v>
      </c>
      <c r="P990" s="10">
        <f t="shared" si="125"/>
        <v>0.39000000000000057</v>
      </c>
    </row>
    <row r="991" spans="1:16">
      <c r="A991">
        <v>161</v>
      </c>
      <c r="B991" s="42">
        <v>118.4</v>
      </c>
      <c r="C991">
        <v>179.34</v>
      </c>
      <c r="D991">
        <v>178.9</v>
      </c>
      <c r="E991">
        <v>174.01</v>
      </c>
      <c r="F991">
        <v>114.17</v>
      </c>
      <c r="G991">
        <v>114.17</v>
      </c>
      <c r="H991">
        <v>100.67</v>
      </c>
      <c r="K991" s="9">
        <f t="shared" si="120"/>
        <v>-8.8300000000000125</v>
      </c>
      <c r="L991">
        <f t="shared" si="121"/>
        <v>-9.0600000000000023</v>
      </c>
      <c r="M991">
        <f t="shared" si="122"/>
        <v>-15.060000000000002</v>
      </c>
      <c r="N991">
        <f t="shared" si="123"/>
        <v>-4.9999999999997158E-2</v>
      </c>
      <c r="O991">
        <f t="shared" si="124"/>
        <v>0.23000000000000398</v>
      </c>
      <c r="P991" s="10">
        <f t="shared" si="125"/>
        <v>0.10999999999999943</v>
      </c>
    </row>
    <row r="992" spans="1:16">
      <c r="A992">
        <v>161.16999999999999</v>
      </c>
      <c r="B992" s="42">
        <v>115.34</v>
      </c>
      <c r="C992">
        <v>175.78</v>
      </c>
      <c r="D992">
        <v>175.28</v>
      </c>
      <c r="E992">
        <v>168.95</v>
      </c>
      <c r="F992">
        <v>114.17</v>
      </c>
      <c r="G992">
        <v>114.28</v>
      </c>
      <c r="H992">
        <v>101.01</v>
      </c>
      <c r="K992" s="9">
        <f t="shared" si="120"/>
        <v>-8.1100000000000136</v>
      </c>
      <c r="L992">
        <f t="shared" si="121"/>
        <v>-8.1599999999999966</v>
      </c>
      <c r="M992">
        <f t="shared" si="122"/>
        <v>-13.780000000000001</v>
      </c>
      <c r="N992">
        <f t="shared" si="123"/>
        <v>0</v>
      </c>
      <c r="O992">
        <f t="shared" si="124"/>
        <v>0.17000000000000171</v>
      </c>
      <c r="P992" s="10">
        <f t="shared" si="125"/>
        <v>-0.39000000000000057</v>
      </c>
    </row>
    <row r="993" spans="1:16">
      <c r="A993">
        <v>161.33000000000001</v>
      </c>
      <c r="B993" s="42">
        <v>112.62</v>
      </c>
      <c r="C993">
        <v>173.45</v>
      </c>
      <c r="D993">
        <v>172.95</v>
      </c>
      <c r="E993">
        <v>163.9</v>
      </c>
      <c r="F993">
        <v>114.01</v>
      </c>
      <c r="G993">
        <v>114.34</v>
      </c>
      <c r="H993">
        <v>101.12</v>
      </c>
      <c r="K993" s="9">
        <f t="shared" si="120"/>
        <v>-9.6699999999999875</v>
      </c>
      <c r="L993">
        <f t="shared" si="121"/>
        <v>-9.5499999999999829</v>
      </c>
      <c r="M993">
        <f t="shared" si="122"/>
        <v>-11.890000000000015</v>
      </c>
      <c r="N993">
        <f t="shared" si="123"/>
        <v>0.15999999999999659</v>
      </c>
      <c r="O993">
        <f t="shared" si="124"/>
        <v>0.28000000000000114</v>
      </c>
      <c r="P993" s="10">
        <f t="shared" si="125"/>
        <v>-0.67000000000000171</v>
      </c>
    </row>
    <row r="994" spans="1:16">
      <c r="A994">
        <v>161.5</v>
      </c>
      <c r="B994" s="42">
        <v>110.01</v>
      </c>
      <c r="C994">
        <v>170.51</v>
      </c>
      <c r="D994">
        <v>169.84</v>
      </c>
      <c r="E994">
        <v>158.94999999999999</v>
      </c>
      <c r="F994">
        <v>114.12</v>
      </c>
      <c r="G994">
        <v>114.4</v>
      </c>
      <c r="H994">
        <v>100.78</v>
      </c>
      <c r="K994" s="9">
        <f t="shared" si="120"/>
        <v>-9.6699999999999875</v>
      </c>
      <c r="L994">
        <f t="shared" si="121"/>
        <v>-9.7800000000000011</v>
      </c>
      <c r="M994">
        <f t="shared" si="122"/>
        <v>-9.6699999999999875</v>
      </c>
      <c r="N994">
        <f t="shared" si="123"/>
        <v>-0.17000000000000171</v>
      </c>
      <c r="O994">
        <f t="shared" si="124"/>
        <v>0.21999999999999886</v>
      </c>
      <c r="P994" s="10">
        <f t="shared" si="125"/>
        <v>-0.5</v>
      </c>
    </row>
    <row r="995" spans="1:16">
      <c r="A995">
        <v>161.66999999999999</v>
      </c>
      <c r="B995" s="42">
        <v>107.95</v>
      </c>
      <c r="C995">
        <v>167.67</v>
      </c>
      <c r="D995">
        <v>167.12</v>
      </c>
      <c r="E995">
        <v>155.16999999999999</v>
      </c>
      <c r="F995">
        <v>114.17</v>
      </c>
      <c r="G995">
        <v>114.45</v>
      </c>
      <c r="H995">
        <v>100.62</v>
      </c>
      <c r="K995" s="9">
        <f t="shared" si="120"/>
        <v>-10</v>
      </c>
      <c r="L995">
        <f t="shared" si="121"/>
        <v>-9.9500000000000171</v>
      </c>
      <c r="M995">
        <f t="shared" si="122"/>
        <v>-10.609999999999985</v>
      </c>
      <c r="N995">
        <f t="shared" si="123"/>
        <v>-0.43999999999999773</v>
      </c>
      <c r="O995">
        <f t="shared" si="124"/>
        <v>0.17000000000000171</v>
      </c>
      <c r="P995" s="10">
        <f t="shared" si="125"/>
        <v>-0.10999999999999943</v>
      </c>
    </row>
    <row r="996" spans="1:16">
      <c r="A996">
        <v>161.83000000000001</v>
      </c>
      <c r="B996" s="42">
        <v>105.06</v>
      </c>
      <c r="C996">
        <v>163.78</v>
      </c>
      <c r="D996">
        <v>163.4</v>
      </c>
      <c r="E996">
        <v>152.01</v>
      </c>
      <c r="F996">
        <v>114.17</v>
      </c>
      <c r="G996">
        <v>114.62</v>
      </c>
      <c r="H996">
        <v>100.45</v>
      </c>
      <c r="K996" s="9">
        <f t="shared" si="120"/>
        <v>-9.5500000000000114</v>
      </c>
      <c r="L996">
        <f t="shared" si="121"/>
        <v>-10.170000000000016</v>
      </c>
      <c r="M996">
        <f t="shared" si="122"/>
        <v>-10.669999999999987</v>
      </c>
      <c r="N996">
        <f t="shared" si="123"/>
        <v>-0.71999999999999886</v>
      </c>
      <c r="O996">
        <f t="shared" si="124"/>
        <v>4.9999999999997158E-2</v>
      </c>
      <c r="P996" s="10">
        <f t="shared" si="125"/>
        <v>0.17000000000000171</v>
      </c>
    </row>
    <row r="997" spans="1:16">
      <c r="A997">
        <v>162</v>
      </c>
      <c r="B997" s="42">
        <v>102.45</v>
      </c>
      <c r="C997">
        <v>160.84</v>
      </c>
      <c r="D997">
        <v>160.06</v>
      </c>
      <c r="E997">
        <v>149.28</v>
      </c>
      <c r="F997">
        <v>113.95</v>
      </c>
      <c r="G997">
        <v>114.62</v>
      </c>
      <c r="H997">
        <v>100.28</v>
      </c>
      <c r="K997" s="9">
        <f t="shared" si="120"/>
        <v>-8.8900000000000148</v>
      </c>
      <c r="L997">
        <f t="shared" si="121"/>
        <v>-9</v>
      </c>
      <c r="M997">
        <f t="shared" si="122"/>
        <v>-11.379999999999995</v>
      </c>
      <c r="N997">
        <f t="shared" si="123"/>
        <v>-0.32999999999999829</v>
      </c>
      <c r="O997">
        <f t="shared" si="124"/>
        <v>0.10999999999999943</v>
      </c>
      <c r="P997" s="10">
        <f t="shared" si="125"/>
        <v>0.56000000000000227</v>
      </c>
    </row>
    <row r="998" spans="1:16">
      <c r="A998">
        <v>162.16999999999999</v>
      </c>
      <c r="B998" s="42">
        <v>99.4</v>
      </c>
      <c r="C998">
        <v>157.66999999999999</v>
      </c>
      <c r="D998">
        <v>157.16999999999999</v>
      </c>
      <c r="E998">
        <v>144.56</v>
      </c>
      <c r="F998">
        <v>113.73</v>
      </c>
      <c r="G998">
        <v>114.62</v>
      </c>
      <c r="H998">
        <v>100.51</v>
      </c>
      <c r="K998" s="9">
        <f t="shared" si="120"/>
        <v>-8.1099999999999852</v>
      </c>
      <c r="L998">
        <f t="shared" si="121"/>
        <v>-8.2699999999999818</v>
      </c>
      <c r="M998">
        <f t="shared" si="122"/>
        <v>-10.330000000000013</v>
      </c>
      <c r="N998">
        <f t="shared" si="123"/>
        <v>-0.32999999999999829</v>
      </c>
      <c r="O998">
        <f t="shared" si="124"/>
        <v>0.21999999999999886</v>
      </c>
      <c r="P998" s="10">
        <f t="shared" si="125"/>
        <v>0</v>
      </c>
    </row>
    <row r="999" spans="1:16">
      <c r="A999">
        <v>162.33000000000001</v>
      </c>
      <c r="B999" s="42">
        <v>97.56</v>
      </c>
      <c r="C999">
        <v>154.22999999999999</v>
      </c>
      <c r="D999">
        <v>153.22999999999999</v>
      </c>
      <c r="E999">
        <v>141.34</v>
      </c>
      <c r="F999">
        <v>113.45</v>
      </c>
      <c r="G999">
        <v>114.67</v>
      </c>
      <c r="H999">
        <v>100.62</v>
      </c>
      <c r="K999" s="9">
        <f t="shared" si="120"/>
        <v>-7.3899999999999864</v>
      </c>
      <c r="L999">
        <f t="shared" si="121"/>
        <v>-7.2199999999999989</v>
      </c>
      <c r="M999">
        <f t="shared" si="122"/>
        <v>-9.9399999999999977</v>
      </c>
      <c r="N999">
        <f t="shared" si="123"/>
        <v>-0.5</v>
      </c>
      <c r="O999">
        <f t="shared" si="124"/>
        <v>0.23000000000000398</v>
      </c>
      <c r="P999" s="10">
        <f t="shared" si="125"/>
        <v>-0.45000000000000284</v>
      </c>
    </row>
    <row r="1000" spans="1:16">
      <c r="A1000">
        <v>162.5</v>
      </c>
      <c r="B1000" s="42">
        <v>95.56</v>
      </c>
      <c r="C1000">
        <v>151.94999999999999</v>
      </c>
      <c r="D1000">
        <v>151.06</v>
      </c>
      <c r="E1000">
        <v>137.9</v>
      </c>
      <c r="F1000">
        <v>113.62</v>
      </c>
      <c r="G1000">
        <v>114.73</v>
      </c>
      <c r="H1000">
        <v>100.84</v>
      </c>
      <c r="K1000" s="9">
        <f t="shared" si="120"/>
        <v>-7.6699999999999875</v>
      </c>
      <c r="L1000">
        <f t="shared" si="121"/>
        <v>-7.6100000000000136</v>
      </c>
      <c r="M1000">
        <f t="shared" si="122"/>
        <v>-9.8400000000000034</v>
      </c>
      <c r="N1000">
        <f t="shared" si="123"/>
        <v>-0.67000000000000171</v>
      </c>
      <c r="O1000">
        <f t="shared" si="124"/>
        <v>0.28000000000000114</v>
      </c>
      <c r="P1000" s="10">
        <f t="shared" si="125"/>
        <v>-0.71999999999999886</v>
      </c>
    </row>
    <row r="1001" spans="1:16">
      <c r="A1001">
        <v>162.66999999999999</v>
      </c>
      <c r="B1001" s="42">
        <v>93.9</v>
      </c>
      <c r="C1001">
        <v>149.56</v>
      </c>
      <c r="D1001">
        <v>148.9</v>
      </c>
      <c r="E1001">
        <v>134.22999999999999</v>
      </c>
      <c r="F1001">
        <v>113.4</v>
      </c>
      <c r="G1001">
        <v>114.84</v>
      </c>
      <c r="H1001">
        <v>100.51</v>
      </c>
      <c r="K1001" s="9">
        <f t="shared" si="120"/>
        <v>-7.6100000000000136</v>
      </c>
      <c r="L1001">
        <f t="shared" si="121"/>
        <v>-7.8900000000000148</v>
      </c>
      <c r="M1001">
        <f t="shared" si="122"/>
        <v>-9.9499999999999886</v>
      </c>
      <c r="N1001">
        <f t="shared" si="123"/>
        <v>-0.28000000000000114</v>
      </c>
      <c r="O1001">
        <f t="shared" si="124"/>
        <v>0.10999999999999943</v>
      </c>
      <c r="P1001" s="10">
        <f t="shared" si="125"/>
        <v>-0.56000000000000227</v>
      </c>
    </row>
    <row r="1002" spans="1:16">
      <c r="A1002">
        <v>162.83000000000001</v>
      </c>
      <c r="B1002" s="42">
        <v>91.73</v>
      </c>
      <c r="C1002">
        <v>146.84</v>
      </c>
      <c r="D1002">
        <v>146.01</v>
      </c>
      <c r="E1002">
        <v>131.4</v>
      </c>
      <c r="F1002">
        <v>112.95</v>
      </c>
      <c r="G1002">
        <v>114.9</v>
      </c>
      <c r="H1002">
        <v>100.17</v>
      </c>
      <c r="K1002" s="9">
        <f t="shared" si="120"/>
        <v>-7.1100000000000136</v>
      </c>
      <c r="L1002">
        <f t="shared" si="121"/>
        <v>-6.9499999999999886</v>
      </c>
      <c r="M1002">
        <f t="shared" si="122"/>
        <v>-10.950000000000003</v>
      </c>
      <c r="N1002">
        <f t="shared" si="123"/>
        <v>-4.9999999999997158E-2</v>
      </c>
      <c r="O1002">
        <f t="shared" si="124"/>
        <v>0.10999999999999943</v>
      </c>
      <c r="P1002" s="10">
        <f t="shared" si="125"/>
        <v>-0.43999999999999773</v>
      </c>
    </row>
    <row r="1003" spans="1:16">
      <c r="A1003">
        <v>163</v>
      </c>
      <c r="B1003" s="42">
        <v>90.06</v>
      </c>
      <c r="C1003">
        <v>144.28</v>
      </c>
      <c r="D1003">
        <v>143.44999999999999</v>
      </c>
      <c r="E1003">
        <v>128.06</v>
      </c>
      <c r="F1003">
        <v>112.95</v>
      </c>
      <c r="G1003">
        <v>115.01</v>
      </c>
      <c r="H1003">
        <v>100.12</v>
      </c>
      <c r="K1003" s="9">
        <f t="shared" si="120"/>
        <v>-6.7199999999999989</v>
      </c>
      <c r="L1003">
        <f t="shared" si="121"/>
        <v>-6.7800000000000011</v>
      </c>
      <c r="M1003">
        <f t="shared" si="122"/>
        <v>-10.780000000000001</v>
      </c>
      <c r="N1003">
        <f t="shared" si="123"/>
        <v>-0.17000000000000171</v>
      </c>
      <c r="O1003">
        <f t="shared" si="124"/>
        <v>0.10999999999999943</v>
      </c>
      <c r="P1003" s="10">
        <f t="shared" si="125"/>
        <v>-0.39000000000000057</v>
      </c>
    </row>
    <row r="1004" spans="1:16">
      <c r="A1004">
        <v>163.16999999999999</v>
      </c>
      <c r="B1004" s="42">
        <v>88.17</v>
      </c>
      <c r="C1004">
        <v>141.94999999999999</v>
      </c>
      <c r="D1004">
        <v>141.01</v>
      </c>
      <c r="E1004">
        <v>124.28</v>
      </c>
      <c r="F1004">
        <v>113.12</v>
      </c>
      <c r="G1004">
        <v>114.95</v>
      </c>
      <c r="H1004">
        <v>99.95</v>
      </c>
      <c r="K1004" s="9">
        <f t="shared" si="120"/>
        <v>-6.5</v>
      </c>
      <c r="L1004">
        <f t="shared" si="121"/>
        <v>-6.7800000000000011</v>
      </c>
      <c r="M1004">
        <f t="shared" si="122"/>
        <v>-9.11</v>
      </c>
      <c r="N1004">
        <f t="shared" si="123"/>
        <v>-0.34000000000000341</v>
      </c>
      <c r="O1004">
        <f t="shared" si="124"/>
        <v>0.21999999999999886</v>
      </c>
      <c r="P1004" s="10">
        <f t="shared" si="125"/>
        <v>6.0000000000002274E-2</v>
      </c>
    </row>
    <row r="1005" spans="1:16">
      <c r="A1005">
        <v>163.33000000000001</v>
      </c>
      <c r="B1005" s="42">
        <v>86.28</v>
      </c>
      <c r="C1005">
        <v>139.72999999999999</v>
      </c>
      <c r="D1005">
        <v>139.06</v>
      </c>
      <c r="E1005">
        <v>120.45</v>
      </c>
      <c r="F1005">
        <v>112.9</v>
      </c>
      <c r="G1005">
        <v>115.01</v>
      </c>
      <c r="H1005">
        <v>99.73</v>
      </c>
      <c r="K1005" s="9">
        <f t="shared" si="120"/>
        <v>-5.3899999999999864</v>
      </c>
      <c r="L1005">
        <f t="shared" si="121"/>
        <v>-5.8300000000000125</v>
      </c>
      <c r="M1005">
        <f t="shared" si="122"/>
        <v>-7.5</v>
      </c>
      <c r="N1005">
        <f t="shared" si="123"/>
        <v>-0.45000000000000284</v>
      </c>
      <c r="O1005">
        <f t="shared" si="124"/>
        <v>0.26999999999999602</v>
      </c>
      <c r="P1005" s="10">
        <f t="shared" si="125"/>
        <v>0.28000000000000114</v>
      </c>
    </row>
    <row r="1006" spans="1:16">
      <c r="A1006">
        <v>163.5</v>
      </c>
      <c r="B1006" s="42">
        <v>84.62</v>
      </c>
      <c r="C1006">
        <v>137.56</v>
      </c>
      <c r="D1006">
        <v>136.66999999999999</v>
      </c>
      <c r="E1006">
        <v>117.28</v>
      </c>
      <c r="F1006">
        <v>112.78</v>
      </c>
      <c r="G1006">
        <v>115.12</v>
      </c>
      <c r="H1006">
        <v>99.73</v>
      </c>
      <c r="K1006" s="9">
        <f t="shared" si="120"/>
        <v>-3.9399999999999977</v>
      </c>
      <c r="L1006">
        <f t="shared" si="121"/>
        <v>-4.1099999999999852</v>
      </c>
      <c r="M1006">
        <f t="shared" si="122"/>
        <v>-6.269999999999996</v>
      </c>
      <c r="N1006">
        <f t="shared" si="123"/>
        <v>-0.65999999999999659</v>
      </c>
      <c r="O1006">
        <f t="shared" si="124"/>
        <v>0.15999999999999659</v>
      </c>
      <c r="P1006" s="10">
        <f t="shared" si="125"/>
        <v>-0.21999999999999886</v>
      </c>
    </row>
    <row r="1007" spans="1:16">
      <c r="A1007">
        <v>163.66999999999999</v>
      </c>
      <c r="B1007" s="42">
        <v>82.17</v>
      </c>
      <c r="C1007">
        <v>135.44999999999999</v>
      </c>
      <c r="D1007">
        <v>134.22999999999999</v>
      </c>
      <c r="E1007">
        <v>115.17</v>
      </c>
      <c r="F1007">
        <v>112.78</v>
      </c>
      <c r="G1007">
        <v>115.17</v>
      </c>
      <c r="H1007">
        <v>100.01</v>
      </c>
      <c r="K1007" s="9">
        <f t="shared" si="120"/>
        <v>-3.0499999999999829</v>
      </c>
      <c r="L1007">
        <f t="shared" si="121"/>
        <v>-2.6099999999999852</v>
      </c>
      <c r="M1007">
        <f t="shared" si="122"/>
        <v>-6.2199999999999989</v>
      </c>
      <c r="N1007">
        <f t="shared" si="123"/>
        <v>-0.60999999999999943</v>
      </c>
      <c r="O1007">
        <f t="shared" si="124"/>
        <v>0.17000000000000171</v>
      </c>
      <c r="P1007" s="10">
        <f t="shared" si="125"/>
        <v>-0.34000000000000341</v>
      </c>
    </row>
    <row r="1008" spans="1:16">
      <c r="A1008">
        <v>163.83000000000001</v>
      </c>
      <c r="B1008" s="42">
        <v>80.28</v>
      </c>
      <c r="C1008">
        <v>134.34</v>
      </c>
      <c r="D1008">
        <v>133.22999999999999</v>
      </c>
      <c r="E1008">
        <v>112.95</v>
      </c>
      <c r="F1008">
        <v>112.45</v>
      </c>
      <c r="G1008">
        <v>115.28</v>
      </c>
      <c r="H1008">
        <v>100.01</v>
      </c>
      <c r="K1008" s="9">
        <f t="shared" si="120"/>
        <v>-2.6100000000000136</v>
      </c>
      <c r="L1008">
        <f t="shared" si="121"/>
        <v>-2.2800000000000011</v>
      </c>
      <c r="M1008">
        <f t="shared" si="122"/>
        <v>-6.9399999999999977</v>
      </c>
      <c r="N1008">
        <f t="shared" si="123"/>
        <v>-0.43999999999999773</v>
      </c>
      <c r="O1008">
        <f t="shared" si="124"/>
        <v>6.0000000000002274E-2</v>
      </c>
      <c r="P1008" s="10">
        <f t="shared" si="125"/>
        <v>-0.10999999999999943</v>
      </c>
    </row>
    <row r="1009" spans="1:16">
      <c r="A1009">
        <v>164</v>
      </c>
      <c r="B1009" s="42">
        <v>79.17</v>
      </c>
      <c r="C1009">
        <v>133.62</v>
      </c>
      <c r="D1009">
        <v>132.56</v>
      </c>
      <c r="E1009">
        <v>111.01</v>
      </c>
      <c r="F1009">
        <v>112.12</v>
      </c>
      <c r="G1009">
        <v>115.28</v>
      </c>
      <c r="H1009">
        <v>99.51</v>
      </c>
      <c r="K1009" s="9">
        <f t="shared" si="120"/>
        <v>-2.1100000000000136</v>
      </c>
      <c r="L1009">
        <f t="shared" si="121"/>
        <v>-1.7199999999999989</v>
      </c>
      <c r="M1009">
        <f t="shared" si="122"/>
        <v>-6.8400000000000034</v>
      </c>
      <c r="N1009">
        <f t="shared" si="123"/>
        <v>-0.21999999999999886</v>
      </c>
      <c r="O1009">
        <f t="shared" si="124"/>
        <v>6.0000000000002274E-2</v>
      </c>
      <c r="P1009" s="10">
        <f t="shared" si="125"/>
        <v>0.15999999999999659</v>
      </c>
    </row>
    <row r="1010" spans="1:16">
      <c r="A1010">
        <v>164.17</v>
      </c>
      <c r="B1010" s="42">
        <v>78.28</v>
      </c>
      <c r="C1010">
        <v>132.4</v>
      </c>
      <c r="D1010">
        <v>131.62</v>
      </c>
      <c r="E1010">
        <v>108.95</v>
      </c>
      <c r="F1010">
        <v>112.17</v>
      </c>
      <c r="G1010">
        <v>115.34</v>
      </c>
      <c r="H1010">
        <v>99.67</v>
      </c>
      <c r="K1010" s="9">
        <f t="shared" si="120"/>
        <v>-2.5</v>
      </c>
      <c r="L1010">
        <f t="shared" si="121"/>
        <v>-2.5600000000000023</v>
      </c>
      <c r="M1010">
        <f t="shared" si="122"/>
        <v>-6.0499999999999972</v>
      </c>
      <c r="N1010">
        <f t="shared" si="123"/>
        <v>-0.32999999999999829</v>
      </c>
      <c r="O1010">
        <f t="shared" si="124"/>
        <v>0.17000000000000171</v>
      </c>
      <c r="P1010" s="10">
        <f t="shared" si="125"/>
        <v>-0.26999999999999602</v>
      </c>
    </row>
    <row r="1011" spans="1:16">
      <c r="A1011">
        <v>164.33</v>
      </c>
      <c r="B1011" s="42">
        <v>77.17</v>
      </c>
      <c r="C1011">
        <v>131.72999999999999</v>
      </c>
      <c r="D1011">
        <v>130.94999999999999</v>
      </c>
      <c r="E1011">
        <v>106.01</v>
      </c>
      <c r="F1011">
        <v>112.01</v>
      </c>
      <c r="G1011">
        <v>115.34</v>
      </c>
      <c r="H1011">
        <v>99.9</v>
      </c>
      <c r="K1011" s="9">
        <f t="shared" si="120"/>
        <v>-3.3299999999999841</v>
      </c>
      <c r="L1011">
        <f t="shared" si="121"/>
        <v>-3.3299999999999841</v>
      </c>
      <c r="M1011">
        <f t="shared" si="122"/>
        <v>-4.230000000000004</v>
      </c>
      <c r="N1011">
        <f t="shared" si="123"/>
        <v>-0.23000000000000398</v>
      </c>
      <c r="O1011">
        <f t="shared" si="124"/>
        <v>0.28000000000000114</v>
      </c>
      <c r="P1011" s="10">
        <f t="shared" si="125"/>
        <v>-0.84000000000000341</v>
      </c>
    </row>
    <row r="1012" spans="1:16">
      <c r="A1012">
        <v>164.5</v>
      </c>
      <c r="B1012" s="42">
        <v>76.78</v>
      </c>
      <c r="C1012">
        <v>131.51</v>
      </c>
      <c r="D1012">
        <v>130.84</v>
      </c>
      <c r="E1012">
        <v>104.17</v>
      </c>
      <c r="F1012">
        <v>111.9</v>
      </c>
      <c r="G1012">
        <v>115.34</v>
      </c>
      <c r="H1012">
        <v>99.67</v>
      </c>
      <c r="K1012" s="9">
        <f t="shared" si="120"/>
        <v>-4.5599999999999881</v>
      </c>
      <c r="L1012">
        <f t="shared" si="121"/>
        <v>-4.7199999999999989</v>
      </c>
      <c r="M1012">
        <f t="shared" si="122"/>
        <v>-3.5499999999999972</v>
      </c>
      <c r="N1012">
        <f t="shared" si="123"/>
        <v>-0.23000000000000398</v>
      </c>
      <c r="O1012">
        <f t="shared" si="124"/>
        <v>0.32999999999999829</v>
      </c>
      <c r="P1012" s="10">
        <f t="shared" si="125"/>
        <v>-0.5</v>
      </c>
    </row>
    <row r="1013" spans="1:16">
      <c r="A1013">
        <v>164.67</v>
      </c>
      <c r="B1013" s="42">
        <v>76.12</v>
      </c>
      <c r="C1013">
        <v>129.9</v>
      </c>
      <c r="D1013">
        <v>129.06</v>
      </c>
      <c r="E1013">
        <v>102.9</v>
      </c>
      <c r="F1013">
        <v>111.84</v>
      </c>
      <c r="G1013">
        <v>115.51</v>
      </c>
      <c r="H1013">
        <v>99.4</v>
      </c>
      <c r="K1013" s="9">
        <f t="shared" si="120"/>
        <v>-3.7800000000000011</v>
      </c>
      <c r="L1013">
        <f t="shared" si="121"/>
        <v>-3.7800000000000011</v>
      </c>
      <c r="M1013">
        <f t="shared" si="122"/>
        <v>-5.0600000000000023</v>
      </c>
      <c r="N1013">
        <f t="shared" si="123"/>
        <v>-0.39000000000000057</v>
      </c>
      <c r="O1013">
        <f t="shared" si="124"/>
        <v>0.39000000000000057</v>
      </c>
      <c r="P1013" s="10">
        <f t="shared" si="125"/>
        <v>-0.17000000000000171</v>
      </c>
    </row>
    <row r="1014" spans="1:16">
      <c r="A1014">
        <v>164.83</v>
      </c>
      <c r="B1014" s="42">
        <v>75.17</v>
      </c>
      <c r="C1014">
        <v>128.4</v>
      </c>
      <c r="D1014">
        <v>127.62</v>
      </c>
      <c r="E1014">
        <v>101.78</v>
      </c>
      <c r="F1014">
        <v>111.78</v>
      </c>
      <c r="G1014">
        <v>115.62</v>
      </c>
      <c r="H1014">
        <v>99.06</v>
      </c>
      <c r="K1014" s="9">
        <f t="shared" si="120"/>
        <v>-3.4500000000000028</v>
      </c>
      <c r="L1014">
        <f t="shared" si="121"/>
        <v>-3.3400000000000034</v>
      </c>
      <c r="M1014">
        <f t="shared" si="122"/>
        <v>-5.8299999999999983</v>
      </c>
      <c r="N1014">
        <f t="shared" si="123"/>
        <v>-0.26999999999999602</v>
      </c>
      <c r="O1014">
        <f t="shared" si="124"/>
        <v>0.39000000000000057</v>
      </c>
      <c r="P1014" s="10">
        <f t="shared" si="125"/>
        <v>0.39000000000000057</v>
      </c>
    </row>
    <row r="1015" spans="1:16">
      <c r="A1015">
        <v>165</v>
      </c>
      <c r="B1015" s="42">
        <v>74.45</v>
      </c>
      <c r="C1015">
        <v>126.95</v>
      </c>
      <c r="D1015">
        <v>126.12</v>
      </c>
      <c r="E1015">
        <v>100.62</v>
      </c>
      <c r="F1015">
        <v>111.67</v>
      </c>
      <c r="G1015">
        <v>115.67</v>
      </c>
      <c r="H1015">
        <v>99.17</v>
      </c>
      <c r="K1015" s="9">
        <f t="shared" si="120"/>
        <v>-2.6700000000000017</v>
      </c>
      <c r="L1015">
        <f t="shared" si="121"/>
        <v>-2.7199999999999989</v>
      </c>
      <c r="M1015">
        <f t="shared" si="122"/>
        <v>-6.2199999999999989</v>
      </c>
      <c r="N1015">
        <f t="shared" si="123"/>
        <v>-0.39000000000000057</v>
      </c>
      <c r="O1015">
        <f t="shared" si="124"/>
        <v>0.45000000000000284</v>
      </c>
      <c r="P1015" s="10">
        <f t="shared" si="125"/>
        <v>0.34000000000000341</v>
      </c>
    </row>
    <row r="1016" spans="1:16">
      <c r="A1016">
        <v>165.17</v>
      </c>
      <c r="B1016" s="42">
        <v>73.67</v>
      </c>
      <c r="C1016">
        <v>126.12</v>
      </c>
      <c r="D1016">
        <v>125.28</v>
      </c>
      <c r="E1016">
        <v>97.84</v>
      </c>
      <c r="F1016">
        <v>111.45</v>
      </c>
      <c r="G1016">
        <v>115.9</v>
      </c>
      <c r="H1016">
        <v>99.23</v>
      </c>
      <c r="K1016" s="9">
        <f t="shared" si="120"/>
        <v>-3.2199999999999989</v>
      </c>
      <c r="L1016">
        <f t="shared" si="121"/>
        <v>-3.269999999999996</v>
      </c>
      <c r="M1016">
        <f t="shared" si="122"/>
        <v>-5.8299999999999983</v>
      </c>
      <c r="N1016">
        <f t="shared" si="123"/>
        <v>-0.10999999999999943</v>
      </c>
      <c r="O1016">
        <f t="shared" si="124"/>
        <v>0.37999999999999545</v>
      </c>
      <c r="P1016" s="10">
        <f t="shared" si="125"/>
        <v>0.39000000000000057</v>
      </c>
    </row>
    <row r="1017" spans="1:16">
      <c r="A1017">
        <v>165.33</v>
      </c>
      <c r="B1017" s="42">
        <v>72.95</v>
      </c>
      <c r="C1017">
        <v>124.95</v>
      </c>
      <c r="D1017">
        <v>124.28</v>
      </c>
      <c r="E1017">
        <v>95.95</v>
      </c>
      <c r="F1017">
        <v>111.51</v>
      </c>
      <c r="G1017">
        <v>116.01</v>
      </c>
      <c r="H1017">
        <v>99.45</v>
      </c>
      <c r="K1017" s="9">
        <f t="shared" si="120"/>
        <v>-4.3299999999999983</v>
      </c>
      <c r="L1017">
        <f t="shared" si="121"/>
        <v>-4.3299999999999983</v>
      </c>
      <c r="M1017">
        <f t="shared" si="122"/>
        <v>-6.1099999999999994</v>
      </c>
      <c r="N1017">
        <f t="shared" si="123"/>
        <v>0</v>
      </c>
      <c r="O1017">
        <f t="shared" si="124"/>
        <v>0.32999999999999829</v>
      </c>
      <c r="P1017" s="10">
        <f t="shared" si="125"/>
        <v>0.28000000000000114</v>
      </c>
    </row>
    <row r="1018" spans="1:16">
      <c r="A1018">
        <v>165.5</v>
      </c>
      <c r="B1018" s="42">
        <v>72.06</v>
      </c>
      <c r="C1018">
        <v>124.28</v>
      </c>
      <c r="D1018">
        <v>123.4</v>
      </c>
      <c r="E1018">
        <v>94.4</v>
      </c>
      <c r="F1018">
        <v>111.28</v>
      </c>
      <c r="G1018">
        <v>116.12</v>
      </c>
      <c r="H1018">
        <v>99.51</v>
      </c>
      <c r="K1018" s="9">
        <f t="shared" si="120"/>
        <v>-5</v>
      </c>
      <c r="L1018">
        <f t="shared" si="121"/>
        <v>-4.9500000000000028</v>
      </c>
      <c r="M1018">
        <f t="shared" si="122"/>
        <v>-6.1200000000000045</v>
      </c>
      <c r="N1018">
        <f t="shared" si="123"/>
        <v>0.45000000000000284</v>
      </c>
      <c r="O1018">
        <f t="shared" si="124"/>
        <v>0.32999999999999829</v>
      </c>
      <c r="P1018" s="10">
        <f t="shared" si="125"/>
        <v>0.39000000000000057</v>
      </c>
    </row>
    <row r="1019" spans="1:16">
      <c r="A1019">
        <v>165.67</v>
      </c>
      <c r="B1019" s="42">
        <v>71.28</v>
      </c>
      <c r="C1019">
        <v>122.9</v>
      </c>
      <c r="D1019">
        <v>122.01</v>
      </c>
      <c r="E1019">
        <v>92.01</v>
      </c>
      <c r="F1019">
        <v>111.34</v>
      </c>
      <c r="G1019">
        <v>116.28</v>
      </c>
      <c r="H1019">
        <v>99.62</v>
      </c>
      <c r="K1019" s="9">
        <f t="shared" si="120"/>
        <v>-5.230000000000004</v>
      </c>
      <c r="L1019">
        <f t="shared" si="121"/>
        <v>-5.1099999999999994</v>
      </c>
      <c r="M1019">
        <f t="shared" si="122"/>
        <v>-5.4500000000000028</v>
      </c>
      <c r="N1019">
        <f t="shared" si="123"/>
        <v>0.28000000000000114</v>
      </c>
      <c r="O1019">
        <f t="shared" si="124"/>
        <v>0.34000000000000341</v>
      </c>
      <c r="P1019" s="10">
        <f t="shared" si="125"/>
        <v>0.21999999999999886</v>
      </c>
    </row>
    <row r="1020" spans="1:16">
      <c r="A1020">
        <v>165.83</v>
      </c>
      <c r="B1020" s="42">
        <v>70.010000000000005</v>
      </c>
      <c r="C1020">
        <v>120.62</v>
      </c>
      <c r="D1020">
        <v>119.95</v>
      </c>
      <c r="E1020">
        <v>89.84</v>
      </c>
      <c r="F1020">
        <v>111.51</v>
      </c>
      <c r="G1020">
        <v>116.34</v>
      </c>
      <c r="H1020">
        <v>99.73</v>
      </c>
      <c r="K1020" s="9">
        <f t="shared" si="120"/>
        <v>-3.9500000000000028</v>
      </c>
      <c r="L1020">
        <f t="shared" si="121"/>
        <v>-4.1099999999999994</v>
      </c>
      <c r="M1020">
        <f t="shared" si="122"/>
        <v>-5.1700000000000017</v>
      </c>
      <c r="N1020">
        <f t="shared" si="123"/>
        <v>0.15999999999999659</v>
      </c>
      <c r="O1020">
        <f t="shared" si="124"/>
        <v>0.39000000000000057</v>
      </c>
      <c r="P1020" s="10">
        <f t="shared" si="125"/>
        <v>-6.0000000000002274E-2</v>
      </c>
    </row>
    <row r="1021" spans="1:16">
      <c r="A1021">
        <v>166</v>
      </c>
      <c r="B1021" s="42">
        <v>68.400000000000006</v>
      </c>
      <c r="C1021">
        <v>119.28</v>
      </c>
      <c r="D1021">
        <v>118.45</v>
      </c>
      <c r="E1021">
        <v>88.28</v>
      </c>
      <c r="F1021">
        <v>111.73</v>
      </c>
      <c r="G1021">
        <v>116.45</v>
      </c>
      <c r="H1021">
        <v>99.9</v>
      </c>
      <c r="K1021" s="9">
        <f t="shared" si="120"/>
        <v>-3.769999999999996</v>
      </c>
      <c r="L1021">
        <f t="shared" si="121"/>
        <v>-3.6099999999999994</v>
      </c>
      <c r="M1021">
        <f t="shared" si="122"/>
        <v>-5.3299999999999983</v>
      </c>
      <c r="N1021">
        <f t="shared" si="123"/>
        <v>-0.39000000000000057</v>
      </c>
      <c r="O1021">
        <f t="shared" si="124"/>
        <v>0.5</v>
      </c>
      <c r="P1021" s="10">
        <f t="shared" si="125"/>
        <v>0</v>
      </c>
    </row>
    <row r="1022" spans="1:16">
      <c r="A1022">
        <v>166.17</v>
      </c>
      <c r="B1022" s="42">
        <v>66.84</v>
      </c>
      <c r="C1022">
        <v>117.67</v>
      </c>
      <c r="D1022">
        <v>116.9</v>
      </c>
      <c r="E1022">
        <v>86.56</v>
      </c>
      <c r="F1022">
        <v>111.62</v>
      </c>
      <c r="G1022">
        <v>116.62</v>
      </c>
      <c r="H1022">
        <v>99.84</v>
      </c>
      <c r="K1022" s="9">
        <f t="shared" si="120"/>
        <v>-3.5499999999999972</v>
      </c>
      <c r="L1022">
        <f t="shared" si="121"/>
        <v>-3.5600000000000023</v>
      </c>
      <c r="M1022">
        <f t="shared" si="122"/>
        <v>-5.3900000000000006</v>
      </c>
      <c r="N1022">
        <f t="shared" si="123"/>
        <v>4.9999999999997158E-2</v>
      </c>
      <c r="O1022">
        <f t="shared" si="124"/>
        <v>0.60999999999999943</v>
      </c>
      <c r="P1022" s="10">
        <f t="shared" si="125"/>
        <v>0</v>
      </c>
    </row>
    <row r="1023" spans="1:16">
      <c r="A1023">
        <v>166.33</v>
      </c>
      <c r="B1023" s="42">
        <v>65.45</v>
      </c>
      <c r="C1023">
        <v>116.67</v>
      </c>
      <c r="D1023">
        <v>115.84</v>
      </c>
      <c r="E1023">
        <v>84.67</v>
      </c>
      <c r="F1023">
        <v>111.67</v>
      </c>
      <c r="G1023">
        <v>116.73</v>
      </c>
      <c r="H1023">
        <v>99.67</v>
      </c>
      <c r="K1023" s="9">
        <f t="shared" si="120"/>
        <v>-3.5499999999999972</v>
      </c>
      <c r="L1023">
        <f t="shared" si="121"/>
        <v>-3.4399999999999977</v>
      </c>
      <c r="M1023">
        <f t="shared" si="122"/>
        <v>-4.4399999999999977</v>
      </c>
      <c r="N1023">
        <f t="shared" si="123"/>
        <v>-0.26999999999999602</v>
      </c>
      <c r="O1023">
        <f t="shared" si="124"/>
        <v>0.60999999999999943</v>
      </c>
      <c r="P1023" s="10">
        <f t="shared" si="125"/>
        <v>-0.39000000000000057</v>
      </c>
    </row>
    <row r="1024" spans="1:16">
      <c r="A1024">
        <v>166.5</v>
      </c>
      <c r="B1024" s="42">
        <v>64.34</v>
      </c>
      <c r="C1024">
        <v>115.51</v>
      </c>
      <c r="D1024">
        <v>114.84</v>
      </c>
      <c r="E1024">
        <v>82.95</v>
      </c>
      <c r="F1024">
        <v>111.34</v>
      </c>
      <c r="G1024">
        <v>116.95</v>
      </c>
      <c r="H1024">
        <v>99.9</v>
      </c>
      <c r="K1024" s="9">
        <f t="shared" si="120"/>
        <v>-3.6700000000000017</v>
      </c>
      <c r="L1024">
        <f t="shared" si="121"/>
        <v>-3.6700000000000017</v>
      </c>
      <c r="M1024">
        <f t="shared" si="122"/>
        <v>-3.9399999999999977</v>
      </c>
      <c r="N1024">
        <f t="shared" si="123"/>
        <v>0.10999999999999943</v>
      </c>
      <c r="O1024">
        <f t="shared" si="124"/>
        <v>0.60999999999999943</v>
      </c>
      <c r="P1024" s="10">
        <f t="shared" si="125"/>
        <v>-0.56000000000000227</v>
      </c>
    </row>
    <row r="1025" spans="1:16">
      <c r="A1025">
        <v>166.67</v>
      </c>
      <c r="B1025" s="42">
        <v>63.17</v>
      </c>
      <c r="C1025">
        <v>114.12</v>
      </c>
      <c r="D1025">
        <v>113.34</v>
      </c>
      <c r="E1025">
        <v>81.17</v>
      </c>
      <c r="F1025">
        <v>111.67</v>
      </c>
      <c r="G1025">
        <v>117.23</v>
      </c>
      <c r="H1025">
        <v>99.84</v>
      </c>
      <c r="K1025" s="9">
        <f t="shared" si="120"/>
        <v>-3.4500000000000028</v>
      </c>
      <c r="L1025">
        <f t="shared" si="121"/>
        <v>-3.6099999999999994</v>
      </c>
      <c r="M1025">
        <f t="shared" si="122"/>
        <v>-3.769999999999996</v>
      </c>
      <c r="N1025">
        <f t="shared" si="123"/>
        <v>-0.43999999999999773</v>
      </c>
      <c r="O1025">
        <f t="shared" si="124"/>
        <v>0.54999999999999716</v>
      </c>
      <c r="P1025" s="10">
        <f t="shared" si="125"/>
        <v>-0.71999999999999886</v>
      </c>
    </row>
    <row r="1026" spans="1:16">
      <c r="A1026">
        <v>166.83</v>
      </c>
      <c r="B1026" s="42">
        <v>61.95</v>
      </c>
      <c r="C1026">
        <v>113.12</v>
      </c>
      <c r="D1026">
        <v>112.4</v>
      </c>
      <c r="E1026">
        <v>80.23</v>
      </c>
      <c r="F1026">
        <v>111.4</v>
      </c>
      <c r="G1026">
        <v>117.34</v>
      </c>
      <c r="H1026">
        <v>99.28</v>
      </c>
      <c r="K1026" s="9">
        <f t="shared" si="120"/>
        <v>-3.3400000000000034</v>
      </c>
      <c r="L1026">
        <f t="shared" si="121"/>
        <v>-3.5</v>
      </c>
      <c r="M1026">
        <f t="shared" si="122"/>
        <v>-3.5</v>
      </c>
      <c r="N1026">
        <f t="shared" si="123"/>
        <v>-0.34000000000000341</v>
      </c>
      <c r="O1026">
        <f t="shared" si="124"/>
        <v>0.56000000000000227</v>
      </c>
      <c r="P1026" s="10">
        <f t="shared" si="125"/>
        <v>-0.21999999999999886</v>
      </c>
    </row>
    <row r="1027" spans="1:16">
      <c r="A1027">
        <v>167</v>
      </c>
      <c r="B1027" s="42">
        <v>61.4</v>
      </c>
      <c r="C1027">
        <v>111.84</v>
      </c>
      <c r="D1027">
        <v>111.17</v>
      </c>
      <c r="E1027">
        <v>79.010000000000005</v>
      </c>
      <c r="F1027">
        <v>111.45</v>
      </c>
      <c r="G1027">
        <v>117.56</v>
      </c>
      <c r="H1027">
        <v>99.34</v>
      </c>
      <c r="K1027" s="9">
        <f t="shared" si="120"/>
        <v>-3.0600000000000023</v>
      </c>
      <c r="L1027">
        <f t="shared" si="121"/>
        <v>-3.0499999999999972</v>
      </c>
      <c r="M1027">
        <f t="shared" si="122"/>
        <v>-2.7800000000000011</v>
      </c>
      <c r="N1027">
        <f t="shared" si="123"/>
        <v>-0.17000000000000171</v>
      </c>
      <c r="O1027">
        <f t="shared" si="124"/>
        <v>0.67000000000000171</v>
      </c>
      <c r="P1027" s="10">
        <f t="shared" si="125"/>
        <v>-0.56000000000000227</v>
      </c>
    </row>
    <row r="1028" spans="1:16">
      <c r="A1028">
        <v>167.17</v>
      </c>
      <c r="B1028" s="42">
        <v>60.17</v>
      </c>
      <c r="C1028">
        <v>110.67</v>
      </c>
      <c r="D1028">
        <v>109.73</v>
      </c>
      <c r="E1028">
        <v>77.400000000000006</v>
      </c>
      <c r="F1028">
        <v>111.23</v>
      </c>
      <c r="G1028">
        <v>117.78</v>
      </c>
      <c r="H1028">
        <v>99.12</v>
      </c>
      <c r="K1028" s="9">
        <f t="shared" si="120"/>
        <v>-3.7199999999999989</v>
      </c>
      <c r="L1028">
        <f t="shared" si="121"/>
        <v>-3.2800000000000011</v>
      </c>
      <c r="M1028">
        <f t="shared" si="122"/>
        <v>-1.7800000000000011</v>
      </c>
      <c r="N1028">
        <f t="shared" si="123"/>
        <v>0.28000000000000114</v>
      </c>
      <c r="O1028">
        <f t="shared" si="124"/>
        <v>0.5</v>
      </c>
      <c r="P1028" s="10">
        <f t="shared" si="125"/>
        <v>-0.5</v>
      </c>
    </row>
    <row r="1029" spans="1:16">
      <c r="A1029">
        <v>167.33</v>
      </c>
      <c r="B1029" s="42">
        <v>59.28</v>
      </c>
      <c r="C1029">
        <v>109.78</v>
      </c>
      <c r="D1029">
        <v>108.9</v>
      </c>
      <c r="E1029">
        <v>76.73</v>
      </c>
      <c r="F1029">
        <v>111.06</v>
      </c>
      <c r="G1029">
        <v>117.9</v>
      </c>
      <c r="H1029">
        <v>99.06</v>
      </c>
      <c r="K1029" s="9">
        <f t="shared" si="120"/>
        <v>-3.7199999999999989</v>
      </c>
      <c r="L1029">
        <f t="shared" si="121"/>
        <v>-3.6200000000000045</v>
      </c>
      <c r="M1029">
        <f t="shared" si="122"/>
        <v>-1.7199999999999989</v>
      </c>
      <c r="N1029">
        <f t="shared" si="123"/>
        <v>0.67000000000000171</v>
      </c>
      <c r="O1029">
        <f t="shared" si="124"/>
        <v>0.54999999999999716</v>
      </c>
      <c r="P1029" s="10">
        <f t="shared" si="125"/>
        <v>-0.21999999999999886</v>
      </c>
    </row>
    <row r="1030" spans="1:16">
      <c r="A1030">
        <v>167.5</v>
      </c>
      <c r="B1030" s="42">
        <v>58.17</v>
      </c>
      <c r="C1030">
        <v>108.78</v>
      </c>
      <c r="D1030">
        <v>108.12</v>
      </c>
      <c r="E1030">
        <v>76.23</v>
      </c>
      <c r="F1030">
        <v>111.28</v>
      </c>
      <c r="G1030">
        <v>118.23</v>
      </c>
      <c r="H1030">
        <v>98.78</v>
      </c>
      <c r="K1030" s="9">
        <f t="shared" si="120"/>
        <v>-3.3299999999999983</v>
      </c>
      <c r="L1030">
        <f t="shared" si="121"/>
        <v>-3.3400000000000034</v>
      </c>
      <c r="M1030">
        <f t="shared" si="122"/>
        <v>-2.0600000000000023</v>
      </c>
      <c r="N1030">
        <f t="shared" si="123"/>
        <v>0.56000000000000227</v>
      </c>
      <c r="O1030">
        <f t="shared" si="124"/>
        <v>0.43999999999999773</v>
      </c>
      <c r="P1030" s="10">
        <f t="shared" si="125"/>
        <v>0.23000000000000398</v>
      </c>
    </row>
    <row r="1031" spans="1:16">
      <c r="A1031">
        <v>167.67</v>
      </c>
      <c r="B1031" s="42">
        <v>57.28</v>
      </c>
      <c r="C1031">
        <v>106.95</v>
      </c>
      <c r="D1031">
        <v>106.45</v>
      </c>
      <c r="E1031">
        <v>75.62</v>
      </c>
      <c r="F1031">
        <v>111.51</v>
      </c>
      <c r="G1031">
        <v>118.28</v>
      </c>
      <c r="H1031">
        <v>98.62</v>
      </c>
      <c r="K1031" s="9">
        <f t="shared" si="120"/>
        <v>-3.2199999999999989</v>
      </c>
      <c r="L1031">
        <f t="shared" si="121"/>
        <v>-3.2199999999999989</v>
      </c>
      <c r="M1031">
        <f t="shared" si="122"/>
        <v>-2.1099999999999994</v>
      </c>
      <c r="N1031">
        <f t="shared" si="123"/>
        <v>0.32999999999999829</v>
      </c>
      <c r="O1031">
        <f t="shared" si="124"/>
        <v>0.56000000000000227</v>
      </c>
      <c r="P1031" s="10">
        <f t="shared" si="125"/>
        <v>0.60999999999999943</v>
      </c>
    </row>
    <row r="1032" spans="1:16">
      <c r="A1032">
        <v>167.83</v>
      </c>
      <c r="B1032" s="42">
        <v>56.78</v>
      </c>
      <c r="C1032">
        <v>106.06</v>
      </c>
      <c r="D1032">
        <v>105.28</v>
      </c>
      <c r="E1032">
        <v>75.010000000000005</v>
      </c>
      <c r="F1032">
        <v>111.73</v>
      </c>
      <c r="G1032">
        <v>118.45</v>
      </c>
      <c r="H1032">
        <v>98.84</v>
      </c>
      <c r="K1032" s="9">
        <f t="shared" si="120"/>
        <v>-3.6599999999999966</v>
      </c>
      <c r="L1032">
        <f t="shared" si="121"/>
        <v>-3.6599999999999966</v>
      </c>
      <c r="M1032">
        <f t="shared" si="122"/>
        <v>-2.5600000000000023</v>
      </c>
      <c r="N1032">
        <f t="shared" si="123"/>
        <v>-6.0000000000002274E-2</v>
      </c>
      <c r="O1032">
        <f t="shared" si="124"/>
        <v>0.56000000000000227</v>
      </c>
      <c r="P1032" s="10">
        <f t="shared" si="125"/>
        <v>0.67000000000000171</v>
      </c>
    </row>
    <row r="1033" spans="1:16">
      <c r="A1033">
        <v>168</v>
      </c>
      <c r="B1033" s="42">
        <v>55.78</v>
      </c>
      <c r="C1033">
        <v>105.45</v>
      </c>
      <c r="D1033">
        <v>104.78</v>
      </c>
      <c r="E1033">
        <v>74.17</v>
      </c>
      <c r="F1033">
        <v>111.84</v>
      </c>
      <c r="G1033">
        <v>118.67</v>
      </c>
      <c r="H1033">
        <v>99.01</v>
      </c>
      <c r="K1033" s="9">
        <f t="shared" si="120"/>
        <v>-4.1700000000000017</v>
      </c>
      <c r="L1033">
        <f t="shared" si="121"/>
        <v>-4.4399999999999977</v>
      </c>
      <c r="M1033">
        <f t="shared" si="122"/>
        <v>-2.1099999999999994</v>
      </c>
      <c r="N1033">
        <f t="shared" si="123"/>
        <v>-0.43999999999999773</v>
      </c>
      <c r="O1033">
        <f t="shared" si="124"/>
        <v>0.5</v>
      </c>
      <c r="P1033" s="10">
        <f t="shared" si="125"/>
        <v>0.60999999999999943</v>
      </c>
    </row>
    <row r="1034" spans="1:16">
      <c r="A1034">
        <v>168.17</v>
      </c>
      <c r="B1034" s="42">
        <v>54.51</v>
      </c>
      <c r="C1034">
        <v>103.73</v>
      </c>
      <c r="D1034">
        <v>103.23</v>
      </c>
      <c r="E1034">
        <v>73.510000000000005</v>
      </c>
      <c r="F1034">
        <v>111.84</v>
      </c>
      <c r="G1034">
        <v>118.84</v>
      </c>
      <c r="H1034">
        <v>99.23</v>
      </c>
      <c r="K1034" s="9">
        <f t="shared" si="120"/>
        <v>-2.7199999999999989</v>
      </c>
      <c r="L1034">
        <f t="shared" si="121"/>
        <v>-2.9500000000000028</v>
      </c>
      <c r="M1034">
        <f t="shared" si="122"/>
        <v>-2.230000000000004</v>
      </c>
      <c r="N1034">
        <f t="shared" si="123"/>
        <v>-0.5</v>
      </c>
      <c r="O1034">
        <f t="shared" si="124"/>
        <v>0.5</v>
      </c>
      <c r="P1034" s="10">
        <f t="shared" si="125"/>
        <v>-0.21999999999999886</v>
      </c>
    </row>
    <row r="1035" spans="1:16">
      <c r="A1035">
        <v>168.33</v>
      </c>
      <c r="B1035" s="42">
        <v>54.34</v>
      </c>
      <c r="C1035">
        <v>102.4</v>
      </c>
      <c r="D1035">
        <v>101.62</v>
      </c>
      <c r="E1035">
        <v>72.45</v>
      </c>
      <c r="F1035">
        <v>111.67</v>
      </c>
      <c r="G1035">
        <v>119.01</v>
      </c>
      <c r="H1035">
        <v>99.51</v>
      </c>
      <c r="K1035" s="9">
        <f t="shared" si="120"/>
        <v>-1.6200000000000045</v>
      </c>
      <c r="L1035">
        <f t="shared" si="121"/>
        <v>-1.5</v>
      </c>
      <c r="M1035">
        <f t="shared" si="122"/>
        <v>-1.8900000000000006</v>
      </c>
      <c r="N1035">
        <f t="shared" si="123"/>
        <v>-0.26999999999999602</v>
      </c>
      <c r="O1035">
        <f t="shared" si="124"/>
        <v>0.54999999999999716</v>
      </c>
      <c r="P1035" s="10">
        <f t="shared" si="125"/>
        <v>-0.45000000000000284</v>
      </c>
    </row>
    <row r="1036" spans="1:16">
      <c r="A1036">
        <v>168.5</v>
      </c>
      <c r="B1036" s="42">
        <v>53.9</v>
      </c>
      <c r="C1036">
        <v>101.28</v>
      </c>
      <c r="D1036">
        <v>100.34</v>
      </c>
      <c r="E1036">
        <v>72.06</v>
      </c>
      <c r="F1036">
        <v>111.4</v>
      </c>
      <c r="G1036">
        <v>119.17</v>
      </c>
      <c r="H1036">
        <v>99.62</v>
      </c>
      <c r="K1036" s="9">
        <f t="shared" si="120"/>
        <v>-1.769999999999996</v>
      </c>
      <c r="L1036">
        <f t="shared" si="121"/>
        <v>-1.4399999999999977</v>
      </c>
      <c r="M1036">
        <f t="shared" si="122"/>
        <v>-2.7199999999999989</v>
      </c>
      <c r="N1036">
        <f t="shared" si="123"/>
        <v>0.10999999999999943</v>
      </c>
      <c r="O1036">
        <f t="shared" si="124"/>
        <v>0.5</v>
      </c>
      <c r="P1036" s="10">
        <f t="shared" si="125"/>
        <v>-0.67000000000000171</v>
      </c>
    </row>
    <row r="1037" spans="1:16">
      <c r="A1037">
        <v>168.67</v>
      </c>
      <c r="B1037" s="42">
        <v>53.9</v>
      </c>
      <c r="C1037">
        <v>101.01</v>
      </c>
      <c r="D1037">
        <v>100.28</v>
      </c>
      <c r="E1037">
        <v>71.28</v>
      </c>
      <c r="F1037">
        <v>111.34</v>
      </c>
      <c r="G1037">
        <v>119.34</v>
      </c>
      <c r="H1037">
        <v>99.01</v>
      </c>
      <c r="K1037" s="9">
        <f t="shared" si="120"/>
        <v>-2.3400000000000034</v>
      </c>
      <c r="L1037">
        <f t="shared" si="121"/>
        <v>-2.1099999999999994</v>
      </c>
      <c r="M1037">
        <f t="shared" si="122"/>
        <v>-2.769999999999996</v>
      </c>
      <c r="N1037">
        <f t="shared" si="123"/>
        <v>-0.10999999999999943</v>
      </c>
      <c r="O1037">
        <f t="shared" si="124"/>
        <v>0.5</v>
      </c>
      <c r="P1037" s="10">
        <f t="shared" si="125"/>
        <v>0.32999999999999829</v>
      </c>
    </row>
    <row r="1038" spans="1:16">
      <c r="A1038">
        <v>168.83</v>
      </c>
      <c r="B1038" s="42">
        <v>53.62</v>
      </c>
      <c r="C1038">
        <v>100.78</v>
      </c>
      <c r="D1038">
        <v>100.12</v>
      </c>
      <c r="E1038">
        <v>70.56</v>
      </c>
      <c r="F1038">
        <v>111.4</v>
      </c>
      <c r="G1038">
        <v>119.56</v>
      </c>
      <c r="H1038">
        <v>99.06</v>
      </c>
      <c r="K1038" s="9">
        <f t="shared" si="120"/>
        <v>-2.6599999999999966</v>
      </c>
      <c r="L1038">
        <f t="shared" si="121"/>
        <v>-2.6099999999999994</v>
      </c>
      <c r="M1038">
        <f t="shared" si="122"/>
        <v>-2.0499999999999972</v>
      </c>
      <c r="N1038">
        <f t="shared" si="123"/>
        <v>-0.45000000000000284</v>
      </c>
      <c r="O1038">
        <f t="shared" si="124"/>
        <v>0.5</v>
      </c>
      <c r="P1038" s="10">
        <f t="shared" si="125"/>
        <v>0.17000000000000171</v>
      </c>
    </row>
    <row r="1039" spans="1:16">
      <c r="A1039">
        <v>169</v>
      </c>
      <c r="B1039" s="42">
        <v>52.78</v>
      </c>
      <c r="C1039">
        <v>99.51</v>
      </c>
      <c r="D1039">
        <v>98.9</v>
      </c>
      <c r="E1039">
        <v>69.34</v>
      </c>
      <c r="F1039">
        <v>111.51</v>
      </c>
      <c r="G1039">
        <v>119.67</v>
      </c>
      <c r="H1039">
        <v>98.95</v>
      </c>
      <c r="K1039" s="9">
        <f t="shared" si="120"/>
        <v>-1.8400000000000034</v>
      </c>
      <c r="L1039">
        <f t="shared" si="121"/>
        <v>-1.8400000000000034</v>
      </c>
      <c r="M1039">
        <f t="shared" si="122"/>
        <v>-1.2199999999999989</v>
      </c>
      <c r="N1039">
        <f t="shared" si="123"/>
        <v>-0.28000000000000114</v>
      </c>
      <c r="O1039">
        <f t="shared" si="124"/>
        <v>0.60999999999999943</v>
      </c>
      <c r="P1039" s="10">
        <f t="shared" si="125"/>
        <v>0.17000000000000171</v>
      </c>
    </row>
    <row r="1040" spans="1:16">
      <c r="A1040">
        <v>169.17</v>
      </c>
      <c r="B1040" s="42">
        <v>51.9</v>
      </c>
      <c r="C1040">
        <v>98.67</v>
      </c>
      <c r="D1040">
        <v>98.17</v>
      </c>
      <c r="E1040">
        <v>68.510000000000005</v>
      </c>
      <c r="F1040">
        <v>111.23</v>
      </c>
      <c r="G1040">
        <v>119.84</v>
      </c>
      <c r="H1040">
        <v>99.34</v>
      </c>
      <c r="K1040" s="9">
        <f t="shared" si="120"/>
        <v>-1.7199999999999989</v>
      </c>
      <c r="L1040">
        <f t="shared" si="121"/>
        <v>-1.9399999999999977</v>
      </c>
      <c r="M1040">
        <f t="shared" si="122"/>
        <v>4.9999999999997158E-2</v>
      </c>
      <c r="N1040">
        <f t="shared" si="123"/>
        <v>0.28000000000000114</v>
      </c>
      <c r="O1040">
        <f t="shared" si="124"/>
        <v>0.60999999999999943</v>
      </c>
      <c r="P1040" s="10">
        <f t="shared" si="125"/>
        <v>-0.43999999999999773</v>
      </c>
    </row>
    <row r="1041" spans="1:16">
      <c r="A1041">
        <v>169.33</v>
      </c>
      <c r="B1041" s="42">
        <v>51.28</v>
      </c>
      <c r="C1041">
        <v>98.12</v>
      </c>
      <c r="D1041">
        <v>97.51</v>
      </c>
      <c r="E1041">
        <v>68.510000000000005</v>
      </c>
      <c r="F1041">
        <v>110.95</v>
      </c>
      <c r="G1041">
        <v>120.06</v>
      </c>
      <c r="H1041">
        <v>99.23</v>
      </c>
      <c r="K1041" s="9">
        <f t="shared" si="120"/>
        <v>-1.5</v>
      </c>
      <c r="L1041">
        <f t="shared" si="121"/>
        <v>-1.6099999999999994</v>
      </c>
      <c r="M1041">
        <f t="shared" si="122"/>
        <v>-0.17000000000000171</v>
      </c>
      <c r="N1041">
        <f t="shared" si="123"/>
        <v>0.60999999999999943</v>
      </c>
      <c r="O1041">
        <f t="shared" si="124"/>
        <v>0.56000000000000227</v>
      </c>
      <c r="P1041" s="10">
        <f t="shared" si="125"/>
        <v>-0.28000000000000114</v>
      </c>
    </row>
    <row r="1042" spans="1:16">
      <c r="A1042">
        <v>169.5</v>
      </c>
      <c r="B1042" s="42">
        <v>50.67</v>
      </c>
      <c r="C1042">
        <v>97.67</v>
      </c>
      <c r="D1042">
        <v>97.06</v>
      </c>
      <c r="E1042">
        <v>68.12</v>
      </c>
      <c r="F1042">
        <v>111.23</v>
      </c>
      <c r="G1042">
        <v>120.28</v>
      </c>
      <c r="H1042">
        <v>99.12</v>
      </c>
      <c r="K1042" s="9">
        <f t="shared" si="120"/>
        <v>-2.1099999999999994</v>
      </c>
      <c r="L1042">
        <f t="shared" si="121"/>
        <v>-2.0499999999999972</v>
      </c>
      <c r="M1042">
        <f t="shared" si="122"/>
        <v>-0.34000000000000341</v>
      </c>
      <c r="N1042">
        <f t="shared" si="123"/>
        <v>0.32999999999999829</v>
      </c>
      <c r="O1042">
        <f t="shared" si="124"/>
        <v>0.39000000000000057</v>
      </c>
      <c r="P1042" s="10">
        <f t="shared" si="125"/>
        <v>0</v>
      </c>
    </row>
    <row r="1043" spans="1:16">
      <c r="A1043">
        <v>169.67</v>
      </c>
      <c r="B1043" s="42">
        <v>49.9</v>
      </c>
      <c r="C1043">
        <v>96.95</v>
      </c>
      <c r="D1043">
        <v>96.23</v>
      </c>
      <c r="E1043">
        <v>68.56</v>
      </c>
      <c r="F1043">
        <v>111.51</v>
      </c>
      <c r="G1043">
        <v>120.45</v>
      </c>
      <c r="H1043">
        <v>98.9</v>
      </c>
      <c r="K1043" s="9">
        <f t="shared" si="120"/>
        <v>-2.9399999999999977</v>
      </c>
      <c r="L1043">
        <f t="shared" si="121"/>
        <v>-2.6099999999999994</v>
      </c>
      <c r="M1043">
        <f t="shared" si="122"/>
        <v>-1.2199999999999989</v>
      </c>
      <c r="N1043">
        <f t="shared" si="123"/>
        <v>4.9999999999997158E-2</v>
      </c>
      <c r="O1043">
        <f t="shared" si="124"/>
        <v>0.39000000000000057</v>
      </c>
      <c r="P1043" s="10">
        <f t="shared" si="125"/>
        <v>-0.12000000000000455</v>
      </c>
    </row>
    <row r="1044" spans="1:16">
      <c r="A1044">
        <v>169.83</v>
      </c>
      <c r="B1044" s="42">
        <v>49.34</v>
      </c>
      <c r="C1044">
        <v>96.62</v>
      </c>
      <c r="D1044">
        <v>95.9</v>
      </c>
      <c r="E1044">
        <v>68.34</v>
      </c>
      <c r="F1044">
        <v>111.56</v>
      </c>
      <c r="G1044">
        <v>120.62</v>
      </c>
      <c r="H1044">
        <v>98.95</v>
      </c>
      <c r="K1044" s="9">
        <f t="shared" si="120"/>
        <v>-3.8400000000000034</v>
      </c>
      <c r="L1044">
        <f t="shared" si="121"/>
        <v>-3.6700000000000017</v>
      </c>
      <c r="M1044">
        <f t="shared" si="122"/>
        <v>-1.1099999999999994</v>
      </c>
      <c r="N1044">
        <f t="shared" si="123"/>
        <v>0</v>
      </c>
      <c r="O1044">
        <f t="shared" si="124"/>
        <v>0.39000000000000057</v>
      </c>
      <c r="P1044" s="10">
        <f t="shared" si="125"/>
        <v>6.0000000000002274E-2</v>
      </c>
    </row>
    <row r="1045" spans="1:16">
      <c r="A1045">
        <v>170</v>
      </c>
      <c r="B1045" s="42">
        <v>48.56</v>
      </c>
      <c r="C1045">
        <v>95.56</v>
      </c>
      <c r="D1045">
        <v>95.01</v>
      </c>
      <c r="E1045">
        <v>67.78</v>
      </c>
      <c r="F1045">
        <v>111.56</v>
      </c>
      <c r="G1045">
        <v>120.67</v>
      </c>
      <c r="H1045">
        <v>99.12</v>
      </c>
      <c r="K1045" s="9">
        <f t="shared" si="120"/>
        <v>-3.6599999999999966</v>
      </c>
      <c r="L1045">
        <f t="shared" si="121"/>
        <v>-3.8400000000000034</v>
      </c>
      <c r="M1045">
        <f t="shared" si="122"/>
        <v>-1.269999999999996</v>
      </c>
      <c r="N1045">
        <f t="shared" si="123"/>
        <v>-0.10999999999999943</v>
      </c>
      <c r="O1045">
        <f t="shared" si="124"/>
        <v>0.39000000000000057</v>
      </c>
      <c r="P1045" s="10">
        <f t="shared" si="125"/>
        <v>-0.56000000000000227</v>
      </c>
    </row>
    <row r="1046" spans="1:16">
      <c r="A1046">
        <v>170.17</v>
      </c>
      <c r="B1046" s="42">
        <v>47.78</v>
      </c>
      <c r="C1046">
        <v>94.01</v>
      </c>
      <c r="D1046">
        <v>93.62</v>
      </c>
      <c r="E1046">
        <v>67.34</v>
      </c>
      <c r="F1046">
        <v>111.56</v>
      </c>
      <c r="G1046">
        <v>120.84</v>
      </c>
      <c r="H1046">
        <v>98.78</v>
      </c>
      <c r="K1046" s="9">
        <f t="shared" si="120"/>
        <v>-2.7800000000000011</v>
      </c>
      <c r="L1046">
        <f t="shared" si="121"/>
        <v>-3.2199999999999989</v>
      </c>
      <c r="M1046">
        <f t="shared" si="122"/>
        <v>-1.5</v>
      </c>
      <c r="N1046">
        <f t="shared" si="123"/>
        <v>0.10999999999999943</v>
      </c>
      <c r="O1046">
        <f t="shared" si="124"/>
        <v>0.39000000000000057</v>
      </c>
      <c r="P1046" s="10">
        <f t="shared" si="125"/>
        <v>-0.15999999999999659</v>
      </c>
    </row>
    <row r="1047" spans="1:16">
      <c r="A1047">
        <v>170.33</v>
      </c>
      <c r="B1047" s="42">
        <v>46.95</v>
      </c>
      <c r="C1047">
        <v>92.78</v>
      </c>
      <c r="D1047">
        <v>92.23</v>
      </c>
      <c r="E1047">
        <v>67.23</v>
      </c>
      <c r="F1047">
        <v>111.56</v>
      </c>
      <c r="G1047">
        <v>121.01</v>
      </c>
      <c r="H1047">
        <v>99.01</v>
      </c>
      <c r="K1047" s="9">
        <f t="shared" si="120"/>
        <v>-2.9399999999999977</v>
      </c>
      <c r="L1047">
        <f t="shared" si="121"/>
        <v>-2.9500000000000028</v>
      </c>
      <c r="M1047">
        <f t="shared" si="122"/>
        <v>-2.8900000000000006</v>
      </c>
      <c r="N1047">
        <f t="shared" si="123"/>
        <v>0.28000000000000114</v>
      </c>
      <c r="O1047">
        <f t="shared" si="124"/>
        <v>0.39000000000000057</v>
      </c>
      <c r="P1047" s="10">
        <f t="shared" si="125"/>
        <v>-0.45000000000000284</v>
      </c>
    </row>
    <row r="1048" spans="1:16">
      <c r="A1048">
        <v>170.5</v>
      </c>
      <c r="B1048" s="42">
        <v>46.56</v>
      </c>
      <c r="C1048">
        <v>91.9</v>
      </c>
      <c r="D1048">
        <v>91.17</v>
      </c>
      <c r="E1048">
        <v>66.510000000000005</v>
      </c>
      <c r="F1048">
        <v>111.45</v>
      </c>
      <c r="G1048">
        <v>121.06</v>
      </c>
      <c r="H1048">
        <v>98.56</v>
      </c>
      <c r="K1048" s="9">
        <f t="shared" si="120"/>
        <v>-1.8900000000000006</v>
      </c>
      <c r="L1048">
        <f t="shared" si="121"/>
        <v>-1.8900000000000006</v>
      </c>
      <c r="M1048">
        <f t="shared" si="122"/>
        <v>-3.8400000000000034</v>
      </c>
      <c r="N1048">
        <f t="shared" si="123"/>
        <v>0.67000000000000171</v>
      </c>
      <c r="O1048">
        <f t="shared" si="124"/>
        <v>0.39000000000000057</v>
      </c>
      <c r="P1048" s="10">
        <f t="shared" si="125"/>
        <v>-0.10999999999999943</v>
      </c>
    </row>
    <row r="1049" spans="1:16">
      <c r="A1049">
        <v>170.67</v>
      </c>
      <c r="B1049" s="42">
        <v>46.06</v>
      </c>
      <c r="C1049">
        <v>91.23</v>
      </c>
      <c r="D1049">
        <v>90.4</v>
      </c>
      <c r="E1049">
        <v>65.84</v>
      </c>
      <c r="F1049">
        <v>111.67</v>
      </c>
      <c r="G1049">
        <v>121.23</v>
      </c>
      <c r="H1049">
        <v>98.62</v>
      </c>
      <c r="K1049" s="9">
        <f t="shared" ref="K1049:K1112" si="126">C1052-C1049</f>
        <v>-0.95000000000000284</v>
      </c>
      <c r="L1049">
        <f t="shared" ref="L1049:L1112" si="127">D1052-D1049</f>
        <v>-0.78000000000000114</v>
      </c>
      <c r="M1049">
        <f t="shared" ref="M1049:M1112" si="128">E1052-E1049</f>
        <v>-3.8900000000000006</v>
      </c>
      <c r="N1049">
        <f t="shared" ref="N1049:N1112" si="129">F1052-F1049</f>
        <v>0.56000000000000227</v>
      </c>
      <c r="O1049">
        <f t="shared" ref="O1049:O1112" si="130">G1052-G1049</f>
        <v>0.32999999999999829</v>
      </c>
      <c r="P1049" s="10">
        <f t="shared" ref="P1049:P1112" si="131">H1052-H1049</f>
        <v>-0.5</v>
      </c>
    </row>
    <row r="1050" spans="1:16">
      <c r="A1050">
        <v>170.83</v>
      </c>
      <c r="B1050" s="42">
        <v>45.78</v>
      </c>
      <c r="C1050">
        <v>89.84</v>
      </c>
      <c r="D1050">
        <v>89.28</v>
      </c>
      <c r="E1050">
        <v>64.34</v>
      </c>
      <c r="F1050">
        <v>111.84</v>
      </c>
      <c r="G1050">
        <v>121.4</v>
      </c>
      <c r="H1050">
        <v>98.56</v>
      </c>
      <c r="K1050" s="9">
        <f t="shared" si="126"/>
        <v>0.39000000000000057</v>
      </c>
      <c r="L1050">
        <f t="shared" si="127"/>
        <v>0.34000000000000341</v>
      </c>
      <c r="M1050">
        <f t="shared" si="128"/>
        <v>-2.9400000000000048</v>
      </c>
      <c r="N1050">
        <f t="shared" si="129"/>
        <v>0.60999999999999943</v>
      </c>
      <c r="O1050">
        <f t="shared" si="130"/>
        <v>0.32999999999999829</v>
      </c>
      <c r="P1050" s="10">
        <f t="shared" si="131"/>
        <v>-0.54999999999999716</v>
      </c>
    </row>
    <row r="1051" spans="1:16">
      <c r="A1051">
        <v>171</v>
      </c>
      <c r="B1051" s="42">
        <v>45.45</v>
      </c>
      <c r="C1051">
        <v>90.01</v>
      </c>
      <c r="D1051">
        <v>89.28</v>
      </c>
      <c r="E1051">
        <v>62.67</v>
      </c>
      <c r="F1051">
        <v>112.12</v>
      </c>
      <c r="G1051">
        <v>121.45</v>
      </c>
      <c r="H1051">
        <v>98.45</v>
      </c>
      <c r="K1051" s="9">
        <f t="shared" si="126"/>
        <v>-0.95000000000000284</v>
      </c>
      <c r="L1051">
        <f t="shared" si="127"/>
        <v>-0.65999999999999659</v>
      </c>
      <c r="M1051">
        <f t="shared" si="128"/>
        <v>-1.8900000000000006</v>
      </c>
      <c r="N1051">
        <f t="shared" si="129"/>
        <v>0.10999999999999943</v>
      </c>
      <c r="O1051">
        <f t="shared" si="130"/>
        <v>0.32999999999999829</v>
      </c>
      <c r="P1051" s="10">
        <f t="shared" si="131"/>
        <v>-0.21999999999999886</v>
      </c>
    </row>
    <row r="1052" spans="1:16">
      <c r="A1052">
        <v>171.17</v>
      </c>
      <c r="B1052" s="42">
        <v>44.9</v>
      </c>
      <c r="C1052">
        <v>90.28</v>
      </c>
      <c r="D1052">
        <v>89.62</v>
      </c>
      <c r="E1052">
        <v>61.95</v>
      </c>
      <c r="F1052">
        <v>112.23</v>
      </c>
      <c r="G1052">
        <v>121.56</v>
      </c>
      <c r="H1052">
        <v>98.12</v>
      </c>
      <c r="K1052" s="9">
        <f t="shared" si="126"/>
        <v>-2.269999999999996</v>
      </c>
      <c r="L1052">
        <f t="shared" si="127"/>
        <v>-2.1700000000000017</v>
      </c>
      <c r="M1052">
        <f t="shared" si="128"/>
        <v>-1.9400000000000048</v>
      </c>
      <c r="N1052">
        <f t="shared" si="129"/>
        <v>0</v>
      </c>
      <c r="O1052">
        <f t="shared" si="130"/>
        <v>0.39000000000000057</v>
      </c>
      <c r="P1052" s="10">
        <f t="shared" si="131"/>
        <v>0.21999999999999886</v>
      </c>
    </row>
    <row r="1053" spans="1:16">
      <c r="A1053">
        <v>171.33</v>
      </c>
      <c r="B1053" s="42">
        <v>44.45</v>
      </c>
      <c r="C1053">
        <v>90.23</v>
      </c>
      <c r="D1053">
        <v>89.62</v>
      </c>
      <c r="E1053">
        <v>61.4</v>
      </c>
      <c r="F1053">
        <v>112.45</v>
      </c>
      <c r="G1053">
        <v>121.73</v>
      </c>
      <c r="H1053">
        <v>98.01</v>
      </c>
      <c r="K1053" s="9">
        <f t="shared" si="126"/>
        <v>-2.6700000000000017</v>
      </c>
      <c r="L1053">
        <f t="shared" si="127"/>
        <v>-2.6700000000000017</v>
      </c>
      <c r="M1053">
        <f t="shared" si="128"/>
        <v>-1.8900000000000006</v>
      </c>
      <c r="N1053">
        <f t="shared" si="129"/>
        <v>-4.9999999999997158E-2</v>
      </c>
      <c r="O1053">
        <f t="shared" si="130"/>
        <v>0.39000000000000057</v>
      </c>
      <c r="P1053" s="10">
        <f t="shared" si="131"/>
        <v>0.54999999999999716</v>
      </c>
    </row>
    <row r="1054" spans="1:16">
      <c r="A1054">
        <v>171.5</v>
      </c>
      <c r="B1054" s="42">
        <v>43.9</v>
      </c>
      <c r="C1054">
        <v>89.06</v>
      </c>
      <c r="D1054">
        <v>88.62</v>
      </c>
      <c r="E1054">
        <v>60.78</v>
      </c>
      <c r="F1054">
        <v>112.23</v>
      </c>
      <c r="G1054">
        <v>121.78</v>
      </c>
      <c r="H1054">
        <v>98.23</v>
      </c>
      <c r="K1054" s="9">
        <f t="shared" si="126"/>
        <v>-2.3900000000000006</v>
      </c>
      <c r="L1054">
        <f t="shared" si="127"/>
        <v>-2.5</v>
      </c>
      <c r="M1054">
        <f t="shared" si="128"/>
        <v>-2</v>
      </c>
      <c r="N1054">
        <f t="shared" si="129"/>
        <v>-6.0000000000002274E-2</v>
      </c>
      <c r="O1054">
        <f t="shared" si="130"/>
        <v>0.39000000000000057</v>
      </c>
      <c r="P1054" s="10">
        <f t="shared" si="131"/>
        <v>0.39000000000000057</v>
      </c>
    </row>
    <row r="1055" spans="1:16">
      <c r="A1055">
        <v>171.67</v>
      </c>
      <c r="B1055" s="42">
        <v>43.51</v>
      </c>
      <c r="C1055">
        <v>88.01</v>
      </c>
      <c r="D1055">
        <v>87.45</v>
      </c>
      <c r="E1055">
        <v>60.01</v>
      </c>
      <c r="F1055">
        <v>112.23</v>
      </c>
      <c r="G1055">
        <v>121.95</v>
      </c>
      <c r="H1055">
        <v>98.34</v>
      </c>
      <c r="K1055" s="9">
        <f t="shared" si="126"/>
        <v>-2.1700000000000017</v>
      </c>
      <c r="L1055">
        <f t="shared" si="127"/>
        <v>-2.2800000000000011</v>
      </c>
      <c r="M1055">
        <f t="shared" si="128"/>
        <v>-2.3399999999999963</v>
      </c>
      <c r="N1055">
        <f t="shared" si="129"/>
        <v>0.17000000000000171</v>
      </c>
      <c r="O1055">
        <f t="shared" si="130"/>
        <v>0.28000000000000114</v>
      </c>
      <c r="P1055" s="10">
        <f t="shared" si="131"/>
        <v>0.28000000000000114</v>
      </c>
    </row>
    <row r="1056" spans="1:16">
      <c r="A1056">
        <v>171.83</v>
      </c>
      <c r="B1056" s="42">
        <v>43.34</v>
      </c>
      <c r="C1056">
        <v>87.56</v>
      </c>
      <c r="D1056">
        <v>86.95</v>
      </c>
      <c r="E1056">
        <v>59.51</v>
      </c>
      <c r="F1056">
        <v>112.4</v>
      </c>
      <c r="G1056">
        <v>122.12</v>
      </c>
      <c r="H1056">
        <v>98.56</v>
      </c>
      <c r="K1056" s="9">
        <f t="shared" si="126"/>
        <v>-1.9399999999999977</v>
      </c>
      <c r="L1056">
        <f t="shared" si="127"/>
        <v>-1.9399999999999977</v>
      </c>
      <c r="M1056">
        <f t="shared" si="128"/>
        <v>-2.6099999999999994</v>
      </c>
      <c r="N1056">
        <f t="shared" si="129"/>
        <v>4.9999999999997158E-2</v>
      </c>
      <c r="O1056">
        <f t="shared" si="130"/>
        <v>0.39000000000000057</v>
      </c>
      <c r="P1056" s="10">
        <f t="shared" si="131"/>
        <v>0.21999999999999886</v>
      </c>
    </row>
    <row r="1057" spans="1:16">
      <c r="A1057">
        <v>172</v>
      </c>
      <c r="B1057" s="42">
        <v>42.95</v>
      </c>
      <c r="C1057">
        <v>86.67</v>
      </c>
      <c r="D1057">
        <v>86.12</v>
      </c>
      <c r="E1057">
        <v>58.78</v>
      </c>
      <c r="F1057">
        <v>112.17</v>
      </c>
      <c r="G1057">
        <v>122.17</v>
      </c>
      <c r="H1057">
        <v>98.62</v>
      </c>
      <c r="K1057" s="9">
        <f t="shared" si="126"/>
        <v>-1.769999999999996</v>
      </c>
      <c r="L1057">
        <f t="shared" si="127"/>
        <v>-1.7800000000000011</v>
      </c>
      <c r="M1057">
        <f t="shared" si="128"/>
        <v>-2.3800000000000026</v>
      </c>
      <c r="N1057">
        <f t="shared" si="129"/>
        <v>0.23000000000000398</v>
      </c>
      <c r="O1057">
        <f t="shared" si="130"/>
        <v>0.39000000000000057</v>
      </c>
      <c r="P1057" s="10">
        <f t="shared" si="131"/>
        <v>0.10999999999999943</v>
      </c>
    </row>
    <row r="1058" spans="1:16">
      <c r="A1058">
        <v>172.17</v>
      </c>
      <c r="B1058" s="42">
        <v>42.62</v>
      </c>
      <c r="C1058">
        <v>85.84</v>
      </c>
      <c r="D1058">
        <v>85.17</v>
      </c>
      <c r="E1058">
        <v>57.67</v>
      </c>
      <c r="F1058">
        <v>112.4</v>
      </c>
      <c r="G1058">
        <v>122.23</v>
      </c>
      <c r="H1058">
        <v>98.62</v>
      </c>
      <c r="K1058" s="9">
        <f t="shared" si="126"/>
        <v>-1.8299999999999983</v>
      </c>
      <c r="L1058">
        <f t="shared" si="127"/>
        <v>-1.6599999999999966</v>
      </c>
      <c r="M1058">
        <f t="shared" si="128"/>
        <v>-1.8900000000000006</v>
      </c>
      <c r="N1058">
        <f t="shared" si="129"/>
        <v>0.37999999999999545</v>
      </c>
      <c r="O1058">
        <f t="shared" si="130"/>
        <v>0.5</v>
      </c>
      <c r="P1058" s="10">
        <f t="shared" si="131"/>
        <v>0.15999999999999659</v>
      </c>
    </row>
    <row r="1059" spans="1:16">
      <c r="A1059">
        <v>172.33</v>
      </c>
      <c r="B1059" s="42">
        <v>42.45</v>
      </c>
      <c r="C1059">
        <v>85.62</v>
      </c>
      <c r="D1059">
        <v>85.01</v>
      </c>
      <c r="E1059">
        <v>56.9</v>
      </c>
      <c r="F1059">
        <v>112.45</v>
      </c>
      <c r="G1059">
        <v>122.51</v>
      </c>
      <c r="H1059">
        <v>98.78</v>
      </c>
      <c r="K1059" s="9">
        <f t="shared" si="126"/>
        <v>-2.4500000000000028</v>
      </c>
      <c r="L1059">
        <f t="shared" si="127"/>
        <v>-2.4500000000000028</v>
      </c>
      <c r="M1059">
        <f t="shared" si="128"/>
        <v>-1.6700000000000017</v>
      </c>
      <c r="N1059">
        <f t="shared" si="129"/>
        <v>0.17000000000000171</v>
      </c>
      <c r="O1059">
        <f t="shared" si="130"/>
        <v>0.39000000000000057</v>
      </c>
      <c r="P1059" s="10">
        <f t="shared" si="131"/>
        <v>0.34000000000000341</v>
      </c>
    </row>
    <row r="1060" spans="1:16">
      <c r="A1060">
        <v>172.5</v>
      </c>
      <c r="B1060" s="42">
        <v>41.9</v>
      </c>
      <c r="C1060">
        <v>84.9</v>
      </c>
      <c r="D1060">
        <v>84.34</v>
      </c>
      <c r="E1060">
        <v>56.4</v>
      </c>
      <c r="F1060">
        <v>112.4</v>
      </c>
      <c r="G1060">
        <v>122.56</v>
      </c>
      <c r="H1060">
        <v>98.73</v>
      </c>
      <c r="K1060" s="9">
        <f t="shared" si="126"/>
        <v>-3.1700000000000017</v>
      </c>
      <c r="L1060">
        <f t="shared" si="127"/>
        <v>-3.1700000000000017</v>
      </c>
      <c r="M1060">
        <f t="shared" si="128"/>
        <v>-1.8399999999999963</v>
      </c>
      <c r="N1060">
        <f t="shared" si="129"/>
        <v>0.54999999999999716</v>
      </c>
      <c r="O1060">
        <f t="shared" si="130"/>
        <v>0.39000000000000057</v>
      </c>
      <c r="P1060" s="10">
        <f t="shared" si="131"/>
        <v>0.32999999999999829</v>
      </c>
    </row>
    <row r="1061" spans="1:16">
      <c r="A1061">
        <v>172.67</v>
      </c>
      <c r="B1061" s="42">
        <v>41.4</v>
      </c>
      <c r="C1061">
        <v>84.01</v>
      </c>
      <c r="D1061">
        <v>83.51</v>
      </c>
      <c r="E1061">
        <v>55.78</v>
      </c>
      <c r="F1061">
        <v>112.78</v>
      </c>
      <c r="G1061">
        <v>122.73</v>
      </c>
      <c r="H1061">
        <v>98.78</v>
      </c>
      <c r="K1061" s="9">
        <f t="shared" si="126"/>
        <v>-2.8900000000000006</v>
      </c>
      <c r="L1061">
        <f t="shared" si="127"/>
        <v>-3.1700000000000017</v>
      </c>
      <c r="M1061">
        <f t="shared" si="128"/>
        <v>-1.9399999999999977</v>
      </c>
      <c r="N1061">
        <f t="shared" si="129"/>
        <v>0.17000000000000171</v>
      </c>
      <c r="O1061">
        <f t="shared" si="130"/>
        <v>0.32999999999999829</v>
      </c>
      <c r="P1061" s="10">
        <f t="shared" si="131"/>
        <v>0.12000000000000455</v>
      </c>
    </row>
    <row r="1062" spans="1:16">
      <c r="A1062">
        <v>172.83</v>
      </c>
      <c r="B1062" s="42">
        <v>41.06</v>
      </c>
      <c r="C1062">
        <v>83.17</v>
      </c>
      <c r="D1062">
        <v>82.56</v>
      </c>
      <c r="E1062">
        <v>55.23</v>
      </c>
      <c r="F1062">
        <v>112.62</v>
      </c>
      <c r="G1062">
        <v>122.9</v>
      </c>
      <c r="H1062">
        <v>99.12</v>
      </c>
      <c r="K1062" s="9">
        <f t="shared" si="126"/>
        <v>-2.0499999999999972</v>
      </c>
      <c r="L1062">
        <f t="shared" si="127"/>
        <v>-2.0499999999999972</v>
      </c>
      <c r="M1062">
        <f t="shared" si="128"/>
        <v>-1.7199999999999989</v>
      </c>
      <c r="N1062">
        <f t="shared" si="129"/>
        <v>0.5</v>
      </c>
      <c r="O1062">
        <f t="shared" si="130"/>
        <v>0.26999999999999602</v>
      </c>
      <c r="P1062" s="10">
        <f t="shared" si="131"/>
        <v>-0.67000000000000171</v>
      </c>
    </row>
    <row r="1063" spans="1:16">
      <c r="A1063">
        <v>173</v>
      </c>
      <c r="B1063" s="42">
        <v>40.51</v>
      </c>
      <c r="C1063">
        <v>81.73</v>
      </c>
      <c r="D1063">
        <v>81.17</v>
      </c>
      <c r="E1063">
        <v>54.56</v>
      </c>
      <c r="F1063">
        <v>112.95</v>
      </c>
      <c r="G1063">
        <v>122.95</v>
      </c>
      <c r="H1063">
        <v>99.06</v>
      </c>
      <c r="K1063" s="9">
        <f t="shared" si="126"/>
        <v>-1.1700000000000017</v>
      </c>
      <c r="L1063">
        <f t="shared" si="127"/>
        <v>-1.1099999999999994</v>
      </c>
      <c r="M1063">
        <f t="shared" si="128"/>
        <v>-1.3300000000000054</v>
      </c>
      <c r="N1063">
        <f t="shared" si="129"/>
        <v>0.45000000000000284</v>
      </c>
      <c r="O1063">
        <f t="shared" si="130"/>
        <v>0.28000000000000114</v>
      </c>
      <c r="P1063" s="10">
        <f t="shared" si="131"/>
        <v>-0.78000000000000114</v>
      </c>
    </row>
    <row r="1064" spans="1:16">
      <c r="A1064">
        <v>173.17</v>
      </c>
      <c r="B1064" s="42">
        <v>39.950000000000003</v>
      </c>
      <c r="C1064">
        <v>81.12</v>
      </c>
      <c r="D1064">
        <v>80.34</v>
      </c>
      <c r="E1064">
        <v>53.84</v>
      </c>
      <c r="F1064">
        <v>112.95</v>
      </c>
      <c r="G1064">
        <v>123.06</v>
      </c>
      <c r="H1064">
        <v>98.9</v>
      </c>
      <c r="K1064" s="9">
        <f t="shared" si="126"/>
        <v>-0.95000000000000284</v>
      </c>
      <c r="L1064">
        <f t="shared" si="127"/>
        <v>-0.78000000000000114</v>
      </c>
      <c r="M1064">
        <f t="shared" si="128"/>
        <v>-1.2800000000000011</v>
      </c>
      <c r="N1064">
        <f t="shared" si="129"/>
        <v>0.71999999999999886</v>
      </c>
      <c r="O1064">
        <f t="shared" si="130"/>
        <v>0.28000000000000114</v>
      </c>
      <c r="P1064" s="10">
        <f t="shared" si="131"/>
        <v>0</v>
      </c>
    </row>
    <row r="1065" spans="1:16">
      <c r="A1065">
        <v>173.33</v>
      </c>
      <c r="B1065" s="42">
        <v>39.450000000000003</v>
      </c>
      <c r="C1065">
        <v>81.12</v>
      </c>
      <c r="D1065">
        <v>80.510000000000005</v>
      </c>
      <c r="E1065">
        <v>53.51</v>
      </c>
      <c r="F1065">
        <v>113.12</v>
      </c>
      <c r="G1065">
        <v>123.17</v>
      </c>
      <c r="H1065">
        <v>98.45</v>
      </c>
      <c r="K1065" s="9">
        <f t="shared" si="126"/>
        <v>-1.5600000000000023</v>
      </c>
      <c r="L1065">
        <f t="shared" si="127"/>
        <v>-1.6099999999999994</v>
      </c>
      <c r="M1065">
        <f t="shared" si="128"/>
        <v>-1.3399999999999963</v>
      </c>
      <c r="N1065">
        <f t="shared" si="129"/>
        <v>0.65999999999999659</v>
      </c>
      <c r="O1065">
        <f t="shared" si="130"/>
        <v>0.17000000000000171</v>
      </c>
      <c r="P1065" s="10">
        <f t="shared" si="131"/>
        <v>0.67000000000000171</v>
      </c>
    </row>
    <row r="1066" spans="1:16">
      <c r="A1066">
        <v>173.5</v>
      </c>
      <c r="B1066" s="42">
        <v>39.729999999999997</v>
      </c>
      <c r="C1066">
        <v>80.56</v>
      </c>
      <c r="D1066">
        <v>80.06</v>
      </c>
      <c r="E1066">
        <v>53.23</v>
      </c>
      <c r="F1066">
        <v>113.4</v>
      </c>
      <c r="G1066">
        <v>123.23</v>
      </c>
      <c r="H1066">
        <v>98.28</v>
      </c>
      <c r="K1066" s="9">
        <f t="shared" si="126"/>
        <v>-1.7800000000000011</v>
      </c>
      <c r="L1066">
        <f t="shared" si="127"/>
        <v>-1.8900000000000006</v>
      </c>
      <c r="M1066">
        <f t="shared" si="128"/>
        <v>-1.3899999999999935</v>
      </c>
      <c r="N1066">
        <f t="shared" si="129"/>
        <v>0.37999999999999545</v>
      </c>
      <c r="O1066">
        <f t="shared" si="130"/>
        <v>0.32999999999999829</v>
      </c>
      <c r="P1066" s="10">
        <f t="shared" si="131"/>
        <v>1.3400000000000034</v>
      </c>
    </row>
    <row r="1067" spans="1:16">
      <c r="A1067">
        <v>173.67</v>
      </c>
      <c r="B1067" s="42">
        <v>39.840000000000003</v>
      </c>
      <c r="C1067">
        <v>80.17</v>
      </c>
      <c r="D1067">
        <v>79.56</v>
      </c>
      <c r="E1067">
        <v>52.56</v>
      </c>
      <c r="F1067">
        <v>113.67</v>
      </c>
      <c r="G1067">
        <v>123.34</v>
      </c>
      <c r="H1067">
        <v>98.9</v>
      </c>
      <c r="K1067" s="9">
        <f t="shared" si="126"/>
        <v>-2.1599999999999966</v>
      </c>
      <c r="L1067">
        <f t="shared" si="127"/>
        <v>-2.2199999999999989</v>
      </c>
      <c r="M1067">
        <f t="shared" si="128"/>
        <v>-0.8300000000000054</v>
      </c>
      <c r="N1067">
        <f t="shared" si="129"/>
        <v>0.23000000000000398</v>
      </c>
      <c r="O1067">
        <f t="shared" si="130"/>
        <v>0.28000000000000114</v>
      </c>
      <c r="P1067" s="10">
        <f t="shared" si="131"/>
        <v>0.76999999999999602</v>
      </c>
    </row>
    <row r="1068" spans="1:16">
      <c r="A1068">
        <v>173.83</v>
      </c>
      <c r="B1068" s="42">
        <v>39.67</v>
      </c>
      <c r="C1068">
        <v>79.56</v>
      </c>
      <c r="D1068">
        <v>78.900000000000006</v>
      </c>
      <c r="E1068">
        <v>52.17</v>
      </c>
      <c r="F1068">
        <v>113.78</v>
      </c>
      <c r="G1068">
        <v>123.34</v>
      </c>
      <c r="H1068">
        <v>99.12</v>
      </c>
      <c r="K1068" s="9">
        <f t="shared" si="126"/>
        <v>-2.3900000000000006</v>
      </c>
      <c r="L1068">
        <f t="shared" si="127"/>
        <v>-2.230000000000004</v>
      </c>
      <c r="M1068">
        <f t="shared" si="128"/>
        <v>-0.5</v>
      </c>
      <c r="N1068">
        <f t="shared" si="129"/>
        <v>0.45000000000000284</v>
      </c>
      <c r="O1068">
        <f t="shared" si="130"/>
        <v>0.32999999999999829</v>
      </c>
      <c r="P1068" s="10">
        <f t="shared" si="131"/>
        <v>0.60999999999999943</v>
      </c>
    </row>
    <row r="1069" spans="1:16">
      <c r="A1069">
        <v>174</v>
      </c>
      <c r="B1069" s="42">
        <v>39.229999999999997</v>
      </c>
      <c r="C1069">
        <v>78.78</v>
      </c>
      <c r="D1069">
        <v>78.17</v>
      </c>
      <c r="E1069">
        <v>51.84</v>
      </c>
      <c r="F1069">
        <v>113.78</v>
      </c>
      <c r="G1069">
        <v>123.56</v>
      </c>
      <c r="H1069">
        <v>99.62</v>
      </c>
      <c r="K1069" s="9">
        <f t="shared" si="126"/>
        <v>-2.8299999999999983</v>
      </c>
      <c r="L1069">
        <f t="shared" si="127"/>
        <v>-2.7199999999999989</v>
      </c>
      <c r="M1069">
        <f t="shared" si="128"/>
        <v>-0.44000000000000483</v>
      </c>
      <c r="N1069">
        <f t="shared" si="129"/>
        <v>0.39000000000000057</v>
      </c>
      <c r="O1069">
        <f t="shared" si="130"/>
        <v>0.17000000000000171</v>
      </c>
      <c r="P1069" s="10">
        <f t="shared" si="131"/>
        <v>-0.10999999999999943</v>
      </c>
    </row>
    <row r="1070" spans="1:16">
      <c r="A1070">
        <v>174.17</v>
      </c>
      <c r="B1070" s="42">
        <v>38.9</v>
      </c>
      <c r="C1070">
        <v>78.010000000000005</v>
      </c>
      <c r="D1070">
        <v>77.34</v>
      </c>
      <c r="E1070">
        <v>51.73</v>
      </c>
      <c r="F1070">
        <v>113.9</v>
      </c>
      <c r="G1070">
        <v>123.62</v>
      </c>
      <c r="H1070">
        <v>99.67</v>
      </c>
      <c r="K1070" s="9">
        <f t="shared" si="126"/>
        <v>-2.730000000000004</v>
      </c>
      <c r="L1070">
        <f t="shared" si="127"/>
        <v>-2.6099999999999994</v>
      </c>
      <c r="M1070">
        <f t="shared" si="128"/>
        <v>-0.88999999999999346</v>
      </c>
      <c r="N1070">
        <f t="shared" si="129"/>
        <v>0.32999999999999829</v>
      </c>
      <c r="O1070">
        <f t="shared" si="130"/>
        <v>0.28000000000000114</v>
      </c>
      <c r="P1070" s="10">
        <f t="shared" si="131"/>
        <v>-0.26999999999999602</v>
      </c>
    </row>
    <row r="1071" spans="1:16">
      <c r="A1071">
        <v>174.33</v>
      </c>
      <c r="B1071" s="42">
        <v>38.450000000000003</v>
      </c>
      <c r="C1071">
        <v>77.17</v>
      </c>
      <c r="D1071">
        <v>76.67</v>
      </c>
      <c r="E1071">
        <v>51.67</v>
      </c>
      <c r="F1071">
        <v>114.23</v>
      </c>
      <c r="G1071">
        <v>123.67</v>
      </c>
      <c r="H1071">
        <v>99.73</v>
      </c>
      <c r="K1071" s="9">
        <f t="shared" si="126"/>
        <v>-2.7199999999999989</v>
      </c>
      <c r="L1071">
        <f t="shared" si="127"/>
        <v>-2.9399999999999977</v>
      </c>
      <c r="M1071">
        <f t="shared" si="128"/>
        <v>-1.1099999999999994</v>
      </c>
      <c r="N1071">
        <f t="shared" si="129"/>
        <v>0.43999999999999773</v>
      </c>
      <c r="O1071">
        <f t="shared" si="130"/>
        <v>0.23000000000000398</v>
      </c>
      <c r="P1071" s="10">
        <f t="shared" si="131"/>
        <v>0</v>
      </c>
    </row>
    <row r="1072" spans="1:16">
      <c r="A1072">
        <v>174.5</v>
      </c>
      <c r="B1072" s="42">
        <v>37.840000000000003</v>
      </c>
      <c r="C1072">
        <v>75.95</v>
      </c>
      <c r="D1072">
        <v>75.45</v>
      </c>
      <c r="E1072">
        <v>51.4</v>
      </c>
      <c r="F1072">
        <v>114.17</v>
      </c>
      <c r="G1072">
        <v>123.73</v>
      </c>
      <c r="H1072">
        <v>99.51</v>
      </c>
      <c r="K1072" s="9">
        <f t="shared" si="126"/>
        <v>-2.1700000000000017</v>
      </c>
      <c r="L1072">
        <f t="shared" si="127"/>
        <v>-2.3900000000000006</v>
      </c>
      <c r="M1072">
        <f t="shared" si="128"/>
        <v>-1.2299999999999969</v>
      </c>
      <c r="N1072">
        <f t="shared" si="129"/>
        <v>0.23000000000000398</v>
      </c>
      <c r="O1072">
        <f t="shared" si="130"/>
        <v>0.17000000000000171</v>
      </c>
      <c r="P1072" s="10">
        <f t="shared" si="131"/>
        <v>0.5</v>
      </c>
    </row>
    <row r="1073" spans="1:16">
      <c r="A1073">
        <v>174.67</v>
      </c>
      <c r="B1073" s="42">
        <v>37.56</v>
      </c>
      <c r="C1073">
        <v>75.28</v>
      </c>
      <c r="D1073">
        <v>74.73</v>
      </c>
      <c r="E1073">
        <v>50.84</v>
      </c>
      <c r="F1073">
        <v>114.23</v>
      </c>
      <c r="G1073">
        <v>123.9</v>
      </c>
      <c r="H1073">
        <v>99.4</v>
      </c>
      <c r="K1073" s="9">
        <f t="shared" si="126"/>
        <v>-2.6599999999999966</v>
      </c>
      <c r="L1073">
        <f t="shared" si="127"/>
        <v>-2.6700000000000017</v>
      </c>
      <c r="M1073">
        <f t="shared" si="128"/>
        <v>-0.72000000000000597</v>
      </c>
      <c r="N1073">
        <f t="shared" si="129"/>
        <v>4.9999999999997158E-2</v>
      </c>
      <c r="O1073">
        <f t="shared" si="130"/>
        <v>0.10999999999999943</v>
      </c>
      <c r="P1073" s="10">
        <f t="shared" si="131"/>
        <v>0.76999999999999602</v>
      </c>
    </row>
    <row r="1074" spans="1:16">
      <c r="A1074">
        <v>174.83</v>
      </c>
      <c r="B1074" s="42">
        <v>37.229999999999997</v>
      </c>
      <c r="C1074">
        <v>74.45</v>
      </c>
      <c r="D1074">
        <v>73.73</v>
      </c>
      <c r="E1074">
        <v>50.56</v>
      </c>
      <c r="F1074">
        <v>114.67</v>
      </c>
      <c r="G1074">
        <v>123.9</v>
      </c>
      <c r="H1074">
        <v>99.73</v>
      </c>
      <c r="K1074" s="9">
        <f t="shared" si="126"/>
        <v>-2.8900000000000006</v>
      </c>
      <c r="L1074">
        <f t="shared" si="127"/>
        <v>-2.6099999999999994</v>
      </c>
      <c r="M1074">
        <f t="shared" si="128"/>
        <v>-0.94000000000000483</v>
      </c>
      <c r="N1074">
        <f t="shared" si="129"/>
        <v>-0.15999999999999659</v>
      </c>
      <c r="O1074">
        <f t="shared" si="130"/>
        <v>4.9999999999997158E-2</v>
      </c>
      <c r="P1074" s="10">
        <f t="shared" si="131"/>
        <v>0.89000000000000057</v>
      </c>
    </row>
    <row r="1075" spans="1:16">
      <c r="A1075">
        <v>175</v>
      </c>
      <c r="B1075" s="42">
        <v>37.119999999999997</v>
      </c>
      <c r="C1075">
        <v>73.78</v>
      </c>
      <c r="D1075">
        <v>73.06</v>
      </c>
      <c r="E1075">
        <v>50.17</v>
      </c>
      <c r="F1075">
        <v>114.4</v>
      </c>
      <c r="G1075">
        <v>123.9</v>
      </c>
      <c r="H1075">
        <v>100.01</v>
      </c>
      <c r="K1075" s="9">
        <f t="shared" si="126"/>
        <v>-2.4399999999999977</v>
      </c>
      <c r="L1075">
        <f t="shared" si="127"/>
        <v>-2.3299999999999983</v>
      </c>
      <c r="M1075">
        <f t="shared" si="128"/>
        <v>-1.0500000000000043</v>
      </c>
      <c r="N1075">
        <f t="shared" si="129"/>
        <v>0.43999999999999773</v>
      </c>
      <c r="O1075">
        <f t="shared" si="130"/>
        <v>0.26999999999999602</v>
      </c>
      <c r="P1075" s="10">
        <f t="shared" si="131"/>
        <v>0.71999999999999886</v>
      </c>
    </row>
    <row r="1076" spans="1:16">
      <c r="A1076">
        <v>175.17</v>
      </c>
      <c r="B1076" s="42">
        <v>36.9</v>
      </c>
      <c r="C1076">
        <v>72.62</v>
      </c>
      <c r="D1076">
        <v>72.06</v>
      </c>
      <c r="E1076">
        <v>50.12</v>
      </c>
      <c r="F1076">
        <v>114.28</v>
      </c>
      <c r="G1076">
        <v>124.01</v>
      </c>
      <c r="H1076">
        <v>100.17</v>
      </c>
      <c r="K1076" s="9">
        <f t="shared" si="126"/>
        <v>-1.2800000000000011</v>
      </c>
      <c r="L1076">
        <f t="shared" si="127"/>
        <v>-1.4399999999999977</v>
      </c>
      <c r="M1076">
        <f t="shared" si="128"/>
        <v>-1.2199999999999989</v>
      </c>
      <c r="N1076">
        <f t="shared" si="129"/>
        <v>0.89000000000000057</v>
      </c>
      <c r="O1076">
        <f t="shared" si="130"/>
        <v>0.26999999999999602</v>
      </c>
      <c r="P1076" s="10">
        <f t="shared" si="131"/>
        <v>0.34000000000000341</v>
      </c>
    </row>
    <row r="1077" spans="1:16">
      <c r="A1077">
        <v>175.33</v>
      </c>
      <c r="B1077" s="42">
        <v>36.619999999999997</v>
      </c>
      <c r="C1077">
        <v>71.56</v>
      </c>
      <c r="D1077">
        <v>71.12</v>
      </c>
      <c r="E1077">
        <v>49.62</v>
      </c>
      <c r="F1077">
        <v>114.51</v>
      </c>
      <c r="G1077">
        <v>123.95</v>
      </c>
      <c r="H1077">
        <v>100.62</v>
      </c>
      <c r="K1077" s="9">
        <f t="shared" si="126"/>
        <v>-0.54999999999999716</v>
      </c>
      <c r="L1077">
        <f t="shared" si="127"/>
        <v>-0.78000000000000114</v>
      </c>
      <c r="M1077">
        <f t="shared" si="128"/>
        <v>-0.83999999999999631</v>
      </c>
      <c r="N1077">
        <f t="shared" si="129"/>
        <v>0.76999999999999602</v>
      </c>
      <c r="O1077">
        <f t="shared" si="130"/>
        <v>0.39000000000000057</v>
      </c>
      <c r="P1077" s="10">
        <f t="shared" si="131"/>
        <v>-0.10999999999999943</v>
      </c>
    </row>
    <row r="1078" spans="1:16">
      <c r="A1078">
        <v>175.5</v>
      </c>
      <c r="B1078" s="42">
        <v>36.78</v>
      </c>
      <c r="C1078">
        <v>71.34</v>
      </c>
      <c r="D1078">
        <v>70.73</v>
      </c>
      <c r="E1078">
        <v>49.12</v>
      </c>
      <c r="F1078">
        <v>114.84</v>
      </c>
      <c r="G1078">
        <v>124.17</v>
      </c>
      <c r="H1078">
        <v>100.73</v>
      </c>
      <c r="K1078" s="9">
        <f t="shared" si="126"/>
        <v>-1.1700000000000017</v>
      </c>
      <c r="L1078">
        <f t="shared" si="127"/>
        <v>-1.1099999999999994</v>
      </c>
      <c r="M1078">
        <f t="shared" si="128"/>
        <v>-0.71999999999999886</v>
      </c>
      <c r="N1078">
        <f t="shared" si="129"/>
        <v>0.82999999999999829</v>
      </c>
      <c r="O1078">
        <f t="shared" si="130"/>
        <v>0.28000000000000114</v>
      </c>
      <c r="P1078" s="10">
        <f t="shared" si="131"/>
        <v>0.28000000000000114</v>
      </c>
    </row>
    <row r="1079" spans="1:16">
      <c r="A1079">
        <v>175.67</v>
      </c>
      <c r="B1079" s="42">
        <v>36.619999999999997</v>
      </c>
      <c r="C1079">
        <v>71.34</v>
      </c>
      <c r="D1079">
        <v>70.62</v>
      </c>
      <c r="E1079">
        <v>48.9</v>
      </c>
      <c r="F1079">
        <v>115.17</v>
      </c>
      <c r="G1079">
        <v>124.28</v>
      </c>
      <c r="H1079">
        <v>100.51</v>
      </c>
      <c r="K1079" s="9">
        <f t="shared" si="126"/>
        <v>-2.0600000000000023</v>
      </c>
      <c r="L1079">
        <f t="shared" si="127"/>
        <v>-1.8400000000000034</v>
      </c>
      <c r="M1079">
        <f t="shared" si="128"/>
        <v>-0.5</v>
      </c>
      <c r="N1079">
        <f t="shared" si="129"/>
        <v>0.67000000000000171</v>
      </c>
      <c r="O1079">
        <f t="shared" si="130"/>
        <v>0.34000000000000341</v>
      </c>
      <c r="P1079" s="10">
        <f t="shared" si="131"/>
        <v>0.76999999999999602</v>
      </c>
    </row>
    <row r="1080" spans="1:16">
      <c r="A1080">
        <v>175.83</v>
      </c>
      <c r="B1080" s="42">
        <v>36.340000000000003</v>
      </c>
      <c r="C1080">
        <v>71.010000000000005</v>
      </c>
      <c r="D1080">
        <v>70.34</v>
      </c>
      <c r="E1080">
        <v>48.78</v>
      </c>
      <c r="F1080">
        <v>115.28</v>
      </c>
      <c r="G1080">
        <v>124.34</v>
      </c>
      <c r="H1080">
        <v>100.51</v>
      </c>
      <c r="K1080" s="9">
        <f t="shared" si="126"/>
        <v>-2.6099999999999994</v>
      </c>
      <c r="L1080">
        <f t="shared" si="127"/>
        <v>-2.5600000000000023</v>
      </c>
      <c r="M1080">
        <f t="shared" si="128"/>
        <v>-0.5</v>
      </c>
      <c r="N1080">
        <f t="shared" si="129"/>
        <v>0.73000000000000398</v>
      </c>
      <c r="O1080">
        <f t="shared" si="130"/>
        <v>0.32999999999999829</v>
      </c>
      <c r="P1080" s="10">
        <f t="shared" si="131"/>
        <v>0.60999999999999943</v>
      </c>
    </row>
    <row r="1081" spans="1:16">
      <c r="A1081">
        <v>176</v>
      </c>
      <c r="B1081" s="42">
        <v>36.119999999999997</v>
      </c>
      <c r="C1081">
        <v>70.17</v>
      </c>
      <c r="D1081">
        <v>69.62</v>
      </c>
      <c r="E1081">
        <v>48.4</v>
      </c>
      <c r="F1081">
        <v>115.67</v>
      </c>
      <c r="G1081">
        <v>124.45</v>
      </c>
      <c r="H1081">
        <v>101.01</v>
      </c>
      <c r="K1081" s="9">
        <f t="shared" si="126"/>
        <v>-2.2199999999999989</v>
      </c>
      <c r="L1081">
        <f t="shared" si="127"/>
        <v>-2.5</v>
      </c>
      <c r="M1081">
        <f t="shared" si="128"/>
        <v>-0.39000000000000057</v>
      </c>
      <c r="N1081">
        <f t="shared" si="129"/>
        <v>0.23000000000000398</v>
      </c>
      <c r="O1081">
        <f t="shared" si="130"/>
        <v>0.21999999999999886</v>
      </c>
      <c r="P1081" s="10">
        <f t="shared" si="131"/>
        <v>-0.73000000000000398</v>
      </c>
    </row>
    <row r="1082" spans="1:16">
      <c r="A1082">
        <v>176.17</v>
      </c>
      <c r="B1082" s="42">
        <v>35.78</v>
      </c>
      <c r="C1082">
        <v>69.28</v>
      </c>
      <c r="D1082">
        <v>68.78</v>
      </c>
      <c r="E1082">
        <v>48.4</v>
      </c>
      <c r="F1082">
        <v>115.84</v>
      </c>
      <c r="G1082">
        <v>124.62</v>
      </c>
      <c r="H1082">
        <v>101.28</v>
      </c>
      <c r="K1082" s="9">
        <f t="shared" si="126"/>
        <v>-1.5</v>
      </c>
      <c r="L1082">
        <f t="shared" si="127"/>
        <v>-1.7199999999999989</v>
      </c>
      <c r="M1082">
        <f t="shared" si="128"/>
        <v>-0.83999999999999631</v>
      </c>
      <c r="N1082">
        <f t="shared" si="129"/>
        <v>0</v>
      </c>
      <c r="O1082">
        <f t="shared" si="130"/>
        <v>0.15999999999999659</v>
      </c>
      <c r="P1082" s="10">
        <f t="shared" si="131"/>
        <v>-0.93999999999999773</v>
      </c>
    </row>
    <row r="1083" spans="1:16">
      <c r="A1083">
        <v>176.33</v>
      </c>
      <c r="B1083" s="42">
        <v>35.450000000000003</v>
      </c>
      <c r="C1083">
        <v>68.400000000000006</v>
      </c>
      <c r="D1083">
        <v>67.78</v>
      </c>
      <c r="E1083">
        <v>48.28</v>
      </c>
      <c r="F1083">
        <v>116.01</v>
      </c>
      <c r="G1083">
        <v>124.67</v>
      </c>
      <c r="H1083">
        <v>101.12</v>
      </c>
      <c r="K1083" s="9">
        <f t="shared" si="126"/>
        <v>-1.4500000000000028</v>
      </c>
      <c r="L1083">
        <f t="shared" si="127"/>
        <v>-1.269999999999996</v>
      </c>
      <c r="M1083">
        <f t="shared" si="128"/>
        <v>-1.1099999999999994</v>
      </c>
      <c r="N1083">
        <f t="shared" si="129"/>
        <v>0.21999999999999886</v>
      </c>
      <c r="O1083">
        <f t="shared" si="130"/>
        <v>0.23000000000000398</v>
      </c>
      <c r="P1083" s="10">
        <f t="shared" si="131"/>
        <v>-0.34000000000000341</v>
      </c>
    </row>
    <row r="1084" spans="1:16">
      <c r="A1084">
        <v>176.5</v>
      </c>
      <c r="B1084" s="42">
        <v>35.51</v>
      </c>
      <c r="C1084">
        <v>67.95</v>
      </c>
      <c r="D1084">
        <v>67.12</v>
      </c>
      <c r="E1084">
        <v>48.01</v>
      </c>
      <c r="F1084">
        <v>115.9</v>
      </c>
      <c r="G1084">
        <v>124.67</v>
      </c>
      <c r="H1084">
        <v>100.28</v>
      </c>
      <c r="K1084" s="9">
        <f t="shared" si="126"/>
        <v>-1.5499999999999972</v>
      </c>
      <c r="L1084">
        <f t="shared" si="127"/>
        <v>-1.3400000000000034</v>
      </c>
      <c r="M1084">
        <f t="shared" si="128"/>
        <v>-0.89000000000000057</v>
      </c>
      <c r="N1084">
        <f t="shared" si="129"/>
        <v>0.54999999999999716</v>
      </c>
      <c r="O1084">
        <f t="shared" si="130"/>
        <v>0.39000000000000057</v>
      </c>
      <c r="P1084" s="10">
        <f t="shared" si="131"/>
        <v>0.73000000000000398</v>
      </c>
    </row>
    <row r="1085" spans="1:16">
      <c r="A1085">
        <v>176.67</v>
      </c>
      <c r="B1085" s="42">
        <v>35.9</v>
      </c>
      <c r="C1085">
        <v>67.78</v>
      </c>
      <c r="D1085">
        <v>67.06</v>
      </c>
      <c r="E1085">
        <v>47.56</v>
      </c>
      <c r="F1085">
        <v>115.84</v>
      </c>
      <c r="G1085">
        <v>124.78</v>
      </c>
      <c r="H1085">
        <v>100.34</v>
      </c>
      <c r="K1085" s="9">
        <f t="shared" si="126"/>
        <v>-1.9399999999999977</v>
      </c>
      <c r="L1085">
        <f t="shared" si="127"/>
        <v>-1.8299999999999983</v>
      </c>
      <c r="M1085">
        <f t="shared" si="128"/>
        <v>-0.55000000000000426</v>
      </c>
      <c r="N1085">
        <f t="shared" si="129"/>
        <v>1</v>
      </c>
      <c r="O1085">
        <f t="shared" si="130"/>
        <v>0.45000000000000284</v>
      </c>
      <c r="P1085" s="10">
        <f t="shared" si="131"/>
        <v>0.32999999999999829</v>
      </c>
    </row>
    <row r="1086" spans="1:16">
      <c r="A1086">
        <v>176.83</v>
      </c>
      <c r="B1086" s="42">
        <v>35.619999999999997</v>
      </c>
      <c r="C1086">
        <v>66.95</v>
      </c>
      <c r="D1086">
        <v>66.510000000000005</v>
      </c>
      <c r="E1086">
        <v>47.17</v>
      </c>
      <c r="F1086">
        <v>116.23</v>
      </c>
      <c r="G1086">
        <v>124.9</v>
      </c>
      <c r="H1086">
        <v>100.78</v>
      </c>
      <c r="K1086" s="9">
        <f t="shared" si="126"/>
        <v>-1.4399999999999977</v>
      </c>
      <c r="L1086">
        <f t="shared" si="127"/>
        <v>-1.6700000000000017</v>
      </c>
      <c r="M1086">
        <f t="shared" si="128"/>
        <v>-5.0000000000004263E-2</v>
      </c>
      <c r="N1086">
        <f t="shared" si="129"/>
        <v>0.5</v>
      </c>
      <c r="O1086">
        <f t="shared" si="130"/>
        <v>0.37999999999999545</v>
      </c>
      <c r="P1086" s="10">
        <f t="shared" si="131"/>
        <v>-0.26999999999999602</v>
      </c>
    </row>
    <row r="1087" spans="1:16">
      <c r="A1087">
        <v>177</v>
      </c>
      <c r="B1087" s="42">
        <v>35.450000000000003</v>
      </c>
      <c r="C1087">
        <v>66.400000000000006</v>
      </c>
      <c r="D1087">
        <v>65.78</v>
      </c>
      <c r="E1087">
        <v>47.12</v>
      </c>
      <c r="F1087">
        <v>116.45</v>
      </c>
      <c r="G1087">
        <v>125.06</v>
      </c>
      <c r="H1087">
        <v>101.01</v>
      </c>
      <c r="K1087" s="9">
        <f t="shared" si="126"/>
        <v>-1.1700000000000017</v>
      </c>
      <c r="L1087">
        <f t="shared" si="127"/>
        <v>-1.269999999999996</v>
      </c>
      <c r="M1087">
        <f t="shared" si="128"/>
        <v>5.0000000000004263E-2</v>
      </c>
      <c r="N1087">
        <f t="shared" si="129"/>
        <v>0.5</v>
      </c>
      <c r="O1087">
        <f t="shared" si="130"/>
        <v>0.39000000000000057</v>
      </c>
      <c r="P1087" s="10">
        <f t="shared" si="131"/>
        <v>-0.23000000000000398</v>
      </c>
    </row>
    <row r="1088" spans="1:16">
      <c r="A1088">
        <v>177.17</v>
      </c>
      <c r="B1088" s="42">
        <v>35.229999999999997</v>
      </c>
      <c r="C1088">
        <v>65.84</v>
      </c>
      <c r="D1088">
        <v>65.23</v>
      </c>
      <c r="E1088">
        <v>47.01</v>
      </c>
      <c r="F1088">
        <v>116.84</v>
      </c>
      <c r="G1088">
        <v>125.23</v>
      </c>
      <c r="H1088">
        <v>100.67</v>
      </c>
      <c r="K1088" s="9">
        <f t="shared" si="126"/>
        <v>-1.2800000000000011</v>
      </c>
      <c r="L1088">
        <f t="shared" si="127"/>
        <v>-1.2800000000000011</v>
      </c>
      <c r="M1088">
        <f t="shared" si="128"/>
        <v>-0.1699999999999946</v>
      </c>
      <c r="N1088">
        <f t="shared" si="129"/>
        <v>0.21999999999999886</v>
      </c>
      <c r="O1088">
        <f t="shared" si="130"/>
        <v>0.39000000000000057</v>
      </c>
      <c r="P1088" s="10">
        <f t="shared" si="131"/>
        <v>0.28000000000000114</v>
      </c>
    </row>
    <row r="1089" spans="1:16">
      <c r="A1089">
        <v>177.33</v>
      </c>
      <c r="B1089" s="42">
        <v>35.450000000000003</v>
      </c>
      <c r="C1089">
        <v>65.510000000000005</v>
      </c>
      <c r="D1089">
        <v>64.84</v>
      </c>
      <c r="E1089">
        <v>47.12</v>
      </c>
      <c r="F1089">
        <v>116.73</v>
      </c>
      <c r="G1089">
        <v>125.28</v>
      </c>
      <c r="H1089">
        <v>100.51</v>
      </c>
      <c r="K1089" s="9">
        <f t="shared" si="126"/>
        <v>-1.4500000000000028</v>
      </c>
      <c r="L1089">
        <f t="shared" si="127"/>
        <v>-1.4400000000000048</v>
      </c>
      <c r="M1089">
        <f t="shared" si="128"/>
        <v>-0.71999999999999886</v>
      </c>
      <c r="N1089">
        <f t="shared" si="129"/>
        <v>0.67000000000000171</v>
      </c>
      <c r="O1089">
        <f t="shared" si="130"/>
        <v>0.34000000000000341</v>
      </c>
      <c r="P1089" s="10">
        <f t="shared" si="131"/>
        <v>0.5</v>
      </c>
    </row>
    <row r="1090" spans="1:16">
      <c r="A1090">
        <v>177.5</v>
      </c>
      <c r="B1090" s="42">
        <v>35.619999999999997</v>
      </c>
      <c r="C1090">
        <v>65.23</v>
      </c>
      <c r="D1090">
        <v>64.510000000000005</v>
      </c>
      <c r="E1090">
        <v>47.17</v>
      </c>
      <c r="F1090">
        <v>116.95</v>
      </c>
      <c r="G1090">
        <v>125.45</v>
      </c>
      <c r="H1090">
        <v>100.78</v>
      </c>
      <c r="K1090" s="9">
        <f t="shared" si="126"/>
        <v>-1.4500000000000028</v>
      </c>
      <c r="L1090">
        <f t="shared" si="127"/>
        <v>-1.3900000000000077</v>
      </c>
      <c r="M1090">
        <f t="shared" si="128"/>
        <v>-1</v>
      </c>
      <c r="N1090">
        <f t="shared" si="129"/>
        <v>0.45000000000000284</v>
      </c>
      <c r="O1090">
        <f t="shared" si="130"/>
        <v>0.28000000000000114</v>
      </c>
      <c r="P1090" s="10">
        <f t="shared" si="131"/>
        <v>0</v>
      </c>
    </row>
    <row r="1091" spans="1:16">
      <c r="A1091">
        <v>177.67</v>
      </c>
      <c r="B1091" s="42">
        <v>35.28</v>
      </c>
      <c r="C1091">
        <v>64.56</v>
      </c>
      <c r="D1091">
        <v>63.95</v>
      </c>
      <c r="E1091">
        <v>46.84</v>
      </c>
      <c r="F1091">
        <v>117.06</v>
      </c>
      <c r="G1091">
        <v>125.62</v>
      </c>
      <c r="H1091">
        <v>100.95</v>
      </c>
      <c r="K1091" s="9">
        <f t="shared" si="126"/>
        <v>-1.2800000000000011</v>
      </c>
      <c r="L1091">
        <f t="shared" si="127"/>
        <v>-1.3900000000000006</v>
      </c>
      <c r="M1091">
        <f t="shared" si="128"/>
        <v>-0.3300000000000054</v>
      </c>
      <c r="N1091">
        <f t="shared" si="129"/>
        <v>0.67000000000000171</v>
      </c>
      <c r="O1091">
        <f t="shared" si="130"/>
        <v>0.28000000000000114</v>
      </c>
      <c r="P1091" s="10">
        <f t="shared" si="131"/>
        <v>-0.17000000000000171</v>
      </c>
    </row>
    <row r="1092" spans="1:16">
      <c r="A1092">
        <v>177.83</v>
      </c>
      <c r="B1092" s="42">
        <v>34.950000000000003</v>
      </c>
      <c r="C1092">
        <v>64.06</v>
      </c>
      <c r="D1092">
        <v>63.4</v>
      </c>
      <c r="E1092">
        <v>46.4</v>
      </c>
      <c r="F1092">
        <v>117.4</v>
      </c>
      <c r="G1092">
        <v>125.62</v>
      </c>
      <c r="H1092">
        <v>101.01</v>
      </c>
      <c r="K1092" s="9">
        <f t="shared" si="126"/>
        <v>-0.89000000000000057</v>
      </c>
      <c r="L1092">
        <f t="shared" si="127"/>
        <v>-0.94999999999999574</v>
      </c>
      <c r="M1092">
        <f t="shared" si="128"/>
        <v>5.0000000000004263E-2</v>
      </c>
      <c r="N1092">
        <f t="shared" si="129"/>
        <v>0.37999999999999545</v>
      </c>
      <c r="O1092">
        <f t="shared" si="130"/>
        <v>0.32999999999999829</v>
      </c>
      <c r="P1092" s="10">
        <f t="shared" si="131"/>
        <v>-0.10999999999999943</v>
      </c>
    </row>
    <row r="1093" spans="1:16">
      <c r="A1093">
        <v>178</v>
      </c>
      <c r="B1093" s="42">
        <v>34.78</v>
      </c>
      <c r="C1093">
        <v>63.78</v>
      </c>
      <c r="D1093">
        <v>63.12</v>
      </c>
      <c r="E1093">
        <v>46.17</v>
      </c>
      <c r="F1093">
        <v>117.4</v>
      </c>
      <c r="G1093">
        <v>125.73</v>
      </c>
      <c r="H1093">
        <v>100.78</v>
      </c>
      <c r="K1093" s="9">
        <f t="shared" si="126"/>
        <v>-0.93999999999999773</v>
      </c>
      <c r="L1093">
        <f t="shared" si="127"/>
        <v>-1</v>
      </c>
      <c r="M1093">
        <f t="shared" si="128"/>
        <v>0.33999999999999631</v>
      </c>
      <c r="N1093">
        <f t="shared" si="129"/>
        <v>0.5</v>
      </c>
      <c r="O1093">
        <f t="shared" si="130"/>
        <v>0.39000000000000057</v>
      </c>
      <c r="P1093" s="10">
        <f t="shared" si="131"/>
        <v>0.17000000000000171</v>
      </c>
    </row>
    <row r="1094" spans="1:16">
      <c r="A1094">
        <v>178.17</v>
      </c>
      <c r="B1094" s="42">
        <v>34.56</v>
      </c>
      <c r="C1094">
        <v>63.28</v>
      </c>
      <c r="D1094">
        <v>62.56</v>
      </c>
      <c r="E1094">
        <v>46.51</v>
      </c>
      <c r="F1094">
        <v>117.73</v>
      </c>
      <c r="G1094">
        <v>125.9</v>
      </c>
      <c r="H1094">
        <v>100.78</v>
      </c>
      <c r="K1094" s="9">
        <f t="shared" si="126"/>
        <v>-0.88000000000000256</v>
      </c>
      <c r="L1094">
        <f t="shared" si="127"/>
        <v>-0.71999999999999886</v>
      </c>
      <c r="M1094">
        <f t="shared" si="128"/>
        <v>-5.9999999999995168E-2</v>
      </c>
      <c r="N1094">
        <f t="shared" si="129"/>
        <v>0.5</v>
      </c>
      <c r="O1094">
        <f t="shared" si="130"/>
        <v>0.37999999999999545</v>
      </c>
      <c r="P1094" s="10">
        <f t="shared" si="131"/>
        <v>0.78000000000000114</v>
      </c>
    </row>
    <row r="1095" spans="1:16">
      <c r="A1095">
        <v>178.33</v>
      </c>
      <c r="B1095" s="42">
        <v>34.619999999999997</v>
      </c>
      <c r="C1095">
        <v>63.17</v>
      </c>
      <c r="D1095">
        <v>62.45</v>
      </c>
      <c r="E1095">
        <v>46.45</v>
      </c>
      <c r="F1095">
        <v>117.78</v>
      </c>
      <c r="G1095">
        <v>125.95</v>
      </c>
      <c r="H1095">
        <v>100.9</v>
      </c>
      <c r="K1095" s="9">
        <f t="shared" si="126"/>
        <v>-1.3299999999999983</v>
      </c>
      <c r="L1095">
        <f t="shared" si="127"/>
        <v>-1.1700000000000017</v>
      </c>
      <c r="M1095">
        <f t="shared" si="128"/>
        <v>-0.55000000000000426</v>
      </c>
      <c r="N1095">
        <f t="shared" si="129"/>
        <v>0.45000000000000284</v>
      </c>
      <c r="O1095">
        <f t="shared" si="130"/>
        <v>0.45000000000000284</v>
      </c>
      <c r="P1095" s="10">
        <f t="shared" si="131"/>
        <v>0.71999999999999886</v>
      </c>
    </row>
    <row r="1096" spans="1:16">
      <c r="A1096">
        <v>178.5</v>
      </c>
      <c r="B1096" s="42">
        <v>34.56</v>
      </c>
      <c r="C1096">
        <v>62.84</v>
      </c>
      <c r="D1096">
        <v>62.12</v>
      </c>
      <c r="E1096">
        <v>46.51</v>
      </c>
      <c r="F1096">
        <v>117.9</v>
      </c>
      <c r="G1096">
        <v>126.12</v>
      </c>
      <c r="H1096">
        <v>100.95</v>
      </c>
      <c r="K1096" s="9">
        <f t="shared" si="126"/>
        <v>-1.2800000000000011</v>
      </c>
      <c r="L1096">
        <f t="shared" si="127"/>
        <v>-1.2199999999999989</v>
      </c>
      <c r="M1096">
        <f t="shared" si="128"/>
        <v>-1</v>
      </c>
      <c r="N1096">
        <f t="shared" si="129"/>
        <v>0.26999999999999602</v>
      </c>
      <c r="O1096">
        <f t="shared" si="130"/>
        <v>0.5</v>
      </c>
      <c r="P1096" s="10">
        <f t="shared" si="131"/>
        <v>0.71999999999999886</v>
      </c>
    </row>
    <row r="1097" spans="1:16">
      <c r="A1097">
        <v>178.67</v>
      </c>
      <c r="B1097" s="42">
        <v>34.450000000000003</v>
      </c>
      <c r="C1097">
        <v>62.4</v>
      </c>
      <c r="D1097">
        <v>61.84</v>
      </c>
      <c r="E1097">
        <v>46.45</v>
      </c>
      <c r="F1097">
        <v>118.23</v>
      </c>
      <c r="G1097">
        <v>126.28</v>
      </c>
      <c r="H1097">
        <v>101.56</v>
      </c>
      <c r="K1097" s="9">
        <f t="shared" si="126"/>
        <v>-1.0599999999999952</v>
      </c>
      <c r="L1097">
        <f t="shared" si="127"/>
        <v>-1.1100000000000065</v>
      </c>
      <c r="M1097">
        <f t="shared" si="128"/>
        <v>-1.0500000000000043</v>
      </c>
      <c r="N1097">
        <f t="shared" si="129"/>
        <v>-6.0000000000002274E-2</v>
      </c>
      <c r="O1097">
        <f t="shared" si="130"/>
        <v>0.45000000000000284</v>
      </c>
      <c r="P1097" s="10">
        <f t="shared" si="131"/>
        <v>-0.10999999999999943</v>
      </c>
    </row>
    <row r="1098" spans="1:16">
      <c r="A1098">
        <v>178.83</v>
      </c>
      <c r="B1098" s="42">
        <v>34.119999999999997</v>
      </c>
      <c r="C1098">
        <v>61.84</v>
      </c>
      <c r="D1098">
        <v>61.28</v>
      </c>
      <c r="E1098">
        <v>45.9</v>
      </c>
      <c r="F1098">
        <v>118.23</v>
      </c>
      <c r="G1098">
        <v>126.4</v>
      </c>
      <c r="H1098">
        <v>101.62</v>
      </c>
      <c r="K1098" s="9">
        <f t="shared" si="126"/>
        <v>-0.72000000000000597</v>
      </c>
      <c r="L1098">
        <f t="shared" si="127"/>
        <v>-0.77000000000000313</v>
      </c>
      <c r="M1098">
        <f t="shared" si="128"/>
        <v>-0.55999999999999517</v>
      </c>
      <c r="N1098">
        <f t="shared" si="129"/>
        <v>-0.17000000000000171</v>
      </c>
      <c r="O1098">
        <f t="shared" si="130"/>
        <v>0.43999999999999773</v>
      </c>
      <c r="P1098" s="10">
        <f t="shared" si="131"/>
        <v>0</v>
      </c>
    </row>
    <row r="1099" spans="1:16">
      <c r="A1099">
        <v>179</v>
      </c>
      <c r="B1099" s="42">
        <v>33.78</v>
      </c>
      <c r="C1099">
        <v>61.56</v>
      </c>
      <c r="D1099">
        <v>60.9</v>
      </c>
      <c r="E1099">
        <v>45.51</v>
      </c>
      <c r="F1099">
        <v>118.17</v>
      </c>
      <c r="G1099">
        <v>126.62</v>
      </c>
      <c r="H1099">
        <v>101.67</v>
      </c>
      <c r="K1099" s="9">
        <f t="shared" si="126"/>
        <v>-0.60999999999999943</v>
      </c>
      <c r="L1099">
        <f t="shared" si="127"/>
        <v>-0.61999999999999744</v>
      </c>
      <c r="M1099">
        <f t="shared" si="128"/>
        <v>-0.5</v>
      </c>
      <c r="N1099">
        <f t="shared" si="129"/>
        <v>-0.26999999999999602</v>
      </c>
      <c r="O1099">
        <f t="shared" si="130"/>
        <v>0.28000000000000114</v>
      </c>
      <c r="P1099" s="10">
        <f t="shared" si="131"/>
        <v>0.28000000000000114</v>
      </c>
    </row>
    <row r="1100" spans="1:16">
      <c r="A1100">
        <v>179.17</v>
      </c>
      <c r="B1100" s="42">
        <v>33.340000000000003</v>
      </c>
      <c r="C1100">
        <v>61.34</v>
      </c>
      <c r="D1100">
        <v>60.73</v>
      </c>
      <c r="E1100">
        <v>45.4</v>
      </c>
      <c r="F1100">
        <v>118.17</v>
      </c>
      <c r="G1100">
        <v>126.73</v>
      </c>
      <c r="H1100">
        <v>101.45</v>
      </c>
      <c r="K1100" s="9">
        <f t="shared" si="126"/>
        <v>-0.67000000000000171</v>
      </c>
      <c r="L1100">
        <f t="shared" si="127"/>
        <v>-0.82999999999999829</v>
      </c>
      <c r="M1100">
        <f t="shared" si="128"/>
        <v>-0.72999999999999687</v>
      </c>
      <c r="N1100">
        <f t="shared" si="129"/>
        <v>-0.10999999999999943</v>
      </c>
      <c r="O1100">
        <f t="shared" si="130"/>
        <v>0.17000000000000171</v>
      </c>
      <c r="P1100" s="10">
        <f t="shared" si="131"/>
        <v>0.45000000000000284</v>
      </c>
    </row>
    <row r="1101" spans="1:16">
      <c r="A1101">
        <v>179.33</v>
      </c>
      <c r="B1101" s="42">
        <v>33.28</v>
      </c>
      <c r="C1101">
        <v>61.12</v>
      </c>
      <c r="D1101">
        <v>60.51</v>
      </c>
      <c r="E1101">
        <v>45.34</v>
      </c>
      <c r="F1101">
        <v>118.06</v>
      </c>
      <c r="G1101">
        <v>126.84</v>
      </c>
      <c r="H1101">
        <v>101.62</v>
      </c>
      <c r="K1101" s="9">
        <f t="shared" si="126"/>
        <v>-0.6699999999999946</v>
      </c>
      <c r="L1101">
        <f t="shared" si="127"/>
        <v>-0.72999999999999687</v>
      </c>
      <c r="M1101">
        <f t="shared" si="128"/>
        <v>-1</v>
      </c>
      <c r="N1101">
        <f t="shared" si="129"/>
        <v>0</v>
      </c>
      <c r="O1101">
        <f t="shared" si="130"/>
        <v>0.17000000000000171</v>
      </c>
      <c r="P1101" s="10">
        <f t="shared" si="131"/>
        <v>0.32999999999999829</v>
      </c>
    </row>
    <row r="1102" spans="1:16">
      <c r="A1102">
        <v>179.5</v>
      </c>
      <c r="B1102" s="42">
        <v>33.06</v>
      </c>
      <c r="C1102">
        <v>60.95</v>
      </c>
      <c r="D1102">
        <v>60.28</v>
      </c>
      <c r="E1102">
        <v>45.01</v>
      </c>
      <c r="F1102">
        <v>117.9</v>
      </c>
      <c r="G1102">
        <v>126.9</v>
      </c>
      <c r="H1102">
        <v>101.95</v>
      </c>
      <c r="K1102" s="9">
        <f t="shared" si="126"/>
        <v>-0.94000000000000483</v>
      </c>
      <c r="L1102">
        <f t="shared" si="127"/>
        <v>-0.93999999999999773</v>
      </c>
      <c r="M1102">
        <f t="shared" si="128"/>
        <v>-0.83999999999999631</v>
      </c>
      <c r="N1102">
        <f t="shared" si="129"/>
        <v>0.15999999999999659</v>
      </c>
      <c r="O1102">
        <f t="shared" si="130"/>
        <v>0.10999999999999943</v>
      </c>
      <c r="P1102" s="10">
        <f t="shared" si="131"/>
        <v>-4.9999999999997158E-2</v>
      </c>
    </row>
    <row r="1103" spans="1:16">
      <c r="A1103">
        <v>179.67</v>
      </c>
      <c r="B1103" s="42">
        <v>32.78</v>
      </c>
      <c r="C1103">
        <v>60.67</v>
      </c>
      <c r="D1103">
        <v>59.9</v>
      </c>
      <c r="E1103">
        <v>44.67</v>
      </c>
      <c r="F1103">
        <v>118.06</v>
      </c>
      <c r="G1103">
        <v>126.9</v>
      </c>
      <c r="H1103">
        <v>101.9</v>
      </c>
      <c r="K1103" s="9">
        <f t="shared" si="126"/>
        <v>-1.1600000000000037</v>
      </c>
      <c r="L1103">
        <f t="shared" si="127"/>
        <v>-0.89000000000000057</v>
      </c>
      <c r="M1103">
        <f t="shared" si="128"/>
        <v>-5.0000000000004263E-2</v>
      </c>
      <c r="N1103">
        <f t="shared" si="129"/>
        <v>-0.32999999999999829</v>
      </c>
      <c r="O1103">
        <f t="shared" si="130"/>
        <v>4.9999999999997158E-2</v>
      </c>
      <c r="P1103" s="10">
        <f t="shared" si="131"/>
        <v>-0.12000000000000455</v>
      </c>
    </row>
    <row r="1104" spans="1:16">
      <c r="A1104">
        <v>179.83</v>
      </c>
      <c r="B1104" s="42">
        <v>32.840000000000003</v>
      </c>
      <c r="C1104">
        <v>60.45</v>
      </c>
      <c r="D1104">
        <v>59.78</v>
      </c>
      <c r="E1104">
        <v>44.34</v>
      </c>
      <c r="F1104">
        <v>118.06</v>
      </c>
      <c r="G1104">
        <v>127.01</v>
      </c>
      <c r="H1104">
        <v>101.95</v>
      </c>
      <c r="K1104" s="9">
        <f t="shared" si="126"/>
        <v>-1.1099999999999994</v>
      </c>
      <c r="L1104">
        <f t="shared" si="127"/>
        <v>-0.88000000000000256</v>
      </c>
      <c r="M1104">
        <f t="shared" si="128"/>
        <v>0.38999999999999346</v>
      </c>
      <c r="N1104">
        <f t="shared" si="129"/>
        <v>-0.21999999999999886</v>
      </c>
      <c r="O1104">
        <f t="shared" si="130"/>
        <v>4.9999999999997158E-2</v>
      </c>
      <c r="P1104" s="10">
        <f t="shared" si="131"/>
        <v>0.17000000000000171</v>
      </c>
    </row>
    <row r="1105" spans="1:16">
      <c r="A1105">
        <v>180</v>
      </c>
      <c r="B1105" s="42">
        <v>32.950000000000003</v>
      </c>
      <c r="C1105">
        <v>60.01</v>
      </c>
      <c r="D1105">
        <v>59.34</v>
      </c>
      <c r="E1105">
        <v>44.17</v>
      </c>
      <c r="F1105">
        <v>118.06</v>
      </c>
      <c r="G1105">
        <v>127.01</v>
      </c>
      <c r="H1105">
        <v>101.9</v>
      </c>
      <c r="K1105" s="9">
        <f t="shared" si="126"/>
        <v>-0.83999999999999631</v>
      </c>
      <c r="L1105">
        <f t="shared" si="127"/>
        <v>-0.8300000000000054</v>
      </c>
      <c r="M1105">
        <f t="shared" si="128"/>
        <v>0.83999999999999631</v>
      </c>
      <c r="N1105">
        <f t="shared" si="129"/>
        <v>-0.15999999999999659</v>
      </c>
      <c r="O1105">
        <f t="shared" si="130"/>
        <v>0.15999999999999659</v>
      </c>
      <c r="P1105" s="10">
        <f t="shared" si="131"/>
        <v>0.21999999999999886</v>
      </c>
    </row>
    <row r="1106" spans="1:16">
      <c r="A1106">
        <v>180.17</v>
      </c>
      <c r="B1106" s="42">
        <v>33.28</v>
      </c>
      <c r="C1106">
        <v>59.51</v>
      </c>
      <c r="D1106">
        <v>59.01</v>
      </c>
      <c r="E1106">
        <v>44.62</v>
      </c>
      <c r="F1106">
        <v>117.73</v>
      </c>
      <c r="G1106">
        <v>126.95</v>
      </c>
      <c r="H1106">
        <v>101.78</v>
      </c>
      <c r="K1106" s="9">
        <f t="shared" si="126"/>
        <v>-0.33999999999999631</v>
      </c>
      <c r="L1106">
        <f t="shared" si="127"/>
        <v>-0.44999999999999574</v>
      </c>
      <c r="M1106">
        <f t="shared" si="128"/>
        <v>0.22000000000000597</v>
      </c>
      <c r="N1106">
        <f t="shared" si="129"/>
        <v>0.5</v>
      </c>
      <c r="O1106">
        <f t="shared" si="130"/>
        <v>0.21999999999999886</v>
      </c>
      <c r="P1106" s="10">
        <f t="shared" si="131"/>
        <v>0.28000000000000114</v>
      </c>
    </row>
    <row r="1107" spans="1:16">
      <c r="A1107">
        <v>180.33</v>
      </c>
      <c r="B1107" s="42">
        <v>33.340000000000003</v>
      </c>
      <c r="C1107">
        <v>59.34</v>
      </c>
      <c r="D1107">
        <v>58.9</v>
      </c>
      <c r="E1107">
        <v>44.73</v>
      </c>
      <c r="F1107">
        <v>117.84</v>
      </c>
      <c r="G1107">
        <v>127.06</v>
      </c>
      <c r="H1107">
        <v>102.12</v>
      </c>
      <c r="K1107" s="9">
        <f t="shared" si="126"/>
        <v>-0.22000000000000597</v>
      </c>
      <c r="L1107">
        <f t="shared" si="127"/>
        <v>-0.44999999999999574</v>
      </c>
      <c r="M1107">
        <f t="shared" si="128"/>
        <v>0</v>
      </c>
      <c r="N1107">
        <f t="shared" si="129"/>
        <v>0.82999999999999829</v>
      </c>
      <c r="O1107">
        <f t="shared" si="130"/>
        <v>0.17000000000000171</v>
      </c>
      <c r="P1107" s="10">
        <f t="shared" si="131"/>
        <v>-0.17000000000000171</v>
      </c>
    </row>
    <row r="1108" spans="1:16">
      <c r="A1108">
        <v>180.5</v>
      </c>
      <c r="B1108" s="42">
        <v>33.56</v>
      </c>
      <c r="C1108">
        <v>59.17</v>
      </c>
      <c r="D1108">
        <v>58.51</v>
      </c>
      <c r="E1108">
        <v>45.01</v>
      </c>
      <c r="F1108">
        <v>117.9</v>
      </c>
      <c r="G1108">
        <v>127.17</v>
      </c>
      <c r="H1108">
        <v>102.12</v>
      </c>
      <c r="K1108" s="9">
        <f t="shared" si="126"/>
        <v>-5.0000000000004263E-2</v>
      </c>
      <c r="L1108">
        <f t="shared" si="127"/>
        <v>0</v>
      </c>
      <c r="M1108">
        <f t="shared" si="128"/>
        <v>-0.55999999999999517</v>
      </c>
      <c r="N1108">
        <f t="shared" si="129"/>
        <v>1.0499999999999972</v>
      </c>
      <c r="O1108">
        <f t="shared" si="130"/>
        <v>0.10999999999999943</v>
      </c>
      <c r="P1108" s="10">
        <f t="shared" si="131"/>
        <v>0.15999999999999659</v>
      </c>
    </row>
    <row r="1109" spans="1:16">
      <c r="A1109">
        <v>180.67</v>
      </c>
      <c r="B1109" s="42">
        <v>33.950000000000003</v>
      </c>
      <c r="C1109">
        <v>59.17</v>
      </c>
      <c r="D1109">
        <v>58.56</v>
      </c>
      <c r="E1109">
        <v>44.84</v>
      </c>
      <c r="F1109">
        <v>118.23</v>
      </c>
      <c r="G1109">
        <v>127.17</v>
      </c>
      <c r="H1109">
        <v>102.06</v>
      </c>
      <c r="K1109" s="9">
        <f t="shared" si="126"/>
        <v>0</v>
      </c>
      <c r="L1109">
        <f t="shared" si="127"/>
        <v>0.1699999999999946</v>
      </c>
      <c r="M1109">
        <f t="shared" si="128"/>
        <v>-6.0000000000002274E-2</v>
      </c>
      <c r="N1109">
        <f t="shared" si="129"/>
        <v>0.89000000000000057</v>
      </c>
      <c r="O1109">
        <f t="shared" si="130"/>
        <v>0.17000000000000171</v>
      </c>
      <c r="P1109" s="10">
        <f t="shared" si="131"/>
        <v>0.39000000000000057</v>
      </c>
    </row>
    <row r="1110" spans="1:16">
      <c r="A1110">
        <v>180.83</v>
      </c>
      <c r="B1110" s="42">
        <v>33.950000000000003</v>
      </c>
      <c r="C1110">
        <v>59.12</v>
      </c>
      <c r="D1110">
        <v>58.45</v>
      </c>
      <c r="E1110">
        <v>44.73</v>
      </c>
      <c r="F1110">
        <v>118.67</v>
      </c>
      <c r="G1110">
        <v>127.23</v>
      </c>
      <c r="H1110">
        <v>101.95</v>
      </c>
      <c r="K1110" s="9">
        <f t="shared" si="126"/>
        <v>0</v>
      </c>
      <c r="L1110">
        <f t="shared" si="127"/>
        <v>5.9999999999995168E-2</v>
      </c>
      <c r="M1110">
        <f t="shared" si="128"/>
        <v>0.67000000000000171</v>
      </c>
      <c r="N1110">
        <f t="shared" si="129"/>
        <v>0.67000000000000171</v>
      </c>
      <c r="O1110">
        <f t="shared" si="130"/>
        <v>0.17000000000000171</v>
      </c>
      <c r="P1110" s="10">
        <f t="shared" si="131"/>
        <v>0.95000000000000284</v>
      </c>
    </row>
    <row r="1111" spans="1:16">
      <c r="A1111">
        <v>181</v>
      </c>
      <c r="B1111" s="42">
        <v>33.67</v>
      </c>
      <c r="C1111">
        <v>59.12</v>
      </c>
      <c r="D1111">
        <v>58.51</v>
      </c>
      <c r="E1111">
        <v>44.45</v>
      </c>
      <c r="F1111">
        <v>118.95</v>
      </c>
      <c r="G1111">
        <v>127.28</v>
      </c>
      <c r="H1111">
        <v>102.28</v>
      </c>
      <c r="K1111" s="9">
        <f t="shared" si="126"/>
        <v>0.10999999999999943</v>
      </c>
      <c r="L1111">
        <f t="shared" si="127"/>
        <v>0.10999999999999943</v>
      </c>
      <c r="M1111">
        <f t="shared" si="128"/>
        <v>1.3299999999999983</v>
      </c>
      <c r="N1111">
        <f t="shared" si="129"/>
        <v>0.56000000000000227</v>
      </c>
      <c r="O1111">
        <f t="shared" si="130"/>
        <v>0.12000000000000455</v>
      </c>
      <c r="P1111" s="10">
        <f t="shared" si="131"/>
        <v>0.73000000000000398</v>
      </c>
    </row>
    <row r="1112" spans="1:16">
      <c r="A1112">
        <v>181.17</v>
      </c>
      <c r="B1112" s="42">
        <v>34.229999999999997</v>
      </c>
      <c r="C1112">
        <v>59.17</v>
      </c>
      <c r="D1112">
        <v>58.73</v>
      </c>
      <c r="E1112">
        <v>44.78</v>
      </c>
      <c r="F1112">
        <v>119.12</v>
      </c>
      <c r="G1112">
        <v>127.34</v>
      </c>
      <c r="H1112">
        <v>102.45</v>
      </c>
      <c r="K1112" s="9">
        <f t="shared" si="126"/>
        <v>0.33999999999999631</v>
      </c>
      <c r="L1112">
        <f t="shared" si="127"/>
        <v>0.22000000000000597</v>
      </c>
      <c r="M1112">
        <f t="shared" si="128"/>
        <v>1.1199999999999974</v>
      </c>
      <c r="N1112">
        <f t="shared" si="129"/>
        <v>0.21999999999999886</v>
      </c>
      <c r="O1112">
        <f t="shared" si="130"/>
        <v>0.17000000000000171</v>
      </c>
      <c r="P1112" s="10">
        <f t="shared" si="131"/>
        <v>0.45000000000000284</v>
      </c>
    </row>
    <row r="1113" spans="1:16">
      <c r="A1113">
        <v>181.33</v>
      </c>
      <c r="B1113" s="42">
        <v>34.4</v>
      </c>
      <c r="C1113">
        <v>59.12</v>
      </c>
      <c r="D1113">
        <v>58.51</v>
      </c>
      <c r="E1113">
        <v>45.4</v>
      </c>
      <c r="F1113">
        <v>119.34</v>
      </c>
      <c r="G1113">
        <v>127.4</v>
      </c>
      <c r="H1113">
        <v>102.9</v>
      </c>
      <c r="K1113" s="9">
        <f t="shared" ref="K1113:K1176" si="132">C1116-C1113</f>
        <v>0.78000000000000114</v>
      </c>
      <c r="L1113">
        <f t="shared" ref="L1113:L1176" si="133">D1116-D1113</f>
        <v>0.8300000000000054</v>
      </c>
      <c r="M1113">
        <f t="shared" ref="M1113:M1176" si="134">E1116-E1113</f>
        <v>-0.17000000000000171</v>
      </c>
      <c r="N1113">
        <f t="shared" ref="N1113:N1176" si="135">F1116-F1113</f>
        <v>0.17000000000000171</v>
      </c>
      <c r="O1113">
        <f t="shared" ref="O1113:O1176" si="136">G1116-G1113</f>
        <v>4.9999999999997158E-2</v>
      </c>
      <c r="P1113" s="10">
        <f t="shared" ref="P1113:P1176" si="137">H1116-H1113</f>
        <v>0.10999999999999943</v>
      </c>
    </row>
    <row r="1114" spans="1:16">
      <c r="A1114">
        <v>181.5</v>
      </c>
      <c r="B1114" s="42">
        <v>35.450000000000003</v>
      </c>
      <c r="C1114">
        <v>59.23</v>
      </c>
      <c r="D1114">
        <v>58.62</v>
      </c>
      <c r="E1114">
        <v>45.78</v>
      </c>
      <c r="F1114">
        <v>119.51</v>
      </c>
      <c r="G1114">
        <v>127.4</v>
      </c>
      <c r="H1114">
        <v>103.01</v>
      </c>
      <c r="K1114" s="9">
        <f t="shared" si="132"/>
        <v>1.2800000000000011</v>
      </c>
      <c r="L1114">
        <f t="shared" si="133"/>
        <v>1.3900000000000006</v>
      </c>
      <c r="M1114">
        <f t="shared" si="134"/>
        <v>-0.38000000000000256</v>
      </c>
      <c r="N1114">
        <f t="shared" si="135"/>
        <v>0.26999999999999602</v>
      </c>
      <c r="O1114">
        <f t="shared" si="136"/>
        <v>0.15999999999999659</v>
      </c>
      <c r="P1114" s="10">
        <f t="shared" si="137"/>
        <v>0.21999999999999886</v>
      </c>
    </row>
    <row r="1115" spans="1:16">
      <c r="A1115">
        <v>181.67</v>
      </c>
      <c r="B1115" s="42">
        <v>37.06</v>
      </c>
      <c r="C1115">
        <v>59.51</v>
      </c>
      <c r="D1115">
        <v>58.95</v>
      </c>
      <c r="E1115">
        <v>45.9</v>
      </c>
      <c r="F1115">
        <v>119.34</v>
      </c>
      <c r="G1115">
        <v>127.51</v>
      </c>
      <c r="H1115">
        <v>102.9</v>
      </c>
      <c r="K1115" s="9">
        <f t="shared" si="132"/>
        <v>1.5500000000000043</v>
      </c>
      <c r="L1115">
        <f t="shared" si="133"/>
        <v>1.6699999999999946</v>
      </c>
      <c r="M1115">
        <f t="shared" si="134"/>
        <v>-0.5</v>
      </c>
      <c r="N1115">
        <f t="shared" si="135"/>
        <v>0.43999999999999773</v>
      </c>
      <c r="O1115">
        <f t="shared" si="136"/>
        <v>0</v>
      </c>
      <c r="P1115" s="10">
        <f t="shared" si="137"/>
        <v>0.71999999999999886</v>
      </c>
    </row>
    <row r="1116" spans="1:16">
      <c r="A1116">
        <v>181.83</v>
      </c>
      <c r="B1116" s="42">
        <v>37.229999999999997</v>
      </c>
      <c r="C1116">
        <v>59.9</v>
      </c>
      <c r="D1116">
        <v>59.34</v>
      </c>
      <c r="E1116">
        <v>45.23</v>
      </c>
      <c r="F1116">
        <v>119.51</v>
      </c>
      <c r="G1116">
        <v>127.45</v>
      </c>
      <c r="H1116">
        <v>103.01</v>
      </c>
      <c r="K1116" s="9">
        <f t="shared" si="132"/>
        <v>2.0500000000000043</v>
      </c>
      <c r="L1116">
        <f t="shared" si="133"/>
        <v>2.1699999999999946</v>
      </c>
      <c r="M1116">
        <f t="shared" si="134"/>
        <v>0.17000000000000171</v>
      </c>
      <c r="N1116">
        <f t="shared" si="135"/>
        <v>0.43999999999999773</v>
      </c>
      <c r="O1116">
        <f t="shared" si="136"/>
        <v>0.21999999999999886</v>
      </c>
      <c r="P1116" s="10">
        <f t="shared" si="137"/>
        <v>1.3299999999999983</v>
      </c>
    </row>
    <row r="1117" spans="1:16">
      <c r="A1117">
        <v>182</v>
      </c>
      <c r="B1117" s="42">
        <v>37.56</v>
      </c>
      <c r="C1117">
        <v>60.51</v>
      </c>
      <c r="D1117">
        <v>60.01</v>
      </c>
      <c r="E1117">
        <v>45.4</v>
      </c>
      <c r="F1117">
        <v>119.78</v>
      </c>
      <c r="G1117">
        <v>127.56</v>
      </c>
      <c r="H1117">
        <v>103.23</v>
      </c>
      <c r="K1117" s="9">
        <f t="shared" si="132"/>
        <v>1.8900000000000006</v>
      </c>
      <c r="L1117">
        <f t="shared" si="133"/>
        <v>1.8300000000000054</v>
      </c>
      <c r="M1117">
        <f t="shared" si="134"/>
        <v>-0.44999999999999574</v>
      </c>
      <c r="N1117">
        <f t="shared" si="135"/>
        <v>-0.10999999999999943</v>
      </c>
      <c r="O1117">
        <f t="shared" si="136"/>
        <v>6.0000000000002274E-2</v>
      </c>
      <c r="P1117" s="10">
        <f t="shared" si="137"/>
        <v>1.5499999999999972</v>
      </c>
    </row>
    <row r="1118" spans="1:16">
      <c r="A1118">
        <v>182.17</v>
      </c>
      <c r="B1118" s="42">
        <v>37.56</v>
      </c>
      <c r="C1118">
        <v>61.06</v>
      </c>
      <c r="D1118">
        <v>60.62</v>
      </c>
      <c r="E1118">
        <v>45.4</v>
      </c>
      <c r="F1118">
        <v>119.78</v>
      </c>
      <c r="G1118">
        <v>127.51</v>
      </c>
      <c r="H1118">
        <v>103.62</v>
      </c>
      <c r="K1118" s="9">
        <f t="shared" si="132"/>
        <v>1.9499999999999957</v>
      </c>
      <c r="L1118">
        <f t="shared" si="133"/>
        <v>1.720000000000006</v>
      </c>
      <c r="M1118">
        <f t="shared" si="134"/>
        <v>-0.78000000000000114</v>
      </c>
      <c r="N1118">
        <f t="shared" si="135"/>
        <v>6.0000000000002274E-2</v>
      </c>
      <c r="O1118">
        <f t="shared" si="136"/>
        <v>0.21999999999999886</v>
      </c>
      <c r="P1118" s="10">
        <f t="shared" si="137"/>
        <v>1.3299999999999983</v>
      </c>
    </row>
    <row r="1119" spans="1:16">
      <c r="A1119">
        <v>182.33</v>
      </c>
      <c r="B1119" s="42">
        <v>37.619999999999997</v>
      </c>
      <c r="C1119">
        <v>61.95</v>
      </c>
      <c r="D1119">
        <v>61.51</v>
      </c>
      <c r="E1119">
        <v>45.4</v>
      </c>
      <c r="F1119">
        <v>119.95</v>
      </c>
      <c r="G1119">
        <v>127.67</v>
      </c>
      <c r="H1119">
        <v>104.34</v>
      </c>
      <c r="K1119" s="9">
        <f t="shared" si="132"/>
        <v>1</v>
      </c>
      <c r="L1119">
        <f t="shared" si="133"/>
        <v>0.66000000000000369</v>
      </c>
      <c r="M1119">
        <f t="shared" si="134"/>
        <v>-1.0599999999999952</v>
      </c>
      <c r="N1119">
        <f t="shared" si="135"/>
        <v>6.0000000000002274E-2</v>
      </c>
      <c r="O1119">
        <f t="shared" si="136"/>
        <v>6.0000000000002274E-2</v>
      </c>
      <c r="P1119" s="10">
        <f t="shared" si="137"/>
        <v>-6.0000000000002274E-2</v>
      </c>
    </row>
    <row r="1120" spans="1:16">
      <c r="A1120">
        <v>182.5</v>
      </c>
      <c r="B1120" s="42">
        <v>37.56</v>
      </c>
      <c r="C1120">
        <v>62.4</v>
      </c>
      <c r="D1120">
        <v>61.84</v>
      </c>
      <c r="E1120">
        <v>44.95</v>
      </c>
      <c r="F1120">
        <v>119.67</v>
      </c>
      <c r="G1120">
        <v>127.62</v>
      </c>
      <c r="H1120">
        <v>104.78</v>
      </c>
      <c r="K1120" s="9">
        <f t="shared" si="132"/>
        <v>0.27000000000000313</v>
      </c>
      <c r="L1120">
        <f t="shared" si="133"/>
        <v>0.21999999999999886</v>
      </c>
      <c r="M1120">
        <f t="shared" si="134"/>
        <v>-0.8300000000000054</v>
      </c>
      <c r="N1120">
        <f t="shared" si="135"/>
        <v>0.60999999999999943</v>
      </c>
      <c r="O1120">
        <f t="shared" si="136"/>
        <v>0.15999999999999659</v>
      </c>
      <c r="P1120" s="10">
        <f t="shared" si="137"/>
        <v>6.0000000000002274E-2</v>
      </c>
    </row>
    <row r="1121" spans="1:16">
      <c r="A1121">
        <v>182.67</v>
      </c>
      <c r="B1121" s="42">
        <v>37.4</v>
      </c>
      <c r="C1121">
        <v>63.01</v>
      </c>
      <c r="D1121">
        <v>62.34</v>
      </c>
      <c r="E1121">
        <v>44.62</v>
      </c>
      <c r="F1121">
        <v>119.84</v>
      </c>
      <c r="G1121">
        <v>127.73</v>
      </c>
      <c r="H1121">
        <v>104.95</v>
      </c>
      <c r="K1121" s="9">
        <f t="shared" si="132"/>
        <v>-0.44999999999999574</v>
      </c>
      <c r="L1121">
        <f t="shared" si="133"/>
        <v>-0.5</v>
      </c>
      <c r="M1121">
        <f t="shared" si="134"/>
        <v>-0.6699999999999946</v>
      </c>
      <c r="N1121">
        <f t="shared" si="135"/>
        <v>0.43999999999999773</v>
      </c>
      <c r="O1121">
        <f t="shared" si="136"/>
        <v>0.17000000000000171</v>
      </c>
      <c r="P1121" s="10">
        <f t="shared" si="137"/>
        <v>0.5</v>
      </c>
    </row>
    <row r="1122" spans="1:16">
      <c r="A1122">
        <v>182.83</v>
      </c>
      <c r="B1122" s="42">
        <v>37.01</v>
      </c>
      <c r="C1122">
        <v>62.95</v>
      </c>
      <c r="D1122">
        <v>62.17</v>
      </c>
      <c r="E1122">
        <v>44.34</v>
      </c>
      <c r="F1122">
        <v>120.01</v>
      </c>
      <c r="G1122">
        <v>127.73</v>
      </c>
      <c r="H1122">
        <v>104.28</v>
      </c>
      <c r="K1122" s="9">
        <f t="shared" si="132"/>
        <v>-0.67000000000000171</v>
      </c>
      <c r="L1122">
        <f t="shared" si="133"/>
        <v>-0.44000000000000483</v>
      </c>
      <c r="M1122">
        <f t="shared" si="134"/>
        <v>-0.78000000000000114</v>
      </c>
      <c r="N1122">
        <f t="shared" si="135"/>
        <v>-0.23000000000000398</v>
      </c>
      <c r="O1122">
        <f t="shared" si="136"/>
        <v>0.10999999999999943</v>
      </c>
      <c r="P1122" s="10">
        <f t="shared" si="137"/>
        <v>1.3400000000000034</v>
      </c>
    </row>
    <row r="1123" spans="1:16">
      <c r="A1123">
        <v>183</v>
      </c>
      <c r="B1123" s="42">
        <v>36.78</v>
      </c>
      <c r="C1123">
        <v>62.67</v>
      </c>
      <c r="D1123">
        <v>62.06</v>
      </c>
      <c r="E1123">
        <v>44.12</v>
      </c>
      <c r="F1123">
        <v>120.28</v>
      </c>
      <c r="G1123">
        <v>127.78</v>
      </c>
      <c r="H1123">
        <v>104.84</v>
      </c>
      <c r="K1123" s="9">
        <f t="shared" si="132"/>
        <v>-0.27000000000000313</v>
      </c>
      <c r="L1123">
        <f t="shared" si="133"/>
        <v>-0.3300000000000054</v>
      </c>
      <c r="M1123">
        <f t="shared" si="134"/>
        <v>-0.6699999999999946</v>
      </c>
      <c r="N1123">
        <f t="shared" si="135"/>
        <v>-0.5</v>
      </c>
      <c r="O1123">
        <f t="shared" si="136"/>
        <v>6.0000000000002274E-2</v>
      </c>
      <c r="P1123" s="10">
        <f t="shared" si="137"/>
        <v>0.60999999999999943</v>
      </c>
    </row>
    <row r="1124" spans="1:16">
      <c r="A1124">
        <v>183.17</v>
      </c>
      <c r="B1124" s="42">
        <v>37.28</v>
      </c>
      <c r="C1124">
        <v>62.56</v>
      </c>
      <c r="D1124">
        <v>61.84</v>
      </c>
      <c r="E1124">
        <v>43.95</v>
      </c>
      <c r="F1124">
        <v>120.28</v>
      </c>
      <c r="G1124">
        <v>127.9</v>
      </c>
      <c r="H1124">
        <v>105.45</v>
      </c>
      <c r="K1124" s="9">
        <f t="shared" si="132"/>
        <v>-0.44000000000000483</v>
      </c>
      <c r="L1124">
        <f t="shared" si="133"/>
        <v>-0.11000000000000654</v>
      </c>
      <c r="M1124">
        <f t="shared" si="134"/>
        <v>-0.8300000000000054</v>
      </c>
      <c r="N1124">
        <f t="shared" si="135"/>
        <v>-0.65999999999999659</v>
      </c>
      <c r="O1124">
        <f t="shared" si="136"/>
        <v>4.9999999999997158E-2</v>
      </c>
      <c r="P1124" s="10">
        <f t="shared" si="137"/>
        <v>-0.17000000000000171</v>
      </c>
    </row>
    <row r="1125" spans="1:16">
      <c r="A1125">
        <v>183.33</v>
      </c>
      <c r="B1125" s="42">
        <v>37.9</v>
      </c>
      <c r="C1125">
        <v>62.28</v>
      </c>
      <c r="D1125">
        <v>61.73</v>
      </c>
      <c r="E1125">
        <v>43.56</v>
      </c>
      <c r="F1125">
        <v>119.78</v>
      </c>
      <c r="G1125">
        <v>127.84</v>
      </c>
      <c r="H1125">
        <v>105.62</v>
      </c>
      <c r="K1125" s="9">
        <f t="shared" si="132"/>
        <v>-0.38000000000000256</v>
      </c>
      <c r="L1125">
        <f t="shared" si="133"/>
        <v>-0.38999999999999346</v>
      </c>
      <c r="M1125">
        <f t="shared" si="134"/>
        <v>-0.5</v>
      </c>
      <c r="N1125">
        <f t="shared" si="135"/>
        <v>-0.37999999999999545</v>
      </c>
      <c r="O1125">
        <f t="shared" si="136"/>
        <v>6.0000000000002274E-2</v>
      </c>
      <c r="P1125" s="10">
        <f t="shared" si="137"/>
        <v>-0.95000000000000284</v>
      </c>
    </row>
    <row r="1126" spans="1:16">
      <c r="A1126">
        <v>183.5</v>
      </c>
      <c r="B1126" s="42">
        <v>37.67</v>
      </c>
      <c r="C1126">
        <v>62.4</v>
      </c>
      <c r="D1126">
        <v>61.73</v>
      </c>
      <c r="E1126">
        <v>43.45</v>
      </c>
      <c r="F1126">
        <v>119.78</v>
      </c>
      <c r="G1126">
        <v>127.84</v>
      </c>
      <c r="H1126">
        <v>105.45</v>
      </c>
      <c r="K1126" s="9">
        <f t="shared" si="132"/>
        <v>-0.33999999999999631</v>
      </c>
      <c r="L1126">
        <f t="shared" si="133"/>
        <v>-0.21999999999999886</v>
      </c>
      <c r="M1126">
        <f t="shared" si="134"/>
        <v>-0.55000000000000426</v>
      </c>
      <c r="N1126">
        <f t="shared" si="135"/>
        <v>-0.10999999999999943</v>
      </c>
      <c r="O1126">
        <f t="shared" si="136"/>
        <v>6.0000000000002274E-2</v>
      </c>
      <c r="P1126" s="10">
        <f t="shared" si="137"/>
        <v>-0.60999999999999943</v>
      </c>
    </row>
    <row r="1127" spans="1:16">
      <c r="A1127">
        <v>183.67</v>
      </c>
      <c r="B1127" s="42">
        <v>37.17</v>
      </c>
      <c r="C1127">
        <v>62.12</v>
      </c>
      <c r="D1127">
        <v>61.73</v>
      </c>
      <c r="E1127">
        <v>43.12</v>
      </c>
      <c r="F1127">
        <v>119.62</v>
      </c>
      <c r="G1127">
        <v>127.95</v>
      </c>
      <c r="H1127">
        <v>105.28</v>
      </c>
      <c r="K1127" s="9">
        <f t="shared" si="132"/>
        <v>-0.21999999999999886</v>
      </c>
      <c r="L1127">
        <f t="shared" si="133"/>
        <v>-0.44999999999999574</v>
      </c>
      <c r="M1127">
        <f t="shared" si="134"/>
        <v>-0.27999999999999403</v>
      </c>
      <c r="N1127">
        <f t="shared" si="135"/>
        <v>0.5</v>
      </c>
      <c r="O1127">
        <f t="shared" si="136"/>
        <v>0</v>
      </c>
      <c r="P1127" s="10">
        <f t="shared" si="137"/>
        <v>-0.43999999999999773</v>
      </c>
    </row>
    <row r="1128" spans="1:16">
      <c r="A1128">
        <v>183.83</v>
      </c>
      <c r="B1128" s="42">
        <v>36.729999999999997</v>
      </c>
      <c r="C1128">
        <v>61.9</v>
      </c>
      <c r="D1128">
        <v>61.34</v>
      </c>
      <c r="E1128">
        <v>43.06</v>
      </c>
      <c r="F1128">
        <v>119.4</v>
      </c>
      <c r="G1128">
        <v>127.9</v>
      </c>
      <c r="H1128">
        <v>104.67</v>
      </c>
      <c r="K1128" s="9">
        <f t="shared" si="132"/>
        <v>-0.11999999999999744</v>
      </c>
      <c r="L1128">
        <f t="shared" si="133"/>
        <v>-6.0000000000002274E-2</v>
      </c>
      <c r="M1128">
        <f t="shared" si="134"/>
        <v>-0.28000000000000114</v>
      </c>
      <c r="N1128">
        <f t="shared" si="135"/>
        <v>0.87999999999999545</v>
      </c>
      <c r="O1128">
        <f t="shared" si="136"/>
        <v>0</v>
      </c>
      <c r="P1128" s="10">
        <f t="shared" si="137"/>
        <v>0.45000000000000284</v>
      </c>
    </row>
    <row r="1129" spans="1:16">
      <c r="A1129">
        <v>184</v>
      </c>
      <c r="B1129" s="42">
        <v>36.78</v>
      </c>
      <c r="C1129">
        <v>62.06</v>
      </c>
      <c r="D1129">
        <v>61.51</v>
      </c>
      <c r="E1129">
        <v>42.9</v>
      </c>
      <c r="F1129">
        <v>119.67</v>
      </c>
      <c r="G1129">
        <v>127.9</v>
      </c>
      <c r="H1129">
        <v>104.84</v>
      </c>
      <c r="K1129" s="9">
        <f t="shared" si="132"/>
        <v>-0.10999999999999943</v>
      </c>
      <c r="L1129">
        <f t="shared" si="133"/>
        <v>-0.1699999999999946</v>
      </c>
      <c r="M1129">
        <f t="shared" si="134"/>
        <v>-0.28000000000000114</v>
      </c>
      <c r="N1129">
        <f t="shared" si="135"/>
        <v>0.60999999999999943</v>
      </c>
      <c r="O1129">
        <f t="shared" si="136"/>
        <v>4.9999999999997158E-2</v>
      </c>
      <c r="P1129" s="10">
        <f t="shared" si="137"/>
        <v>0.28000000000000114</v>
      </c>
    </row>
    <row r="1130" spans="1:16">
      <c r="A1130">
        <v>184.17</v>
      </c>
      <c r="B1130" s="42">
        <v>37.17</v>
      </c>
      <c r="C1130">
        <v>61.9</v>
      </c>
      <c r="D1130">
        <v>61.28</v>
      </c>
      <c r="E1130">
        <v>42.84</v>
      </c>
      <c r="F1130">
        <v>120.12</v>
      </c>
      <c r="G1130">
        <v>127.95</v>
      </c>
      <c r="H1130">
        <v>104.84</v>
      </c>
      <c r="K1130" s="9">
        <f t="shared" si="132"/>
        <v>0</v>
      </c>
      <c r="L1130">
        <f t="shared" si="133"/>
        <v>6.0000000000002274E-2</v>
      </c>
      <c r="M1130">
        <f t="shared" si="134"/>
        <v>-0.17000000000000171</v>
      </c>
      <c r="N1130">
        <f t="shared" si="135"/>
        <v>4.9999999999997158E-2</v>
      </c>
      <c r="O1130">
        <f t="shared" si="136"/>
        <v>0</v>
      </c>
      <c r="P1130" s="10">
        <f t="shared" si="137"/>
        <v>0.10999999999999943</v>
      </c>
    </row>
    <row r="1131" spans="1:16">
      <c r="A1131">
        <v>184.33</v>
      </c>
      <c r="B1131" s="42">
        <v>36.950000000000003</v>
      </c>
      <c r="C1131">
        <v>61.78</v>
      </c>
      <c r="D1131">
        <v>61.28</v>
      </c>
      <c r="E1131">
        <v>42.78</v>
      </c>
      <c r="F1131">
        <v>120.28</v>
      </c>
      <c r="G1131">
        <v>127.9</v>
      </c>
      <c r="H1131">
        <v>105.12</v>
      </c>
      <c r="K1131" s="9">
        <f t="shared" si="132"/>
        <v>6.0000000000002274E-2</v>
      </c>
      <c r="L1131">
        <f t="shared" si="133"/>
        <v>-0.10999999999999943</v>
      </c>
      <c r="M1131">
        <f t="shared" si="134"/>
        <v>-0.16000000000000369</v>
      </c>
      <c r="N1131">
        <f t="shared" si="135"/>
        <v>0</v>
      </c>
      <c r="O1131">
        <f t="shared" si="136"/>
        <v>0.10999999999998522</v>
      </c>
      <c r="P1131" s="10">
        <f t="shared" si="137"/>
        <v>0</v>
      </c>
    </row>
    <row r="1132" spans="1:16">
      <c r="A1132">
        <v>184.5</v>
      </c>
      <c r="B1132" s="42">
        <v>36.67</v>
      </c>
      <c r="C1132">
        <v>61.95</v>
      </c>
      <c r="D1132">
        <v>61.34</v>
      </c>
      <c r="E1132">
        <v>42.62</v>
      </c>
      <c r="F1132">
        <v>120.28</v>
      </c>
      <c r="G1132">
        <v>127.95</v>
      </c>
      <c r="H1132">
        <v>105.12</v>
      </c>
      <c r="K1132" s="9">
        <f t="shared" si="132"/>
        <v>-0.22000000000000597</v>
      </c>
      <c r="L1132">
        <f t="shared" si="133"/>
        <v>-0.22000000000000597</v>
      </c>
      <c r="M1132">
        <f t="shared" si="134"/>
        <v>-0.1699999999999946</v>
      </c>
      <c r="N1132">
        <f t="shared" si="135"/>
        <v>0</v>
      </c>
      <c r="O1132">
        <f t="shared" si="136"/>
        <v>-4.9999999999997158E-2</v>
      </c>
      <c r="P1132" s="10">
        <f t="shared" si="137"/>
        <v>0.32999999999999829</v>
      </c>
    </row>
    <row r="1133" spans="1:16">
      <c r="A1133">
        <v>184.67</v>
      </c>
      <c r="B1133" s="42">
        <v>37.17</v>
      </c>
      <c r="C1133">
        <v>61.9</v>
      </c>
      <c r="D1133">
        <v>61.34</v>
      </c>
      <c r="E1133">
        <v>42.67</v>
      </c>
      <c r="F1133">
        <v>120.17</v>
      </c>
      <c r="G1133">
        <v>127.95</v>
      </c>
      <c r="H1133">
        <v>104.95</v>
      </c>
      <c r="K1133" s="9">
        <f t="shared" si="132"/>
        <v>-0.33999999999999631</v>
      </c>
      <c r="L1133">
        <f t="shared" si="133"/>
        <v>-0.3300000000000054</v>
      </c>
      <c r="M1133">
        <f t="shared" si="134"/>
        <v>-0.44000000000000483</v>
      </c>
      <c r="N1133">
        <f t="shared" si="135"/>
        <v>0</v>
      </c>
      <c r="O1133">
        <f t="shared" si="136"/>
        <v>-4.9999999999997158E-2</v>
      </c>
      <c r="P1133" s="10">
        <f t="shared" si="137"/>
        <v>0.39000000000000057</v>
      </c>
    </row>
    <row r="1134" spans="1:16">
      <c r="A1134">
        <v>184.83</v>
      </c>
      <c r="B1134" s="42">
        <v>37.119999999999997</v>
      </c>
      <c r="C1134">
        <v>61.84</v>
      </c>
      <c r="D1134">
        <v>61.17</v>
      </c>
      <c r="E1134">
        <v>42.62</v>
      </c>
      <c r="F1134">
        <v>120.28</v>
      </c>
      <c r="G1134">
        <v>128.01</v>
      </c>
      <c r="H1134">
        <v>105.12</v>
      </c>
      <c r="K1134" s="9">
        <f t="shared" si="132"/>
        <v>-0.22000000000000597</v>
      </c>
      <c r="L1134">
        <f t="shared" si="133"/>
        <v>-5.0000000000004263E-2</v>
      </c>
      <c r="M1134">
        <f t="shared" si="134"/>
        <v>-0.27999999999999403</v>
      </c>
      <c r="N1134">
        <f t="shared" si="135"/>
        <v>-4.9999999999997158E-2</v>
      </c>
      <c r="O1134">
        <f t="shared" si="136"/>
        <v>-5.9999999999988063E-2</v>
      </c>
      <c r="P1134" s="10">
        <f t="shared" si="137"/>
        <v>0.65999999999999659</v>
      </c>
    </row>
    <row r="1135" spans="1:16">
      <c r="A1135">
        <v>185</v>
      </c>
      <c r="B1135" s="42">
        <v>37.119999999999997</v>
      </c>
      <c r="C1135">
        <v>61.73</v>
      </c>
      <c r="D1135">
        <v>61.12</v>
      </c>
      <c r="E1135">
        <v>42.45</v>
      </c>
      <c r="F1135">
        <v>120.28</v>
      </c>
      <c r="G1135">
        <v>127.9</v>
      </c>
      <c r="H1135">
        <v>105.45</v>
      </c>
      <c r="K1135" s="9">
        <f t="shared" si="132"/>
        <v>0.5</v>
      </c>
      <c r="L1135">
        <f t="shared" si="133"/>
        <v>0.72000000000000597</v>
      </c>
      <c r="M1135">
        <f t="shared" si="134"/>
        <v>-5.0000000000004263E-2</v>
      </c>
      <c r="N1135">
        <f t="shared" si="135"/>
        <v>-4.9999999999997158E-2</v>
      </c>
      <c r="O1135">
        <f t="shared" si="136"/>
        <v>4.9999999999997158E-2</v>
      </c>
      <c r="P1135" s="10">
        <f t="shared" si="137"/>
        <v>0.82999999999999829</v>
      </c>
    </row>
    <row r="1136" spans="1:16">
      <c r="A1136">
        <v>185.17</v>
      </c>
      <c r="B1136" s="42">
        <v>36.78</v>
      </c>
      <c r="C1136">
        <v>61.56</v>
      </c>
      <c r="D1136">
        <v>61.01</v>
      </c>
      <c r="E1136">
        <v>42.23</v>
      </c>
      <c r="F1136">
        <v>120.17</v>
      </c>
      <c r="G1136">
        <v>127.9</v>
      </c>
      <c r="H1136">
        <v>105.34</v>
      </c>
      <c r="K1136" s="9">
        <f t="shared" si="132"/>
        <v>0.89000000000000057</v>
      </c>
      <c r="L1136">
        <f t="shared" si="133"/>
        <v>0.94000000000000483</v>
      </c>
      <c r="M1136">
        <f t="shared" si="134"/>
        <v>5.0000000000004263E-2</v>
      </c>
      <c r="N1136">
        <f t="shared" si="135"/>
        <v>6.0000000000002274E-2</v>
      </c>
      <c r="O1136">
        <f t="shared" si="136"/>
        <v>0</v>
      </c>
      <c r="P1136" s="10">
        <f t="shared" si="137"/>
        <v>0.5</v>
      </c>
    </row>
    <row r="1137" spans="1:16">
      <c r="A1137">
        <v>185.33</v>
      </c>
      <c r="B1137" s="42">
        <v>37.56</v>
      </c>
      <c r="C1137">
        <v>61.62</v>
      </c>
      <c r="D1137">
        <v>61.12</v>
      </c>
      <c r="E1137">
        <v>42.34</v>
      </c>
      <c r="F1137">
        <v>120.23</v>
      </c>
      <c r="G1137">
        <v>127.95</v>
      </c>
      <c r="H1137">
        <v>105.78</v>
      </c>
      <c r="K1137" s="9">
        <f t="shared" si="132"/>
        <v>0.60999999999999943</v>
      </c>
      <c r="L1137">
        <f t="shared" si="133"/>
        <v>0.55000000000000426</v>
      </c>
      <c r="M1137">
        <f t="shared" si="134"/>
        <v>5.9999999999995168E-2</v>
      </c>
      <c r="N1137">
        <f t="shared" si="135"/>
        <v>-0.10999999999999943</v>
      </c>
      <c r="O1137">
        <f t="shared" si="136"/>
        <v>5.9999999999988063E-2</v>
      </c>
      <c r="P1137" s="10">
        <f t="shared" si="137"/>
        <v>0.12000000000000455</v>
      </c>
    </row>
    <row r="1138" spans="1:16">
      <c r="A1138">
        <v>185.5</v>
      </c>
      <c r="B1138" s="42">
        <v>37.9</v>
      </c>
      <c r="C1138">
        <v>62.23</v>
      </c>
      <c r="D1138">
        <v>61.84</v>
      </c>
      <c r="E1138">
        <v>42.4</v>
      </c>
      <c r="F1138">
        <v>120.23</v>
      </c>
      <c r="G1138">
        <v>127.95</v>
      </c>
      <c r="H1138">
        <v>106.28</v>
      </c>
      <c r="K1138" s="9">
        <f t="shared" si="132"/>
        <v>5.0000000000004263E-2</v>
      </c>
      <c r="L1138">
        <f t="shared" si="133"/>
        <v>-0.11000000000000654</v>
      </c>
      <c r="M1138">
        <f t="shared" si="134"/>
        <v>0.27000000000000313</v>
      </c>
      <c r="N1138">
        <f t="shared" si="135"/>
        <v>0.21999999999999886</v>
      </c>
      <c r="O1138">
        <f t="shared" si="136"/>
        <v>0.10999999999999943</v>
      </c>
      <c r="P1138" s="10">
        <f t="shared" si="137"/>
        <v>-0.10999999999999943</v>
      </c>
    </row>
    <row r="1139" spans="1:16">
      <c r="A1139">
        <v>185.67</v>
      </c>
      <c r="B1139" s="42">
        <v>37.729999999999997</v>
      </c>
      <c r="C1139">
        <v>62.45</v>
      </c>
      <c r="D1139">
        <v>61.95</v>
      </c>
      <c r="E1139">
        <v>42.28</v>
      </c>
      <c r="F1139">
        <v>120.23</v>
      </c>
      <c r="G1139">
        <v>127.9</v>
      </c>
      <c r="H1139">
        <v>105.84</v>
      </c>
      <c r="K1139" s="9">
        <f t="shared" si="132"/>
        <v>5.9999999999995168E-2</v>
      </c>
      <c r="L1139">
        <f t="shared" si="133"/>
        <v>0</v>
      </c>
      <c r="M1139">
        <f t="shared" si="134"/>
        <v>0.67000000000000171</v>
      </c>
      <c r="N1139">
        <f t="shared" si="135"/>
        <v>0.10999999999999943</v>
      </c>
      <c r="O1139">
        <f t="shared" si="136"/>
        <v>0.21999999999999886</v>
      </c>
      <c r="P1139" s="10">
        <f t="shared" si="137"/>
        <v>-6.0000000000002274E-2</v>
      </c>
    </row>
    <row r="1140" spans="1:16">
      <c r="A1140">
        <v>185.83</v>
      </c>
      <c r="B1140" s="42">
        <v>37.729999999999997</v>
      </c>
      <c r="C1140">
        <v>62.23</v>
      </c>
      <c r="D1140">
        <v>61.67</v>
      </c>
      <c r="E1140">
        <v>42.4</v>
      </c>
      <c r="F1140">
        <v>120.12</v>
      </c>
      <c r="G1140">
        <v>128.01</v>
      </c>
      <c r="H1140">
        <v>105.9</v>
      </c>
      <c r="K1140" s="9">
        <f t="shared" si="132"/>
        <v>0.3300000000000054</v>
      </c>
      <c r="L1140">
        <f t="shared" si="133"/>
        <v>0.44999999999999574</v>
      </c>
      <c r="M1140">
        <f t="shared" si="134"/>
        <v>1.1099999999999994</v>
      </c>
      <c r="N1140">
        <f t="shared" si="135"/>
        <v>0.60999999999999943</v>
      </c>
      <c r="O1140">
        <f t="shared" si="136"/>
        <v>5.0000000000011369E-2</v>
      </c>
      <c r="P1140" s="10">
        <f t="shared" si="137"/>
        <v>0.54999999999999716</v>
      </c>
    </row>
    <row r="1141" spans="1:16">
      <c r="A1141">
        <v>186</v>
      </c>
      <c r="B1141" s="42">
        <v>37.840000000000003</v>
      </c>
      <c r="C1141">
        <v>62.28</v>
      </c>
      <c r="D1141">
        <v>61.73</v>
      </c>
      <c r="E1141">
        <v>42.67</v>
      </c>
      <c r="F1141">
        <v>120.45</v>
      </c>
      <c r="G1141">
        <v>128.06</v>
      </c>
      <c r="H1141">
        <v>106.17</v>
      </c>
      <c r="K1141" s="9">
        <f t="shared" si="132"/>
        <v>0.33999999999999631</v>
      </c>
      <c r="L1141">
        <f t="shared" si="133"/>
        <v>0.39000000000000057</v>
      </c>
      <c r="M1141">
        <f t="shared" si="134"/>
        <v>1.2800000000000011</v>
      </c>
      <c r="N1141">
        <f t="shared" si="135"/>
        <v>0.39000000000000057</v>
      </c>
      <c r="O1141">
        <f t="shared" si="136"/>
        <v>0.10999999999998522</v>
      </c>
      <c r="P1141" s="10">
        <f t="shared" si="137"/>
        <v>0.73000000000000398</v>
      </c>
    </row>
    <row r="1142" spans="1:16">
      <c r="A1142">
        <v>186.17</v>
      </c>
      <c r="B1142" s="42">
        <v>38.06</v>
      </c>
      <c r="C1142">
        <v>62.51</v>
      </c>
      <c r="D1142">
        <v>61.95</v>
      </c>
      <c r="E1142">
        <v>42.95</v>
      </c>
      <c r="F1142">
        <v>120.34</v>
      </c>
      <c r="G1142">
        <v>128.12</v>
      </c>
      <c r="H1142">
        <v>105.78</v>
      </c>
      <c r="K1142" s="9">
        <f t="shared" si="132"/>
        <v>0.27000000000000313</v>
      </c>
      <c r="L1142">
        <f t="shared" si="133"/>
        <v>0.32999999999999829</v>
      </c>
      <c r="M1142">
        <f t="shared" si="134"/>
        <v>1.1099999999999994</v>
      </c>
      <c r="N1142">
        <f t="shared" si="135"/>
        <v>0.60999999999999943</v>
      </c>
      <c r="O1142">
        <f t="shared" si="136"/>
        <v>4.9999999999982947E-2</v>
      </c>
      <c r="P1142" s="10">
        <f t="shared" si="137"/>
        <v>0.95000000000000284</v>
      </c>
    </row>
    <row r="1143" spans="1:16">
      <c r="A1143">
        <v>186.33</v>
      </c>
      <c r="B1143" s="42">
        <v>38.28</v>
      </c>
      <c r="C1143">
        <v>62.56</v>
      </c>
      <c r="D1143">
        <v>62.12</v>
      </c>
      <c r="E1143">
        <v>43.51</v>
      </c>
      <c r="F1143">
        <v>120.73</v>
      </c>
      <c r="G1143">
        <v>128.06</v>
      </c>
      <c r="H1143">
        <v>106.45</v>
      </c>
      <c r="K1143" s="9">
        <f t="shared" si="132"/>
        <v>0.60999999999999943</v>
      </c>
      <c r="L1143">
        <f t="shared" si="133"/>
        <v>0.39000000000000057</v>
      </c>
      <c r="M1143">
        <f t="shared" si="134"/>
        <v>0.66000000000000369</v>
      </c>
      <c r="N1143">
        <f t="shared" si="135"/>
        <v>0.10999999999999943</v>
      </c>
      <c r="O1143">
        <f t="shared" si="136"/>
        <v>0.34000000000000341</v>
      </c>
      <c r="P1143" s="10">
        <f t="shared" si="137"/>
        <v>0.89000000000000057</v>
      </c>
    </row>
    <row r="1144" spans="1:16">
      <c r="A1144">
        <v>186.5</v>
      </c>
      <c r="B1144" s="42">
        <v>38.340000000000003</v>
      </c>
      <c r="C1144">
        <v>62.62</v>
      </c>
      <c r="D1144">
        <v>62.12</v>
      </c>
      <c r="E1144">
        <v>43.95</v>
      </c>
      <c r="F1144">
        <v>120.84</v>
      </c>
      <c r="G1144">
        <v>128.16999999999999</v>
      </c>
      <c r="H1144">
        <v>106.9</v>
      </c>
      <c r="K1144" s="9">
        <f t="shared" si="132"/>
        <v>0.72000000000000597</v>
      </c>
      <c r="L1144">
        <f t="shared" si="133"/>
        <v>0.66000000000000369</v>
      </c>
      <c r="M1144">
        <f t="shared" si="134"/>
        <v>0.32999999999999829</v>
      </c>
      <c r="N1144">
        <f t="shared" si="135"/>
        <v>0.28000000000000114</v>
      </c>
      <c r="O1144">
        <f t="shared" si="136"/>
        <v>0.23000000000001819</v>
      </c>
      <c r="P1144" s="10">
        <f t="shared" si="137"/>
        <v>-6.0000000000002274E-2</v>
      </c>
    </row>
    <row r="1145" spans="1:16">
      <c r="A1145">
        <v>186.67</v>
      </c>
      <c r="B1145" s="42">
        <v>38.51</v>
      </c>
      <c r="C1145">
        <v>62.78</v>
      </c>
      <c r="D1145">
        <v>62.28</v>
      </c>
      <c r="E1145">
        <v>44.06</v>
      </c>
      <c r="F1145">
        <v>120.95</v>
      </c>
      <c r="G1145">
        <v>128.16999999999999</v>
      </c>
      <c r="H1145">
        <v>106.73</v>
      </c>
      <c r="K1145" s="9">
        <f t="shared" si="132"/>
        <v>0.28000000000000114</v>
      </c>
      <c r="L1145">
        <f t="shared" si="133"/>
        <v>0.17000000000000171</v>
      </c>
      <c r="M1145">
        <f t="shared" si="134"/>
        <v>0.33999999999999631</v>
      </c>
      <c r="N1145">
        <f t="shared" si="135"/>
        <v>6.0000000000002274E-2</v>
      </c>
      <c r="O1145">
        <f t="shared" si="136"/>
        <v>0.34000000000000341</v>
      </c>
      <c r="P1145" s="10">
        <f t="shared" si="137"/>
        <v>0.60999999999999943</v>
      </c>
    </row>
    <row r="1146" spans="1:16">
      <c r="A1146">
        <v>186.83</v>
      </c>
      <c r="B1146" s="42">
        <v>38.340000000000003</v>
      </c>
      <c r="C1146">
        <v>63.17</v>
      </c>
      <c r="D1146">
        <v>62.51</v>
      </c>
      <c r="E1146">
        <v>44.17</v>
      </c>
      <c r="F1146">
        <v>120.84</v>
      </c>
      <c r="G1146">
        <v>128.4</v>
      </c>
      <c r="H1146">
        <v>107.34</v>
      </c>
      <c r="K1146" s="9">
        <f t="shared" si="132"/>
        <v>-0.16000000000000369</v>
      </c>
      <c r="L1146">
        <f t="shared" si="133"/>
        <v>-0.10999999999999943</v>
      </c>
      <c r="M1146">
        <f t="shared" si="134"/>
        <v>0.55999999999999517</v>
      </c>
      <c r="N1146">
        <f t="shared" si="135"/>
        <v>0.32999999999999829</v>
      </c>
      <c r="O1146">
        <f t="shared" si="136"/>
        <v>0.26999999999998181</v>
      </c>
      <c r="P1146" s="10">
        <f t="shared" si="137"/>
        <v>-0.32999999999999829</v>
      </c>
    </row>
    <row r="1147" spans="1:16">
      <c r="A1147">
        <v>187</v>
      </c>
      <c r="B1147" s="42">
        <v>38.9</v>
      </c>
      <c r="C1147">
        <v>63.34</v>
      </c>
      <c r="D1147">
        <v>62.78</v>
      </c>
      <c r="E1147">
        <v>44.28</v>
      </c>
      <c r="F1147">
        <v>121.12</v>
      </c>
      <c r="G1147">
        <v>128.4</v>
      </c>
      <c r="H1147">
        <v>106.84</v>
      </c>
      <c r="K1147" s="9">
        <f t="shared" si="132"/>
        <v>-0.61000000000000654</v>
      </c>
      <c r="L1147">
        <f t="shared" si="133"/>
        <v>-0.66000000000000369</v>
      </c>
      <c r="M1147">
        <f t="shared" si="134"/>
        <v>0.89000000000000057</v>
      </c>
      <c r="N1147">
        <f t="shared" si="135"/>
        <v>-0.10999999999999943</v>
      </c>
      <c r="O1147">
        <f t="shared" si="136"/>
        <v>0.32999999999998408</v>
      </c>
      <c r="P1147" s="10">
        <f t="shared" si="137"/>
        <v>0.28000000000000114</v>
      </c>
    </row>
    <row r="1148" spans="1:16">
      <c r="A1148">
        <v>187.17</v>
      </c>
      <c r="B1148" s="42">
        <v>38.950000000000003</v>
      </c>
      <c r="C1148">
        <v>63.06</v>
      </c>
      <c r="D1148">
        <v>62.45</v>
      </c>
      <c r="E1148">
        <v>44.4</v>
      </c>
      <c r="F1148">
        <v>121.01</v>
      </c>
      <c r="G1148">
        <v>128.51</v>
      </c>
      <c r="H1148">
        <v>107.34</v>
      </c>
      <c r="K1148" s="9">
        <f t="shared" si="132"/>
        <v>-0.60999999999999943</v>
      </c>
      <c r="L1148">
        <f t="shared" si="133"/>
        <v>-0.55000000000000426</v>
      </c>
      <c r="M1148">
        <f t="shared" si="134"/>
        <v>1</v>
      </c>
      <c r="N1148">
        <f t="shared" si="135"/>
        <v>-6.0000000000002274E-2</v>
      </c>
      <c r="O1148">
        <f t="shared" si="136"/>
        <v>0.21999999999999886</v>
      </c>
      <c r="P1148" s="10">
        <f t="shared" si="137"/>
        <v>-0.39000000000000057</v>
      </c>
    </row>
    <row r="1149" spans="1:16">
      <c r="A1149">
        <v>187.33</v>
      </c>
      <c r="B1149" s="42">
        <v>39.06</v>
      </c>
      <c r="C1149">
        <v>63.01</v>
      </c>
      <c r="D1149">
        <v>62.4</v>
      </c>
      <c r="E1149">
        <v>44.73</v>
      </c>
      <c r="F1149">
        <v>121.17</v>
      </c>
      <c r="G1149">
        <v>128.66999999999999</v>
      </c>
      <c r="H1149">
        <v>107.01</v>
      </c>
      <c r="K1149" s="9">
        <f t="shared" si="132"/>
        <v>-0.33999999999999631</v>
      </c>
      <c r="L1149">
        <f t="shared" si="133"/>
        <v>-0.33999999999999631</v>
      </c>
      <c r="M1149">
        <f t="shared" si="134"/>
        <v>0.89000000000000057</v>
      </c>
      <c r="N1149">
        <f t="shared" si="135"/>
        <v>-0.21999999999999886</v>
      </c>
      <c r="O1149">
        <f t="shared" si="136"/>
        <v>0</v>
      </c>
      <c r="P1149" s="10">
        <f t="shared" si="137"/>
        <v>0</v>
      </c>
    </row>
    <row r="1150" spans="1:16">
      <c r="A1150">
        <v>187.5</v>
      </c>
      <c r="B1150" s="42">
        <v>39.06</v>
      </c>
      <c r="C1150">
        <v>62.73</v>
      </c>
      <c r="D1150">
        <v>62.12</v>
      </c>
      <c r="E1150">
        <v>45.17</v>
      </c>
      <c r="F1150">
        <v>121.01</v>
      </c>
      <c r="G1150">
        <v>128.72999999999999</v>
      </c>
      <c r="H1150">
        <v>107.12</v>
      </c>
      <c r="K1150" s="9">
        <f t="shared" si="132"/>
        <v>0.22000000000000597</v>
      </c>
      <c r="L1150">
        <f t="shared" si="133"/>
        <v>0.22000000000000597</v>
      </c>
      <c r="M1150">
        <f t="shared" si="134"/>
        <v>0.67000000000000171</v>
      </c>
      <c r="N1150">
        <f t="shared" si="135"/>
        <v>4.9999999999997158E-2</v>
      </c>
      <c r="O1150">
        <f t="shared" si="136"/>
        <v>-6.0000000000002274E-2</v>
      </c>
      <c r="P1150" s="10">
        <f t="shared" si="137"/>
        <v>-0.78000000000000114</v>
      </c>
    </row>
    <row r="1151" spans="1:16">
      <c r="A1151">
        <v>187.67</v>
      </c>
      <c r="B1151" s="42">
        <v>38.67</v>
      </c>
      <c r="C1151">
        <v>62.45</v>
      </c>
      <c r="D1151">
        <v>61.9</v>
      </c>
      <c r="E1151">
        <v>45.4</v>
      </c>
      <c r="F1151">
        <v>120.95</v>
      </c>
      <c r="G1151">
        <v>128.72999999999999</v>
      </c>
      <c r="H1151">
        <v>106.95</v>
      </c>
      <c r="K1151" s="9">
        <f t="shared" si="132"/>
        <v>0.77999999999999403</v>
      </c>
      <c r="L1151">
        <f t="shared" si="133"/>
        <v>0.77000000000000313</v>
      </c>
      <c r="M1151">
        <f t="shared" si="134"/>
        <v>-0.22999999999999687</v>
      </c>
      <c r="N1151">
        <f t="shared" si="135"/>
        <v>0</v>
      </c>
      <c r="O1151">
        <f t="shared" si="136"/>
        <v>0</v>
      </c>
      <c r="P1151" s="10">
        <f t="shared" si="137"/>
        <v>-0.21999999999999886</v>
      </c>
    </row>
    <row r="1152" spans="1:16">
      <c r="A1152">
        <v>187.83</v>
      </c>
      <c r="B1152" s="42">
        <v>38.01</v>
      </c>
      <c r="C1152">
        <v>62.67</v>
      </c>
      <c r="D1152">
        <v>62.06</v>
      </c>
      <c r="E1152">
        <v>45.62</v>
      </c>
      <c r="F1152">
        <v>120.95</v>
      </c>
      <c r="G1152">
        <v>128.66999999999999</v>
      </c>
      <c r="H1152">
        <v>107.01</v>
      </c>
      <c r="K1152" s="9">
        <f t="shared" si="132"/>
        <v>-0.21999999999999886</v>
      </c>
      <c r="L1152">
        <f t="shared" si="133"/>
        <v>5.9999999999995168E-2</v>
      </c>
      <c r="M1152">
        <f t="shared" si="134"/>
        <v>-1.1099999999999994</v>
      </c>
      <c r="N1152">
        <f t="shared" si="135"/>
        <v>-0.10999999999999943</v>
      </c>
      <c r="O1152">
        <f t="shared" si="136"/>
        <v>0</v>
      </c>
      <c r="P1152" s="10">
        <f t="shared" si="137"/>
        <v>-0.10999999999999943</v>
      </c>
    </row>
    <row r="1153" spans="1:16">
      <c r="A1153">
        <v>188</v>
      </c>
      <c r="B1153" s="42">
        <v>37.619999999999997</v>
      </c>
      <c r="C1153">
        <v>62.95</v>
      </c>
      <c r="D1153">
        <v>62.34</v>
      </c>
      <c r="E1153">
        <v>45.84</v>
      </c>
      <c r="F1153">
        <v>121.06</v>
      </c>
      <c r="G1153">
        <v>128.66999999999999</v>
      </c>
      <c r="H1153">
        <v>106.34</v>
      </c>
      <c r="K1153" s="9">
        <f t="shared" si="132"/>
        <v>-1.2800000000000011</v>
      </c>
      <c r="L1153">
        <f t="shared" si="133"/>
        <v>-1.1700000000000017</v>
      </c>
      <c r="M1153">
        <f t="shared" si="134"/>
        <v>-1.4400000000000048</v>
      </c>
      <c r="N1153">
        <f t="shared" si="135"/>
        <v>-0.21999999999999886</v>
      </c>
      <c r="O1153">
        <f t="shared" si="136"/>
        <v>-4.9999999999982947E-2</v>
      </c>
      <c r="P1153" s="10">
        <f t="shared" si="137"/>
        <v>0.5</v>
      </c>
    </row>
    <row r="1154" spans="1:16">
      <c r="A1154">
        <v>188.17</v>
      </c>
      <c r="B1154" s="42">
        <v>37.28</v>
      </c>
      <c r="C1154">
        <v>63.23</v>
      </c>
      <c r="D1154">
        <v>62.67</v>
      </c>
      <c r="E1154">
        <v>45.17</v>
      </c>
      <c r="F1154">
        <v>120.95</v>
      </c>
      <c r="G1154">
        <v>128.72999999999999</v>
      </c>
      <c r="H1154">
        <v>106.73</v>
      </c>
      <c r="K1154" s="9">
        <f t="shared" si="132"/>
        <v>-2.5</v>
      </c>
      <c r="L1154">
        <f t="shared" si="133"/>
        <v>-2.3900000000000006</v>
      </c>
      <c r="M1154">
        <f t="shared" si="134"/>
        <v>-1.1600000000000037</v>
      </c>
      <c r="N1154">
        <f t="shared" si="135"/>
        <v>0.10999999999999943</v>
      </c>
      <c r="O1154">
        <f t="shared" si="136"/>
        <v>-6.0000000000002274E-2</v>
      </c>
      <c r="P1154" s="10">
        <f t="shared" si="137"/>
        <v>0.93999999999999773</v>
      </c>
    </row>
    <row r="1155" spans="1:16">
      <c r="A1155">
        <v>188.33</v>
      </c>
      <c r="B1155" s="42">
        <v>36.78</v>
      </c>
      <c r="C1155">
        <v>62.45</v>
      </c>
      <c r="D1155">
        <v>62.12</v>
      </c>
      <c r="E1155">
        <v>44.51</v>
      </c>
      <c r="F1155">
        <v>120.84</v>
      </c>
      <c r="G1155">
        <v>128.66999999999999</v>
      </c>
      <c r="H1155">
        <v>106.9</v>
      </c>
      <c r="K1155" s="9">
        <f t="shared" si="132"/>
        <v>-2.3900000000000006</v>
      </c>
      <c r="L1155">
        <f t="shared" si="133"/>
        <v>-2.6099999999999994</v>
      </c>
      <c r="M1155">
        <f t="shared" si="134"/>
        <v>-0.83999999999999631</v>
      </c>
      <c r="N1155">
        <f t="shared" si="135"/>
        <v>0.17000000000000171</v>
      </c>
      <c r="O1155">
        <f t="shared" si="136"/>
        <v>6.0000000000002274E-2</v>
      </c>
      <c r="P1155" s="10">
        <f t="shared" si="137"/>
        <v>0.76999999999999602</v>
      </c>
    </row>
    <row r="1156" spans="1:16">
      <c r="A1156">
        <v>188.5</v>
      </c>
      <c r="B1156" s="42">
        <v>36.4</v>
      </c>
      <c r="C1156">
        <v>61.67</v>
      </c>
      <c r="D1156">
        <v>61.17</v>
      </c>
      <c r="E1156">
        <v>44.4</v>
      </c>
      <c r="F1156">
        <v>120.84</v>
      </c>
      <c r="G1156">
        <v>128.62</v>
      </c>
      <c r="H1156">
        <v>106.84</v>
      </c>
      <c r="K1156" s="9">
        <f t="shared" si="132"/>
        <v>-2.1099999999999994</v>
      </c>
      <c r="L1156">
        <f t="shared" si="133"/>
        <v>-2.2199999999999989</v>
      </c>
      <c r="M1156">
        <f t="shared" si="134"/>
        <v>-1</v>
      </c>
      <c r="N1156">
        <f t="shared" si="135"/>
        <v>-0.32999999999999829</v>
      </c>
      <c r="O1156">
        <f t="shared" si="136"/>
        <v>0.10999999999998522</v>
      </c>
      <c r="P1156" s="10">
        <f t="shared" si="137"/>
        <v>0.93999999999999773</v>
      </c>
    </row>
    <row r="1157" spans="1:16">
      <c r="A1157">
        <v>188.67</v>
      </c>
      <c r="B1157" s="42">
        <v>36.06</v>
      </c>
      <c r="C1157">
        <v>60.73</v>
      </c>
      <c r="D1157">
        <v>60.28</v>
      </c>
      <c r="E1157">
        <v>44.01</v>
      </c>
      <c r="F1157">
        <v>121.06</v>
      </c>
      <c r="G1157">
        <v>128.66999999999999</v>
      </c>
      <c r="H1157">
        <v>107.67</v>
      </c>
      <c r="K1157" s="9">
        <f t="shared" si="132"/>
        <v>-1.3899999999999935</v>
      </c>
      <c r="L1157">
        <f t="shared" si="133"/>
        <v>-1.6600000000000037</v>
      </c>
      <c r="M1157">
        <f t="shared" si="134"/>
        <v>-0.72999999999999687</v>
      </c>
      <c r="N1157">
        <f t="shared" si="135"/>
        <v>-0.60999999999999943</v>
      </c>
      <c r="O1157">
        <f t="shared" si="136"/>
        <v>0.17000000000001592</v>
      </c>
      <c r="P1157" s="10">
        <f t="shared" si="137"/>
        <v>-0.15999999999999659</v>
      </c>
    </row>
    <row r="1158" spans="1:16">
      <c r="A1158">
        <v>188.83</v>
      </c>
      <c r="B1158" s="42">
        <v>35.56</v>
      </c>
      <c r="C1158">
        <v>60.06</v>
      </c>
      <c r="D1158">
        <v>59.51</v>
      </c>
      <c r="E1158">
        <v>43.67</v>
      </c>
      <c r="F1158">
        <v>121.01</v>
      </c>
      <c r="G1158">
        <v>128.72999999999999</v>
      </c>
      <c r="H1158">
        <v>107.67</v>
      </c>
      <c r="K1158" s="9">
        <f t="shared" si="132"/>
        <v>-0.94000000000000483</v>
      </c>
      <c r="L1158">
        <f t="shared" si="133"/>
        <v>-1</v>
      </c>
      <c r="M1158">
        <f t="shared" si="134"/>
        <v>-0.60999999999999943</v>
      </c>
      <c r="N1158">
        <f t="shared" si="135"/>
        <v>-0.5</v>
      </c>
      <c r="O1158">
        <f t="shared" si="136"/>
        <v>0.17000000000001592</v>
      </c>
      <c r="P1158" s="10">
        <f t="shared" si="137"/>
        <v>-0.65999999999999659</v>
      </c>
    </row>
    <row r="1159" spans="1:16">
      <c r="A1159">
        <v>189</v>
      </c>
      <c r="B1159" s="42">
        <v>35.17</v>
      </c>
      <c r="C1159">
        <v>59.56</v>
      </c>
      <c r="D1159">
        <v>58.95</v>
      </c>
      <c r="E1159">
        <v>43.4</v>
      </c>
      <c r="F1159">
        <v>120.51</v>
      </c>
      <c r="G1159">
        <v>128.72999999999999</v>
      </c>
      <c r="H1159">
        <v>107.78</v>
      </c>
      <c r="K1159" s="9">
        <f t="shared" si="132"/>
        <v>-0.8300000000000054</v>
      </c>
      <c r="L1159">
        <f t="shared" si="133"/>
        <v>-0.78000000000000114</v>
      </c>
      <c r="M1159">
        <f t="shared" si="134"/>
        <v>-0.33999999999999631</v>
      </c>
      <c r="N1159">
        <f t="shared" si="135"/>
        <v>0.21999999999999886</v>
      </c>
      <c r="O1159">
        <f t="shared" si="136"/>
        <v>0.28000000000000114</v>
      </c>
      <c r="P1159" s="10">
        <f t="shared" si="137"/>
        <v>-1.0499999999999972</v>
      </c>
    </row>
    <row r="1160" spans="1:16">
      <c r="A1160">
        <v>189.17</v>
      </c>
      <c r="B1160" s="42">
        <v>34.9</v>
      </c>
      <c r="C1160">
        <v>59.34</v>
      </c>
      <c r="D1160">
        <v>58.62</v>
      </c>
      <c r="E1160">
        <v>43.28</v>
      </c>
      <c r="F1160">
        <v>120.45</v>
      </c>
      <c r="G1160">
        <v>128.84</v>
      </c>
      <c r="H1160">
        <v>107.51</v>
      </c>
      <c r="K1160" s="9">
        <f t="shared" si="132"/>
        <v>-1.1700000000000017</v>
      </c>
      <c r="L1160">
        <f t="shared" si="133"/>
        <v>-1</v>
      </c>
      <c r="M1160">
        <f t="shared" si="134"/>
        <v>-0.43999999999999773</v>
      </c>
      <c r="N1160">
        <f t="shared" si="135"/>
        <v>0.45000000000000284</v>
      </c>
      <c r="O1160">
        <f t="shared" si="136"/>
        <v>0.21999999999999886</v>
      </c>
      <c r="P1160" s="10">
        <f t="shared" si="137"/>
        <v>-0.84000000000000341</v>
      </c>
    </row>
    <row r="1161" spans="1:16">
      <c r="A1161">
        <v>189.33</v>
      </c>
      <c r="B1161" s="42">
        <v>34.729999999999997</v>
      </c>
      <c r="C1161">
        <v>59.12</v>
      </c>
      <c r="D1161">
        <v>58.51</v>
      </c>
      <c r="E1161">
        <v>43.06</v>
      </c>
      <c r="F1161">
        <v>120.51</v>
      </c>
      <c r="G1161">
        <v>128.9</v>
      </c>
      <c r="H1161">
        <v>107.01</v>
      </c>
      <c r="K1161" s="9">
        <f t="shared" si="132"/>
        <v>-1.279999999999994</v>
      </c>
      <c r="L1161">
        <f t="shared" si="133"/>
        <v>-1.2299999999999969</v>
      </c>
      <c r="M1161">
        <f t="shared" si="134"/>
        <v>-0.21999999999999886</v>
      </c>
      <c r="N1161">
        <f t="shared" si="135"/>
        <v>0.26999999999999602</v>
      </c>
      <c r="O1161">
        <f t="shared" si="136"/>
        <v>0.15999999999999659</v>
      </c>
      <c r="P1161" s="10">
        <f t="shared" si="137"/>
        <v>0</v>
      </c>
    </row>
    <row r="1162" spans="1:16">
      <c r="A1162">
        <v>189.5</v>
      </c>
      <c r="B1162" s="42">
        <v>34.729999999999997</v>
      </c>
      <c r="C1162">
        <v>58.73</v>
      </c>
      <c r="D1162">
        <v>58.17</v>
      </c>
      <c r="E1162">
        <v>43.06</v>
      </c>
      <c r="F1162">
        <v>120.73</v>
      </c>
      <c r="G1162">
        <v>129.01</v>
      </c>
      <c r="H1162">
        <v>106.73</v>
      </c>
      <c r="K1162" s="9">
        <f t="shared" si="132"/>
        <v>-1.1099999999999994</v>
      </c>
      <c r="L1162">
        <f t="shared" si="133"/>
        <v>-1.1600000000000037</v>
      </c>
      <c r="M1162">
        <f t="shared" si="134"/>
        <v>-0.39000000000000057</v>
      </c>
      <c r="N1162">
        <f t="shared" si="135"/>
        <v>0.17000000000000171</v>
      </c>
      <c r="O1162">
        <f t="shared" si="136"/>
        <v>5.0000000000011369E-2</v>
      </c>
      <c r="P1162" s="10">
        <f t="shared" si="137"/>
        <v>0.32999999999999829</v>
      </c>
    </row>
    <row r="1163" spans="1:16">
      <c r="A1163">
        <v>189.67</v>
      </c>
      <c r="B1163" s="42">
        <v>34.4</v>
      </c>
      <c r="C1163">
        <v>58.17</v>
      </c>
      <c r="D1163">
        <v>57.62</v>
      </c>
      <c r="E1163">
        <v>42.84</v>
      </c>
      <c r="F1163">
        <v>120.9</v>
      </c>
      <c r="G1163">
        <v>129.06</v>
      </c>
      <c r="H1163">
        <v>106.67</v>
      </c>
      <c r="K1163" s="9">
        <f t="shared" si="132"/>
        <v>-0.82999999999999829</v>
      </c>
      <c r="L1163">
        <f t="shared" si="133"/>
        <v>-0.89000000000000057</v>
      </c>
      <c r="M1163">
        <f t="shared" si="134"/>
        <v>-0.5</v>
      </c>
      <c r="N1163">
        <f t="shared" si="135"/>
        <v>-0.23000000000000398</v>
      </c>
      <c r="O1163">
        <f t="shared" si="136"/>
        <v>0</v>
      </c>
      <c r="P1163" s="10">
        <f t="shared" si="137"/>
        <v>-0.43999999999999773</v>
      </c>
    </row>
    <row r="1164" spans="1:16">
      <c r="A1164">
        <v>189.83</v>
      </c>
      <c r="B1164" s="42">
        <v>34.340000000000003</v>
      </c>
      <c r="C1164">
        <v>57.84</v>
      </c>
      <c r="D1164">
        <v>57.28</v>
      </c>
      <c r="E1164">
        <v>42.84</v>
      </c>
      <c r="F1164">
        <v>120.78</v>
      </c>
      <c r="G1164">
        <v>129.06</v>
      </c>
      <c r="H1164">
        <v>107.01</v>
      </c>
      <c r="K1164" s="9">
        <f t="shared" si="132"/>
        <v>-1.0600000000000023</v>
      </c>
      <c r="L1164">
        <f t="shared" si="133"/>
        <v>-1.0500000000000043</v>
      </c>
      <c r="M1164">
        <f t="shared" si="134"/>
        <v>-0.67000000000000171</v>
      </c>
      <c r="N1164">
        <f t="shared" si="135"/>
        <v>-0.15999999999999659</v>
      </c>
      <c r="O1164">
        <f t="shared" si="136"/>
        <v>0</v>
      </c>
      <c r="P1164" s="10">
        <f t="shared" si="137"/>
        <v>-0.28000000000000114</v>
      </c>
    </row>
    <row r="1165" spans="1:16">
      <c r="A1165">
        <v>190</v>
      </c>
      <c r="B1165" s="42">
        <v>34.119999999999997</v>
      </c>
      <c r="C1165">
        <v>57.62</v>
      </c>
      <c r="D1165">
        <v>57.01</v>
      </c>
      <c r="E1165">
        <v>42.67</v>
      </c>
      <c r="F1165">
        <v>120.9</v>
      </c>
      <c r="G1165">
        <v>129.06</v>
      </c>
      <c r="H1165">
        <v>107.06</v>
      </c>
      <c r="K1165" s="9">
        <f t="shared" si="132"/>
        <v>-1.2199999999999989</v>
      </c>
      <c r="L1165">
        <f t="shared" si="133"/>
        <v>-1.1099999999999994</v>
      </c>
      <c r="M1165">
        <f t="shared" si="134"/>
        <v>-0.71999999999999886</v>
      </c>
      <c r="N1165">
        <f t="shared" si="135"/>
        <v>4.9999999999997158E-2</v>
      </c>
      <c r="O1165">
        <f t="shared" si="136"/>
        <v>0</v>
      </c>
      <c r="P1165" s="10">
        <f t="shared" si="137"/>
        <v>-0.32999999999999829</v>
      </c>
    </row>
    <row r="1166" spans="1:16">
      <c r="A1166">
        <v>190.17</v>
      </c>
      <c r="B1166" s="42">
        <v>33.78</v>
      </c>
      <c r="C1166">
        <v>57.34</v>
      </c>
      <c r="D1166">
        <v>56.73</v>
      </c>
      <c r="E1166">
        <v>42.34</v>
      </c>
      <c r="F1166">
        <v>120.67</v>
      </c>
      <c r="G1166">
        <v>129.06</v>
      </c>
      <c r="H1166">
        <v>106.23</v>
      </c>
      <c r="K1166" s="9">
        <f t="shared" si="132"/>
        <v>-1.3900000000000006</v>
      </c>
      <c r="L1166">
        <f t="shared" si="133"/>
        <v>-1.3299999999999983</v>
      </c>
      <c r="M1166">
        <f t="shared" si="134"/>
        <v>-0.3300000000000054</v>
      </c>
      <c r="N1166">
        <f t="shared" si="135"/>
        <v>0.60999999999999943</v>
      </c>
      <c r="O1166">
        <f t="shared" si="136"/>
        <v>0</v>
      </c>
      <c r="P1166" s="10">
        <f t="shared" si="137"/>
        <v>0.54999999999999716</v>
      </c>
    </row>
    <row r="1167" spans="1:16">
      <c r="A1167">
        <v>190.33</v>
      </c>
      <c r="B1167" s="42">
        <v>33.56</v>
      </c>
      <c r="C1167">
        <v>56.78</v>
      </c>
      <c r="D1167">
        <v>56.23</v>
      </c>
      <c r="E1167">
        <v>42.17</v>
      </c>
      <c r="F1167">
        <v>120.62</v>
      </c>
      <c r="G1167">
        <v>129.06</v>
      </c>
      <c r="H1167">
        <v>106.73</v>
      </c>
      <c r="K1167" s="9">
        <f t="shared" si="132"/>
        <v>-1.2199999999999989</v>
      </c>
      <c r="L1167">
        <f t="shared" si="133"/>
        <v>-1.2199999999999989</v>
      </c>
      <c r="M1167">
        <f t="shared" si="134"/>
        <v>5.9999999999995168E-2</v>
      </c>
      <c r="N1167">
        <f t="shared" si="135"/>
        <v>0.93999999999999773</v>
      </c>
      <c r="O1167">
        <f t="shared" si="136"/>
        <v>-5.0000000000011369E-2</v>
      </c>
      <c r="P1167" s="10">
        <f t="shared" si="137"/>
        <v>0.10999999999999943</v>
      </c>
    </row>
    <row r="1168" spans="1:16">
      <c r="A1168">
        <v>190.5</v>
      </c>
      <c r="B1168" s="42">
        <v>33.28</v>
      </c>
      <c r="C1168">
        <v>56.4</v>
      </c>
      <c r="D1168">
        <v>55.9</v>
      </c>
      <c r="E1168">
        <v>41.95</v>
      </c>
      <c r="F1168">
        <v>120.95</v>
      </c>
      <c r="G1168">
        <v>129.06</v>
      </c>
      <c r="H1168">
        <v>106.73</v>
      </c>
      <c r="K1168" s="9">
        <f t="shared" si="132"/>
        <v>-0.78000000000000114</v>
      </c>
      <c r="L1168">
        <f t="shared" si="133"/>
        <v>-0.89000000000000057</v>
      </c>
      <c r="M1168">
        <f t="shared" si="134"/>
        <v>0.6699999999999946</v>
      </c>
      <c r="N1168">
        <f t="shared" si="135"/>
        <v>0.5</v>
      </c>
      <c r="O1168">
        <f t="shared" si="136"/>
        <v>-5.0000000000011369E-2</v>
      </c>
      <c r="P1168" s="10">
        <f t="shared" si="137"/>
        <v>0.54999999999999716</v>
      </c>
    </row>
    <row r="1169" spans="1:16">
      <c r="A1169">
        <v>190.67</v>
      </c>
      <c r="B1169" s="42">
        <v>32.950000000000003</v>
      </c>
      <c r="C1169">
        <v>55.95</v>
      </c>
      <c r="D1169">
        <v>55.4</v>
      </c>
      <c r="E1169">
        <v>42.01</v>
      </c>
      <c r="F1169">
        <v>121.28</v>
      </c>
      <c r="G1169">
        <v>129.06</v>
      </c>
      <c r="H1169">
        <v>106.78</v>
      </c>
      <c r="K1169" s="9">
        <f t="shared" si="132"/>
        <v>-0.78000000000000114</v>
      </c>
      <c r="L1169">
        <f t="shared" si="133"/>
        <v>-0.83999999999999631</v>
      </c>
      <c r="M1169">
        <f t="shared" si="134"/>
        <v>0.60999999999999943</v>
      </c>
      <c r="N1169">
        <f t="shared" si="135"/>
        <v>0.17000000000000171</v>
      </c>
      <c r="O1169">
        <f t="shared" si="136"/>
        <v>-0.15999999999999659</v>
      </c>
      <c r="P1169" s="10">
        <f t="shared" si="137"/>
        <v>0.34000000000000341</v>
      </c>
    </row>
    <row r="1170" spans="1:16">
      <c r="A1170">
        <v>190.83</v>
      </c>
      <c r="B1170" s="42">
        <v>32.78</v>
      </c>
      <c r="C1170">
        <v>55.56</v>
      </c>
      <c r="D1170">
        <v>55.01</v>
      </c>
      <c r="E1170">
        <v>42.23</v>
      </c>
      <c r="F1170">
        <v>121.56</v>
      </c>
      <c r="G1170">
        <v>129.01</v>
      </c>
      <c r="H1170">
        <v>106.84</v>
      </c>
      <c r="K1170" s="9">
        <f t="shared" si="132"/>
        <v>-0.55000000000000426</v>
      </c>
      <c r="L1170">
        <f t="shared" si="133"/>
        <v>-0.55999999999999517</v>
      </c>
      <c r="M1170">
        <f t="shared" si="134"/>
        <v>0.3300000000000054</v>
      </c>
      <c r="N1170">
        <f t="shared" si="135"/>
        <v>-0.89000000000000057</v>
      </c>
      <c r="O1170">
        <f t="shared" si="136"/>
        <v>0</v>
      </c>
      <c r="P1170" s="10">
        <f t="shared" si="137"/>
        <v>0</v>
      </c>
    </row>
    <row r="1171" spans="1:16">
      <c r="A1171">
        <v>191</v>
      </c>
      <c r="B1171" s="42">
        <v>32.51</v>
      </c>
      <c r="C1171">
        <v>55.62</v>
      </c>
      <c r="D1171">
        <v>55.01</v>
      </c>
      <c r="E1171">
        <v>42.62</v>
      </c>
      <c r="F1171">
        <v>121.45</v>
      </c>
      <c r="G1171">
        <v>129.01</v>
      </c>
      <c r="H1171">
        <v>107.28</v>
      </c>
      <c r="K1171" s="9">
        <f t="shared" si="132"/>
        <v>-0.89000000000000057</v>
      </c>
      <c r="L1171">
        <f t="shared" si="133"/>
        <v>-0.89000000000000057</v>
      </c>
      <c r="M1171">
        <f t="shared" si="134"/>
        <v>-0.33999999999999631</v>
      </c>
      <c r="N1171">
        <f t="shared" si="135"/>
        <v>-0.93999999999999773</v>
      </c>
      <c r="O1171">
        <f t="shared" si="136"/>
        <v>-0.10999999999998522</v>
      </c>
      <c r="P1171" s="10">
        <f t="shared" si="137"/>
        <v>-4.9999999999997158E-2</v>
      </c>
    </row>
    <row r="1172" spans="1:16">
      <c r="A1172">
        <v>191.17</v>
      </c>
      <c r="B1172" s="42">
        <v>32.4</v>
      </c>
      <c r="C1172">
        <v>55.17</v>
      </c>
      <c r="D1172">
        <v>54.56</v>
      </c>
      <c r="E1172">
        <v>42.62</v>
      </c>
      <c r="F1172">
        <v>121.45</v>
      </c>
      <c r="G1172">
        <v>128.9</v>
      </c>
      <c r="H1172">
        <v>107.12</v>
      </c>
      <c r="K1172" s="9">
        <f t="shared" si="132"/>
        <v>-0.89000000000000057</v>
      </c>
      <c r="L1172">
        <f t="shared" si="133"/>
        <v>-0.8300000000000054</v>
      </c>
      <c r="M1172">
        <f t="shared" si="134"/>
        <v>-0.44999999999999574</v>
      </c>
      <c r="N1172">
        <f t="shared" si="135"/>
        <v>-1.1700000000000017</v>
      </c>
      <c r="O1172">
        <f t="shared" si="136"/>
        <v>0</v>
      </c>
      <c r="P1172" s="10">
        <f t="shared" si="137"/>
        <v>0.10999999999999943</v>
      </c>
    </row>
    <row r="1173" spans="1:16">
      <c r="A1173">
        <v>191.33</v>
      </c>
      <c r="B1173" s="42">
        <v>32.51</v>
      </c>
      <c r="C1173">
        <v>55.01</v>
      </c>
      <c r="D1173">
        <v>54.45</v>
      </c>
      <c r="E1173">
        <v>42.56</v>
      </c>
      <c r="F1173">
        <v>120.67</v>
      </c>
      <c r="G1173">
        <v>129.01</v>
      </c>
      <c r="H1173">
        <v>106.84</v>
      </c>
      <c r="K1173" s="9">
        <f t="shared" si="132"/>
        <v>-1.0599999999999952</v>
      </c>
      <c r="L1173">
        <f t="shared" si="133"/>
        <v>-1.0500000000000043</v>
      </c>
      <c r="M1173">
        <f t="shared" si="134"/>
        <v>-0.5</v>
      </c>
      <c r="N1173">
        <f t="shared" si="135"/>
        <v>-0.15999999999999659</v>
      </c>
      <c r="O1173">
        <f t="shared" si="136"/>
        <v>-0.16999999999998749</v>
      </c>
      <c r="P1173" s="10">
        <f t="shared" si="137"/>
        <v>0.67000000000000171</v>
      </c>
    </row>
    <row r="1174" spans="1:16">
      <c r="A1174">
        <v>191.5</v>
      </c>
      <c r="B1174" s="42">
        <v>32.51</v>
      </c>
      <c r="C1174">
        <v>54.73</v>
      </c>
      <c r="D1174">
        <v>54.12</v>
      </c>
      <c r="E1174">
        <v>42.28</v>
      </c>
      <c r="F1174">
        <v>120.51</v>
      </c>
      <c r="G1174">
        <v>128.9</v>
      </c>
      <c r="H1174">
        <v>107.23</v>
      </c>
      <c r="K1174" s="9">
        <f t="shared" si="132"/>
        <v>-1</v>
      </c>
      <c r="L1174">
        <f t="shared" si="133"/>
        <v>-1</v>
      </c>
      <c r="M1174">
        <f t="shared" si="134"/>
        <v>-0.38000000000000256</v>
      </c>
      <c r="N1174">
        <f t="shared" si="135"/>
        <v>0.15999999999999659</v>
      </c>
      <c r="O1174">
        <f t="shared" si="136"/>
        <v>-0.17000000000001592</v>
      </c>
      <c r="P1174" s="10">
        <f t="shared" si="137"/>
        <v>0.28000000000000114</v>
      </c>
    </row>
    <row r="1175" spans="1:16">
      <c r="A1175">
        <v>191.67</v>
      </c>
      <c r="B1175" s="42">
        <v>32.28</v>
      </c>
      <c r="C1175">
        <v>54.28</v>
      </c>
      <c r="D1175">
        <v>53.73</v>
      </c>
      <c r="E1175">
        <v>42.17</v>
      </c>
      <c r="F1175">
        <v>120.28</v>
      </c>
      <c r="G1175">
        <v>128.9</v>
      </c>
      <c r="H1175">
        <v>107.23</v>
      </c>
      <c r="K1175" s="9">
        <f t="shared" si="132"/>
        <v>-0.66000000000000369</v>
      </c>
      <c r="L1175">
        <f t="shared" si="133"/>
        <v>-0.6699999999999946</v>
      </c>
      <c r="M1175">
        <f t="shared" si="134"/>
        <v>-0.32999999999999829</v>
      </c>
      <c r="N1175">
        <f t="shared" si="135"/>
        <v>0.34000000000000341</v>
      </c>
      <c r="O1175">
        <f t="shared" si="136"/>
        <v>-0.17000000000001592</v>
      </c>
      <c r="P1175" s="10">
        <f t="shared" si="137"/>
        <v>0.21999999999999886</v>
      </c>
    </row>
    <row r="1176" spans="1:16">
      <c r="A1176">
        <v>191.83</v>
      </c>
      <c r="B1176" s="42">
        <v>32.28</v>
      </c>
      <c r="C1176">
        <v>53.95</v>
      </c>
      <c r="D1176">
        <v>53.4</v>
      </c>
      <c r="E1176">
        <v>42.06</v>
      </c>
      <c r="F1176">
        <v>120.51</v>
      </c>
      <c r="G1176">
        <v>128.84</v>
      </c>
      <c r="H1176">
        <v>107.51</v>
      </c>
      <c r="K1176" s="9">
        <f t="shared" si="132"/>
        <v>-0.44000000000000483</v>
      </c>
      <c r="L1176">
        <f t="shared" si="133"/>
        <v>-0.5</v>
      </c>
      <c r="M1176">
        <f t="shared" si="134"/>
        <v>-0.55000000000000426</v>
      </c>
      <c r="N1176">
        <f t="shared" si="135"/>
        <v>0.10999999999999943</v>
      </c>
      <c r="O1176">
        <f t="shared" si="136"/>
        <v>-0.11000000000001364</v>
      </c>
      <c r="P1176" s="10">
        <f t="shared" si="137"/>
        <v>-6.0000000000002274E-2</v>
      </c>
    </row>
    <row r="1177" spans="1:16">
      <c r="A1177">
        <v>192</v>
      </c>
      <c r="B1177" s="42">
        <v>32.17</v>
      </c>
      <c r="C1177">
        <v>53.73</v>
      </c>
      <c r="D1177">
        <v>53.12</v>
      </c>
      <c r="E1177">
        <v>41.9</v>
      </c>
      <c r="F1177">
        <v>120.67</v>
      </c>
      <c r="G1177">
        <v>128.72999999999999</v>
      </c>
      <c r="H1177">
        <v>107.51</v>
      </c>
      <c r="K1177" s="9">
        <f t="shared" ref="K1177:K1240" si="138">C1180-C1177</f>
        <v>-0.60999999999999943</v>
      </c>
      <c r="L1177">
        <f t="shared" ref="L1177:L1240" si="139">D1180-D1177</f>
        <v>-0.55999999999999517</v>
      </c>
      <c r="M1177">
        <f t="shared" ref="M1177:M1240" si="140">E1180-E1177</f>
        <v>-0.67000000000000171</v>
      </c>
      <c r="N1177">
        <f t="shared" ref="N1177:N1240" si="141">F1180-F1177</f>
        <v>0.17000000000000171</v>
      </c>
      <c r="O1177">
        <f t="shared" ref="O1177:O1240" si="142">G1180-G1177</f>
        <v>5.0000000000011369E-2</v>
      </c>
      <c r="P1177" s="10">
        <f t="shared" ref="P1177:P1240" si="143">H1180-H1177</f>
        <v>0.43999999999999773</v>
      </c>
    </row>
    <row r="1178" spans="1:16">
      <c r="A1178">
        <v>192.17</v>
      </c>
      <c r="B1178" s="42">
        <v>31.9</v>
      </c>
      <c r="C1178">
        <v>53.62</v>
      </c>
      <c r="D1178">
        <v>53.06</v>
      </c>
      <c r="E1178">
        <v>41.84</v>
      </c>
      <c r="F1178">
        <v>120.62</v>
      </c>
      <c r="G1178">
        <v>128.72999999999999</v>
      </c>
      <c r="H1178">
        <v>107.45</v>
      </c>
      <c r="K1178" s="9">
        <f t="shared" si="138"/>
        <v>-0.83999999999999631</v>
      </c>
      <c r="L1178">
        <f t="shared" si="139"/>
        <v>-0.8300000000000054</v>
      </c>
      <c r="M1178">
        <f t="shared" si="140"/>
        <v>-0.78000000000000114</v>
      </c>
      <c r="N1178">
        <f t="shared" si="141"/>
        <v>0.43999999999999773</v>
      </c>
      <c r="O1178">
        <f t="shared" si="142"/>
        <v>0.11000000000001364</v>
      </c>
      <c r="P1178" s="10">
        <f t="shared" si="143"/>
        <v>0.82999999999999829</v>
      </c>
    </row>
    <row r="1179" spans="1:16">
      <c r="A1179">
        <v>192.33</v>
      </c>
      <c r="B1179" s="42">
        <v>31.67</v>
      </c>
      <c r="C1179">
        <v>53.51</v>
      </c>
      <c r="D1179">
        <v>52.9</v>
      </c>
      <c r="E1179">
        <v>41.51</v>
      </c>
      <c r="F1179">
        <v>120.62</v>
      </c>
      <c r="G1179">
        <v>128.72999999999999</v>
      </c>
      <c r="H1179">
        <v>107.45</v>
      </c>
      <c r="K1179" s="9">
        <f t="shared" si="138"/>
        <v>-1</v>
      </c>
      <c r="L1179">
        <f t="shared" si="139"/>
        <v>-0.94999999999999574</v>
      </c>
      <c r="M1179">
        <f t="shared" si="140"/>
        <v>-0.44999999999999574</v>
      </c>
      <c r="N1179">
        <f t="shared" si="141"/>
        <v>4.9999999999997158E-2</v>
      </c>
      <c r="O1179">
        <f t="shared" si="142"/>
        <v>0.11000000000001364</v>
      </c>
      <c r="P1179" s="10">
        <f t="shared" si="143"/>
        <v>1.4500000000000028</v>
      </c>
    </row>
    <row r="1180" spans="1:16">
      <c r="A1180">
        <v>192.5</v>
      </c>
      <c r="B1180" s="42">
        <v>31.67</v>
      </c>
      <c r="C1180">
        <v>53.12</v>
      </c>
      <c r="D1180">
        <v>52.56</v>
      </c>
      <c r="E1180">
        <v>41.23</v>
      </c>
      <c r="F1180">
        <v>120.84</v>
      </c>
      <c r="G1180">
        <v>128.78</v>
      </c>
      <c r="H1180">
        <v>107.95</v>
      </c>
      <c r="K1180" s="9">
        <f t="shared" si="138"/>
        <v>-0.83999999999999631</v>
      </c>
      <c r="L1180">
        <f t="shared" si="139"/>
        <v>-0.89000000000000057</v>
      </c>
      <c r="M1180">
        <f t="shared" si="140"/>
        <v>-0.38999999999999346</v>
      </c>
      <c r="N1180">
        <f t="shared" si="141"/>
        <v>-0.21999999999999886</v>
      </c>
      <c r="O1180">
        <f t="shared" si="142"/>
        <v>6.0000000000002274E-2</v>
      </c>
      <c r="P1180" s="10">
        <f t="shared" si="143"/>
        <v>1.1700000000000017</v>
      </c>
    </row>
    <row r="1181" spans="1:16">
      <c r="A1181">
        <v>192.67</v>
      </c>
      <c r="B1181" s="42">
        <v>31.51</v>
      </c>
      <c r="C1181">
        <v>52.78</v>
      </c>
      <c r="D1181">
        <v>52.23</v>
      </c>
      <c r="E1181">
        <v>41.06</v>
      </c>
      <c r="F1181">
        <v>121.06</v>
      </c>
      <c r="G1181">
        <v>128.84</v>
      </c>
      <c r="H1181">
        <v>108.28</v>
      </c>
      <c r="K1181" s="9">
        <f t="shared" si="138"/>
        <v>-0.66000000000000369</v>
      </c>
      <c r="L1181">
        <f t="shared" si="139"/>
        <v>-0.77999999999999403</v>
      </c>
      <c r="M1181">
        <f t="shared" si="140"/>
        <v>-0.55000000000000426</v>
      </c>
      <c r="N1181">
        <f t="shared" si="141"/>
        <v>-0.15999999999999659</v>
      </c>
      <c r="O1181">
        <f t="shared" si="142"/>
        <v>-0.11000000000001364</v>
      </c>
      <c r="P1181" s="10">
        <f t="shared" si="143"/>
        <v>1.1200000000000045</v>
      </c>
    </row>
    <row r="1182" spans="1:16">
      <c r="A1182">
        <v>192.83</v>
      </c>
      <c r="B1182" s="42">
        <v>31.56</v>
      </c>
      <c r="C1182">
        <v>52.51</v>
      </c>
      <c r="D1182">
        <v>51.95</v>
      </c>
      <c r="E1182">
        <v>41.06</v>
      </c>
      <c r="F1182">
        <v>120.67</v>
      </c>
      <c r="G1182">
        <v>128.84</v>
      </c>
      <c r="H1182">
        <v>108.9</v>
      </c>
      <c r="K1182" s="9">
        <f t="shared" si="138"/>
        <v>-0.39000000000000057</v>
      </c>
      <c r="L1182">
        <f t="shared" si="139"/>
        <v>-0.39000000000000057</v>
      </c>
      <c r="M1182">
        <f t="shared" si="140"/>
        <v>-0.66000000000000369</v>
      </c>
      <c r="N1182">
        <f t="shared" si="141"/>
        <v>0.34000000000000341</v>
      </c>
      <c r="O1182">
        <f t="shared" si="142"/>
        <v>6.0000000000002274E-2</v>
      </c>
      <c r="P1182" s="10">
        <f t="shared" si="143"/>
        <v>0.71999999999999886</v>
      </c>
    </row>
    <row r="1183" spans="1:16">
      <c r="A1183">
        <v>193</v>
      </c>
      <c r="B1183" s="42">
        <v>31.51</v>
      </c>
      <c r="C1183">
        <v>52.28</v>
      </c>
      <c r="D1183">
        <v>51.67</v>
      </c>
      <c r="E1183">
        <v>40.840000000000003</v>
      </c>
      <c r="F1183">
        <v>120.62</v>
      </c>
      <c r="G1183">
        <v>128.84</v>
      </c>
      <c r="H1183">
        <v>109.12</v>
      </c>
      <c r="K1183" s="9">
        <f t="shared" si="138"/>
        <v>-0.27000000000000313</v>
      </c>
      <c r="L1183">
        <f t="shared" si="139"/>
        <v>-0.27000000000000313</v>
      </c>
      <c r="M1183">
        <f t="shared" si="140"/>
        <v>-0.39000000000000057</v>
      </c>
      <c r="N1183">
        <f t="shared" si="141"/>
        <v>0.43999999999999773</v>
      </c>
      <c r="O1183">
        <f t="shared" si="142"/>
        <v>0.16999999999998749</v>
      </c>
      <c r="P1183" s="10">
        <f t="shared" si="143"/>
        <v>0.65999999999999659</v>
      </c>
    </row>
    <row r="1184" spans="1:16">
      <c r="A1184">
        <v>193.17</v>
      </c>
      <c r="B1184" s="42">
        <v>31.9</v>
      </c>
      <c r="C1184">
        <v>52.12</v>
      </c>
      <c r="D1184">
        <v>51.45</v>
      </c>
      <c r="E1184">
        <v>40.51</v>
      </c>
      <c r="F1184">
        <v>120.9</v>
      </c>
      <c r="G1184">
        <v>128.72999999999999</v>
      </c>
      <c r="H1184">
        <v>109.4</v>
      </c>
      <c r="K1184" s="9">
        <f t="shared" si="138"/>
        <v>-0.44999999999999574</v>
      </c>
      <c r="L1184">
        <f t="shared" si="139"/>
        <v>-0.55000000000000426</v>
      </c>
      <c r="M1184">
        <f t="shared" si="140"/>
        <v>-0.10999999999999943</v>
      </c>
      <c r="N1184">
        <f t="shared" si="141"/>
        <v>0.37999999999999545</v>
      </c>
      <c r="O1184">
        <f t="shared" si="142"/>
        <v>0.11000000000001364</v>
      </c>
      <c r="P1184" s="10">
        <f t="shared" si="143"/>
        <v>0.5</v>
      </c>
    </row>
    <row r="1185" spans="1:16">
      <c r="A1185">
        <v>193.33</v>
      </c>
      <c r="B1185" s="42">
        <v>32.28</v>
      </c>
      <c r="C1185">
        <v>52.12</v>
      </c>
      <c r="D1185">
        <v>51.56</v>
      </c>
      <c r="E1185">
        <v>40.4</v>
      </c>
      <c r="F1185">
        <v>121.01</v>
      </c>
      <c r="G1185">
        <v>128.9</v>
      </c>
      <c r="H1185">
        <v>109.62</v>
      </c>
      <c r="K1185" s="9">
        <f t="shared" si="138"/>
        <v>-0.71999999999999886</v>
      </c>
      <c r="L1185">
        <f t="shared" si="139"/>
        <v>-0.8300000000000054</v>
      </c>
      <c r="M1185">
        <f t="shared" si="140"/>
        <v>-0.22999999999999687</v>
      </c>
      <c r="N1185">
        <f t="shared" si="141"/>
        <v>0.43999999999999773</v>
      </c>
      <c r="O1185">
        <f t="shared" si="142"/>
        <v>0.10999999999998522</v>
      </c>
      <c r="P1185" s="10">
        <f t="shared" si="143"/>
        <v>0.15999999999999659</v>
      </c>
    </row>
    <row r="1186" spans="1:16">
      <c r="A1186">
        <v>193.5</v>
      </c>
      <c r="B1186" s="42">
        <v>32.229999999999997</v>
      </c>
      <c r="C1186">
        <v>52.01</v>
      </c>
      <c r="D1186">
        <v>51.4</v>
      </c>
      <c r="E1186">
        <v>40.450000000000003</v>
      </c>
      <c r="F1186">
        <v>121.06</v>
      </c>
      <c r="G1186">
        <v>129.01</v>
      </c>
      <c r="H1186">
        <v>109.78</v>
      </c>
      <c r="K1186" s="9">
        <f t="shared" si="138"/>
        <v>-1.0599999999999952</v>
      </c>
      <c r="L1186">
        <f t="shared" si="139"/>
        <v>-0.94999999999999574</v>
      </c>
      <c r="M1186">
        <f t="shared" si="140"/>
        <v>-0.3300000000000054</v>
      </c>
      <c r="N1186">
        <f t="shared" si="141"/>
        <v>0.39000000000000057</v>
      </c>
      <c r="O1186">
        <f t="shared" si="142"/>
        <v>0</v>
      </c>
      <c r="P1186" s="10">
        <f t="shared" si="143"/>
        <v>0.17000000000000171</v>
      </c>
    </row>
    <row r="1187" spans="1:16">
      <c r="A1187">
        <v>193.67</v>
      </c>
      <c r="B1187" s="42">
        <v>32.17</v>
      </c>
      <c r="C1187">
        <v>51.67</v>
      </c>
      <c r="D1187">
        <v>50.9</v>
      </c>
      <c r="E1187">
        <v>40.4</v>
      </c>
      <c r="F1187">
        <v>121.28</v>
      </c>
      <c r="G1187">
        <v>128.84</v>
      </c>
      <c r="H1187">
        <v>109.9</v>
      </c>
      <c r="K1187" s="9">
        <f t="shared" si="138"/>
        <v>-1</v>
      </c>
      <c r="L1187">
        <f t="shared" si="139"/>
        <v>-0.78000000000000114</v>
      </c>
      <c r="M1187">
        <f t="shared" si="140"/>
        <v>-0.28000000000000114</v>
      </c>
      <c r="N1187">
        <f t="shared" si="141"/>
        <v>0.5</v>
      </c>
      <c r="O1187">
        <f t="shared" si="142"/>
        <v>6.0000000000002274E-2</v>
      </c>
      <c r="P1187" s="10">
        <f t="shared" si="143"/>
        <v>0.43999999999999773</v>
      </c>
    </row>
    <row r="1188" spans="1:16">
      <c r="A1188">
        <v>193.83</v>
      </c>
      <c r="B1188" s="42">
        <v>32.229999999999997</v>
      </c>
      <c r="C1188">
        <v>51.4</v>
      </c>
      <c r="D1188">
        <v>50.73</v>
      </c>
      <c r="E1188">
        <v>40.17</v>
      </c>
      <c r="F1188">
        <v>121.45</v>
      </c>
      <c r="G1188">
        <v>129.01</v>
      </c>
      <c r="H1188">
        <v>109.78</v>
      </c>
      <c r="K1188" s="9">
        <f t="shared" si="138"/>
        <v>-1.1199999999999974</v>
      </c>
      <c r="L1188">
        <f t="shared" si="139"/>
        <v>-0.82999999999999829</v>
      </c>
      <c r="M1188">
        <f t="shared" si="140"/>
        <v>-0.21999999999999886</v>
      </c>
      <c r="N1188">
        <f t="shared" si="141"/>
        <v>0.32999999999999829</v>
      </c>
      <c r="O1188">
        <f t="shared" si="142"/>
        <v>0</v>
      </c>
      <c r="P1188" s="10">
        <f t="shared" si="143"/>
        <v>0.12000000000000455</v>
      </c>
    </row>
    <row r="1189" spans="1:16">
      <c r="A1189">
        <v>194</v>
      </c>
      <c r="B1189" s="42">
        <v>31.95</v>
      </c>
      <c r="C1189">
        <v>50.95</v>
      </c>
      <c r="D1189">
        <v>50.45</v>
      </c>
      <c r="E1189">
        <v>40.119999999999997</v>
      </c>
      <c r="F1189">
        <v>121.45</v>
      </c>
      <c r="G1189">
        <v>129.01</v>
      </c>
      <c r="H1189">
        <v>109.95</v>
      </c>
      <c r="K1189" s="9">
        <f t="shared" si="138"/>
        <v>-0.78000000000000114</v>
      </c>
      <c r="L1189">
        <f t="shared" si="139"/>
        <v>-0.8300000000000054</v>
      </c>
      <c r="M1189">
        <f t="shared" si="140"/>
        <v>-0.39000000000000057</v>
      </c>
      <c r="N1189">
        <f t="shared" si="141"/>
        <v>0.45000000000000284</v>
      </c>
      <c r="O1189">
        <f t="shared" si="142"/>
        <v>-0.10999999999998522</v>
      </c>
      <c r="P1189" s="10">
        <f t="shared" si="143"/>
        <v>-0.60999999999999943</v>
      </c>
    </row>
    <row r="1190" spans="1:16">
      <c r="A1190">
        <v>194.17</v>
      </c>
      <c r="B1190" s="42">
        <v>31.73</v>
      </c>
      <c r="C1190">
        <v>50.67</v>
      </c>
      <c r="D1190">
        <v>50.12</v>
      </c>
      <c r="E1190">
        <v>40.119999999999997</v>
      </c>
      <c r="F1190">
        <v>121.78</v>
      </c>
      <c r="G1190">
        <v>128.9</v>
      </c>
      <c r="H1190">
        <v>110.34</v>
      </c>
      <c r="K1190" s="9">
        <f t="shared" si="138"/>
        <v>-0.89000000000000057</v>
      </c>
      <c r="L1190">
        <f t="shared" si="139"/>
        <v>-0.71999999999999886</v>
      </c>
      <c r="M1190">
        <f t="shared" si="140"/>
        <v>-0.71999999999999886</v>
      </c>
      <c r="N1190">
        <f t="shared" si="141"/>
        <v>0</v>
      </c>
      <c r="O1190">
        <f t="shared" si="142"/>
        <v>-6.0000000000002274E-2</v>
      </c>
      <c r="P1190" s="10">
        <f t="shared" si="143"/>
        <v>-0.60999999999999943</v>
      </c>
    </row>
    <row r="1191" spans="1:16">
      <c r="A1191">
        <v>194.33</v>
      </c>
      <c r="B1191" s="42">
        <v>31.45</v>
      </c>
      <c r="C1191">
        <v>50.28</v>
      </c>
      <c r="D1191">
        <v>49.9</v>
      </c>
      <c r="E1191">
        <v>39.950000000000003</v>
      </c>
      <c r="F1191">
        <v>121.78</v>
      </c>
      <c r="G1191">
        <v>129.01</v>
      </c>
      <c r="H1191">
        <v>109.9</v>
      </c>
      <c r="K1191" s="9">
        <f t="shared" si="138"/>
        <v>-0.82999999999999829</v>
      </c>
      <c r="L1191">
        <f t="shared" si="139"/>
        <v>-0.89000000000000057</v>
      </c>
      <c r="M1191">
        <f t="shared" si="140"/>
        <v>-0.8300000000000054</v>
      </c>
      <c r="N1191">
        <f t="shared" si="141"/>
        <v>-0.21999999999999886</v>
      </c>
      <c r="O1191">
        <f t="shared" si="142"/>
        <v>-0.28000000000000114</v>
      </c>
      <c r="P1191" s="10">
        <f t="shared" si="143"/>
        <v>0.26999999999999602</v>
      </c>
    </row>
    <row r="1192" spans="1:16">
      <c r="A1192">
        <v>194.5</v>
      </c>
      <c r="B1192" s="42">
        <v>31.23</v>
      </c>
      <c r="C1192">
        <v>50.17</v>
      </c>
      <c r="D1192">
        <v>49.62</v>
      </c>
      <c r="E1192">
        <v>39.729999999999997</v>
      </c>
      <c r="F1192">
        <v>121.9</v>
      </c>
      <c r="G1192">
        <v>128.9</v>
      </c>
      <c r="H1192">
        <v>109.34</v>
      </c>
      <c r="K1192" s="9">
        <f t="shared" si="138"/>
        <v>-1.0500000000000043</v>
      </c>
      <c r="L1192">
        <f t="shared" si="139"/>
        <v>-1</v>
      </c>
      <c r="M1192">
        <f t="shared" si="140"/>
        <v>-0.71999999999999886</v>
      </c>
      <c r="N1192">
        <f t="shared" si="141"/>
        <v>-0.78000000000000114</v>
      </c>
      <c r="O1192">
        <f t="shared" si="142"/>
        <v>-0.17000000000001592</v>
      </c>
      <c r="P1192" s="10">
        <f t="shared" si="143"/>
        <v>0.71999999999999886</v>
      </c>
    </row>
    <row r="1193" spans="1:16">
      <c r="A1193">
        <v>194.67</v>
      </c>
      <c r="B1193" s="42">
        <v>31.17</v>
      </c>
      <c r="C1193">
        <v>49.78</v>
      </c>
      <c r="D1193">
        <v>49.4</v>
      </c>
      <c r="E1193">
        <v>39.4</v>
      </c>
      <c r="F1193">
        <v>121.78</v>
      </c>
      <c r="G1193">
        <v>128.84</v>
      </c>
      <c r="H1193">
        <v>109.73</v>
      </c>
      <c r="K1193" s="9">
        <f t="shared" si="138"/>
        <v>-0.93999999999999773</v>
      </c>
      <c r="L1193">
        <f t="shared" si="139"/>
        <v>-1.0599999999999952</v>
      </c>
      <c r="M1193">
        <f t="shared" si="140"/>
        <v>-0.61999999999999744</v>
      </c>
      <c r="N1193">
        <f t="shared" si="141"/>
        <v>-0.54999999999999716</v>
      </c>
      <c r="O1193">
        <f t="shared" si="142"/>
        <v>-0.11000000000001364</v>
      </c>
      <c r="P1193" s="10">
        <f t="shared" si="143"/>
        <v>0.93999999999999773</v>
      </c>
    </row>
    <row r="1194" spans="1:16">
      <c r="A1194">
        <v>194.83</v>
      </c>
      <c r="B1194" s="42">
        <v>30.9</v>
      </c>
      <c r="C1194">
        <v>49.45</v>
      </c>
      <c r="D1194">
        <v>49.01</v>
      </c>
      <c r="E1194">
        <v>39.119999999999997</v>
      </c>
      <c r="F1194">
        <v>121.56</v>
      </c>
      <c r="G1194">
        <v>128.72999999999999</v>
      </c>
      <c r="H1194">
        <v>110.17</v>
      </c>
      <c r="K1194" s="9">
        <f t="shared" si="138"/>
        <v>-0.89000000000000057</v>
      </c>
      <c r="L1194">
        <f t="shared" si="139"/>
        <v>-0.94999999999999574</v>
      </c>
      <c r="M1194">
        <f t="shared" si="140"/>
        <v>0</v>
      </c>
      <c r="N1194">
        <f t="shared" si="141"/>
        <v>-0.28000000000000114</v>
      </c>
      <c r="O1194">
        <f t="shared" si="142"/>
        <v>0</v>
      </c>
      <c r="P1194" s="10">
        <f t="shared" si="143"/>
        <v>0.67000000000000171</v>
      </c>
    </row>
    <row r="1195" spans="1:16">
      <c r="A1195">
        <v>195</v>
      </c>
      <c r="B1195" s="42">
        <v>30.67</v>
      </c>
      <c r="C1195">
        <v>49.12</v>
      </c>
      <c r="D1195">
        <v>48.62</v>
      </c>
      <c r="E1195">
        <v>39.01</v>
      </c>
      <c r="F1195">
        <v>121.12</v>
      </c>
      <c r="G1195">
        <v>128.72999999999999</v>
      </c>
      <c r="H1195">
        <v>110.06</v>
      </c>
      <c r="K1195" s="9">
        <f t="shared" si="138"/>
        <v>-1</v>
      </c>
      <c r="L1195">
        <f t="shared" si="139"/>
        <v>-1</v>
      </c>
      <c r="M1195">
        <f t="shared" si="140"/>
        <v>0.5</v>
      </c>
      <c r="N1195">
        <f t="shared" si="141"/>
        <v>0.5</v>
      </c>
      <c r="O1195">
        <f t="shared" si="142"/>
        <v>-0.10999999999998522</v>
      </c>
      <c r="P1195" s="10">
        <f t="shared" si="143"/>
        <v>1.3400000000000034</v>
      </c>
    </row>
    <row r="1196" spans="1:16">
      <c r="A1196">
        <v>195.17</v>
      </c>
      <c r="B1196" s="42">
        <v>30.51</v>
      </c>
      <c r="C1196">
        <v>48.84</v>
      </c>
      <c r="D1196">
        <v>48.34</v>
      </c>
      <c r="E1196">
        <v>38.78</v>
      </c>
      <c r="F1196">
        <v>121.23</v>
      </c>
      <c r="G1196">
        <v>128.72999999999999</v>
      </c>
      <c r="H1196">
        <v>110.67</v>
      </c>
      <c r="K1196" s="9">
        <f t="shared" si="138"/>
        <v>-0.8300000000000054</v>
      </c>
      <c r="L1196">
        <f t="shared" si="139"/>
        <v>-0.8300000000000054</v>
      </c>
      <c r="M1196">
        <f t="shared" si="140"/>
        <v>0.67000000000000171</v>
      </c>
      <c r="N1196">
        <f t="shared" si="141"/>
        <v>0.82999999999999829</v>
      </c>
      <c r="O1196">
        <f t="shared" si="142"/>
        <v>-6.0000000000002274E-2</v>
      </c>
      <c r="P1196" s="10">
        <f t="shared" si="143"/>
        <v>1.1700000000000017</v>
      </c>
    </row>
    <row r="1197" spans="1:16">
      <c r="A1197">
        <v>195.33</v>
      </c>
      <c r="B1197" s="42">
        <v>30.4</v>
      </c>
      <c r="C1197">
        <v>48.56</v>
      </c>
      <c r="D1197">
        <v>48.06</v>
      </c>
      <c r="E1197">
        <v>39.119999999999997</v>
      </c>
      <c r="F1197">
        <v>121.28</v>
      </c>
      <c r="G1197">
        <v>128.72999999999999</v>
      </c>
      <c r="H1197">
        <v>110.84</v>
      </c>
      <c r="K1197" s="9">
        <f t="shared" si="138"/>
        <v>-0.78000000000000114</v>
      </c>
      <c r="L1197">
        <f t="shared" si="139"/>
        <v>-0.8300000000000054</v>
      </c>
      <c r="M1197">
        <f t="shared" si="140"/>
        <v>0</v>
      </c>
      <c r="N1197">
        <f t="shared" si="141"/>
        <v>0.67000000000000171</v>
      </c>
      <c r="O1197">
        <f t="shared" si="142"/>
        <v>-0.10999999999998522</v>
      </c>
      <c r="P1197" s="10">
        <f t="shared" si="143"/>
        <v>0.32999999999999829</v>
      </c>
    </row>
    <row r="1198" spans="1:16">
      <c r="A1198">
        <v>195.5</v>
      </c>
      <c r="B1198" s="42">
        <v>30.28</v>
      </c>
      <c r="C1198">
        <v>48.12</v>
      </c>
      <c r="D1198">
        <v>47.62</v>
      </c>
      <c r="E1198">
        <v>39.51</v>
      </c>
      <c r="F1198">
        <v>121.62</v>
      </c>
      <c r="G1198">
        <v>128.62</v>
      </c>
      <c r="H1198">
        <v>111.4</v>
      </c>
      <c r="K1198" s="9">
        <f t="shared" si="138"/>
        <v>-0.71999999999999886</v>
      </c>
      <c r="L1198">
        <f t="shared" si="139"/>
        <v>-0.77999999999999403</v>
      </c>
      <c r="M1198">
        <f t="shared" si="140"/>
        <v>-0.60999999999999943</v>
      </c>
      <c r="N1198">
        <f t="shared" si="141"/>
        <v>0.15999999999999659</v>
      </c>
      <c r="O1198">
        <f t="shared" si="142"/>
        <v>-6.0000000000002274E-2</v>
      </c>
      <c r="P1198" s="10">
        <f t="shared" si="143"/>
        <v>-0.5</v>
      </c>
    </row>
    <row r="1199" spans="1:16">
      <c r="A1199">
        <v>195.67</v>
      </c>
      <c r="B1199" s="42">
        <v>30.17</v>
      </c>
      <c r="C1199">
        <v>48.01</v>
      </c>
      <c r="D1199">
        <v>47.51</v>
      </c>
      <c r="E1199">
        <v>39.450000000000003</v>
      </c>
      <c r="F1199">
        <v>122.06</v>
      </c>
      <c r="G1199">
        <v>128.66999999999999</v>
      </c>
      <c r="H1199">
        <v>111.84</v>
      </c>
      <c r="K1199" s="9">
        <f t="shared" si="138"/>
        <v>-1.0599999999999952</v>
      </c>
      <c r="L1199">
        <f t="shared" si="139"/>
        <v>-0.94999999999999574</v>
      </c>
      <c r="M1199">
        <f t="shared" si="140"/>
        <v>-0.72000000000000597</v>
      </c>
      <c r="N1199">
        <f t="shared" si="141"/>
        <v>-0.39000000000000057</v>
      </c>
      <c r="O1199">
        <f t="shared" si="142"/>
        <v>-0.10999999999998522</v>
      </c>
      <c r="P1199" s="10">
        <f t="shared" si="143"/>
        <v>-2.0600000000000023</v>
      </c>
    </row>
    <row r="1200" spans="1:16">
      <c r="A1200">
        <v>195.83</v>
      </c>
      <c r="B1200" s="42">
        <v>29.9</v>
      </c>
      <c r="C1200">
        <v>47.78</v>
      </c>
      <c r="D1200">
        <v>47.23</v>
      </c>
      <c r="E1200">
        <v>39.119999999999997</v>
      </c>
      <c r="F1200">
        <v>121.95</v>
      </c>
      <c r="G1200">
        <v>128.62</v>
      </c>
      <c r="H1200">
        <v>111.17</v>
      </c>
      <c r="K1200" s="9">
        <f t="shared" si="138"/>
        <v>-1.2199999999999989</v>
      </c>
      <c r="L1200">
        <f t="shared" si="139"/>
        <v>-1.2199999999999989</v>
      </c>
      <c r="M1200">
        <f t="shared" si="140"/>
        <v>-0.21999999999999886</v>
      </c>
      <c r="N1200">
        <f t="shared" si="141"/>
        <v>-0.17000000000000171</v>
      </c>
      <c r="O1200">
        <f t="shared" si="142"/>
        <v>-6.0000000000002274E-2</v>
      </c>
      <c r="P1200" s="10">
        <f t="shared" si="143"/>
        <v>-1.269999999999996</v>
      </c>
    </row>
    <row r="1201" spans="1:16">
      <c r="A1201">
        <v>196</v>
      </c>
      <c r="B1201" s="42">
        <v>29.67</v>
      </c>
      <c r="C1201">
        <v>47.4</v>
      </c>
      <c r="D1201">
        <v>46.84</v>
      </c>
      <c r="E1201">
        <v>38.9</v>
      </c>
      <c r="F1201">
        <v>121.78</v>
      </c>
      <c r="G1201">
        <v>128.56</v>
      </c>
      <c r="H1201">
        <v>110.9</v>
      </c>
      <c r="K1201" s="9">
        <f t="shared" si="138"/>
        <v>-1.0599999999999952</v>
      </c>
      <c r="L1201">
        <f t="shared" si="139"/>
        <v>-1.1100000000000065</v>
      </c>
      <c r="M1201">
        <f t="shared" si="140"/>
        <v>-0.22999999999999687</v>
      </c>
      <c r="N1201">
        <f t="shared" si="141"/>
        <v>-0.54999999999999716</v>
      </c>
      <c r="O1201">
        <f t="shared" si="142"/>
        <v>-0.11000000000001364</v>
      </c>
      <c r="P1201" s="10">
        <f t="shared" si="143"/>
        <v>-0.62000000000000455</v>
      </c>
    </row>
    <row r="1202" spans="1:16">
      <c r="A1202">
        <v>196.17</v>
      </c>
      <c r="B1202" s="42">
        <v>29.62</v>
      </c>
      <c r="C1202">
        <v>46.95</v>
      </c>
      <c r="D1202">
        <v>46.56</v>
      </c>
      <c r="E1202">
        <v>38.729999999999997</v>
      </c>
      <c r="F1202">
        <v>121.67</v>
      </c>
      <c r="G1202">
        <v>128.56</v>
      </c>
      <c r="H1202">
        <v>109.78</v>
      </c>
      <c r="K1202" s="9">
        <f t="shared" si="138"/>
        <v>-0.78000000000000114</v>
      </c>
      <c r="L1202">
        <f t="shared" si="139"/>
        <v>-1.0500000000000043</v>
      </c>
      <c r="M1202">
        <f t="shared" si="140"/>
        <v>-0.1699999999999946</v>
      </c>
      <c r="N1202">
        <f t="shared" si="141"/>
        <v>-0.43999999999999773</v>
      </c>
      <c r="O1202">
        <f t="shared" si="142"/>
        <v>-0.11000000000001364</v>
      </c>
      <c r="P1202" s="10">
        <f t="shared" si="143"/>
        <v>0.12000000000000455</v>
      </c>
    </row>
    <row r="1203" spans="1:16">
      <c r="A1203">
        <v>196.33</v>
      </c>
      <c r="B1203" s="42">
        <v>29.4</v>
      </c>
      <c r="C1203">
        <v>46.56</v>
      </c>
      <c r="D1203">
        <v>46.01</v>
      </c>
      <c r="E1203">
        <v>38.9</v>
      </c>
      <c r="F1203">
        <v>121.78</v>
      </c>
      <c r="G1203">
        <v>128.56</v>
      </c>
      <c r="H1203">
        <v>109.9</v>
      </c>
      <c r="K1203" s="9">
        <f t="shared" si="138"/>
        <v>-0.71999999999999886</v>
      </c>
      <c r="L1203">
        <f t="shared" si="139"/>
        <v>-0.72999999999999687</v>
      </c>
      <c r="M1203">
        <f t="shared" si="140"/>
        <v>-0.5</v>
      </c>
      <c r="N1203">
        <f t="shared" si="141"/>
        <v>-0.5</v>
      </c>
      <c r="O1203">
        <f t="shared" si="142"/>
        <v>-0.11000000000001364</v>
      </c>
      <c r="P1203" s="10">
        <f t="shared" si="143"/>
        <v>-0.28000000000000114</v>
      </c>
    </row>
    <row r="1204" spans="1:16">
      <c r="A1204">
        <v>196.5</v>
      </c>
      <c r="B1204" s="42">
        <v>29.34</v>
      </c>
      <c r="C1204">
        <v>46.34</v>
      </c>
      <c r="D1204">
        <v>45.73</v>
      </c>
      <c r="E1204">
        <v>38.67</v>
      </c>
      <c r="F1204">
        <v>121.23</v>
      </c>
      <c r="G1204">
        <v>128.44999999999999</v>
      </c>
      <c r="H1204">
        <v>110.28</v>
      </c>
      <c r="K1204" s="9">
        <f t="shared" si="138"/>
        <v>-0.5</v>
      </c>
      <c r="L1204">
        <f t="shared" si="139"/>
        <v>-0.55999999999999517</v>
      </c>
      <c r="M1204">
        <f t="shared" si="140"/>
        <v>-0.44000000000000483</v>
      </c>
      <c r="N1204">
        <f t="shared" si="141"/>
        <v>0.21999999999999886</v>
      </c>
      <c r="O1204">
        <f t="shared" si="142"/>
        <v>-4.9999999999982947E-2</v>
      </c>
      <c r="P1204" s="10">
        <f t="shared" si="143"/>
        <v>-0.54999999999999716</v>
      </c>
    </row>
    <row r="1205" spans="1:16">
      <c r="A1205">
        <v>196.67</v>
      </c>
      <c r="B1205" s="42">
        <v>29.28</v>
      </c>
      <c r="C1205">
        <v>46.17</v>
      </c>
      <c r="D1205">
        <v>45.51</v>
      </c>
      <c r="E1205">
        <v>38.56</v>
      </c>
      <c r="F1205">
        <v>121.23</v>
      </c>
      <c r="G1205">
        <v>128.44999999999999</v>
      </c>
      <c r="H1205">
        <v>109.9</v>
      </c>
      <c r="K1205" s="9">
        <f t="shared" si="138"/>
        <v>-0.71999999999999886</v>
      </c>
      <c r="L1205">
        <f t="shared" si="139"/>
        <v>-0.60999999999999943</v>
      </c>
      <c r="M1205">
        <f t="shared" si="140"/>
        <v>-0.71999999999999886</v>
      </c>
      <c r="N1205">
        <f t="shared" si="141"/>
        <v>0.39000000000000057</v>
      </c>
      <c r="O1205">
        <f t="shared" si="142"/>
        <v>-4.9999999999982947E-2</v>
      </c>
      <c r="P1205" s="10">
        <f t="shared" si="143"/>
        <v>-0.45000000000000284</v>
      </c>
    </row>
    <row r="1206" spans="1:16">
      <c r="A1206">
        <v>196.83</v>
      </c>
      <c r="B1206" s="42">
        <v>29.17</v>
      </c>
      <c r="C1206">
        <v>45.84</v>
      </c>
      <c r="D1206">
        <v>45.28</v>
      </c>
      <c r="E1206">
        <v>38.4</v>
      </c>
      <c r="F1206">
        <v>121.28</v>
      </c>
      <c r="G1206">
        <v>128.44999999999999</v>
      </c>
      <c r="H1206">
        <v>109.62</v>
      </c>
      <c r="K1206" s="9">
        <f t="shared" si="138"/>
        <v>-0.67000000000000171</v>
      </c>
      <c r="L1206">
        <f t="shared" si="139"/>
        <v>-0.55000000000000426</v>
      </c>
      <c r="M1206">
        <f t="shared" si="140"/>
        <v>-0.22999999999999687</v>
      </c>
      <c r="N1206">
        <f t="shared" si="141"/>
        <v>0.28000000000000114</v>
      </c>
      <c r="O1206">
        <f t="shared" si="142"/>
        <v>-4.9999999999982947E-2</v>
      </c>
      <c r="P1206" s="10">
        <f t="shared" si="143"/>
        <v>0.10999999999999943</v>
      </c>
    </row>
    <row r="1207" spans="1:16">
      <c r="A1207">
        <v>197</v>
      </c>
      <c r="B1207" s="42">
        <v>29.23</v>
      </c>
      <c r="C1207">
        <v>45.84</v>
      </c>
      <c r="D1207">
        <v>45.17</v>
      </c>
      <c r="E1207">
        <v>38.229999999999997</v>
      </c>
      <c r="F1207">
        <v>121.45</v>
      </c>
      <c r="G1207">
        <v>128.4</v>
      </c>
      <c r="H1207">
        <v>109.73</v>
      </c>
      <c r="K1207" s="9">
        <f t="shared" si="138"/>
        <v>-0.8300000000000054</v>
      </c>
      <c r="L1207">
        <f t="shared" si="139"/>
        <v>-0.66000000000000369</v>
      </c>
      <c r="M1207">
        <f t="shared" si="140"/>
        <v>5.0000000000004263E-2</v>
      </c>
      <c r="N1207">
        <f t="shared" si="141"/>
        <v>-0.10999999999999943</v>
      </c>
      <c r="O1207">
        <f t="shared" si="142"/>
        <v>0.10999999999998522</v>
      </c>
      <c r="P1207" s="10">
        <f t="shared" si="143"/>
        <v>0.60999999999999943</v>
      </c>
    </row>
    <row r="1208" spans="1:16">
      <c r="A1208">
        <v>197.17</v>
      </c>
      <c r="B1208" s="42">
        <v>29.12</v>
      </c>
      <c r="C1208">
        <v>45.45</v>
      </c>
      <c r="D1208">
        <v>44.9</v>
      </c>
      <c r="E1208">
        <v>37.840000000000003</v>
      </c>
      <c r="F1208">
        <v>121.62</v>
      </c>
      <c r="G1208">
        <v>128.4</v>
      </c>
      <c r="H1208">
        <v>109.45</v>
      </c>
      <c r="K1208" s="9">
        <f t="shared" si="138"/>
        <v>-0.89000000000000057</v>
      </c>
      <c r="L1208">
        <f t="shared" si="139"/>
        <v>-0.72999999999999687</v>
      </c>
      <c r="M1208">
        <f t="shared" si="140"/>
        <v>0.32999999999999829</v>
      </c>
      <c r="N1208">
        <f t="shared" si="141"/>
        <v>-0.67000000000000171</v>
      </c>
      <c r="O1208">
        <f t="shared" si="142"/>
        <v>0</v>
      </c>
      <c r="P1208" s="10">
        <f t="shared" si="143"/>
        <v>0.82999999999999829</v>
      </c>
    </row>
    <row r="1209" spans="1:16">
      <c r="A1209">
        <v>197.33</v>
      </c>
      <c r="B1209" s="42">
        <v>29.12</v>
      </c>
      <c r="C1209">
        <v>45.17</v>
      </c>
      <c r="D1209">
        <v>44.73</v>
      </c>
      <c r="E1209">
        <v>38.17</v>
      </c>
      <c r="F1209">
        <v>121.56</v>
      </c>
      <c r="G1209">
        <v>128.4</v>
      </c>
      <c r="H1209">
        <v>109.73</v>
      </c>
      <c r="K1209" s="9">
        <f t="shared" si="138"/>
        <v>-0.66000000000000369</v>
      </c>
      <c r="L1209">
        <f t="shared" si="139"/>
        <v>-0.77999999999999403</v>
      </c>
      <c r="M1209">
        <f t="shared" si="140"/>
        <v>-0.16000000000000369</v>
      </c>
      <c r="N1209">
        <f t="shared" si="141"/>
        <v>-0.28000000000000114</v>
      </c>
      <c r="O1209">
        <f t="shared" si="142"/>
        <v>0</v>
      </c>
      <c r="P1209" s="10">
        <f t="shared" si="143"/>
        <v>0.21999999999999886</v>
      </c>
    </row>
    <row r="1210" spans="1:16">
      <c r="A1210">
        <v>197.5</v>
      </c>
      <c r="B1210" s="42">
        <v>28.95</v>
      </c>
      <c r="C1210">
        <v>45.01</v>
      </c>
      <c r="D1210">
        <v>44.51</v>
      </c>
      <c r="E1210">
        <v>38.28</v>
      </c>
      <c r="F1210">
        <v>121.34</v>
      </c>
      <c r="G1210">
        <v>128.51</v>
      </c>
      <c r="H1210">
        <v>110.34</v>
      </c>
      <c r="K1210" s="9">
        <f t="shared" si="138"/>
        <v>-0.55999999999999517</v>
      </c>
      <c r="L1210">
        <f t="shared" si="139"/>
        <v>-0.6699999999999946</v>
      </c>
      <c r="M1210">
        <f t="shared" si="140"/>
        <v>-0.55000000000000426</v>
      </c>
      <c r="N1210">
        <f t="shared" si="141"/>
        <v>-0.39000000000000057</v>
      </c>
      <c r="O1210">
        <f t="shared" si="142"/>
        <v>0</v>
      </c>
      <c r="P1210" s="10">
        <f t="shared" si="143"/>
        <v>-0.71999999999999886</v>
      </c>
    </row>
    <row r="1211" spans="1:16">
      <c r="A1211">
        <v>197.67</v>
      </c>
      <c r="B1211" s="42">
        <v>29.01</v>
      </c>
      <c r="C1211">
        <v>44.56</v>
      </c>
      <c r="D1211">
        <v>44.17</v>
      </c>
      <c r="E1211">
        <v>38.17</v>
      </c>
      <c r="F1211">
        <v>120.95</v>
      </c>
      <c r="G1211">
        <v>128.4</v>
      </c>
      <c r="H1211">
        <v>110.28</v>
      </c>
      <c r="K1211" s="9">
        <f t="shared" si="138"/>
        <v>-0.16000000000000369</v>
      </c>
      <c r="L1211">
        <f t="shared" si="139"/>
        <v>-0.32999999999999829</v>
      </c>
      <c r="M1211">
        <f t="shared" si="140"/>
        <v>-0.60999999999999943</v>
      </c>
      <c r="N1211">
        <f t="shared" si="141"/>
        <v>0</v>
      </c>
      <c r="O1211">
        <f t="shared" si="142"/>
        <v>0.10999999999998522</v>
      </c>
      <c r="P1211" s="10">
        <f t="shared" si="143"/>
        <v>-4.9999999999997158E-2</v>
      </c>
    </row>
    <row r="1212" spans="1:16">
      <c r="A1212">
        <v>197.83</v>
      </c>
      <c r="B1212" s="42">
        <v>28.9</v>
      </c>
      <c r="C1212">
        <v>44.51</v>
      </c>
      <c r="D1212">
        <v>43.95</v>
      </c>
      <c r="E1212">
        <v>38.01</v>
      </c>
      <c r="F1212">
        <v>121.28</v>
      </c>
      <c r="G1212">
        <v>128.4</v>
      </c>
      <c r="H1212">
        <v>109.95</v>
      </c>
      <c r="K1212" s="9">
        <f t="shared" si="138"/>
        <v>-0.1699999999999946</v>
      </c>
      <c r="L1212">
        <f t="shared" si="139"/>
        <v>-0.10999999999999943</v>
      </c>
      <c r="M1212">
        <f t="shared" si="140"/>
        <v>-0.78000000000000114</v>
      </c>
      <c r="N1212">
        <f t="shared" si="141"/>
        <v>-0.37999999999999545</v>
      </c>
      <c r="O1212">
        <f t="shared" si="142"/>
        <v>0.21999999999999886</v>
      </c>
      <c r="P1212" s="10">
        <f t="shared" si="143"/>
        <v>0.89000000000000057</v>
      </c>
    </row>
    <row r="1213" spans="1:16">
      <c r="A1213">
        <v>198</v>
      </c>
      <c r="B1213" s="42">
        <v>28.84</v>
      </c>
      <c r="C1213">
        <v>44.45</v>
      </c>
      <c r="D1213">
        <v>43.84</v>
      </c>
      <c r="E1213">
        <v>37.729999999999997</v>
      </c>
      <c r="F1213">
        <v>120.95</v>
      </c>
      <c r="G1213">
        <v>128.51</v>
      </c>
      <c r="H1213">
        <v>109.62</v>
      </c>
      <c r="K1213" s="9">
        <f t="shared" si="138"/>
        <v>-0.28000000000000114</v>
      </c>
      <c r="L1213">
        <f t="shared" si="139"/>
        <v>-0.22000000000000597</v>
      </c>
      <c r="M1213">
        <f t="shared" si="140"/>
        <v>-0.71999999999999886</v>
      </c>
      <c r="N1213">
        <f t="shared" si="141"/>
        <v>0.45000000000000284</v>
      </c>
      <c r="O1213">
        <f t="shared" si="142"/>
        <v>0.11000000000001364</v>
      </c>
      <c r="P1213" s="10">
        <f t="shared" si="143"/>
        <v>1.2800000000000011</v>
      </c>
    </row>
    <row r="1214" spans="1:16">
      <c r="A1214">
        <v>198.17</v>
      </c>
      <c r="B1214" s="42">
        <v>28.9</v>
      </c>
      <c r="C1214">
        <v>44.4</v>
      </c>
      <c r="D1214">
        <v>43.84</v>
      </c>
      <c r="E1214">
        <v>37.56</v>
      </c>
      <c r="F1214">
        <v>120.95</v>
      </c>
      <c r="G1214">
        <v>128.51</v>
      </c>
      <c r="H1214">
        <v>110.23</v>
      </c>
      <c r="K1214" s="9">
        <f t="shared" si="138"/>
        <v>-0.44999999999999574</v>
      </c>
      <c r="L1214">
        <f t="shared" si="139"/>
        <v>-0.39000000000000057</v>
      </c>
      <c r="M1214">
        <f t="shared" si="140"/>
        <v>-0.55000000000000426</v>
      </c>
      <c r="N1214">
        <f t="shared" si="141"/>
        <v>0.82999999999999829</v>
      </c>
      <c r="O1214">
        <f t="shared" si="142"/>
        <v>0.15999999999999659</v>
      </c>
      <c r="P1214" s="10">
        <f t="shared" si="143"/>
        <v>0.67000000000000171</v>
      </c>
    </row>
    <row r="1215" spans="1:16">
      <c r="A1215">
        <v>198.33</v>
      </c>
      <c r="B1215" s="42">
        <v>28.78</v>
      </c>
      <c r="C1215">
        <v>44.34</v>
      </c>
      <c r="D1215">
        <v>43.84</v>
      </c>
      <c r="E1215">
        <v>37.229999999999997</v>
      </c>
      <c r="F1215">
        <v>120.9</v>
      </c>
      <c r="G1215">
        <v>128.62</v>
      </c>
      <c r="H1215">
        <v>110.84</v>
      </c>
      <c r="K1215" s="9">
        <f t="shared" si="138"/>
        <v>-0.61000000000000654</v>
      </c>
      <c r="L1215">
        <f t="shared" si="139"/>
        <v>-0.61000000000000654</v>
      </c>
      <c r="M1215">
        <f t="shared" si="140"/>
        <v>0.17000000000000171</v>
      </c>
      <c r="N1215">
        <f t="shared" si="141"/>
        <v>1.0499999999999972</v>
      </c>
      <c r="O1215">
        <f t="shared" si="142"/>
        <v>0.21999999999999886</v>
      </c>
      <c r="P1215" s="10">
        <f t="shared" si="143"/>
        <v>0.21999999999999886</v>
      </c>
    </row>
    <row r="1216" spans="1:16">
      <c r="A1216">
        <v>198.5</v>
      </c>
      <c r="B1216" s="42">
        <v>29.06</v>
      </c>
      <c r="C1216">
        <v>44.17</v>
      </c>
      <c r="D1216">
        <v>43.62</v>
      </c>
      <c r="E1216">
        <v>37.01</v>
      </c>
      <c r="F1216">
        <v>121.4</v>
      </c>
      <c r="G1216">
        <v>128.62</v>
      </c>
      <c r="H1216">
        <v>110.9</v>
      </c>
      <c r="K1216" s="9">
        <f t="shared" si="138"/>
        <v>-0.39000000000000057</v>
      </c>
      <c r="L1216">
        <f t="shared" si="139"/>
        <v>-0.33999999999999631</v>
      </c>
      <c r="M1216">
        <f t="shared" si="140"/>
        <v>0.5</v>
      </c>
      <c r="N1216">
        <f t="shared" si="141"/>
        <v>0.32999999999999829</v>
      </c>
      <c r="O1216">
        <f t="shared" si="142"/>
        <v>0.21999999999999886</v>
      </c>
      <c r="P1216" s="10">
        <f t="shared" si="143"/>
        <v>0.5</v>
      </c>
    </row>
    <row r="1217" spans="1:16">
      <c r="A1217">
        <v>198.67</v>
      </c>
      <c r="B1217" s="42">
        <v>29.12</v>
      </c>
      <c r="C1217">
        <v>43.95</v>
      </c>
      <c r="D1217">
        <v>43.45</v>
      </c>
      <c r="E1217">
        <v>37.01</v>
      </c>
      <c r="F1217">
        <v>121.78</v>
      </c>
      <c r="G1217">
        <v>128.66999999999999</v>
      </c>
      <c r="H1217">
        <v>110.9</v>
      </c>
      <c r="K1217" s="9">
        <f t="shared" si="138"/>
        <v>-0.10999999999999943</v>
      </c>
      <c r="L1217">
        <f t="shared" si="139"/>
        <v>-0.10999999999999943</v>
      </c>
      <c r="M1217">
        <f t="shared" si="140"/>
        <v>0.66000000000000369</v>
      </c>
      <c r="N1217">
        <f t="shared" si="141"/>
        <v>-0.21999999999999886</v>
      </c>
      <c r="O1217">
        <f t="shared" si="142"/>
        <v>0.17000000000001592</v>
      </c>
      <c r="P1217" s="10">
        <f t="shared" si="143"/>
        <v>0.60999999999999943</v>
      </c>
    </row>
    <row r="1218" spans="1:16">
      <c r="A1218">
        <v>198.83</v>
      </c>
      <c r="B1218" s="42">
        <v>29.06</v>
      </c>
      <c r="C1218">
        <v>43.73</v>
      </c>
      <c r="D1218">
        <v>43.23</v>
      </c>
      <c r="E1218">
        <v>37.4</v>
      </c>
      <c r="F1218">
        <v>121.95</v>
      </c>
      <c r="G1218">
        <v>128.84</v>
      </c>
      <c r="H1218">
        <v>111.06</v>
      </c>
      <c r="K1218" s="9">
        <f t="shared" si="138"/>
        <v>0.3300000000000054</v>
      </c>
      <c r="L1218">
        <f t="shared" si="139"/>
        <v>0.3300000000000054</v>
      </c>
      <c r="M1218">
        <f t="shared" si="140"/>
        <v>0.32999999999999829</v>
      </c>
      <c r="N1218">
        <f t="shared" si="141"/>
        <v>-1</v>
      </c>
      <c r="O1218">
        <f t="shared" si="142"/>
        <v>6.0000000000002274E-2</v>
      </c>
      <c r="P1218" s="10">
        <f t="shared" si="143"/>
        <v>-0.54999999999999716</v>
      </c>
    </row>
    <row r="1219" spans="1:16">
      <c r="A1219">
        <v>199</v>
      </c>
      <c r="B1219" s="42">
        <v>29.06</v>
      </c>
      <c r="C1219">
        <v>43.78</v>
      </c>
      <c r="D1219">
        <v>43.28</v>
      </c>
      <c r="E1219">
        <v>37.51</v>
      </c>
      <c r="F1219">
        <v>121.73</v>
      </c>
      <c r="G1219">
        <v>128.84</v>
      </c>
      <c r="H1219">
        <v>111.4</v>
      </c>
      <c r="K1219" s="9">
        <f t="shared" si="138"/>
        <v>0.39000000000000057</v>
      </c>
      <c r="L1219">
        <f t="shared" si="139"/>
        <v>0.39000000000000057</v>
      </c>
      <c r="M1219">
        <f t="shared" si="140"/>
        <v>0.8300000000000054</v>
      </c>
      <c r="N1219">
        <f t="shared" si="141"/>
        <v>-0.60999999999999943</v>
      </c>
      <c r="O1219">
        <f t="shared" si="142"/>
        <v>6.0000000000002274E-2</v>
      </c>
      <c r="P1219" s="10">
        <f t="shared" si="143"/>
        <v>-0.39000000000000057</v>
      </c>
    </row>
    <row r="1220" spans="1:16">
      <c r="A1220">
        <v>199.17</v>
      </c>
      <c r="B1220" s="42">
        <v>28.95</v>
      </c>
      <c r="C1220">
        <v>43.84</v>
      </c>
      <c r="D1220">
        <v>43.34</v>
      </c>
      <c r="E1220">
        <v>37.67</v>
      </c>
      <c r="F1220">
        <v>121.56</v>
      </c>
      <c r="G1220">
        <v>128.84</v>
      </c>
      <c r="H1220">
        <v>111.51</v>
      </c>
      <c r="K1220" s="9">
        <f t="shared" si="138"/>
        <v>0.10999999999999943</v>
      </c>
      <c r="L1220">
        <f t="shared" si="139"/>
        <v>0.27999999999999403</v>
      </c>
      <c r="M1220">
        <f t="shared" si="140"/>
        <v>1.1099999999999994</v>
      </c>
      <c r="N1220">
        <f t="shared" si="141"/>
        <v>-0.21999999999999886</v>
      </c>
      <c r="O1220">
        <f t="shared" si="142"/>
        <v>0.10999999999998522</v>
      </c>
      <c r="P1220" s="10">
        <f t="shared" si="143"/>
        <v>-0.10999999999999943</v>
      </c>
    </row>
    <row r="1221" spans="1:16">
      <c r="A1221">
        <v>199.33</v>
      </c>
      <c r="B1221" s="42">
        <v>28.95</v>
      </c>
      <c r="C1221">
        <v>44.06</v>
      </c>
      <c r="D1221">
        <v>43.56</v>
      </c>
      <c r="E1221">
        <v>37.729999999999997</v>
      </c>
      <c r="F1221">
        <v>120.95</v>
      </c>
      <c r="G1221">
        <v>128.9</v>
      </c>
      <c r="H1221">
        <v>110.51</v>
      </c>
      <c r="K1221" s="9">
        <f t="shared" si="138"/>
        <v>-0.28000000000000114</v>
      </c>
      <c r="L1221">
        <f t="shared" si="139"/>
        <v>-0.21999999999999886</v>
      </c>
      <c r="M1221">
        <f t="shared" si="140"/>
        <v>0.89000000000000057</v>
      </c>
      <c r="N1221">
        <f t="shared" si="141"/>
        <v>0.28000000000000114</v>
      </c>
      <c r="O1221">
        <f t="shared" si="142"/>
        <v>0.15999999999999659</v>
      </c>
      <c r="P1221" s="10">
        <f t="shared" si="143"/>
        <v>0.15999999999999659</v>
      </c>
    </row>
    <row r="1222" spans="1:16">
      <c r="A1222">
        <v>199.5</v>
      </c>
      <c r="B1222" s="42">
        <v>28.78</v>
      </c>
      <c r="C1222">
        <v>44.17</v>
      </c>
      <c r="D1222">
        <v>43.67</v>
      </c>
      <c r="E1222">
        <v>38.340000000000003</v>
      </c>
      <c r="F1222">
        <v>121.12</v>
      </c>
      <c r="G1222">
        <v>128.9</v>
      </c>
      <c r="H1222">
        <v>111.01</v>
      </c>
      <c r="K1222" s="9">
        <f t="shared" si="138"/>
        <v>-0.27000000000000313</v>
      </c>
      <c r="L1222">
        <f t="shared" si="139"/>
        <v>-0.27000000000000313</v>
      </c>
      <c r="M1222">
        <f t="shared" si="140"/>
        <v>0.43999999999999773</v>
      </c>
      <c r="N1222">
        <f t="shared" si="141"/>
        <v>-0.17000000000000171</v>
      </c>
      <c r="O1222">
        <f t="shared" si="142"/>
        <v>0.15999999999999659</v>
      </c>
      <c r="P1222" s="10">
        <f t="shared" si="143"/>
        <v>-0.60999999999999943</v>
      </c>
    </row>
    <row r="1223" spans="1:16">
      <c r="A1223">
        <v>199.67</v>
      </c>
      <c r="B1223" s="42">
        <v>28.78</v>
      </c>
      <c r="C1223">
        <v>43.95</v>
      </c>
      <c r="D1223">
        <v>43.62</v>
      </c>
      <c r="E1223">
        <v>38.78</v>
      </c>
      <c r="F1223">
        <v>121.34</v>
      </c>
      <c r="G1223">
        <v>128.94999999999999</v>
      </c>
      <c r="H1223">
        <v>111.4</v>
      </c>
      <c r="K1223" s="9">
        <f t="shared" si="138"/>
        <v>-0.28000000000000114</v>
      </c>
      <c r="L1223">
        <f t="shared" si="139"/>
        <v>-0.5</v>
      </c>
      <c r="M1223">
        <f t="shared" si="140"/>
        <v>6.0000000000002274E-2</v>
      </c>
      <c r="N1223">
        <f t="shared" si="141"/>
        <v>-0.21999999999999886</v>
      </c>
      <c r="O1223">
        <f t="shared" si="142"/>
        <v>0.11000000000001364</v>
      </c>
      <c r="P1223" s="10">
        <f t="shared" si="143"/>
        <v>-0.84000000000000341</v>
      </c>
    </row>
    <row r="1224" spans="1:16">
      <c r="A1224">
        <v>199.83</v>
      </c>
      <c r="B1224" s="42">
        <v>28.78</v>
      </c>
      <c r="C1224">
        <v>43.78</v>
      </c>
      <c r="D1224">
        <v>43.34</v>
      </c>
      <c r="E1224">
        <v>38.619999999999997</v>
      </c>
      <c r="F1224">
        <v>121.23</v>
      </c>
      <c r="G1224">
        <v>129.06</v>
      </c>
      <c r="H1224">
        <v>110.67</v>
      </c>
      <c r="K1224" s="9">
        <f t="shared" si="138"/>
        <v>-0.27000000000000313</v>
      </c>
      <c r="L1224">
        <f t="shared" si="139"/>
        <v>-0.28000000000000114</v>
      </c>
      <c r="M1224">
        <f t="shared" si="140"/>
        <v>0.44000000000000483</v>
      </c>
      <c r="N1224">
        <f t="shared" si="141"/>
        <v>-0.10999999999999943</v>
      </c>
      <c r="O1224">
        <f t="shared" si="142"/>
        <v>0</v>
      </c>
      <c r="P1224" s="10">
        <f t="shared" si="143"/>
        <v>-0.26999999999999602</v>
      </c>
    </row>
    <row r="1225" spans="1:16">
      <c r="A1225">
        <v>200</v>
      </c>
      <c r="B1225" s="42">
        <v>28.62</v>
      </c>
      <c r="C1225">
        <v>43.9</v>
      </c>
      <c r="D1225">
        <v>43.4</v>
      </c>
      <c r="E1225">
        <v>38.78</v>
      </c>
      <c r="F1225">
        <v>120.95</v>
      </c>
      <c r="G1225">
        <v>129.06</v>
      </c>
      <c r="H1225">
        <v>110.4</v>
      </c>
      <c r="K1225" s="9">
        <f t="shared" si="138"/>
        <v>-0.22999999999999687</v>
      </c>
      <c r="L1225">
        <f t="shared" si="139"/>
        <v>-0.28000000000000114</v>
      </c>
      <c r="M1225">
        <f t="shared" si="140"/>
        <v>0.89000000000000057</v>
      </c>
      <c r="N1225">
        <f t="shared" si="141"/>
        <v>0.39000000000000057</v>
      </c>
      <c r="O1225">
        <f t="shared" si="142"/>
        <v>0.16999999999998749</v>
      </c>
      <c r="P1225" s="10">
        <f t="shared" si="143"/>
        <v>0.21999999999999886</v>
      </c>
    </row>
    <row r="1226" spans="1:16">
      <c r="A1226">
        <v>200.17</v>
      </c>
      <c r="B1226" s="42">
        <v>28.4</v>
      </c>
      <c r="C1226">
        <v>43.67</v>
      </c>
      <c r="D1226">
        <v>43.12</v>
      </c>
      <c r="E1226">
        <v>38.840000000000003</v>
      </c>
      <c r="F1226">
        <v>121.12</v>
      </c>
      <c r="G1226">
        <v>129.06</v>
      </c>
      <c r="H1226">
        <v>110.56</v>
      </c>
      <c r="K1226" s="9">
        <f t="shared" si="138"/>
        <v>-0.32999999999999829</v>
      </c>
      <c r="L1226">
        <f t="shared" si="139"/>
        <v>-0.21999999999999886</v>
      </c>
      <c r="M1226">
        <f t="shared" si="140"/>
        <v>0.71999999999999886</v>
      </c>
      <c r="N1226">
        <f t="shared" si="141"/>
        <v>0.15999999999999659</v>
      </c>
      <c r="O1226">
        <f t="shared" si="142"/>
        <v>6.0000000000002274E-2</v>
      </c>
      <c r="P1226" s="10">
        <f t="shared" si="143"/>
        <v>0.34000000000000341</v>
      </c>
    </row>
    <row r="1227" spans="1:16">
      <c r="A1227">
        <v>200.33</v>
      </c>
      <c r="B1227" s="42">
        <v>28.34</v>
      </c>
      <c r="C1227">
        <v>43.51</v>
      </c>
      <c r="D1227">
        <v>43.06</v>
      </c>
      <c r="E1227">
        <v>39.06</v>
      </c>
      <c r="F1227">
        <v>121.12</v>
      </c>
      <c r="G1227">
        <v>129.06</v>
      </c>
      <c r="H1227">
        <v>110.4</v>
      </c>
      <c r="K1227" s="9">
        <f t="shared" si="138"/>
        <v>-0.1699999999999946</v>
      </c>
      <c r="L1227">
        <f t="shared" si="139"/>
        <v>-0.21999999999999886</v>
      </c>
      <c r="M1227">
        <f t="shared" si="140"/>
        <v>0.78000000000000114</v>
      </c>
      <c r="N1227">
        <f t="shared" si="141"/>
        <v>-0.39000000000000057</v>
      </c>
      <c r="O1227">
        <f t="shared" si="142"/>
        <v>0.16999999999998749</v>
      </c>
      <c r="P1227" s="10">
        <f t="shared" si="143"/>
        <v>0.5</v>
      </c>
    </row>
    <row r="1228" spans="1:16">
      <c r="A1228">
        <v>200.5</v>
      </c>
      <c r="B1228" s="42">
        <v>28.28</v>
      </c>
      <c r="C1228">
        <v>43.67</v>
      </c>
      <c r="D1228">
        <v>43.12</v>
      </c>
      <c r="E1228">
        <v>39.67</v>
      </c>
      <c r="F1228">
        <v>121.34</v>
      </c>
      <c r="G1228">
        <v>129.22999999999999</v>
      </c>
      <c r="H1228">
        <v>110.62</v>
      </c>
      <c r="K1228" s="9">
        <f t="shared" si="138"/>
        <v>-0.39000000000000057</v>
      </c>
      <c r="L1228">
        <f t="shared" si="139"/>
        <v>-0.27999999999999403</v>
      </c>
      <c r="M1228">
        <f t="shared" si="140"/>
        <v>0.28000000000000114</v>
      </c>
      <c r="N1228">
        <f t="shared" si="141"/>
        <v>-0.78000000000000114</v>
      </c>
      <c r="O1228">
        <f t="shared" si="142"/>
        <v>-0.16999999999998749</v>
      </c>
      <c r="P1228" s="10">
        <f t="shared" si="143"/>
        <v>0.43999999999999773</v>
      </c>
    </row>
    <row r="1229" spans="1:16">
      <c r="A1229">
        <v>200.67</v>
      </c>
      <c r="B1229" s="42">
        <v>28.17</v>
      </c>
      <c r="C1229">
        <v>43.34</v>
      </c>
      <c r="D1229">
        <v>42.9</v>
      </c>
      <c r="E1229">
        <v>39.56</v>
      </c>
      <c r="F1229">
        <v>121.28</v>
      </c>
      <c r="G1229">
        <v>129.12</v>
      </c>
      <c r="H1229">
        <v>110.9</v>
      </c>
      <c r="K1229" s="9">
        <f t="shared" si="138"/>
        <v>0</v>
      </c>
      <c r="L1229">
        <f t="shared" si="139"/>
        <v>-5.9999999999995168E-2</v>
      </c>
      <c r="M1229">
        <f t="shared" si="140"/>
        <v>0.83999999999999631</v>
      </c>
      <c r="N1229">
        <f t="shared" si="141"/>
        <v>-0.32999999999999829</v>
      </c>
      <c r="O1229">
        <f t="shared" si="142"/>
        <v>0</v>
      </c>
      <c r="P1229" s="10">
        <f t="shared" si="143"/>
        <v>-0.23000000000000398</v>
      </c>
    </row>
    <row r="1230" spans="1:16">
      <c r="A1230">
        <v>200.83</v>
      </c>
      <c r="B1230" s="42">
        <v>28.23</v>
      </c>
      <c r="C1230">
        <v>43.34</v>
      </c>
      <c r="D1230">
        <v>42.84</v>
      </c>
      <c r="E1230">
        <v>39.840000000000003</v>
      </c>
      <c r="F1230">
        <v>120.73</v>
      </c>
      <c r="G1230">
        <v>129.22999999999999</v>
      </c>
      <c r="H1230">
        <v>110.9</v>
      </c>
      <c r="K1230" s="9">
        <f t="shared" si="138"/>
        <v>0</v>
      </c>
      <c r="L1230">
        <f t="shared" si="139"/>
        <v>-6.0000000000002274E-2</v>
      </c>
      <c r="M1230">
        <f t="shared" si="140"/>
        <v>0.6699999999999946</v>
      </c>
      <c r="N1230">
        <f t="shared" si="141"/>
        <v>4.9999999999997158E-2</v>
      </c>
      <c r="O1230">
        <f t="shared" si="142"/>
        <v>-0.10999999999998522</v>
      </c>
      <c r="P1230" s="10">
        <f t="shared" si="143"/>
        <v>-0.5</v>
      </c>
    </row>
    <row r="1231" spans="1:16">
      <c r="A1231">
        <v>201</v>
      </c>
      <c r="B1231" s="42">
        <v>28.06</v>
      </c>
      <c r="C1231">
        <v>43.28</v>
      </c>
      <c r="D1231">
        <v>42.84</v>
      </c>
      <c r="E1231">
        <v>39.950000000000003</v>
      </c>
      <c r="F1231">
        <v>120.56</v>
      </c>
      <c r="G1231">
        <v>129.06</v>
      </c>
      <c r="H1231">
        <v>111.06</v>
      </c>
      <c r="K1231" s="9">
        <f t="shared" si="138"/>
        <v>0.11999999999999744</v>
      </c>
      <c r="L1231">
        <f t="shared" si="139"/>
        <v>0.10999999999999943</v>
      </c>
      <c r="M1231">
        <f t="shared" si="140"/>
        <v>0.77999999999999403</v>
      </c>
      <c r="N1231">
        <f t="shared" si="141"/>
        <v>0.28000000000000114</v>
      </c>
      <c r="O1231">
        <f t="shared" si="142"/>
        <v>0.10999999999998522</v>
      </c>
      <c r="P1231" s="10">
        <f t="shared" si="143"/>
        <v>-0.32999999999999829</v>
      </c>
    </row>
    <row r="1232" spans="1:16">
      <c r="A1232">
        <v>201.17</v>
      </c>
      <c r="B1232" s="42">
        <v>28.06</v>
      </c>
      <c r="C1232">
        <v>43.34</v>
      </c>
      <c r="D1232">
        <v>42.84</v>
      </c>
      <c r="E1232">
        <v>40.4</v>
      </c>
      <c r="F1232">
        <v>120.95</v>
      </c>
      <c r="G1232">
        <v>129.12</v>
      </c>
      <c r="H1232">
        <v>110.67</v>
      </c>
      <c r="K1232" s="9">
        <f t="shared" si="138"/>
        <v>-0.17000000000000171</v>
      </c>
      <c r="L1232">
        <f t="shared" si="139"/>
        <v>-0.11000000000000654</v>
      </c>
      <c r="M1232">
        <f t="shared" si="140"/>
        <v>0.55000000000000426</v>
      </c>
      <c r="N1232">
        <f t="shared" si="141"/>
        <v>-0.39000000000000057</v>
      </c>
      <c r="O1232">
        <f t="shared" si="142"/>
        <v>4.9999999999982947E-2</v>
      </c>
      <c r="P1232" s="10">
        <f t="shared" si="143"/>
        <v>-0.43999999999999773</v>
      </c>
    </row>
    <row r="1233" spans="1:16">
      <c r="A1233">
        <v>201.33</v>
      </c>
      <c r="B1233" s="42">
        <v>27.95</v>
      </c>
      <c r="C1233">
        <v>43.34</v>
      </c>
      <c r="D1233">
        <v>42.78</v>
      </c>
      <c r="E1233">
        <v>40.51</v>
      </c>
      <c r="F1233">
        <v>120.78</v>
      </c>
      <c r="G1233">
        <v>129.12</v>
      </c>
      <c r="H1233">
        <v>110.4</v>
      </c>
      <c r="K1233" s="9">
        <f t="shared" si="138"/>
        <v>-0.22000000000000597</v>
      </c>
      <c r="L1233">
        <f t="shared" si="139"/>
        <v>-0.10999999999999943</v>
      </c>
      <c r="M1233">
        <f t="shared" si="140"/>
        <v>0.71999999999999886</v>
      </c>
      <c r="N1233">
        <f t="shared" si="141"/>
        <v>-0.5</v>
      </c>
      <c r="O1233">
        <f t="shared" si="142"/>
        <v>0.10999999999998522</v>
      </c>
      <c r="P1233" s="10">
        <f t="shared" si="143"/>
        <v>0.37999999999999545</v>
      </c>
    </row>
    <row r="1234" spans="1:16">
      <c r="A1234">
        <v>201.5</v>
      </c>
      <c r="B1234" s="42">
        <v>28.01</v>
      </c>
      <c r="C1234">
        <v>43.4</v>
      </c>
      <c r="D1234">
        <v>42.95</v>
      </c>
      <c r="E1234">
        <v>40.729999999999997</v>
      </c>
      <c r="F1234">
        <v>120.84</v>
      </c>
      <c r="G1234">
        <v>129.16999999999999</v>
      </c>
      <c r="H1234">
        <v>110.73</v>
      </c>
      <c r="K1234" s="9">
        <f t="shared" si="138"/>
        <v>-0.55999999999999517</v>
      </c>
      <c r="L1234">
        <f t="shared" si="139"/>
        <v>-0.55000000000000426</v>
      </c>
      <c r="M1234">
        <f t="shared" si="140"/>
        <v>0.89000000000000057</v>
      </c>
      <c r="N1234">
        <f t="shared" si="141"/>
        <v>-0.67000000000000171</v>
      </c>
      <c r="O1234">
        <f t="shared" si="142"/>
        <v>-4.9999999999982947E-2</v>
      </c>
      <c r="P1234" s="10">
        <f t="shared" si="143"/>
        <v>-0.56000000000000227</v>
      </c>
    </row>
    <row r="1235" spans="1:16">
      <c r="A1235">
        <v>201.67</v>
      </c>
      <c r="B1235" s="42">
        <v>27.95</v>
      </c>
      <c r="C1235">
        <v>43.17</v>
      </c>
      <c r="D1235">
        <v>42.73</v>
      </c>
      <c r="E1235">
        <v>40.950000000000003</v>
      </c>
      <c r="F1235">
        <v>120.56</v>
      </c>
      <c r="G1235">
        <v>129.16999999999999</v>
      </c>
      <c r="H1235">
        <v>110.23</v>
      </c>
      <c r="K1235" s="9">
        <f t="shared" si="138"/>
        <v>-0.5</v>
      </c>
      <c r="L1235">
        <f t="shared" si="139"/>
        <v>-0.55999999999999517</v>
      </c>
      <c r="M1235">
        <f t="shared" si="140"/>
        <v>1</v>
      </c>
      <c r="N1235">
        <f t="shared" si="141"/>
        <v>-0.43999999999999773</v>
      </c>
      <c r="O1235">
        <f t="shared" si="142"/>
        <v>-4.9999999999982947E-2</v>
      </c>
      <c r="P1235" s="10">
        <f t="shared" si="143"/>
        <v>0.21999999999999886</v>
      </c>
    </row>
    <row r="1236" spans="1:16">
      <c r="A1236">
        <v>201.83</v>
      </c>
      <c r="B1236" s="42">
        <v>27.9</v>
      </c>
      <c r="C1236">
        <v>43.12</v>
      </c>
      <c r="D1236">
        <v>42.67</v>
      </c>
      <c r="E1236">
        <v>41.23</v>
      </c>
      <c r="F1236">
        <v>120.28</v>
      </c>
      <c r="G1236">
        <v>129.22999999999999</v>
      </c>
      <c r="H1236">
        <v>110.78</v>
      </c>
      <c r="K1236" s="9">
        <f t="shared" si="138"/>
        <v>-0.60999999999999943</v>
      </c>
      <c r="L1236">
        <f t="shared" si="139"/>
        <v>-0.66000000000000369</v>
      </c>
      <c r="M1236">
        <f t="shared" si="140"/>
        <v>1.3300000000000054</v>
      </c>
      <c r="N1236">
        <f t="shared" si="141"/>
        <v>0</v>
      </c>
      <c r="O1236">
        <f t="shared" si="142"/>
        <v>-6.0000000000002274E-2</v>
      </c>
      <c r="P1236" s="10">
        <f t="shared" si="143"/>
        <v>-4.9999999999997158E-2</v>
      </c>
    </row>
    <row r="1237" spans="1:16">
      <c r="A1237">
        <v>202</v>
      </c>
      <c r="B1237" s="42">
        <v>27.84</v>
      </c>
      <c r="C1237">
        <v>42.84</v>
      </c>
      <c r="D1237">
        <v>42.4</v>
      </c>
      <c r="E1237">
        <v>41.62</v>
      </c>
      <c r="F1237">
        <v>120.17</v>
      </c>
      <c r="G1237">
        <v>129.12</v>
      </c>
      <c r="H1237">
        <v>110.17</v>
      </c>
      <c r="K1237" s="9">
        <f t="shared" si="138"/>
        <v>-0.72000000000000597</v>
      </c>
      <c r="L1237">
        <f t="shared" si="139"/>
        <v>-0.67000000000000171</v>
      </c>
      <c r="M1237">
        <f t="shared" si="140"/>
        <v>1.220000000000006</v>
      </c>
      <c r="N1237">
        <f t="shared" si="141"/>
        <v>0.17000000000000171</v>
      </c>
      <c r="O1237">
        <f t="shared" si="142"/>
        <v>4.9999999999982947E-2</v>
      </c>
      <c r="P1237" s="10">
        <f t="shared" si="143"/>
        <v>1.1099999999999994</v>
      </c>
    </row>
    <row r="1238" spans="1:16">
      <c r="A1238">
        <v>202.17</v>
      </c>
      <c r="B1238" s="42">
        <v>27.78</v>
      </c>
      <c r="C1238">
        <v>42.67</v>
      </c>
      <c r="D1238">
        <v>42.17</v>
      </c>
      <c r="E1238">
        <v>41.95</v>
      </c>
      <c r="F1238">
        <v>120.12</v>
      </c>
      <c r="G1238">
        <v>129.12</v>
      </c>
      <c r="H1238">
        <v>110.45</v>
      </c>
      <c r="K1238" s="9">
        <f t="shared" si="138"/>
        <v>-0.5</v>
      </c>
      <c r="L1238">
        <f t="shared" si="139"/>
        <v>-0.44000000000000483</v>
      </c>
      <c r="M1238">
        <f t="shared" si="140"/>
        <v>1.1099999999999994</v>
      </c>
      <c r="N1238">
        <f t="shared" si="141"/>
        <v>0.60999999999999943</v>
      </c>
      <c r="O1238">
        <f t="shared" si="142"/>
        <v>4.9999999999982947E-2</v>
      </c>
      <c r="P1238" s="10">
        <f t="shared" si="143"/>
        <v>0.45000000000000284</v>
      </c>
    </row>
    <row r="1239" spans="1:16">
      <c r="A1239">
        <v>202.33</v>
      </c>
      <c r="B1239" s="42">
        <v>27.73</v>
      </c>
      <c r="C1239">
        <v>42.51</v>
      </c>
      <c r="D1239">
        <v>42.01</v>
      </c>
      <c r="E1239">
        <v>42.56</v>
      </c>
      <c r="F1239">
        <v>120.28</v>
      </c>
      <c r="G1239">
        <v>129.16999999999999</v>
      </c>
      <c r="H1239">
        <v>110.73</v>
      </c>
      <c r="K1239" s="9">
        <f t="shared" si="138"/>
        <v>-0.60999999999999943</v>
      </c>
      <c r="L1239">
        <f t="shared" si="139"/>
        <v>-0.60999999999999943</v>
      </c>
      <c r="M1239">
        <f t="shared" si="140"/>
        <v>0.21999999999999886</v>
      </c>
      <c r="N1239">
        <f t="shared" si="141"/>
        <v>6.0000000000002274E-2</v>
      </c>
      <c r="O1239">
        <f t="shared" si="142"/>
        <v>-4.9999999999982947E-2</v>
      </c>
      <c r="P1239" s="10">
        <f t="shared" si="143"/>
        <v>-0.56000000000000227</v>
      </c>
    </row>
    <row r="1240" spans="1:16">
      <c r="A1240">
        <v>202.5</v>
      </c>
      <c r="B1240" s="42">
        <v>27.73</v>
      </c>
      <c r="C1240">
        <v>42.12</v>
      </c>
      <c r="D1240">
        <v>41.73</v>
      </c>
      <c r="E1240">
        <v>42.84</v>
      </c>
      <c r="F1240">
        <v>120.34</v>
      </c>
      <c r="G1240">
        <v>129.16999999999999</v>
      </c>
      <c r="H1240">
        <v>111.28</v>
      </c>
      <c r="K1240" s="9">
        <f t="shared" si="138"/>
        <v>-0.60999999999999943</v>
      </c>
      <c r="L1240">
        <f t="shared" si="139"/>
        <v>-0.6699999999999946</v>
      </c>
      <c r="M1240">
        <f t="shared" si="140"/>
        <v>-0.61000000000000654</v>
      </c>
      <c r="N1240">
        <f t="shared" si="141"/>
        <v>0.17000000000000171</v>
      </c>
      <c r="O1240">
        <f t="shared" si="142"/>
        <v>-0.10999999999998522</v>
      </c>
      <c r="P1240" s="10">
        <f t="shared" si="143"/>
        <v>-0.76999999999999602</v>
      </c>
    </row>
    <row r="1241" spans="1:16">
      <c r="A1241">
        <v>202.67</v>
      </c>
      <c r="B1241" s="42">
        <v>27.73</v>
      </c>
      <c r="C1241">
        <v>42.17</v>
      </c>
      <c r="D1241">
        <v>41.73</v>
      </c>
      <c r="E1241">
        <v>43.06</v>
      </c>
      <c r="F1241">
        <v>120.73</v>
      </c>
      <c r="G1241">
        <v>129.16999999999999</v>
      </c>
      <c r="H1241">
        <v>110.9</v>
      </c>
      <c r="K1241" s="9">
        <f t="shared" ref="K1241:K1304" si="144">C1244-C1241</f>
        <v>-0.94000000000000483</v>
      </c>
      <c r="L1241">
        <f t="shared" ref="L1241:L1304" si="145">D1244-D1241</f>
        <v>-0.82999999999999829</v>
      </c>
      <c r="M1241">
        <f t="shared" ref="M1241:M1304" si="146">E1244-E1241</f>
        <v>-1.1600000000000037</v>
      </c>
      <c r="N1241">
        <f t="shared" ref="N1241:N1304" si="147">F1244-F1241</f>
        <v>-0.21999999999999886</v>
      </c>
      <c r="O1241">
        <f t="shared" ref="O1241:O1304" si="148">G1244-G1241</f>
        <v>0</v>
      </c>
      <c r="P1241" s="10">
        <f t="shared" ref="P1241:P1304" si="149">H1244-H1241</f>
        <v>0.15999999999999659</v>
      </c>
    </row>
    <row r="1242" spans="1:16">
      <c r="A1242">
        <v>202.83</v>
      </c>
      <c r="B1242" s="42">
        <v>27.78</v>
      </c>
      <c r="C1242">
        <v>41.9</v>
      </c>
      <c r="D1242">
        <v>41.4</v>
      </c>
      <c r="E1242">
        <v>42.78</v>
      </c>
      <c r="F1242">
        <v>120.34</v>
      </c>
      <c r="G1242">
        <v>129.12</v>
      </c>
      <c r="H1242">
        <v>110.17</v>
      </c>
      <c r="K1242" s="9">
        <f t="shared" si="144"/>
        <v>-0.94999999999999574</v>
      </c>
      <c r="L1242">
        <f t="shared" si="145"/>
        <v>-0.94999999999999574</v>
      </c>
      <c r="M1242">
        <f t="shared" si="146"/>
        <v>-1.5500000000000043</v>
      </c>
      <c r="N1242">
        <f t="shared" si="147"/>
        <v>0.43999999999999773</v>
      </c>
      <c r="O1242">
        <f t="shared" si="148"/>
        <v>-0.17000000000001592</v>
      </c>
      <c r="P1242" s="10">
        <f t="shared" si="149"/>
        <v>0.60999999999999943</v>
      </c>
    </row>
    <row r="1243" spans="1:16">
      <c r="A1243">
        <v>203</v>
      </c>
      <c r="B1243" s="42">
        <v>27.78</v>
      </c>
      <c r="C1243">
        <v>41.51</v>
      </c>
      <c r="D1243">
        <v>41.06</v>
      </c>
      <c r="E1243">
        <v>42.23</v>
      </c>
      <c r="F1243">
        <v>120.51</v>
      </c>
      <c r="G1243">
        <v>129.06</v>
      </c>
      <c r="H1243">
        <v>110.51</v>
      </c>
      <c r="K1243" s="9">
        <f t="shared" si="144"/>
        <v>-1</v>
      </c>
      <c r="L1243">
        <f t="shared" si="145"/>
        <v>-1.1099999999999994</v>
      </c>
      <c r="M1243">
        <f t="shared" si="146"/>
        <v>-1.279999999999994</v>
      </c>
      <c r="N1243">
        <f t="shared" si="147"/>
        <v>0.32999999999999829</v>
      </c>
      <c r="O1243">
        <f t="shared" si="148"/>
        <v>-0.15999999999999659</v>
      </c>
      <c r="P1243" s="10">
        <f t="shared" si="149"/>
        <v>4.9999999999997158E-2</v>
      </c>
    </row>
    <row r="1244" spans="1:16">
      <c r="A1244">
        <v>203.17</v>
      </c>
      <c r="B1244" s="42">
        <v>27.9</v>
      </c>
      <c r="C1244">
        <v>41.23</v>
      </c>
      <c r="D1244">
        <v>40.9</v>
      </c>
      <c r="E1244">
        <v>41.9</v>
      </c>
      <c r="F1244">
        <v>120.51</v>
      </c>
      <c r="G1244">
        <v>129.16999999999999</v>
      </c>
      <c r="H1244">
        <v>111.06</v>
      </c>
      <c r="K1244" s="9">
        <f t="shared" si="144"/>
        <v>-1.279999999999994</v>
      </c>
      <c r="L1244">
        <f t="shared" si="145"/>
        <v>-1.3399999999999963</v>
      </c>
      <c r="M1244">
        <f t="shared" si="146"/>
        <v>-1.6700000000000017</v>
      </c>
      <c r="N1244">
        <f t="shared" si="147"/>
        <v>0.39000000000000057</v>
      </c>
      <c r="O1244">
        <f t="shared" si="148"/>
        <v>-0.26999999999998181</v>
      </c>
      <c r="P1244" s="10">
        <f t="shared" si="149"/>
        <v>-0.65999999999999659</v>
      </c>
    </row>
    <row r="1245" spans="1:16">
      <c r="A1245">
        <v>203.33</v>
      </c>
      <c r="B1245" s="42">
        <v>27.78</v>
      </c>
      <c r="C1245">
        <v>40.950000000000003</v>
      </c>
      <c r="D1245">
        <v>40.450000000000003</v>
      </c>
      <c r="E1245">
        <v>41.23</v>
      </c>
      <c r="F1245">
        <v>120.78</v>
      </c>
      <c r="G1245">
        <v>128.94999999999999</v>
      </c>
      <c r="H1245">
        <v>110.78</v>
      </c>
      <c r="K1245" s="9">
        <f t="shared" si="144"/>
        <v>-1.3900000000000006</v>
      </c>
      <c r="L1245">
        <f t="shared" si="145"/>
        <v>-1.220000000000006</v>
      </c>
      <c r="M1245">
        <f t="shared" si="146"/>
        <v>-1.779999999999994</v>
      </c>
      <c r="N1245">
        <f t="shared" si="147"/>
        <v>0.62000000000000455</v>
      </c>
      <c r="O1245">
        <f t="shared" si="148"/>
        <v>-0.10999999999998522</v>
      </c>
      <c r="P1245" s="10">
        <f t="shared" si="149"/>
        <v>-0.21999999999999886</v>
      </c>
    </row>
    <row r="1246" spans="1:16">
      <c r="A1246">
        <v>203.5</v>
      </c>
      <c r="B1246" s="42">
        <v>27.9</v>
      </c>
      <c r="C1246">
        <v>40.51</v>
      </c>
      <c r="D1246">
        <v>39.950000000000003</v>
      </c>
      <c r="E1246">
        <v>40.950000000000003</v>
      </c>
      <c r="F1246">
        <v>120.84</v>
      </c>
      <c r="G1246">
        <v>128.9</v>
      </c>
      <c r="H1246">
        <v>110.56</v>
      </c>
      <c r="K1246" s="9">
        <f t="shared" si="144"/>
        <v>-1.2800000000000011</v>
      </c>
      <c r="L1246">
        <f t="shared" si="145"/>
        <v>-0.94000000000000483</v>
      </c>
      <c r="M1246">
        <f t="shared" si="146"/>
        <v>-2</v>
      </c>
      <c r="N1246">
        <f t="shared" si="147"/>
        <v>0.82999999999999829</v>
      </c>
      <c r="O1246">
        <f t="shared" si="148"/>
        <v>-6.0000000000002274E-2</v>
      </c>
      <c r="P1246" s="10">
        <f t="shared" si="149"/>
        <v>0.28000000000000114</v>
      </c>
    </row>
    <row r="1247" spans="1:16">
      <c r="A1247">
        <v>203.67</v>
      </c>
      <c r="B1247" s="42">
        <v>27.95</v>
      </c>
      <c r="C1247">
        <v>39.950000000000003</v>
      </c>
      <c r="D1247">
        <v>39.56</v>
      </c>
      <c r="E1247">
        <v>40.229999999999997</v>
      </c>
      <c r="F1247">
        <v>120.9</v>
      </c>
      <c r="G1247">
        <v>128.9</v>
      </c>
      <c r="H1247">
        <v>110.4</v>
      </c>
      <c r="K1247" s="9">
        <f t="shared" si="144"/>
        <v>-0.94000000000000483</v>
      </c>
      <c r="L1247">
        <f t="shared" si="145"/>
        <v>-0.89000000000000057</v>
      </c>
      <c r="M1247">
        <f t="shared" si="146"/>
        <v>-1.9499999999999957</v>
      </c>
      <c r="N1247">
        <f t="shared" si="147"/>
        <v>0.87999999999999545</v>
      </c>
      <c r="O1247">
        <f t="shared" si="148"/>
        <v>-6.0000000000002274E-2</v>
      </c>
      <c r="P1247" s="10">
        <f t="shared" si="149"/>
        <v>0.65999999999999659</v>
      </c>
    </row>
    <row r="1248" spans="1:16">
      <c r="A1248">
        <v>203.83</v>
      </c>
      <c r="B1248" s="42">
        <v>27.84</v>
      </c>
      <c r="C1248">
        <v>39.56</v>
      </c>
      <c r="D1248">
        <v>39.229999999999997</v>
      </c>
      <c r="E1248">
        <v>39.450000000000003</v>
      </c>
      <c r="F1248">
        <v>121.4</v>
      </c>
      <c r="G1248">
        <v>128.84</v>
      </c>
      <c r="H1248">
        <v>110.56</v>
      </c>
      <c r="K1248" s="9">
        <f t="shared" si="144"/>
        <v>-0.71999999999999886</v>
      </c>
      <c r="L1248">
        <f t="shared" si="145"/>
        <v>-0.77999999999999403</v>
      </c>
      <c r="M1248">
        <f t="shared" si="146"/>
        <v>-1.8900000000000006</v>
      </c>
      <c r="N1248">
        <f t="shared" si="147"/>
        <v>0.10999999999999943</v>
      </c>
      <c r="O1248">
        <f t="shared" si="148"/>
        <v>0</v>
      </c>
      <c r="P1248" s="10">
        <f t="shared" si="149"/>
        <v>1.1700000000000017</v>
      </c>
    </row>
    <row r="1249" spans="1:16">
      <c r="A1249">
        <v>204</v>
      </c>
      <c r="B1249" s="42">
        <v>28.06</v>
      </c>
      <c r="C1249">
        <v>39.229999999999997</v>
      </c>
      <c r="D1249">
        <v>39.01</v>
      </c>
      <c r="E1249">
        <v>38.950000000000003</v>
      </c>
      <c r="F1249">
        <v>121.67</v>
      </c>
      <c r="G1249">
        <v>128.84</v>
      </c>
      <c r="H1249">
        <v>110.84</v>
      </c>
      <c r="K1249" s="9">
        <f t="shared" si="144"/>
        <v>-0.82999999999999829</v>
      </c>
      <c r="L1249">
        <f t="shared" si="145"/>
        <v>-0.83999999999999631</v>
      </c>
      <c r="M1249">
        <f t="shared" si="146"/>
        <v>-1.8300000000000054</v>
      </c>
      <c r="N1249">
        <f t="shared" si="147"/>
        <v>-0.60999999999999943</v>
      </c>
      <c r="O1249">
        <f t="shared" si="148"/>
        <v>0</v>
      </c>
      <c r="P1249" s="10">
        <f t="shared" si="149"/>
        <v>1.1099999999999994</v>
      </c>
    </row>
    <row r="1250" spans="1:16">
      <c r="A1250">
        <v>204.17</v>
      </c>
      <c r="B1250" s="42">
        <v>27.9</v>
      </c>
      <c r="C1250">
        <v>39.01</v>
      </c>
      <c r="D1250">
        <v>38.67</v>
      </c>
      <c r="E1250">
        <v>38.28</v>
      </c>
      <c r="F1250">
        <v>121.78</v>
      </c>
      <c r="G1250">
        <v>128.84</v>
      </c>
      <c r="H1250">
        <v>111.06</v>
      </c>
      <c r="K1250" s="9">
        <f t="shared" si="144"/>
        <v>-0.94999999999999574</v>
      </c>
      <c r="L1250">
        <f t="shared" si="145"/>
        <v>-0.77000000000000313</v>
      </c>
      <c r="M1250">
        <f t="shared" si="146"/>
        <v>-1.5</v>
      </c>
      <c r="N1250">
        <f t="shared" si="147"/>
        <v>-1.2199999999999989</v>
      </c>
      <c r="O1250">
        <f t="shared" si="148"/>
        <v>0</v>
      </c>
      <c r="P1250" s="10">
        <f t="shared" si="149"/>
        <v>0.89000000000000057</v>
      </c>
    </row>
    <row r="1251" spans="1:16">
      <c r="A1251">
        <v>204.33</v>
      </c>
      <c r="B1251" s="42">
        <v>27.78</v>
      </c>
      <c r="C1251">
        <v>38.840000000000003</v>
      </c>
      <c r="D1251">
        <v>38.450000000000003</v>
      </c>
      <c r="E1251">
        <v>37.56</v>
      </c>
      <c r="F1251">
        <v>121.51</v>
      </c>
      <c r="G1251">
        <v>128.84</v>
      </c>
      <c r="H1251">
        <v>111.73</v>
      </c>
      <c r="K1251" s="9">
        <f t="shared" si="144"/>
        <v>-1</v>
      </c>
      <c r="L1251">
        <f t="shared" si="145"/>
        <v>-0.78000000000000114</v>
      </c>
      <c r="M1251">
        <f t="shared" si="146"/>
        <v>-1.0500000000000043</v>
      </c>
      <c r="N1251">
        <f t="shared" si="147"/>
        <v>-1.3400000000000034</v>
      </c>
      <c r="O1251">
        <f t="shared" si="148"/>
        <v>0</v>
      </c>
      <c r="P1251" s="10">
        <f t="shared" si="149"/>
        <v>0.21999999999999886</v>
      </c>
    </row>
    <row r="1252" spans="1:16">
      <c r="A1252">
        <v>204.5</v>
      </c>
      <c r="B1252" s="42">
        <v>27.9</v>
      </c>
      <c r="C1252">
        <v>38.4</v>
      </c>
      <c r="D1252">
        <v>38.17</v>
      </c>
      <c r="E1252">
        <v>37.119999999999997</v>
      </c>
      <c r="F1252">
        <v>121.06</v>
      </c>
      <c r="G1252">
        <v>128.84</v>
      </c>
      <c r="H1252">
        <v>111.95</v>
      </c>
      <c r="K1252" s="9">
        <f t="shared" si="144"/>
        <v>-0.83999999999999631</v>
      </c>
      <c r="L1252">
        <f t="shared" si="145"/>
        <v>-0.71999999999999886</v>
      </c>
      <c r="M1252">
        <f t="shared" si="146"/>
        <v>-0.89000000000000057</v>
      </c>
      <c r="N1252">
        <f t="shared" si="147"/>
        <v>-0.60999999999999943</v>
      </c>
      <c r="O1252">
        <f t="shared" si="148"/>
        <v>6.0000000000002274E-2</v>
      </c>
      <c r="P1252" s="10">
        <f t="shared" si="149"/>
        <v>0.32999999999999829</v>
      </c>
    </row>
    <row r="1253" spans="1:16">
      <c r="A1253">
        <v>204.67</v>
      </c>
      <c r="B1253" s="42">
        <v>28.01</v>
      </c>
      <c r="C1253">
        <v>38.06</v>
      </c>
      <c r="D1253">
        <v>37.9</v>
      </c>
      <c r="E1253">
        <v>36.78</v>
      </c>
      <c r="F1253">
        <v>120.56</v>
      </c>
      <c r="G1253">
        <v>128.84</v>
      </c>
      <c r="H1253">
        <v>111.95</v>
      </c>
      <c r="K1253" s="9">
        <f t="shared" si="144"/>
        <v>-0.78000000000000114</v>
      </c>
      <c r="L1253">
        <f t="shared" si="145"/>
        <v>-0.78000000000000114</v>
      </c>
      <c r="M1253">
        <f t="shared" si="146"/>
        <v>-0.88000000000000256</v>
      </c>
      <c r="N1253">
        <f t="shared" si="147"/>
        <v>-0.65999999999999659</v>
      </c>
      <c r="O1253">
        <f t="shared" si="148"/>
        <v>6.0000000000002274E-2</v>
      </c>
      <c r="P1253" s="10">
        <f t="shared" si="149"/>
        <v>0.60999999999999943</v>
      </c>
    </row>
    <row r="1254" spans="1:16">
      <c r="A1254">
        <v>204.83</v>
      </c>
      <c r="B1254" s="42">
        <v>28.06</v>
      </c>
      <c r="C1254">
        <v>37.840000000000003</v>
      </c>
      <c r="D1254">
        <v>37.67</v>
      </c>
      <c r="E1254">
        <v>36.51</v>
      </c>
      <c r="F1254">
        <v>120.17</v>
      </c>
      <c r="G1254">
        <v>128.84</v>
      </c>
      <c r="H1254">
        <v>111.95</v>
      </c>
      <c r="K1254" s="9">
        <f t="shared" si="144"/>
        <v>-0.61000000000000654</v>
      </c>
      <c r="L1254">
        <f t="shared" si="145"/>
        <v>-0.66000000000000369</v>
      </c>
      <c r="M1254">
        <f t="shared" si="146"/>
        <v>-0.89000000000000057</v>
      </c>
      <c r="N1254">
        <f t="shared" si="147"/>
        <v>-0.39000000000000057</v>
      </c>
      <c r="O1254">
        <f t="shared" si="148"/>
        <v>6.0000000000002274E-2</v>
      </c>
      <c r="P1254" s="10">
        <f t="shared" si="149"/>
        <v>1</v>
      </c>
    </row>
    <row r="1255" spans="1:16">
      <c r="A1255">
        <v>205</v>
      </c>
      <c r="B1255" s="42">
        <v>28.23</v>
      </c>
      <c r="C1255">
        <v>37.56</v>
      </c>
      <c r="D1255">
        <v>37.450000000000003</v>
      </c>
      <c r="E1255">
        <v>36.229999999999997</v>
      </c>
      <c r="F1255">
        <v>120.45</v>
      </c>
      <c r="G1255">
        <v>128.9</v>
      </c>
      <c r="H1255">
        <v>112.28</v>
      </c>
      <c r="K1255" s="9">
        <f t="shared" si="144"/>
        <v>-0.78000000000000114</v>
      </c>
      <c r="L1255">
        <f t="shared" si="145"/>
        <v>-0.67000000000000171</v>
      </c>
      <c r="M1255">
        <f t="shared" si="146"/>
        <v>-1.0599999999999952</v>
      </c>
      <c r="N1255">
        <f t="shared" si="147"/>
        <v>-0.32999999999999829</v>
      </c>
      <c r="O1255">
        <f t="shared" si="148"/>
        <v>0</v>
      </c>
      <c r="P1255" s="10">
        <f t="shared" si="149"/>
        <v>1.230000000000004</v>
      </c>
    </row>
    <row r="1256" spans="1:16">
      <c r="A1256">
        <v>205.17</v>
      </c>
      <c r="B1256" s="42">
        <v>28.12</v>
      </c>
      <c r="C1256">
        <v>37.28</v>
      </c>
      <c r="D1256">
        <v>37.119999999999997</v>
      </c>
      <c r="E1256">
        <v>35.9</v>
      </c>
      <c r="F1256">
        <v>119.9</v>
      </c>
      <c r="G1256">
        <v>128.9</v>
      </c>
      <c r="H1256">
        <v>112.56</v>
      </c>
      <c r="K1256" s="9">
        <f t="shared" si="144"/>
        <v>-0.55000000000000426</v>
      </c>
      <c r="L1256">
        <f t="shared" si="145"/>
        <v>-0.5</v>
      </c>
      <c r="M1256">
        <f t="shared" si="146"/>
        <v>-1.1700000000000017</v>
      </c>
      <c r="N1256">
        <f t="shared" si="147"/>
        <v>0.65999999999999659</v>
      </c>
      <c r="O1256">
        <f t="shared" si="148"/>
        <v>0</v>
      </c>
      <c r="P1256" s="10">
        <f t="shared" si="149"/>
        <v>1.3900000000000006</v>
      </c>
    </row>
    <row r="1257" spans="1:16">
      <c r="A1257">
        <v>205.33</v>
      </c>
      <c r="B1257" s="42">
        <v>28.23</v>
      </c>
      <c r="C1257">
        <v>37.229999999999997</v>
      </c>
      <c r="D1257">
        <v>37.01</v>
      </c>
      <c r="E1257">
        <v>35.619999999999997</v>
      </c>
      <c r="F1257">
        <v>119.78</v>
      </c>
      <c r="G1257">
        <v>128.9</v>
      </c>
      <c r="H1257">
        <v>112.95</v>
      </c>
      <c r="K1257" s="9">
        <f t="shared" si="144"/>
        <v>-0.6699999999999946</v>
      </c>
      <c r="L1257">
        <f t="shared" si="145"/>
        <v>-0.6699999999999946</v>
      </c>
      <c r="M1257">
        <f t="shared" si="146"/>
        <v>-1.3900000000000006</v>
      </c>
      <c r="N1257">
        <f t="shared" si="147"/>
        <v>0.84000000000000341</v>
      </c>
      <c r="O1257">
        <f t="shared" si="148"/>
        <v>-6.0000000000002274E-2</v>
      </c>
      <c r="P1257" s="10">
        <f t="shared" si="149"/>
        <v>0.82999999999999829</v>
      </c>
    </row>
    <row r="1258" spans="1:16">
      <c r="A1258">
        <v>205.5</v>
      </c>
      <c r="B1258" s="42">
        <v>28.01</v>
      </c>
      <c r="C1258">
        <v>36.78</v>
      </c>
      <c r="D1258">
        <v>36.78</v>
      </c>
      <c r="E1258">
        <v>35.17</v>
      </c>
      <c r="F1258">
        <v>120.12</v>
      </c>
      <c r="G1258">
        <v>128.9</v>
      </c>
      <c r="H1258">
        <v>113.51</v>
      </c>
      <c r="K1258" s="9">
        <f t="shared" si="144"/>
        <v>-0.38000000000000256</v>
      </c>
      <c r="L1258">
        <f t="shared" si="145"/>
        <v>-0.55000000000000426</v>
      </c>
      <c r="M1258">
        <f t="shared" si="146"/>
        <v>-1.2199999999999989</v>
      </c>
      <c r="N1258">
        <f t="shared" si="147"/>
        <v>0.89000000000000057</v>
      </c>
      <c r="O1258">
        <f t="shared" si="148"/>
        <v>0</v>
      </c>
      <c r="P1258" s="10">
        <f t="shared" si="149"/>
        <v>0.60999999999999943</v>
      </c>
    </row>
    <row r="1259" spans="1:16">
      <c r="A1259">
        <v>205.67</v>
      </c>
      <c r="B1259" s="42">
        <v>27.84</v>
      </c>
      <c r="C1259">
        <v>36.729999999999997</v>
      </c>
      <c r="D1259">
        <v>36.619999999999997</v>
      </c>
      <c r="E1259">
        <v>34.729999999999997</v>
      </c>
      <c r="F1259">
        <v>120.56</v>
      </c>
      <c r="G1259">
        <v>128.9</v>
      </c>
      <c r="H1259">
        <v>113.95</v>
      </c>
      <c r="K1259" s="9">
        <f t="shared" si="144"/>
        <v>-0.55999999999999517</v>
      </c>
      <c r="L1259">
        <f t="shared" si="145"/>
        <v>-0.55999999999999517</v>
      </c>
      <c r="M1259">
        <f t="shared" si="146"/>
        <v>-1.1699999999999946</v>
      </c>
      <c r="N1259">
        <f t="shared" si="147"/>
        <v>0.78000000000000114</v>
      </c>
      <c r="O1259">
        <f t="shared" si="148"/>
        <v>0.10999999999998522</v>
      </c>
      <c r="P1259" s="10">
        <f t="shared" si="149"/>
        <v>0.28000000000000114</v>
      </c>
    </row>
    <row r="1260" spans="1:16">
      <c r="A1260">
        <v>205.83</v>
      </c>
      <c r="B1260" s="42">
        <v>27.62</v>
      </c>
      <c r="C1260">
        <v>36.56</v>
      </c>
      <c r="D1260">
        <v>36.340000000000003</v>
      </c>
      <c r="E1260">
        <v>34.229999999999997</v>
      </c>
      <c r="F1260">
        <v>120.62</v>
      </c>
      <c r="G1260">
        <v>128.84</v>
      </c>
      <c r="H1260">
        <v>113.78</v>
      </c>
      <c r="K1260" s="9">
        <f t="shared" si="144"/>
        <v>-0.60999999999999943</v>
      </c>
      <c r="L1260">
        <f t="shared" si="145"/>
        <v>-0.44000000000000483</v>
      </c>
      <c r="M1260">
        <f t="shared" si="146"/>
        <v>-1</v>
      </c>
      <c r="N1260">
        <f t="shared" si="147"/>
        <v>1.0499999999999972</v>
      </c>
      <c r="O1260">
        <f t="shared" si="148"/>
        <v>0.16999999999998749</v>
      </c>
      <c r="P1260" s="10">
        <f t="shared" si="149"/>
        <v>1.0600000000000023</v>
      </c>
    </row>
    <row r="1261" spans="1:16">
      <c r="A1261">
        <v>206</v>
      </c>
      <c r="B1261" s="42">
        <v>27.62</v>
      </c>
      <c r="C1261">
        <v>36.4</v>
      </c>
      <c r="D1261">
        <v>36.229999999999997</v>
      </c>
      <c r="E1261">
        <v>33.950000000000003</v>
      </c>
      <c r="F1261">
        <v>121.01</v>
      </c>
      <c r="G1261">
        <v>128.9</v>
      </c>
      <c r="H1261">
        <v>114.12</v>
      </c>
      <c r="K1261" s="9">
        <f t="shared" si="144"/>
        <v>-0.61999999999999744</v>
      </c>
      <c r="L1261">
        <f t="shared" si="145"/>
        <v>-0.55999999999999517</v>
      </c>
      <c r="M1261">
        <f t="shared" si="146"/>
        <v>-0.89000000000000057</v>
      </c>
      <c r="N1261">
        <f t="shared" si="147"/>
        <v>0</v>
      </c>
      <c r="O1261">
        <f t="shared" si="148"/>
        <v>0.15999999999999659</v>
      </c>
      <c r="P1261" s="10">
        <f t="shared" si="149"/>
        <v>1.1099999999999994</v>
      </c>
    </row>
    <row r="1262" spans="1:16">
      <c r="A1262">
        <v>206.17</v>
      </c>
      <c r="B1262" s="42">
        <v>27.45</v>
      </c>
      <c r="C1262">
        <v>36.17</v>
      </c>
      <c r="D1262">
        <v>36.06</v>
      </c>
      <c r="E1262">
        <v>33.56</v>
      </c>
      <c r="F1262">
        <v>121.34</v>
      </c>
      <c r="G1262">
        <v>129.01</v>
      </c>
      <c r="H1262">
        <v>114.23</v>
      </c>
      <c r="K1262" s="9">
        <f t="shared" si="144"/>
        <v>-0.55000000000000426</v>
      </c>
      <c r="L1262">
        <f t="shared" si="145"/>
        <v>-0.60999999999999943</v>
      </c>
      <c r="M1262">
        <f t="shared" si="146"/>
        <v>-0.8300000000000054</v>
      </c>
      <c r="N1262">
        <f t="shared" si="147"/>
        <v>-0.28000000000000114</v>
      </c>
      <c r="O1262">
        <f t="shared" si="148"/>
        <v>5.0000000000011369E-2</v>
      </c>
      <c r="P1262" s="10">
        <f t="shared" si="149"/>
        <v>1.3299999999999983</v>
      </c>
    </row>
    <row r="1263" spans="1:16">
      <c r="A1263">
        <v>206.33</v>
      </c>
      <c r="B1263" s="42">
        <v>27.4</v>
      </c>
      <c r="C1263">
        <v>35.950000000000003</v>
      </c>
      <c r="D1263">
        <v>35.9</v>
      </c>
      <c r="E1263">
        <v>33.229999999999997</v>
      </c>
      <c r="F1263">
        <v>121.67</v>
      </c>
      <c r="G1263">
        <v>129.01</v>
      </c>
      <c r="H1263">
        <v>114.84</v>
      </c>
      <c r="K1263" s="9">
        <f t="shared" si="144"/>
        <v>-0.60999999999999943</v>
      </c>
      <c r="L1263">
        <f t="shared" si="145"/>
        <v>-0.67000000000000171</v>
      </c>
      <c r="M1263">
        <f t="shared" si="146"/>
        <v>-0.82999999999999829</v>
      </c>
      <c r="N1263">
        <f t="shared" si="147"/>
        <v>-0.71999999999999886</v>
      </c>
      <c r="O1263">
        <f t="shared" si="148"/>
        <v>0</v>
      </c>
      <c r="P1263" s="10">
        <f t="shared" si="149"/>
        <v>0.60999999999999943</v>
      </c>
    </row>
    <row r="1264" spans="1:16">
      <c r="A1264">
        <v>206.5</v>
      </c>
      <c r="B1264" s="42">
        <v>27.4</v>
      </c>
      <c r="C1264">
        <v>35.78</v>
      </c>
      <c r="D1264">
        <v>35.67</v>
      </c>
      <c r="E1264">
        <v>33.06</v>
      </c>
      <c r="F1264">
        <v>121.01</v>
      </c>
      <c r="G1264">
        <v>129.06</v>
      </c>
      <c r="H1264">
        <v>115.23</v>
      </c>
      <c r="K1264" s="9">
        <f t="shared" si="144"/>
        <v>-0.43999999999999773</v>
      </c>
      <c r="L1264">
        <f t="shared" si="145"/>
        <v>-0.5</v>
      </c>
      <c r="M1264">
        <f t="shared" si="146"/>
        <v>-0.78000000000000114</v>
      </c>
      <c r="N1264">
        <f t="shared" si="147"/>
        <v>-0.10999999999999943</v>
      </c>
      <c r="O1264">
        <f t="shared" si="148"/>
        <v>0</v>
      </c>
      <c r="P1264" s="10">
        <f t="shared" si="149"/>
        <v>0.43999999999999773</v>
      </c>
    </row>
    <row r="1265" spans="1:16">
      <c r="A1265">
        <v>206.67</v>
      </c>
      <c r="B1265" s="42">
        <v>27.34</v>
      </c>
      <c r="C1265">
        <v>35.619999999999997</v>
      </c>
      <c r="D1265">
        <v>35.450000000000003</v>
      </c>
      <c r="E1265">
        <v>32.729999999999997</v>
      </c>
      <c r="F1265">
        <v>121.06</v>
      </c>
      <c r="G1265">
        <v>129.06</v>
      </c>
      <c r="H1265">
        <v>115.56</v>
      </c>
      <c r="K1265" s="9">
        <f t="shared" si="144"/>
        <v>-0.5</v>
      </c>
      <c r="L1265">
        <f t="shared" si="145"/>
        <v>-0.44000000000000483</v>
      </c>
      <c r="M1265">
        <f t="shared" si="146"/>
        <v>-0.6699999999999946</v>
      </c>
      <c r="N1265">
        <f t="shared" si="147"/>
        <v>-0.21999999999999886</v>
      </c>
      <c r="O1265">
        <f t="shared" si="148"/>
        <v>0</v>
      </c>
      <c r="P1265" s="10">
        <f t="shared" si="149"/>
        <v>0</v>
      </c>
    </row>
    <row r="1266" spans="1:16">
      <c r="A1266">
        <v>206.83</v>
      </c>
      <c r="B1266" s="42">
        <v>27.28</v>
      </c>
      <c r="C1266">
        <v>35.340000000000003</v>
      </c>
      <c r="D1266">
        <v>35.229999999999997</v>
      </c>
      <c r="E1266">
        <v>32.4</v>
      </c>
      <c r="F1266">
        <v>120.95</v>
      </c>
      <c r="G1266">
        <v>129.01</v>
      </c>
      <c r="H1266">
        <v>115.45</v>
      </c>
      <c r="K1266" s="9">
        <f t="shared" si="144"/>
        <v>-0.5</v>
      </c>
      <c r="L1266">
        <f t="shared" si="145"/>
        <v>-0.5</v>
      </c>
      <c r="M1266">
        <f t="shared" si="146"/>
        <v>-0.55999999999999872</v>
      </c>
      <c r="N1266">
        <f t="shared" si="147"/>
        <v>-0.43999999999999773</v>
      </c>
      <c r="O1266">
        <f t="shared" si="148"/>
        <v>0.11000000000001364</v>
      </c>
      <c r="P1266" s="10">
        <f t="shared" si="149"/>
        <v>0.21999999999999886</v>
      </c>
    </row>
    <row r="1267" spans="1:16">
      <c r="A1267">
        <v>207</v>
      </c>
      <c r="B1267" s="42">
        <v>27.34</v>
      </c>
      <c r="C1267">
        <v>35.340000000000003</v>
      </c>
      <c r="D1267">
        <v>35.17</v>
      </c>
      <c r="E1267">
        <v>32.28</v>
      </c>
      <c r="F1267">
        <v>120.9</v>
      </c>
      <c r="G1267">
        <v>129.06</v>
      </c>
      <c r="H1267">
        <v>115.67</v>
      </c>
      <c r="K1267" s="9">
        <f t="shared" si="144"/>
        <v>-0.61000000000000654</v>
      </c>
      <c r="L1267">
        <f t="shared" si="145"/>
        <v>-0.60999999999999943</v>
      </c>
      <c r="M1267">
        <f t="shared" si="146"/>
        <v>-0.55000000000000071</v>
      </c>
      <c r="N1267">
        <f t="shared" si="147"/>
        <v>-0.78000000000000114</v>
      </c>
      <c r="O1267">
        <f t="shared" si="148"/>
        <v>0.10999999999998522</v>
      </c>
      <c r="P1267" s="10">
        <f t="shared" si="149"/>
        <v>0.28000000000000114</v>
      </c>
    </row>
    <row r="1268" spans="1:16">
      <c r="A1268">
        <v>207.17</v>
      </c>
      <c r="B1268" s="42">
        <v>27.28</v>
      </c>
      <c r="C1268">
        <v>35.119999999999997</v>
      </c>
      <c r="D1268">
        <v>35.01</v>
      </c>
      <c r="E1268">
        <v>32.06</v>
      </c>
      <c r="F1268">
        <v>120.84</v>
      </c>
      <c r="G1268">
        <v>129.06</v>
      </c>
      <c r="H1268">
        <v>115.56</v>
      </c>
      <c r="K1268" s="9">
        <f t="shared" si="144"/>
        <v>-0.60999999999999943</v>
      </c>
      <c r="L1268">
        <f t="shared" si="145"/>
        <v>-0.78000000000000114</v>
      </c>
      <c r="M1268">
        <f t="shared" si="146"/>
        <v>-0.50000000000000355</v>
      </c>
      <c r="N1268">
        <f t="shared" si="147"/>
        <v>-1.1700000000000017</v>
      </c>
      <c r="O1268">
        <f t="shared" si="148"/>
        <v>6.0000000000002274E-2</v>
      </c>
      <c r="P1268" s="10">
        <f t="shared" si="149"/>
        <v>0.5</v>
      </c>
    </row>
    <row r="1269" spans="1:16">
      <c r="A1269">
        <v>207.33</v>
      </c>
      <c r="B1269" s="42">
        <v>27.28</v>
      </c>
      <c r="C1269">
        <v>34.840000000000003</v>
      </c>
      <c r="D1269">
        <v>34.729999999999997</v>
      </c>
      <c r="E1269">
        <v>31.84</v>
      </c>
      <c r="F1269">
        <v>120.51</v>
      </c>
      <c r="G1269">
        <v>129.12</v>
      </c>
      <c r="H1269">
        <v>115.67</v>
      </c>
      <c r="K1269" s="9">
        <f t="shared" si="144"/>
        <v>-0.56000000000000227</v>
      </c>
      <c r="L1269">
        <f t="shared" si="145"/>
        <v>-0.60999999999999943</v>
      </c>
      <c r="M1269">
        <f t="shared" si="146"/>
        <v>-0.32999999999999829</v>
      </c>
      <c r="N1269">
        <f t="shared" si="147"/>
        <v>-0.60999999999999943</v>
      </c>
      <c r="O1269">
        <f t="shared" si="148"/>
        <v>0</v>
      </c>
      <c r="P1269" s="10">
        <f t="shared" si="149"/>
        <v>0.60999999999999943</v>
      </c>
    </row>
    <row r="1270" spans="1:16">
      <c r="A1270">
        <v>207.5</v>
      </c>
      <c r="B1270" s="42">
        <v>27.28</v>
      </c>
      <c r="C1270">
        <v>34.729999999999997</v>
      </c>
      <c r="D1270">
        <v>34.56</v>
      </c>
      <c r="E1270">
        <v>31.73</v>
      </c>
      <c r="F1270">
        <v>120.12</v>
      </c>
      <c r="G1270">
        <v>129.16999999999999</v>
      </c>
      <c r="H1270">
        <v>115.95</v>
      </c>
      <c r="K1270" s="9">
        <f t="shared" si="144"/>
        <v>-0.55999999999999517</v>
      </c>
      <c r="L1270">
        <f t="shared" si="145"/>
        <v>-0.60999999999999943</v>
      </c>
      <c r="M1270">
        <f t="shared" si="146"/>
        <v>-0.44999999999999929</v>
      </c>
      <c r="N1270">
        <f t="shared" si="147"/>
        <v>0</v>
      </c>
      <c r="O1270">
        <f t="shared" si="148"/>
        <v>0</v>
      </c>
      <c r="P1270" s="10">
        <f t="shared" si="149"/>
        <v>0.5</v>
      </c>
    </row>
    <row r="1271" spans="1:16">
      <c r="A1271">
        <v>207.67</v>
      </c>
      <c r="B1271" s="42">
        <v>27.28</v>
      </c>
      <c r="C1271">
        <v>34.51</v>
      </c>
      <c r="D1271">
        <v>34.229999999999997</v>
      </c>
      <c r="E1271">
        <v>31.56</v>
      </c>
      <c r="F1271">
        <v>119.67</v>
      </c>
      <c r="G1271">
        <v>129.12</v>
      </c>
      <c r="H1271">
        <v>116.06</v>
      </c>
      <c r="K1271" s="9">
        <f t="shared" si="144"/>
        <v>-0.44999999999999574</v>
      </c>
      <c r="L1271">
        <f t="shared" si="145"/>
        <v>-0.44999999999999574</v>
      </c>
      <c r="M1271">
        <f t="shared" si="146"/>
        <v>-0.43999999999999773</v>
      </c>
      <c r="N1271">
        <f t="shared" si="147"/>
        <v>0.34000000000000341</v>
      </c>
      <c r="O1271">
        <f t="shared" si="148"/>
        <v>-6.0000000000002274E-2</v>
      </c>
      <c r="P1271" s="10">
        <f t="shared" si="149"/>
        <v>0.10999999999999943</v>
      </c>
    </row>
    <row r="1272" spans="1:16">
      <c r="A1272">
        <v>207.83</v>
      </c>
      <c r="B1272" s="42">
        <v>27.34</v>
      </c>
      <c r="C1272">
        <v>34.28</v>
      </c>
      <c r="D1272">
        <v>34.119999999999997</v>
      </c>
      <c r="E1272">
        <v>31.51</v>
      </c>
      <c r="F1272">
        <v>119.9</v>
      </c>
      <c r="G1272">
        <v>129.12</v>
      </c>
      <c r="H1272">
        <v>116.28</v>
      </c>
      <c r="K1272" s="9">
        <f t="shared" si="144"/>
        <v>-0.32999999999999829</v>
      </c>
      <c r="L1272">
        <f t="shared" si="145"/>
        <v>-0.39000000000000057</v>
      </c>
      <c r="M1272">
        <f t="shared" si="146"/>
        <v>-0.45000000000000284</v>
      </c>
      <c r="N1272">
        <f t="shared" si="147"/>
        <v>0</v>
      </c>
      <c r="O1272">
        <f t="shared" si="148"/>
        <v>0</v>
      </c>
      <c r="P1272" s="10">
        <f t="shared" si="149"/>
        <v>6.0000000000002274E-2</v>
      </c>
    </row>
    <row r="1273" spans="1:16">
      <c r="A1273">
        <v>208</v>
      </c>
      <c r="B1273" s="42">
        <v>27.4</v>
      </c>
      <c r="C1273">
        <v>34.17</v>
      </c>
      <c r="D1273">
        <v>33.950000000000003</v>
      </c>
      <c r="E1273">
        <v>31.28</v>
      </c>
      <c r="F1273">
        <v>120.12</v>
      </c>
      <c r="G1273">
        <v>129.16999999999999</v>
      </c>
      <c r="H1273">
        <v>116.45</v>
      </c>
      <c r="K1273" s="9">
        <f t="shared" si="144"/>
        <v>-0.39000000000000057</v>
      </c>
      <c r="L1273">
        <f t="shared" si="145"/>
        <v>-0.39000000000000057</v>
      </c>
      <c r="M1273">
        <f t="shared" si="146"/>
        <v>-0.26999999999999957</v>
      </c>
      <c r="N1273">
        <f t="shared" si="147"/>
        <v>-0.78000000000000114</v>
      </c>
      <c r="O1273">
        <f t="shared" si="148"/>
        <v>-4.9999999999982947E-2</v>
      </c>
      <c r="P1273" s="10">
        <f t="shared" si="149"/>
        <v>-0.32999999999999829</v>
      </c>
    </row>
    <row r="1274" spans="1:16">
      <c r="A1274">
        <v>208.17</v>
      </c>
      <c r="B1274" s="42">
        <v>27.4</v>
      </c>
      <c r="C1274">
        <v>34.06</v>
      </c>
      <c r="D1274">
        <v>33.78</v>
      </c>
      <c r="E1274">
        <v>31.12</v>
      </c>
      <c r="F1274">
        <v>120.01</v>
      </c>
      <c r="G1274">
        <v>129.06</v>
      </c>
      <c r="H1274">
        <v>116.17</v>
      </c>
      <c r="K1274" s="9">
        <f t="shared" si="144"/>
        <v>-0.39000000000000057</v>
      </c>
      <c r="L1274">
        <f t="shared" si="145"/>
        <v>-0.38000000000000256</v>
      </c>
      <c r="M1274">
        <f t="shared" si="146"/>
        <v>-0.22000000000000242</v>
      </c>
      <c r="N1274">
        <f t="shared" si="147"/>
        <v>-1</v>
      </c>
      <c r="O1274">
        <f t="shared" si="148"/>
        <v>-5.0000000000011369E-2</v>
      </c>
      <c r="P1274" s="10">
        <f t="shared" si="149"/>
        <v>0</v>
      </c>
    </row>
    <row r="1275" spans="1:16">
      <c r="A1275">
        <v>208.33</v>
      </c>
      <c r="B1275" s="42">
        <v>27.62</v>
      </c>
      <c r="C1275">
        <v>33.950000000000003</v>
      </c>
      <c r="D1275">
        <v>33.729999999999997</v>
      </c>
      <c r="E1275">
        <v>31.06</v>
      </c>
      <c r="F1275">
        <v>119.9</v>
      </c>
      <c r="G1275">
        <v>129.12</v>
      </c>
      <c r="H1275">
        <v>116.34</v>
      </c>
      <c r="K1275" s="9">
        <f t="shared" si="144"/>
        <v>-0.44000000000000483</v>
      </c>
      <c r="L1275">
        <f t="shared" si="145"/>
        <v>-0.5</v>
      </c>
      <c r="M1275">
        <f t="shared" si="146"/>
        <v>-0.32999999999999829</v>
      </c>
      <c r="N1275">
        <f t="shared" si="147"/>
        <v>-0.56000000000000227</v>
      </c>
      <c r="O1275">
        <f t="shared" si="148"/>
        <v>-0.11000000000001364</v>
      </c>
      <c r="P1275" s="10">
        <f t="shared" si="149"/>
        <v>-0.28000000000000114</v>
      </c>
    </row>
    <row r="1276" spans="1:16">
      <c r="A1276">
        <v>208.5</v>
      </c>
      <c r="B1276" s="42">
        <v>27.73</v>
      </c>
      <c r="C1276">
        <v>33.78</v>
      </c>
      <c r="D1276">
        <v>33.56</v>
      </c>
      <c r="E1276">
        <v>31.01</v>
      </c>
      <c r="F1276">
        <v>119.34</v>
      </c>
      <c r="G1276">
        <v>129.12</v>
      </c>
      <c r="H1276">
        <v>116.12</v>
      </c>
      <c r="K1276" s="9">
        <f t="shared" si="144"/>
        <v>-0.43999999999999773</v>
      </c>
      <c r="L1276">
        <f t="shared" si="145"/>
        <v>-0.44000000000000483</v>
      </c>
      <c r="M1276">
        <f t="shared" si="146"/>
        <v>-0.39000000000000057</v>
      </c>
      <c r="N1276">
        <f t="shared" si="147"/>
        <v>0</v>
      </c>
      <c r="O1276">
        <f t="shared" si="148"/>
        <v>-0.21999999999999886</v>
      </c>
      <c r="P1276" s="10">
        <f t="shared" si="149"/>
        <v>0.21999999999999886</v>
      </c>
    </row>
    <row r="1277" spans="1:16">
      <c r="A1277">
        <v>208.67</v>
      </c>
      <c r="B1277" s="42">
        <v>27.84</v>
      </c>
      <c r="C1277">
        <v>33.67</v>
      </c>
      <c r="D1277">
        <v>33.4</v>
      </c>
      <c r="E1277">
        <v>30.9</v>
      </c>
      <c r="F1277">
        <v>119.01</v>
      </c>
      <c r="G1277">
        <v>129.01</v>
      </c>
      <c r="H1277">
        <v>116.17</v>
      </c>
      <c r="K1277" s="9">
        <f t="shared" si="144"/>
        <v>-0.44000000000000483</v>
      </c>
      <c r="L1277">
        <f t="shared" si="145"/>
        <v>-0.44999999999999574</v>
      </c>
      <c r="M1277">
        <f t="shared" si="146"/>
        <v>-0.38999999999999702</v>
      </c>
      <c r="N1277">
        <f t="shared" si="147"/>
        <v>0.65999999999999659</v>
      </c>
      <c r="O1277">
        <f t="shared" si="148"/>
        <v>-0.16999999999998749</v>
      </c>
      <c r="P1277" s="10">
        <f t="shared" si="149"/>
        <v>0.5</v>
      </c>
    </row>
    <row r="1278" spans="1:16">
      <c r="A1278">
        <v>208.83</v>
      </c>
      <c r="B1278" s="42">
        <v>27.9</v>
      </c>
      <c r="C1278">
        <v>33.51</v>
      </c>
      <c r="D1278">
        <v>33.229999999999997</v>
      </c>
      <c r="E1278">
        <v>30.73</v>
      </c>
      <c r="F1278">
        <v>119.34</v>
      </c>
      <c r="G1278">
        <v>129.01</v>
      </c>
      <c r="H1278">
        <v>116.06</v>
      </c>
      <c r="K1278" s="9">
        <f t="shared" si="144"/>
        <v>-0.55999999999999517</v>
      </c>
      <c r="L1278">
        <f t="shared" si="145"/>
        <v>-0.5</v>
      </c>
      <c r="M1278">
        <f t="shared" si="146"/>
        <v>-0.44999999999999929</v>
      </c>
      <c r="N1278">
        <f t="shared" si="147"/>
        <v>0.5</v>
      </c>
      <c r="O1278">
        <f t="shared" si="148"/>
        <v>-0.28000000000000114</v>
      </c>
      <c r="P1278" s="10">
        <f t="shared" si="149"/>
        <v>0.56000000000000227</v>
      </c>
    </row>
    <row r="1279" spans="1:16">
      <c r="A1279">
        <v>209</v>
      </c>
      <c r="B1279" s="42">
        <v>27.95</v>
      </c>
      <c r="C1279">
        <v>33.340000000000003</v>
      </c>
      <c r="D1279">
        <v>33.119999999999997</v>
      </c>
      <c r="E1279">
        <v>30.62</v>
      </c>
      <c r="F1279">
        <v>119.34</v>
      </c>
      <c r="G1279">
        <v>128.9</v>
      </c>
      <c r="H1279">
        <v>116.34</v>
      </c>
      <c r="K1279" s="9">
        <f t="shared" si="144"/>
        <v>-0.39000000000000057</v>
      </c>
      <c r="L1279">
        <f t="shared" si="145"/>
        <v>-0.39000000000000057</v>
      </c>
      <c r="M1279">
        <f t="shared" si="146"/>
        <v>-0.39000000000000057</v>
      </c>
      <c r="N1279">
        <f t="shared" si="147"/>
        <v>0.93999999999999773</v>
      </c>
      <c r="O1279">
        <f t="shared" si="148"/>
        <v>-6.0000000000002274E-2</v>
      </c>
      <c r="P1279" s="10">
        <f t="shared" si="149"/>
        <v>0.43999999999999773</v>
      </c>
    </row>
    <row r="1280" spans="1:16">
      <c r="A1280">
        <v>209.17</v>
      </c>
      <c r="B1280" s="42">
        <v>28.17</v>
      </c>
      <c r="C1280">
        <v>33.229999999999997</v>
      </c>
      <c r="D1280">
        <v>32.950000000000003</v>
      </c>
      <c r="E1280">
        <v>30.51</v>
      </c>
      <c r="F1280">
        <v>119.67</v>
      </c>
      <c r="G1280">
        <v>128.84</v>
      </c>
      <c r="H1280">
        <v>116.67</v>
      </c>
      <c r="K1280" s="9">
        <f t="shared" si="144"/>
        <v>-0.44999999999999574</v>
      </c>
      <c r="L1280">
        <f t="shared" si="145"/>
        <v>-0.3300000000000054</v>
      </c>
      <c r="M1280">
        <f t="shared" si="146"/>
        <v>-0.33999999999999986</v>
      </c>
      <c r="N1280">
        <f t="shared" si="147"/>
        <v>0.78000000000000114</v>
      </c>
      <c r="O1280">
        <f t="shared" si="148"/>
        <v>0</v>
      </c>
      <c r="P1280" s="10">
        <f t="shared" si="149"/>
        <v>0.28000000000000114</v>
      </c>
    </row>
    <row r="1281" spans="1:16">
      <c r="A1281">
        <v>209.33</v>
      </c>
      <c r="B1281" s="42">
        <v>28.06</v>
      </c>
      <c r="C1281">
        <v>32.950000000000003</v>
      </c>
      <c r="D1281">
        <v>32.729999999999997</v>
      </c>
      <c r="E1281">
        <v>30.28</v>
      </c>
      <c r="F1281">
        <v>119.84</v>
      </c>
      <c r="G1281">
        <v>128.72999999999999</v>
      </c>
      <c r="H1281">
        <v>116.62</v>
      </c>
      <c r="K1281" s="9">
        <f t="shared" si="144"/>
        <v>-0.22000000000000597</v>
      </c>
      <c r="L1281">
        <f t="shared" si="145"/>
        <v>-0.21999999999999886</v>
      </c>
      <c r="M1281">
        <f t="shared" si="146"/>
        <v>-0.26999999999999957</v>
      </c>
      <c r="N1281">
        <f t="shared" si="147"/>
        <v>0.71999999999999886</v>
      </c>
      <c r="O1281">
        <f t="shared" si="148"/>
        <v>0.11000000000001364</v>
      </c>
      <c r="P1281" s="10">
        <f t="shared" si="149"/>
        <v>0.65999999999999659</v>
      </c>
    </row>
    <row r="1282" spans="1:16">
      <c r="A1282">
        <v>209.5</v>
      </c>
      <c r="B1282" s="42">
        <v>28.34</v>
      </c>
      <c r="C1282">
        <v>32.950000000000003</v>
      </c>
      <c r="D1282">
        <v>32.729999999999997</v>
      </c>
      <c r="E1282">
        <v>30.23</v>
      </c>
      <c r="F1282">
        <v>120.28</v>
      </c>
      <c r="G1282">
        <v>128.84</v>
      </c>
      <c r="H1282">
        <v>116.78</v>
      </c>
      <c r="K1282" s="9">
        <f t="shared" si="144"/>
        <v>-0.28000000000000114</v>
      </c>
      <c r="L1282">
        <f t="shared" si="145"/>
        <v>-0.21999999999999886</v>
      </c>
      <c r="M1282">
        <f t="shared" si="146"/>
        <v>-0.21999999999999886</v>
      </c>
      <c r="N1282">
        <f t="shared" si="147"/>
        <v>0.39000000000000057</v>
      </c>
      <c r="O1282">
        <f t="shared" si="148"/>
        <v>0.16999999999998749</v>
      </c>
      <c r="P1282" s="10">
        <f t="shared" si="149"/>
        <v>0.84000000000000341</v>
      </c>
    </row>
    <row r="1283" spans="1:16">
      <c r="A1283">
        <v>209.67</v>
      </c>
      <c r="B1283" s="42">
        <v>28.34</v>
      </c>
      <c r="C1283">
        <v>32.78</v>
      </c>
      <c r="D1283">
        <v>32.619999999999997</v>
      </c>
      <c r="E1283">
        <v>30.17</v>
      </c>
      <c r="F1283">
        <v>120.45</v>
      </c>
      <c r="G1283">
        <v>128.84</v>
      </c>
      <c r="H1283">
        <v>116.95</v>
      </c>
      <c r="K1283" s="9">
        <f t="shared" si="144"/>
        <v>-0.27000000000000313</v>
      </c>
      <c r="L1283">
        <f t="shared" si="145"/>
        <v>-0.33999999999999631</v>
      </c>
      <c r="M1283">
        <f t="shared" si="146"/>
        <v>-0.27000000000000313</v>
      </c>
      <c r="N1283">
        <f t="shared" si="147"/>
        <v>6.0000000000002274E-2</v>
      </c>
      <c r="O1283">
        <f t="shared" si="148"/>
        <v>0.28000000000000114</v>
      </c>
      <c r="P1283" s="10">
        <f t="shared" si="149"/>
        <v>1</v>
      </c>
    </row>
    <row r="1284" spans="1:16">
      <c r="A1284">
        <v>209.83</v>
      </c>
      <c r="B1284" s="42">
        <v>28.4</v>
      </c>
      <c r="C1284">
        <v>32.729999999999997</v>
      </c>
      <c r="D1284">
        <v>32.51</v>
      </c>
      <c r="E1284">
        <v>30.01</v>
      </c>
      <c r="F1284">
        <v>120.56</v>
      </c>
      <c r="G1284">
        <v>128.84</v>
      </c>
      <c r="H1284">
        <v>117.28</v>
      </c>
      <c r="K1284" s="9">
        <f t="shared" si="144"/>
        <v>-0.44999999999999574</v>
      </c>
      <c r="L1284">
        <f t="shared" si="145"/>
        <v>-0.28000000000000114</v>
      </c>
      <c r="M1284">
        <f t="shared" si="146"/>
        <v>-0.11000000000000298</v>
      </c>
      <c r="N1284">
        <f t="shared" si="147"/>
        <v>0.10999999999999943</v>
      </c>
      <c r="O1284">
        <f t="shared" si="148"/>
        <v>0.32999999999998408</v>
      </c>
      <c r="P1284" s="10">
        <f t="shared" si="149"/>
        <v>1</v>
      </c>
    </row>
    <row r="1285" spans="1:16">
      <c r="A1285">
        <v>210</v>
      </c>
      <c r="B1285" s="42">
        <v>28.51</v>
      </c>
      <c r="C1285">
        <v>32.67</v>
      </c>
      <c r="D1285">
        <v>32.51</v>
      </c>
      <c r="E1285">
        <v>30.01</v>
      </c>
      <c r="F1285">
        <v>120.67</v>
      </c>
      <c r="G1285">
        <v>129.01</v>
      </c>
      <c r="H1285">
        <v>117.62</v>
      </c>
      <c r="K1285" s="9">
        <f t="shared" si="144"/>
        <v>-0.55000000000000426</v>
      </c>
      <c r="L1285">
        <f t="shared" si="145"/>
        <v>-0.5</v>
      </c>
      <c r="M1285">
        <f t="shared" si="146"/>
        <v>-0.23000000000000043</v>
      </c>
      <c r="N1285">
        <f t="shared" si="147"/>
        <v>0.45000000000000284</v>
      </c>
      <c r="O1285">
        <f t="shared" si="148"/>
        <v>0.15999999999999659</v>
      </c>
      <c r="P1285" s="10">
        <f t="shared" si="149"/>
        <v>0.89000000000000057</v>
      </c>
    </row>
    <row r="1286" spans="1:16">
      <c r="A1286">
        <v>210.17</v>
      </c>
      <c r="B1286" s="42">
        <v>28.51</v>
      </c>
      <c r="C1286">
        <v>32.51</v>
      </c>
      <c r="D1286">
        <v>32.28</v>
      </c>
      <c r="E1286">
        <v>29.9</v>
      </c>
      <c r="F1286">
        <v>120.51</v>
      </c>
      <c r="G1286">
        <v>129.12</v>
      </c>
      <c r="H1286">
        <v>117.95</v>
      </c>
      <c r="K1286" s="9">
        <f t="shared" si="144"/>
        <v>-0.44999999999999574</v>
      </c>
      <c r="L1286">
        <f t="shared" si="145"/>
        <v>-0.38000000000000256</v>
      </c>
      <c r="M1286">
        <f t="shared" si="146"/>
        <v>-0.16999999999999815</v>
      </c>
      <c r="N1286">
        <f t="shared" si="147"/>
        <v>0.54999999999999716</v>
      </c>
      <c r="O1286">
        <f t="shared" si="148"/>
        <v>4.9999999999982947E-2</v>
      </c>
      <c r="P1286" s="10">
        <f t="shared" si="149"/>
        <v>0.78000000000000114</v>
      </c>
    </row>
    <row r="1287" spans="1:16">
      <c r="A1287">
        <v>210.33</v>
      </c>
      <c r="B1287" s="42">
        <v>28.34</v>
      </c>
      <c r="C1287">
        <v>32.28</v>
      </c>
      <c r="D1287">
        <v>32.229999999999997</v>
      </c>
      <c r="E1287">
        <v>29.9</v>
      </c>
      <c r="F1287">
        <v>120.67</v>
      </c>
      <c r="G1287">
        <v>129.16999999999999</v>
      </c>
      <c r="H1287">
        <v>118.28</v>
      </c>
      <c r="K1287" s="9">
        <f t="shared" si="144"/>
        <v>-0.33000000000000185</v>
      </c>
      <c r="L1287">
        <f t="shared" si="145"/>
        <v>-0.49999999999999645</v>
      </c>
      <c r="M1287">
        <f t="shared" si="146"/>
        <v>-0.22999999999999687</v>
      </c>
      <c r="N1287">
        <f t="shared" si="147"/>
        <v>0.28000000000000114</v>
      </c>
      <c r="O1287">
        <f t="shared" si="148"/>
        <v>-4.9999999999982947E-2</v>
      </c>
      <c r="P1287" s="10">
        <f t="shared" si="149"/>
        <v>0.56000000000000227</v>
      </c>
    </row>
    <row r="1288" spans="1:16">
      <c r="A1288">
        <v>210.5</v>
      </c>
      <c r="B1288" s="42">
        <v>28.4</v>
      </c>
      <c r="C1288">
        <v>32.119999999999997</v>
      </c>
      <c r="D1288">
        <v>32.01</v>
      </c>
      <c r="E1288">
        <v>29.78</v>
      </c>
      <c r="F1288">
        <v>121.12</v>
      </c>
      <c r="G1288">
        <v>129.16999999999999</v>
      </c>
      <c r="H1288">
        <v>118.51</v>
      </c>
      <c r="K1288" s="9">
        <f t="shared" si="144"/>
        <v>-0.21999999999999886</v>
      </c>
      <c r="L1288">
        <f t="shared" si="145"/>
        <v>-0.38999999999999702</v>
      </c>
      <c r="M1288">
        <f t="shared" si="146"/>
        <v>-0.16000000000000014</v>
      </c>
      <c r="N1288">
        <f t="shared" si="147"/>
        <v>0.10999999999999943</v>
      </c>
      <c r="O1288">
        <f t="shared" si="148"/>
        <v>0</v>
      </c>
      <c r="P1288" s="10">
        <f t="shared" si="149"/>
        <v>0.21999999999999886</v>
      </c>
    </row>
    <row r="1289" spans="1:16">
      <c r="A1289">
        <v>210.67</v>
      </c>
      <c r="B1289" s="42">
        <v>28.34</v>
      </c>
      <c r="C1289">
        <v>32.06</v>
      </c>
      <c r="D1289">
        <v>31.9</v>
      </c>
      <c r="E1289">
        <v>29.73</v>
      </c>
      <c r="F1289">
        <v>121.06</v>
      </c>
      <c r="G1289">
        <v>129.16999999999999</v>
      </c>
      <c r="H1289">
        <v>118.73</v>
      </c>
      <c r="K1289" s="9">
        <f t="shared" si="144"/>
        <v>-0.39000000000000057</v>
      </c>
      <c r="L1289">
        <f t="shared" si="145"/>
        <v>-0.38999999999999702</v>
      </c>
      <c r="M1289">
        <f t="shared" si="146"/>
        <v>-0.28000000000000114</v>
      </c>
      <c r="N1289">
        <f t="shared" si="147"/>
        <v>-0.28000000000000114</v>
      </c>
      <c r="O1289">
        <f t="shared" si="148"/>
        <v>0</v>
      </c>
      <c r="P1289" s="10">
        <f t="shared" si="149"/>
        <v>0.39000000000000057</v>
      </c>
    </row>
    <row r="1290" spans="1:16">
      <c r="A1290">
        <v>210.83</v>
      </c>
      <c r="B1290" s="42">
        <v>28.51</v>
      </c>
      <c r="C1290">
        <v>31.95</v>
      </c>
      <c r="D1290">
        <v>31.73</v>
      </c>
      <c r="E1290">
        <v>29.67</v>
      </c>
      <c r="F1290">
        <v>120.95</v>
      </c>
      <c r="G1290">
        <v>129.12</v>
      </c>
      <c r="H1290">
        <v>118.84</v>
      </c>
      <c r="K1290" s="9">
        <f t="shared" si="144"/>
        <v>-0.27999999999999758</v>
      </c>
      <c r="L1290">
        <f t="shared" si="145"/>
        <v>-0.28000000000000114</v>
      </c>
      <c r="M1290">
        <f t="shared" si="146"/>
        <v>-0.33000000000000185</v>
      </c>
      <c r="N1290">
        <f t="shared" si="147"/>
        <v>-0.10999999999999943</v>
      </c>
      <c r="O1290">
        <f t="shared" si="148"/>
        <v>4.9999999999982947E-2</v>
      </c>
      <c r="P1290" s="10">
        <f t="shared" si="149"/>
        <v>0.5</v>
      </c>
    </row>
    <row r="1291" spans="1:16">
      <c r="A1291">
        <v>211</v>
      </c>
      <c r="B1291" s="42">
        <v>28.62</v>
      </c>
      <c r="C1291">
        <v>31.9</v>
      </c>
      <c r="D1291">
        <v>31.62</v>
      </c>
      <c r="E1291">
        <v>29.62</v>
      </c>
      <c r="F1291">
        <v>121.23</v>
      </c>
      <c r="G1291">
        <v>129.16999999999999</v>
      </c>
      <c r="H1291">
        <v>118.73</v>
      </c>
      <c r="K1291" s="9">
        <f t="shared" si="144"/>
        <v>-0.33999999999999986</v>
      </c>
      <c r="L1291">
        <f t="shared" si="145"/>
        <v>-0.28000000000000114</v>
      </c>
      <c r="M1291">
        <f t="shared" si="146"/>
        <v>-0.33999999999999986</v>
      </c>
      <c r="N1291">
        <f t="shared" si="147"/>
        <v>-0.28000000000000114</v>
      </c>
      <c r="O1291">
        <f t="shared" si="148"/>
        <v>0.11000000000001364</v>
      </c>
      <c r="P1291" s="10">
        <f t="shared" si="149"/>
        <v>0.43999999999999773</v>
      </c>
    </row>
    <row r="1292" spans="1:16">
      <c r="A1292">
        <v>211.17</v>
      </c>
      <c r="B1292" s="42">
        <v>28.67</v>
      </c>
      <c r="C1292">
        <v>31.67</v>
      </c>
      <c r="D1292">
        <v>31.51</v>
      </c>
      <c r="E1292">
        <v>29.45</v>
      </c>
      <c r="F1292">
        <v>120.78</v>
      </c>
      <c r="G1292">
        <v>129.16999999999999</v>
      </c>
      <c r="H1292">
        <v>119.12</v>
      </c>
      <c r="K1292" s="9">
        <f t="shared" si="144"/>
        <v>-0.16000000000000014</v>
      </c>
      <c r="L1292">
        <f t="shared" si="145"/>
        <v>-0.23000000000000043</v>
      </c>
      <c r="M1292">
        <f t="shared" si="146"/>
        <v>-0.21999999999999886</v>
      </c>
      <c r="N1292">
        <f t="shared" si="147"/>
        <v>0.45000000000000284</v>
      </c>
      <c r="O1292">
        <f t="shared" si="148"/>
        <v>0.17000000000001592</v>
      </c>
      <c r="P1292" s="10">
        <f t="shared" si="149"/>
        <v>0.5</v>
      </c>
    </row>
    <row r="1293" spans="1:16">
      <c r="A1293">
        <v>211.33</v>
      </c>
      <c r="B1293" s="42">
        <v>28.73</v>
      </c>
      <c r="C1293">
        <v>31.67</v>
      </c>
      <c r="D1293">
        <v>31.45</v>
      </c>
      <c r="E1293">
        <v>29.34</v>
      </c>
      <c r="F1293">
        <v>120.84</v>
      </c>
      <c r="G1293">
        <v>129.16999999999999</v>
      </c>
      <c r="H1293">
        <v>119.34</v>
      </c>
      <c r="K1293" s="9">
        <f t="shared" si="144"/>
        <v>-0.39000000000000057</v>
      </c>
      <c r="L1293">
        <f t="shared" si="145"/>
        <v>-0.32999999999999829</v>
      </c>
      <c r="M1293">
        <f t="shared" si="146"/>
        <v>-0.21999999999999886</v>
      </c>
      <c r="N1293">
        <f t="shared" si="147"/>
        <v>0.71999999999999886</v>
      </c>
      <c r="O1293">
        <f t="shared" si="148"/>
        <v>0.17000000000001592</v>
      </c>
      <c r="P1293" s="10">
        <f t="shared" si="149"/>
        <v>0.60999999999999943</v>
      </c>
    </row>
    <row r="1294" spans="1:16">
      <c r="A1294">
        <v>211.5</v>
      </c>
      <c r="B1294" s="42">
        <v>28.67</v>
      </c>
      <c r="C1294">
        <v>31.56</v>
      </c>
      <c r="D1294">
        <v>31.34</v>
      </c>
      <c r="E1294">
        <v>29.28</v>
      </c>
      <c r="F1294">
        <v>120.95</v>
      </c>
      <c r="G1294">
        <v>129.28</v>
      </c>
      <c r="H1294">
        <v>119.17</v>
      </c>
      <c r="K1294" s="9">
        <f t="shared" si="144"/>
        <v>-0.32999999999999829</v>
      </c>
      <c r="L1294">
        <f t="shared" si="145"/>
        <v>-0.28000000000000114</v>
      </c>
      <c r="M1294">
        <f t="shared" si="146"/>
        <v>-0.10999999999999943</v>
      </c>
      <c r="N1294">
        <f t="shared" si="147"/>
        <v>0.5</v>
      </c>
      <c r="O1294">
        <f t="shared" si="148"/>
        <v>0.16999999999998749</v>
      </c>
      <c r="P1294" s="10">
        <f t="shared" si="149"/>
        <v>1.1700000000000017</v>
      </c>
    </row>
    <row r="1295" spans="1:16">
      <c r="A1295">
        <v>211.67</v>
      </c>
      <c r="B1295" s="42">
        <v>28.73</v>
      </c>
      <c r="C1295">
        <v>31.51</v>
      </c>
      <c r="D1295">
        <v>31.28</v>
      </c>
      <c r="E1295">
        <v>29.23</v>
      </c>
      <c r="F1295">
        <v>121.23</v>
      </c>
      <c r="G1295">
        <v>129.34</v>
      </c>
      <c r="H1295">
        <v>119.62</v>
      </c>
      <c r="K1295" s="9">
        <f t="shared" si="144"/>
        <v>-0.39000000000000057</v>
      </c>
      <c r="L1295">
        <f t="shared" si="145"/>
        <v>-0.26999999999999957</v>
      </c>
      <c r="M1295">
        <f t="shared" si="146"/>
        <v>-0.10999999999999943</v>
      </c>
      <c r="N1295">
        <f t="shared" si="147"/>
        <v>0.5</v>
      </c>
      <c r="O1295">
        <f t="shared" si="148"/>
        <v>0.16999999999998749</v>
      </c>
      <c r="P1295" s="10">
        <f t="shared" si="149"/>
        <v>0.93999999999999773</v>
      </c>
    </row>
    <row r="1296" spans="1:16">
      <c r="A1296">
        <v>211.83</v>
      </c>
      <c r="B1296" s="42">
        <v>28.73</v>
      </c>
      <c r="C1296">
        <v>31.28</v>
      </c>
      <c r="D1296">
        <v>31.12</v>
      </c>
      <c r="E1296">
        <v>29.12</v>
      </c>
      <c r="F1296">
        <v>121.56</v>
      </c>
      <c r="G1296">
        <v>129.34</v>
      </c>
      <c r="H1296">
        <v>119.95</v>
      </c>
      <c r="K1296" s="9">
        <f t="shared" si="144"/>
        <v>-0.22000000000000242</v>
      </c>
      <c r="L1296">
        <f t="shared" si="145"/>
        <v>-0.22000000000000242</v>
      </c>
      <c r="M1296">
        <f t="shared" si="146"/>
        <v>-0.17000000000000171</v>
      </c>
      <c r="N1296">
        <f t="shared" si="147"/>
        <v>0.39000000000000057</v>
      </c>
      <c r="O1296">
        <f t="shared" si="148"/>
        <v>0.32999999999998408</v>
      </c>
      <c r="P1296" s="10">
        <f t="shared" si="149"/>
        <v>0.95000000000000284</v>
      </c>
    </row>
    <row r="1297" spans="1:16">
      <c r="A1297">
        <v>212</v>
      </c>
      <c r="B1297" s="42">
        <v>28.78</v>
      </c>
      <c r="C1297">
        <v>31.23</v>
      </c>
      <c r="D1297">
        <v>31.06</v>
      </c>
      <c r="E1297">
        <v>29.17</v>
      </c>
      <c r="F1297">
        <v>121.45</v>
      </c>
      <c r="G1297">
        <v>129.44999999999999</v>
      </c>
      <c r="H1297">
        <v>120.34</v>
      </c>
      <c r="K1297" s="9">
        <f t="shared" si="144"/>
        <v>-0.21999999999999886</v>
      </c>
      <c r="L1297">
        <f t="shared" si="145"/>
        <v>-0.27999999999999758</v>
      </c>
      <c r="M1297">
        <f t="shared" si="146"/>
        <v>-0.33000000000000185</v>
      </c>
      <c r="N1297">
        <f t="shared" si="147"/>
        <v>0.78000000000000114</v>
      </c>
      <c r="O1297">
        <f t="shared" si="148"/>
        <v>0.28000000000000114</v>
      </c>
      <c r="P1297" s="10">
        <f t="shared" si="149"/>
        <v>0.71999999999999886</v>
      </c>
    </row>
    <row r="1298" spans="1:16">
      <c r="A1298">
        <v>212.17</v>
      </c>
      <c r="B1298" s="42">
        <v>28.67</v>
      </c>
      <c r="C1298">
        <v>31.12</v>
      </c>
      <c r="D1298">
        <v>31.01</v>
      </c>
      <c r="E1298">
        <v>29.12</v>
      </c>
      <c r="F1298">
        <v>121.73</v>
      </c>
      <c r="G1298">
        <v>129.51</v>
      </c>
      <c r="H1298">
        <v>120.56</v>
      </c>
      <c r="K1298" s="9">
        <f t="shared" si="144"/>
        <v>-0.22000000000000242</v>
      </c>
      <c r="L1298">
        <f t="shared" si="145"/>
        <v>-0.33999999999999986</v>
      </c>
      <c r="M1298">
        <f t="shared" si="146"/>
        <v>-0.28000000000000114</v>
      </c>
      <c r="N1298">
        <f t="shared" si="147"/>
        <v>0.82999999999999829</v>
      </c>
      <c r="O1298">
        <f t="shared" si="148"/>
        <v>0.33000000000001251</v>
      </c>
      <c r="P1298" s="10">
        <f t="shared" si="149"/>
        <v>0.84000000000000341</v>
      </c>
    </row>
    <row r="1299" spans="1:16">
      <c r="A1299">
        <v>212.33</v>
      </c>
      <c r="B1299" s="42">
        <v>28.78</v>
      </c>
      <c r="C1299">
        <v>31.06</v>
      </c>
      <c r="D1299">
        <v>30.9</v>
      </c>
      <c r="E1299">
        <v>28.95</v>
      </c>
      <c r="F1299">
        <v>121.95</v>
      </c>
      <c r="G1299">
        <v>129.66999999999999</v>
      </c>
      <c r="H1299">
        <v>120.9</v>
      </c>
      <c r="K1299" s="9">
        <f t="shared" si="144"/>
        <v>-0.21999999999999886</v>
      </c>
      <c r="L1299">
        <f t="shared" si="145"/>
        <v>-0.22999999999999687</v>
      </c>
      <c r="M1299">
        <f t="shared" si="146"/>
        <v>0</v>
      </c>
      <c r="N1299">
        <f t="shared" si="147"/>
        <v>0.95000000000000284</v>
      </c>
      <c r="O1299">
        <f t="shared" si="148"/>
        <v>0.34000000000000341</v>
      </c>
      <c r="P1299" s="10">
        <f t="shared" si="149"/>
        <v>0.82999999999999829</v>
      </c>
    </row>
    <row r="1300" spans="1:16">
      <c r="A1300">
        <v>212.5</v>
      </c>
      <c r="B1300" s="42">
        <v>28.78</v>
      </c>
      <c r="C1300">
        <v>31.01</v>
      </c>
      <c r="D1300">
        <v>30.78</v>
      </c>
      <c r="E1300">
        <v>28.84</v>
      </c>
      <c r="F1300">
        <v>122.23</v>
      </c>
      <c r="G1300">
        <v>129.72999999999999</v>
      </c>
      <c r="H1300">
        <v>121.06</v>
      </c>
      <c r="K1300" s="9">
        <f t="shared" si="144"/>
        <v>-0.28000000000000114</v>
      </c>
      <c r="L1300">
        <f t="shared" si="145"/>
        <v>-0.16000000000000014</v>
      </c>
      <c r="M1300">
        <f t="shared" si="146"/>
        <v>-5.9999999999998721E-2</v>
      </c>
      <c r="N1300">
        <f t="shared" si="147"/>
        <v>0.89000000000000057</v>
      </c>
      <c r="O1300">
        <f t="shared" si="148"/>
        <v>0.39000000000001478</v>
      </c>
      <c r="P1300" s="10">
        <f t="shared" si="149"/>
        <v>0.56000000000000227</v>
      </c>
    </row>
    <row r="1301" spans="1:16">
      <c r="A1301">
        <v>212.67</v>
      </c>
      <c r="B1301" s="42">
        <v>28.73</v>
      </c>
      <c r="C1301">
        <v>30.9</v>
      </c>
      <c r="D1301">
        <v>30.67</v>
      </c>
      <c r="E1301">
        <v>28.84</v>
      </c>
      <c r="F1301">
        <v>122.56</v>
      </c>
      <c r="G1301">
        <v>129.84</v>
      </c>
      <c r="H1301">
        <v>121.4</v>
      </c>
      <c r="K1301" s="9">
        <f t="shared" si="144"/>
        <v>-0.27999999999999758</v>
      </c>
      <c r="L1301">
        <f t="shared" si="145"/>
        <v>-0.22000000000000242</v>
      </c>
      <c r="M1301">
        <f t="shared" si="146"/>
        <v>-0.16999999999999815</v>
      </c>
      <c r="N1301">
        <f t="shared" si="147"/>
        <v>0.71999999999999886</v>
      </c>
      <c r="O1301">
        <f t="shared" si="148"/>
        <v>0.32999999999998408</v>
      </c>
      <c r="P1301" s="10">
        <f t="shared" si="149"/>
        <v>0.32999999999999829</v>
      </c>
    </row>
    <row r="1302" spans="1:16">
      <c r="A1302">
        <v>212.83</v>
      </c>
      <c r="B1302" s="42">
        <v>28.78</v>
      </c>
      <c r="C1302">
        <v>30.84</v>
      </c>
      <c r="D1302">
        <v>30.67</v>
      </c>
      <c r="E1302">
        <v>28.95</v>
      </c>
      <c r="F1302">
        <v>122.9</v>
      </c>
      <c r="G1302">
        <v>130.01</v>
      </c>
      <c r="H1302">
        <v>121.73</v>
      </c>
      <c r="K1302" s="9">
        <f t="shared" si="144"/>
        <v>-0.28000000000000114</v>
      </c>
      <c r="L1302">
        <f t="shared" si="145"/>
        <v>-0.27000000000000313</v>
      </c>
      <c r="M1302">
        <f t="shared" si="146"/>
        <v>-0.27999999999999758</v>
      </c>
      <c r="N1302">
        <f t="shared" si="147"/>
        <v>0.82999999999999829</v>
      </c>
      <c r="O1302">
        <f t="shared" si="148"/>
        <v>0.39000000000001478</v>
      </c>
      <c r="P1302" s="10">
        <f t="shared" si="149"/>
        <v>4.9999999999997158E-2</v>
      </c>
    </row>
    <row r="1303" spans="1:16">
      <c r="A1303">
        <v>213</v>
      </c>
      <c r="B1303" s="42">
        <v>28.73</v>
      </c>
      <c r="C1303">
        <v>30.73</v>
      </c>
      <c r="D1303">
        <v>30.62</v>
      </c>
      <c r="E1303">
        <v>28.78</v>
      </c>
      <c r="F1303">
        <v>123.12</v>
      </c>
      <c r="G1303">
        <v>130.12</v>
      </c>
      <c r="H1303">
        <v>121.62</v>
      </c>
      <c r="K1303" s="9">
        <f t="shared" si="144"/>
        <v>-0.39000000000000057</v>
      </c>
      <c r="L1303">
        <f t="shared" si="145"/>
        <v>-0.39000000000000057</v>
      </c>
      <c r="M1303">
        <f t="shared" si="146"/>
        <v>-0.16000000000000014</v>
      </c>
      <c r="N1303">
        <f t="shared" si="147"/>
        <v>0.78000000000000114</v>
      </c>
      <c r="O1303">
        <f t="shared" si="148"/>
        <v>0.32999999999998408</v>
      </c>
      <c r="P1303" s="10">
        <f t="shared" si="149"/>
        <v>0.32999999999999829</v>
      </c>
    </row>
    <row r="1304" spans="1:16">
      <c r="A1304">
        <v>213.17</v>
      </c>
      <c r="B1304" s="42">
        <v>28.73</v>
      </c>
      <c r="C1304">
        <v>30.62</v>
      </c>
      <c r="D1304">
        <v>30.45</v>
      </c>
      <c r="E1304">
        <v>28.67</v>
      </c>
      <c r="F1304">
        <v>123.28</v>
      </c>
      <c r="G1304">
        <v>130.16999999999999</v>
      </c>
      <c r="H1304">
        <v>121.73</v>
      </c>
      <c r="K1304" s="9">
        <f t="shared" si="144"/>
        <v>-0.17000000000000171</v>
      </c>
      <c r="L1304">
        <f t="shared" si="145"/>
        <v>-0.16999999999999815</v>
      </c>
      <c r="M1304">
        <f t="shared" si="146"/>
        <v>-5.0000000000000711E-2</v>
      </c>
      <c r="N1304">
        <f t="shared" si="147"/>
        <v>0.56000000000000227</v>
      </c>
      <c r="O1304">
        <f t="shared" si="148"/>
        <v>0.45000000000001705</v>
      </c>
      <c r="P1304" s="10">
        <f t="shared" si="149"/>
        <v>0.32999999999999829</v>
      </c>
    </row>
    <row r="1305" spans="1:16">
      <c r="A1305">
        <v>213.33</v>
      </c>
      <c r="B1305" s="42">
        <v>28.78</v>
      </c>
      <c r="C1305">
        <v>30.56</v>
      </c>
      <c r="D1305">
        <v>30.4</v>
      </c>
      <c r="E1305">
        <v>28.67</v>
      </c>
      <c r="F1305">
        <v>123.73</v>
      </c>
      <c r="G1305">
        <v>130.4</v>
      </c>
      <c r="H1305">
        <v>121.78</v>
      </c>
      <c r="K1305" s="9">
        <f t="shared" ref="K1305:K1368" si="150">C1308-C1305</f>
        <v>-4.9999999999997158E-2</v>
      </c>
      <c r="L1305">
        <f t="shared" ref="L1305:L1368" si="151">D1308-D1305</f>
        <v>-0.11999999999999744</v>
      </c>
      <c r="M1305">
        <f t="shared" ref="M1305:M1368" si="152">E1308-E1305</f>
        <v>-5.0000000000000711E-2</v>
      </c>
      <c r="N1305">
        <f t="shared" ref="N1305:N1368" si="153">F1308-F1305</f>
        <v>0.32999999999999829</v>
      </c>
      <c r="O1305">
        <f t="shared" ref="O1305:O1368" si="154">G1308-G1305</f>
        <v>0.37999999999999545</v>
      </c>
      <c r="P1305" s="10">
        <f t="shared" ref="P1305:P1368" si="155">H1308-H1305</f>
        <v>0.45000000000000284</v>
      </c>
    </row>
    <row r="1306" spans="1:16">
      <c r="A1306">
        <v>213.5</v>
      </c>
      <c r="B1306" s="42">
        <v>28.73</v>
      </c>
      <c r="C1306">
        <v>30.34</v>
      </c>
      <c r="D1306">
        <v>30.23</v>
      </c>
      <c r="E1306">
        <v>28.62</v>
      </c>
      <c r="F1306">
        <v>123.9</v>
      </c>
      <c r="G1306">
        <v>130.44999999999999</v>
      </c>
      <c r="H1306">
        <v>121.95</v>
      </c>
      <c r="K1306" s="9">
        <f t="shared" si="150"/>
        <v>0.10999999999999943</v>
      </c>
      <c r="L1306">
        <f t="shared" si="151"/>
        <v>5.0000000000000711E-2</v>
      </c>
      <c r="M1306">
        <f t="shared" si="152"/>
        <v>-6.0000000000002274E-2</v>
      </c>
      <c r="N1306">
        <f t="shared" si="153"/>
        <v>0.37999999999999545</v>
      </c>
      <c r="O1306">
        <f t="shared" si="154"/>
        <v>0.39000000000001478</v>
      </c>
      <c r="P1306" s="10">
        <f t="shared" si="155"/>
        <v>0.45000000000000284</v>
      </c>
    </row>
    <row r="1307" spans="1:16">
      <c r="A1307">
        <v>213.67</v>
      </c>
      <c r="B1307" s="42">
        <v>28.78</v>
      </c>
      <c r="C1307">
        <v>30.45</v>
      </c>
      <c r="D1307">
        <v>30.28</v>
      </c>
      <c r="E1307">
        <v>28.62</v>
      </c>
      <c r="F1307">
        <v>123.84</v>
      </c>
      <c r="G1307">
        <v>130.62</v>
      </c>
      <c r="H1307">
        <v>122.06</v>
      </c>
      <c r="K1307" s="9">
        <f t="shared" si="150"/>
        <v>-0.16999999999999815</v>
      </c>
      <c r="L1307">
        <f t="shared" si="151"/>
        <v>-0.16000000000000014</v>
      </c>
      <c r="M1307">
        <f t="shared" si="152"/>
        <v>-0.10999999999999943</v>
      </c>
      <c r="N1307">
        <f t="shared" si="153"/>
        <v>0.67000000000000171</v>
      </c>
      <c r="O1307">
        <f t="shared" si="154"/>
        <v>0.32999999999998408</v>
      </c>
      <c r="P1307" s="10">
        <f t="shared" si="155"/>
        <v>0.5</v>
      </c>
    </row>
    <row r="1308" spans="1:16">
      <c r="A1308">
        <v>213.83</v>
      </c>
      <c r="B1308" s="42">
        <v>28.67</v>
      </c>
      <c r="C1308">
        <v>30.51</v>
      </c>
      <c r="D1308">
        <v>30.28</v>
      </c>
      <c r="E1308">
        <v>28.62</v>
      </c>
      <c r="F1308">
        <v>124.06</v>
      </c>
      <c r="G1308">
        <v>130.78</v>
      </c>
      <c r="H1308">
        <v>122.23</v>
      </c>
      <c r="K1308" s="9">
        <f t="shared" si="150"/>
        <v>-0.33999999999999986</v>
      </c>
      <c r="L1308">
        <f t="shared" si="151"/>
        <v>-0.22000000000000242</v>
      </c>
      <c r="M1308">
        <f t="shared" si="152"/>
        <v>-0.10999999999999943</v>
      </c>
      <c r="N1308">
        <f t="shared" si="153"/>
        <v>0.45000000000000284</v>
      </c>
      <c r="O1308">
        <f t="shared" si="154"/>
        <v>0.34000000000000341</v>
      </c>
      <c r="P1308" s="10">
        <f t="shared" si="155"/>
        <v>0.5</v>
      </c>
    </row>
    <row r="1309" spans="1:16">
      <c r="A1309">
        <v>214</v>
      </c>
      <c r="B1309" s="42">
        <v>28.62</v>
      </c>
      <c r="C1309">
        <v>30.45</v>
      </c>
      <c r="D1309">
        <v>30.28</v>
      </c>
      <c r="E1309">
        <v>28.56</v>
      </c>
      <c r="F1309">
        <v>124.28</v>
      </c>
      <c r="G1309">
        <v>130.84</v>
      </c>
      <c r="H1309">
        <v>122.4</v>
      </c>
      <c r="K1309" s="9">
        <f t="shared" si="150"/>
        <v>-0.32999999999999829</v>
      </c>
      <c r="L1309">
        <f t="shared" si="151"/>
        <v>-0.38000000000000256</v>
      </c>
      <c r="M1309">
        <f t="shared" si="152"/>
        <v>-0.16000000000000014</v>
      </c>
      <c r="N1309">
        <f t="shared" si="153"/>
        <v>0.34000000000000341</v>
      </c>
      <c r="O1309">
        <f t="shared" si="154"/>
        <v>0.32999999999998408</v>
      </c>
      <c r="P1309" s="10">
        <f t="shared" si="155"/>
        <v>-6.0000000000002274E-2</v>
      </c>
    </row>
    <row r="1310" spans="1:16">
      <c r="A1310">
        <v>214.17</v>
      </c>
      <c r="B1310" s="42">
        <v>28.51</v>
      </c>
      <c r="C1310">
        <v>30.28</v>
      </c>
      <c r="D1310">
        <v>30.12</v>
      </c>
      <c r="E1310">
        <v>28.51</v>
      </c>
      <c r="F1310">
        <v>124.51</v>
      </c>
      <c r="G1310">
        <v>130.94999999999999</v>
      </c>
      <c r="H1310">
        <v>122.56</v>
      </c>
      <c r="K1310" s="9">
        <f t="shared" si="150"/>
        <v>-0.22000000000000242</v>
      </c>
      <c r="L1310">
        <f t="shared" si="151"/>
        <v>-0.22000000000000242</v>
      </c>
      <c r="M1310">
        <f t="shared" si="152"/>
        <v>-0.17000000000000171</v>
      </c>
      <c r="N1310">
        <f t="shared" si="153"/>
        <v>0.26999999999999602</v>
      </c>
      <c r="O1310">
        <f t="shared" si="154"/>
        <v>0.33000000000001251</v>
      </c>
      <c r="P1310" s="10">
        <f t="shared" si="155"/>
        <v>-0.39000000000000057</v>
      </c>
    </row>
    <row r="1311" spans="1:16">
      <c r="A1311">
        <v>214.33</v>
      </c>
      <c r="B1311" s="42">
        <v>28.51</v>
      </c>
      <c r="C1311">
        <v>30.17</v>
      </c>
      <c r="D1311">
        <v>30.06</v>
      </c>
      <c r="E1311">
        <v>28.51</v>
      </c>
      <c r="F1311">
        <v>124.51</v>
      </c>
      <c r="G1311">
        <v>131.12</v>
      </c>
      <c r="H1311">
        <v>122.73</v>
      </c>
      <c r="K1311" s="9">
        <f t="shared" si="150"/>
        <v>-0.11000000000000298</v>
      </c>
      <c r="L1311">
        <f t="shared" si="151"/>
        <v>-0.16000000000000014</v>
      </c>
      <c r="M1311">
        <f t="shared" si="152"/>
        <v>-0.17000000000000171</v>
      </c>
      <c r="N1311">
        <f t="shared" si="153"/>
        <v>0</v>
      </c>
      <c r="O1311">
        <f t="shared" si="154"/>
        <v>0.28000000000000114</v>
      </c>
      <c r="P1311" s="10">
        <f t="shared" si="155"/>
        <v>-1</v>
      </c>
    </row>
    <row r="1312" spans="1:16">
      <c r="A1312">
        <v>214.5</v>
      </c>
      <c r="B1312" s="42">
        <v>28.4</v>
      </c>
      <c r="C1312">
        <v>30.12</v>
      </c>
      <c r="D1312">
        <v>29.9</v>
      </c>
      <c r="E1312">
        <v>28.4</v>
      </c>
      <c r="F1312">
        <v>124.62</v>
      </c>
      <c r="G1312">
        <v>131.16999999999999</v>
      </c>
      <c r="H1312">
        <v>122.34</v>
      </c>
      <c r="K1312" s="9">
        <f t="shared" si="150"/>
        <v>-6.0000000000002274E-2</v>
      </c>
      <c r="L1312">
        <f t="shared" si="151"/>
        <v>0</v>
      </c>
      <c r="M1312">
        <f t="shared" si="152"/>
        <v>-5.9999999999998721E-2</v>
      </c>
      <c r="N1312">
        <f t="shared" si="153"/>
        <v>0.15999999999999659</v>
      </c>
      <c r="O1312">
        <f t="shared" si="154"/>
        <v>0.34000000000000341</v>
      </c>
      <c r="P1312" s="10">
        <f t="shared" si="155"/>
        <v>-0.60999999999999943</v>
      </c>
    </row>
    <row r="1313" spans="1:16">
      <c r="A1313">
        <v>214.67</v>
      </c>
      <c r="B1313" s="42">
        <v>28.45</v>
      </c>
      <c r="C1313">
        <v>30.06</v>
      </c>
      <c r="D1313">
        <v>29.9</v>
      </c>
      <c r="E1313">
        <v>28.34</v>
      </c>
      <c r="F1313">
        <v>124.78</v>
      </c>
      <c r="G1313">
        <v>131.28</v>
      </c>
      <c r="H1313">
        <v>122.17</v>
      </c>
      <c r="K1313" s="9">
        <f t="shared" si="150"/>
        <v>0</v>
      </c>
      <c r="L1313">
        <f t="shared" si="151"/>
        <v>0</v>
      </c>
      <c r="M1313">
        <f t="shared" si="152"/>
        <v>-0.10999999999999943</v>
      </c>
      <c r="N1313">
        <f t="shared" si="153"/>
        <v>-0.26999999999999602</v>
      </c>
      <c r="O1313">
        <f t="shared" si="154"/>
        <v>0.22999999999998977</v>
      </c>
      <c r="P1313" s="10">
        <f t="shared" si="155"/>
        <v>-0.10999999999999943</v>
      </c>
    </row>
    <row r="1314" spans="1:16">
      <c r="A1314">
        <v>214.83</v>
      </c>
      <c r="B1314" s="42">
        <v>28.51</v>
      </c>
      <c r="C1314">
        <v>30.06</v>
      </c>
      <c r="D1314">
        <v>29.9</v>
      </c>
      <c r="E1314">
        <v>28.34</v>
      </c>
      <c r="F1314">
        <v>124.51</v>
      </c>
      <c r="G1314">
        <v>131.4</v>
      </c>
      <c r="H1314">
        <v>121.73</v>
      </c>
      <c r="K1314" s="9">
        <f t="shared" si="150"/>
        <v>-4.9999999999997158E-2</v>
      </c>
      <c r="L1314">
        <f t="shared" si="151"/>
        <v>-5.9999999999998721E-2</v>
      </c>
      <c r="M1314">
        <f t="shared" si="152"/>
        <v>-5.9999999999998721E-2</v>
      </c>
      <c r="N1314">
        <f t="shared" si="153"/>
        <v>-0.17000000000000171</v>
      </c>
      <c r="O1314">
        <f t="shared" si="154"/>
        <v>0.21999999999999886</v>
      </c>
      <c r="P1314" s="10">
        <f t="shared" si="155"/>
        <v>-0.45000000000000284</v>
      </c>
    </row>
    <row r="1315" spans="1:16">
      <c r="A1315">
        <v>215</v>
      </c>
      <c r="B1315" s="42">
        <v>28.45</v>
      </c>
      <c r="C1315">
        <v>30.06</v>
      </c>
      <c r="D1315">
        <v>29.9</v>
      </c>
      <c r="E1315">
        <v>28.34</v>
      </c>
      <c r="F1315">
        <v>124.78</v>
      </c>
      <c r="G1315">
        <v>131.51</v>
      </c>
      <c r="H1315">
        <v>121.73</v>
      </c>
      <c r="K1315" s="9">
        <f t="shared" si="150"/>
        <v>-0.10999999999999943</v>
      </c>
      <c r="L1315">
        <f t="shared" si="151"/>
        <v>-0.11999999999999744</v>
      </c>
      <c r="M1315">
        <f t="shared" si="152"/>
        <v>0</v>
      </c>
      <c r="N1315">
        <f t="shared" si="153"/>
        <v>-0.15999999999999659</v>
      </c>
      <c r="O1315">
        <f t="shared" si="154"/>
        <v>0.11000000000001364</v>
      </c>
      <c r="P1315" s="10">
        <f t="shared" si="155"/>
        <v>-2.3900000000000006</v>
      </c>
    </row>
    <row r="1316" spans="1:16">
      <c r="A1316">
        <v>215.17</v>
      </c>
      <c r="B1316" s="42">
        <v>28.45</v>
      </c>
      <c r="C1316">
        <v>30.06</v>
      </c>
      <c r="D1316">
        <v>29.9</v>
      </c>
      <c r="E1316">
        <v>28.23</v>
      </c>
      <c r="F1316">
        <v>124.51</v>
      </c>
      <c r="G1316">
        <v>131.51</v>
      </c>
      <c r="H1316">
        <v>122.06</v>
      </c>
      <c r="K1316" s="9">
        <f t="shared" si="150"/>
        <v>-0.16000000000000014</v>
      </c>
      <c r="L1316">
        <f t="shared" si="151"/>
        <v>-0.27999999999999758</v>
      </c>
      <c r="M1316">
        <f t="shared" si="152"/>
        <v>0</v>
      </c>
      <c r="N1316">
        <f t="shared" si="153"/>
        <v>4.9999999999997158E-2</v>
      </c>
      <c r="O1316">
        <f t="shared" si="154"/>
        <v>0.27000000000001023</v>
      </c>
      <c r="P1316" s="10">
        <f t="shared" si="155"/>
        <v>-3.3900000000000006</v>
      </c>
    </row>
    <row r="1317" spans="1:16">
      <c r="A1317">
        <v>215.33</v>
      </c>
      <c r="B1317" s="42">
        <v>28.45</v>
      </c>
      <c r="C1317">
        <v>30.01</v>
      </c>
      <c r="D1317">
        <v>29.84</v>
      </c>
      <c r="E1317">
        <v>28.28</v>
      </c>
      <c r="F1317">
        <v>124.34</v>
      </c>
      <c r="G1317">
        <v>131.62</v>
      </c>
      <c r="H1317">
        <v>121.28</v>
      </c>
      <c r="K1317" s="9">
        <f t="shared" si="150"/>
        <v>-0.11000000000000298</v>
      </c>
      <c r="L1317">
        <f t="shared" si="151"/>
        <v>-0.10999999999999943</v>
      </c>
      <c r="M1317">
        <f t="shared" si="152"/>
        <v>-5.0000000000000711E-2</v>
      </c>
      <c r="N1317">
        <f t="shared" si="153"/>
        <v>0.32999999999999829</v>
      </c>
      <c r="O1317">
        <f t="shared" si="154"/>
        <v>0.21999999999999886</v>
      </c>
      <c r="P1317" s="10">
        <f t="shared" si="155"/>
        <v>-2.4399999999999977</v>
      </c>
    </row>
    <row r="1318" spans="1:16">
      <c r="A1318">
        <v>215.5</v>
      </c>
      <c r="B1318" s="42">
        <v>28.51</v>
      </c>
      <c r="C1318">
        <v>29.95</v>
      </c>
      <c r="D1318">
        <v>29.78</v>
      </c>
      <c r="E1318">
        <v>28.34</v>
      </c>
      <c r="F1318">
        <v>124.62</v>
      </c>
      <c r="G1318">
        <v>131.62</v>
      </c>
      <c r="H1318">
        <v>119.34</v>
      </c>
      <c r="K1318" s="9">
        <f t="shared" si="150"/>
        <v>-0.10999999999999943</v>
      </c>
      <c r="L1318">
        <f t="shared" si="151"/>
        <v>-0.16000000000000014</v>
      </c>
      <c r="M1318">
        <f t="shared" si="152"/>
        <v>-0.10999999999999943</v>
      </c>
      <c r="N1318">
        <f t="shared" si="153"/>
        <v>0.28000000000000114</v>
      </c>
      <c r="O1318">
        <f t="shared" si="154"/>
        <v>0.32999999999998408</v>
      </c>
      <c r="P1318" s="10">
        <f t="shared" si="155"/>
        <v>-0.17000000000000171</v>
      </c>
    </row>
    <row r="1319" spans="1:16">
      <c r="A1319">
        <v>215.67</v>
      </c>
      <c r="B1319" s="42">
        <v>28.4</v>
      </c>
      <c r="C1319">
        <v>29.9</v>
      </c>
      <c r="D1319">
        <v>29.62</v>
      </c>
      <c r="E1319">
        <v>28.23</v>
      </c>
      <c r="F1319">
        <v>124.56</v>
      </c>
      <c r="G1319">
        <v>131.78</v>
      </c>
      <c r="H1319">
        <v>118.67</v>
      </c>
      <c r="K1319" s="9">
        <f t="shared" si="150"/>
        <v>-0.11999999999999744</v>
      </c>
      <c r="L1319">
        <f t="shared" si="151"/>
        <v>5.0000000000000711E-2</v>
      </c>
      <c r="M1319">
        <f t="shared" si="152"/>
        <v>-0.10999999999999943</v>
      </c>
      <c r="N1319">
        <f t="shared" si="153"/>
        <v>0.5</v>
      </c>
      <c r="O1319">
        <f t="shared" si="154"/>
        <v>0.12000000000000455</v>
      </c>
      <c r="P1319" s="10">
        <f t="shared" si="155"/>
        <v>1.230000000000004</v>
      </c>
    </row>
    <row r="1320" spans="1:16">
      <c r="A1320">
        <v>215.83</v>
      </c>
      <c r="B1320" s="42">
        <v>28.34</v>
      </c>
      <c r="C1320">
        <v>29.9</v>
      </c>
      <c r="D1320">
        <v>29.73</v>
      </c>
      <c r="E1320">
        <v>28.23</v>
      </c>
      <c r="F1320">
        <v>124.67</v>
      </c>
      <c r="G1320">
        <v>131.84</v>
      </c>
      <c r="H1320">
        <v>118.84</v>
      </c>
      <c r="K1320" s="9">
        <f t="shared" si="150"/>
        <v>-0.16999999999999815</v>
      </c>
      <c r="L1320">
        <f t="shared" si="151"/>
        <v>-0.21999999999999886</v>
      </c>
      <c r="M1320">
        <f t="shared" si="152"/>
        <v>-0.17000000000000171</v>
      </c>
      <c r="N1320">
        <f t="shared" si="153"/>
        <v>0.56000000000000227</v>
      </c>
      <c r="O1320">
        <f t="shared" si="154"/>
        <v>0</v>
      </c>
      <c r="P1320" s="10">
        <f t="shared" si="155"/>
        <v>1.3299999999999983</v>
      </c>
    </row>
    <row r="1321" spans="1:16">
      <c r="A1321">
        <v>216</v>
      </c>
      <c r="B1321" s="42">
        <v>28.34</v>
      </c>
      <c r="C1321">
        <v>29.84</v>
      </c>
      <c r="D1321">
        <v>29.62</v>
      </c>
      <c r="E1321">
        <v>28.23</v>
      </c>
      <c r="F1321">
        <v>124.9</v>
      </c>
      <c r="G1321">
        <v>131.94999999999999</v>
      </c>
      <c r="H1321">
        <v>119.17</v>
      </c>
      <c r="K1321" s="9">
        <f t="shared" si="150"/>
        <v>-0.21999999999999886</v>
      </c>
      <c r="L1321">
        <f t="shared" si="151"/>
        <v>-0.17000000000000171</v>
      </c>
      <c r="M1321">
        <f t="shared" si="152"/>
        <v>-0.17000000000000171</v>
      </c>
      <c r="N1321">
        <f t="shared" si="153"/>
        <v>0.43999999999999773</v>
      </c>
      <c r="O1321">
        <f t="shared" si="154"/>
        <v>-4.9999999999982947E-2</v>
      </c>
      <c r="P1321" s="10">
        <f t="shared" si="155"/>
        <v>1.3400000000000034</v>
      </c>
    </row>
    <row r="1322" spans="1:16">
      <c r="A1322">
        <v>216.17</v>
      </c>
      <c r="B1322" s="42">
        <v>28.34</v>
      </c>
      <c r="C1322">
        <v>29.78</v>
      </c>
      <c r="D1322">
        <v>29.67</v>
      </c>
      <c r="E1322">
        <v>28.12</v>
      </c>
      <c r="F1322">
        <v>125.06</v>
      </c>
      <c r="G1322">
        <v>131.9</v>
      </c>
      <c r="H1322">
        <v>119.9</v>
      </c>
      <c r="K1322" s="9">
        <f t="shared" si="150"/>
        <v>-0.22000000000000242</v>
      </c>
      <c r="L1322">
        <f t="shared" si="151"/>
        <v>-0.33000000000000185</v>
      </c>
      <c r="M1322">
        <f t="shared" si="152"/>
        <v>-0.10999999999999943</v>
      </c>
      <c r="N1322">
        <f t="shared" si="153"/>
        <v>0.39000000000000057</v>
      </c>
      <c r="O1322">
        <f t="shared" si="154"/>
        <v>-0.12000000000000455</v>
      </c>
      <c r="P1322" s="10">
        <f t="shared" si="155"/>
        <v>0.71999999999999886</v>
      </c>
    </row>
    <row r="1323" spans="1:16">
      <c r="A1323">
        <v>216.33</v>
      </c>
      <c r="B1323" s="42">
        <v>28.4</v>
      </c>
      <c r="C1323">
        <v>29.73</v>
      </c>
      <c r="D1323">
        <v>29.51</v>
      </c>
      <c r="E1323">
        <v>28.06</v>
      </c>
      <c r="F1323">
        <v>125.23</v>
      </c>
      <c r="G1323">
        <v>131.84</v>
      </c>
      <c r="H1323">
        <v>120.17</v>
      </c>
      <c r="K1323" s="9">
        <f t="shared" si="150"/>
        <v>-0.17000000000000171</v>
      </c>
      <c r="L1323">
        <f t="shared" si="151"/>
        <v>-0.17000000000000171</v>
      </c>
      <c r="M1323">
        <f t="shared" si="152"/>
        <v>0</v>
      </c>
      <c r="N1323">
        <f t="shared" si="153"/>
        <v>0.28000000000000114</v>
      </c>
      <c r="O1323">
        <f t="shared" si="154"/>
        <v>0.10999999999998522</v>
      </c>
      <c r="P1323" s="10">
        <f t="shared" si="155"/>
        <v>0.56000000000000227</v>
      </c>
    </row>
    <row r="1324" spans="1:16">
      <c r="A1324">
        <v>216.5</v>
      </c>
      <c r="B1324" s="42">
        <v>28.34</v>
      </c>
      <c r="C1324">
        <v>29.62</v>
      </c>
      <c r="D1324">
        <v>29.45</v>
      </c>
      <c r="E1324">
        <v>28.06</v>
      </c>
      <c r="F1324">
        <v>125.34</v>
      </c>
      <c r="G1324">
        <v>131.9</v>
      </c>
      <c r="H1324">
        <v>120.51</v>
      </c>
      <c r="K1324" s="9">
        <f t="shared" si="150"/>
        <v>-0.17000000000000171</v>
      </c>
      <c r="L1324">
        <f t="shared" si="151"/>
        <v>-0.10999999999999943</v>
      </c>
      <c r="M1324">
        <f t="shared" si="152"/>
        <v>0</v>
      </c>
      <c r="N1324">
        <f t="shared" si="153"/>
        <v>0.28000000000000114</v>
      </c>
      <c r="O1324">
        <f t="shared" si="154"/>
        <v>0</v>
      </c>
      <c r="P1324" s="10">
        <f t="shared" si="155"/>
        <v>0.60999999999999943</v>
      </c>
    </row>
    <row r="1325" spans="1:16">
      <c r="A1325">
        <v>216.67</v>
      </c>
      <c r="B1325" s="42">
        <v>28.4</v>
      </c>
      <c r="C1325">
        <v>29.56</v>
      </c>
      <c r="D1325">
        <v>29.34</v>
      </c>
      <c r="E1325">
        <v>28.01</v>
      </c>
      <c r="F1325">
        <v>125.45</v>
      </c>
      <c r="G1325">
        <v>131.78</v>
      </c>
      <c r="H1325">
        <v>120.62</v>
      </c>
      <c r="K1325" s="9">
        <f t="shared" si="150"/>
        <v>-0.10999999999999943</v>
      </c>
      <c r="L1325">
        <f t="shared" si="151"/>
        <v>-0.10999999999999943</v>
      </c>
      <c r="M1325">
        <f t="shared" si="152"/>
        <v>0.16000000000000014</v>
      </c>
      <c r="N1325">
        <f t="shared" si="153"/>
        <v>0.39000000000000057</v>
      </c>
      <c r="O1325">
        <f t="shared" si="154"/>
        <v>0.16999999999998749</v>
      </c>
      <c r="P1325" s="10">
        <f t="shared" si="155"/>
        <v>0.65999999999999659</v>
      </c>
    </row>
    <row r="1326" spans="1:16">
      <c r="A1326">
        <v>216.83</v>
      </c>
      <c r="B1326" s="42">
        <v>28.4</v>
      </c>
      <c r="C1326">
        <v>29.56</v>
      </c>
      <c r="D1326">
        <v>29.34</v>
      </c>
      <c r="E1326">
        <v>28.06</v>
      </c>
      <c r="F1326">
        <v>125.51</v>
      </c>
      <c r="G1326">
        <v>131.94999999999999</v>
      </c>
      <c r="H1326">
        <v>120.73</v>
      </c>
      <c r="K1326" s="9">
        <f t="shared" si="150"/>
        <v>-0.21999999999999886</v>
      </c>
      <c r="L1326">
        <f t="shared" si="151"/>
        <v>-0.10999999999999943</v>
      </c>
      <c r="M1326">
        <f t="shared" si="152"/>
        <v>0</v>
      </c>
      <c r="N1326">
        <f t="shared" si="153"/>
        <v>0.71999999999999886</v>
      </c>
      <c r="O1326">
        <f t="shared" si="154"/>
        <v>6.0000000000002274E-2</v>
      </c>
      <c r="P1326" s="10">
        <f t="shared" si="155"/>
        <v>0.89000000000000057</v>
      </c>
    </row>
    <row r="1327" spans="1:16">
      <c r="A1327">
        <v>217</v>
      </c>
      <c r="B1327" s="42">
        <v>28.4</v>
      </c>
      <c r="C1327">
        <v>29.45</v>
      </c>
      <c r="D1327">
        <v>29.34</v>
      </c>
      <c r="E1327">
        <v>28.06</v>
      </c>
      <c r="F1327">
        <v>125.62</v>
      </c>
      <c r="G1327">
        <v>131.9</v>
      </c>
      <c r="H1327">
        <v>121.12</v>
      </c>
      <c r="K1327" s="9">
        <f t="shared" si="150"/>
        <v>-0.10999999999999943</v>
      </c>
      <c r="L1327">
        <f t="shared" si="151"/>
        <v>-0.16999999999999815</v>
      </c>
      <c r="M1327">
        <f t="shared" si="152"/>
        <v>0</v>
      </c>
      <c r="N1327">
        <f t="shared" si="153"/>
        <v>-0.45000000000000284</v>
      </c>
      <c r="O1327">
        <f t="shared" si="154"/>
        <v>4.9999999999982947E-2</v>
      </c>
      <c r="P1327" s="10">
        <f t="shared" si="155"/>
        <v>0.93999999999999773</v>
      </c>
    </row>
    <row r="1328" spans="1:16">
      <c r="A1328">
        <v>217.17</v>
      </c>
      <c r="B1328" s="42">
        <v>28.51</v>
      </c>
      <c r="C1328">
        <v>29.45</v>
      </c>
      <c r="D1328">
        <v>29.23</v>
      </c>
      <c r="E1328">
        <v>28.17</v>
      </c>
      <c r="F1328">
        <v>125.84</v>
      </c>
      <c r="G1328">
        <v>131.94999999999999</v>
      </c>
      <c r="H1328">
        <v>121.28</v>
      </c>
      <c r="K1328" s="9">
        <f t="shared" si="150"/>
        <v>-0.21999999999999886</v>
      </c>
      <c r="L1328">
        <f t="shared" si="151"/>
        <v>-0.17000000000000171</v>
      </c>
      <c r="M1328">
        <f t="shared" si="152"/>
        <v>-0.11000000000000298</v>
      </c>
      <c r="N1328">
        <f t="shared" si="153"/>
        <v>-1</v>
      </c>
      <c r="O1328">
        <f t="shared" si="154"/>
        <v>-4.9999999999982947E-2</v>
      </c>
      <c r="P1328" s="10">
        <f t="shared" si="155"/>
        <v>0.17000000000000171</v>
      </c>
    </row>
    <row r="1329" spans="1:16">
      <c r="A1329">
        <v>217.33</v>
      </c>
      <c r="B1329" s="42">
        <v>28.45</v>
      </c>
      <c r="C1329">
        <v>29.34</v>
      </c>
      <c r="D1329">
        <v>29.23</v>
      </c>
      <c r="E1329">
        <v>28.06</v>
      </c>
      <c r="F1329">
        <v>126.23</v>
      </c>
      <c r="G1329">
        <v>132.01</v>
      </c>
      <c r="H1329">
        <v>121.62</v>
      </c>
      <c r="K1329" s="9">
        <f t="shared" si="150"/>
        <v>-0.10999999999999943</v>
      </c>
      <c r="L1329">
        <f t="shared" si="151"/>
        <v>-0.21999999999999886</v>
      </c>
      <c r="M1329">
        <f t="shared" si="152"/>
        <v>0</v>
      </c>
      <c r="N1329">
        <f t="shared" si="153"/>
        <v>-1.3299999999999983</v>
      </c>
      <c r="O1329">
        <f t="shared" si="154"/>
        <v>-0.22999999999998977</v>
      </c>
      <c r="P1329" s="10">
        <f t="shared" si="155"/>
        <v>-1.7199999999999989</v>
      </c>
    </row>
    <row r="1330" spans="1:16">
      <c r="A1330">
        <v>217.5</v>
      </c>
      <c r="B1330" s="42">
        <v>28.51</v>
      </c>
      <c r="C1330">
        <v>29.34</v>
      </c>
      <c r="D1330">
        <v>29.17</v>
      </c>
      <c r="E1330">
        <v>28.06</v>
      </c>
      <c r="F1330">
        <v>125.17</v>
      </c>
      <c r="G1330">
        <v>131.94999999999999</v>
      </c>
      <c r="H1330">
        <v>122.06</v>
      </c>
      <c r="K1330" s="9">
        <f t="shared" si="150"/>
        <v>-0.10999999999999943</v>
      </c>
      <c r="L1330">
        <f t="shared" si="151"/>
        <v>-0.22000000000000242</v>
      </c>
      <c r="M1330">
        <f t="shared" si="152"/>
        <v>0</v>
      </c>
      <c r="N1330">
        <f t="shared" si="153"/>
        <v>-0.10999999999999943</v>
      </c>
      <c r="O1330">
        <f t="shared" si="154"/>
        <v>-0.16999999999998749</v>
      </c>
      <c r="P1330" s="10">
        <f t="shared" si="155"/>
        <v>-2.5499999999999972</v>
      </c>
    </row>
    <row r="1331" spans="1:16">
      <c r="A1331">
        <v>217.67</v>
      </c>
      <c r="B1331" s="42">
        <v>28.34</v>
      </c>
      <c r="C1331">
        <v>29.23</v>
      </c>
      <c r="D1331">
        <v>29.06</v>
      </c>
      <c r="E1331">
        <v>28.06</v>
      </c>
      <c r="F1331">
        <v>124.84</v>
      </c>
      <c r="G1331">
        <v>131.9</v>
      </c>
      <c r="H1331">
        <v>121.45</v>
      </c>
      <c r="K1331" s="9">
        <f t="shared" si="150"/>
        <v>0</v>
      </c>
      <c r="L1331">
        <f t="shared" si="151"/>
        <v>-0.10999999999999943</v>
      </c>
      <c r="M1331">
        <f t="shared" si="152"/>
        <v>0</v>
      </c>
      <c r="N1331">
        <f t="shared" si="153"/>
        <v>-0.5</v>
      </c>
      <c r="O1331">
        <f t="shared" si="154"/>
        <v>-0.17000000000001592</v>
      </c>
      <c r="P1331" s="10">
        <f t="shared" si="155"/>
        <v>-2.6099999999999994</v>
      </c>
    </row>
    <row r="1332" spans="1:16">
      <c r="A1332">
        <v>217.83</v>
      </c>
      <c r="B1332" s="42">
        <v>28.45</v>
      </c>
      <c r="C1332">
        <v>29.23</v>
      </c>
      <c r="D1332">
        <v>29.01</v>
      </c>
      <c r="E1332">
        <v>28.06</v>
      </c>
      <c r="F1332">
        <v>124.9</v>
      </c>
      <c r="G1332">
        <v>131.78</v>
      </c>
      <c r="H1332">
        <v>119.9</v>
      </c>
      <c r="K1332" s="9">
        <f t="shared" si="150"/>
        <v>5.0000000000000711E-2</v>
      </c>
      <c r="L1332">
        <f t="shared" si="151"/>
        <v>0.16000000000000014</v>
      </c>
      <c r="M1332">
        <f t="shared" si="152"/>
        <v>0</v>
      </c>
      <c r="N1332">
        <f t="shared" si="153"/>
        <v>-0.56000000000000227</v>
      </c>
      <c r="O1332">
        <f t="shared" si="154"/>
        <v>-0.11000000000001364</v>
      </c>
      <c r="P1332" s="10">
        <f t="shared" si="155"/>
        <v>-2.7800000000000011</v>
      </c>
    </row>
    <row r="1333" spans="1:16">
      <c r="A1333">
        <v>218</v>
      </c>
      <c r="B1333" s="42">
        <v>28.51</v>
      </c>
      <c r="C1333">
        <v>29.23</v>
      </c>
      <c r="D1333">
        <v>28.95</v>
      </c>
      <c r="E1333">
        <v>28.06</v>
      </c>
      <c r="F1333">
        <v>125.06</v>
      </c>
      <c r="G1333">
        <v>131.78</v>
      </c>
      <c r="H1333">
        <v>119.51</v>
      </c>
      <c r="K1333" s="9">
        <f t="shared" si="150"/>
        <v>0.10999999999999943</v>
      </c>
      <c r="L1333">
        <f t="shared" si="151"/>
        <v>0.28000000000000114</v>
      </c>
      <c r="M1333">
        <f t="shared" si="152"/>
        <v>0</v>
      </c>
      <c r="N1333">
        <f t="shared" si="153"/>
        <v>-1.0499999999999972</v>
      </c>
      <c r="O1333">
        <f t="shared" si="154"/>
        <v>-0.21999999999999886</v>
      </c>
      <c r="P1333" s="10">
        <f t="shared" si="155"/>
        <v>-3.6099999999999994</v>
      </c>
    </row>
    <row r="1334" spans="1:16">
      <c r="A1334">
        <v>218.17</v>
      </c>
      <c r="B1334" s="42">
        <v>28.51</v>
      </c>
      <c r="C1334">
        <v>29.23</v>
      </c>
      <c r="D1334">
        <v>28.95</v>
      </c>
      <c r="E1334">
        <v>28.06</v>
      </c>
      <c r="F1334">
        <v>124.34</v>
      </c>
      <c r="G1334">
        <v>131.72999999999999</v>
      </c>
      <c r="H1334">
        <v>118.84</v>
      </c>
      <c r="K1334" s="9">
        <f t="shared" si="150"/>
        <v>0.10999999999999943</v>
      </c>
      <c r="L1334">
        <f t="shared" si="151"/>
        <v>0.28000000000000114</v>
      </c>
      <c r="M1334">
        <f t="shared" si="152"/>
        <v>0</v>
      </c>
      <c r="N1334">
        <f t="shared" si="153"/>
        <v>-1</v>
      </c>
      <c r="O1334">
        <f t="shared" si="154"/>
        <v>-0.28000000000000114</v>
      </c>
      <c r="P1334" s="10">
        <f t="shared" si="155"/>
        <v>-3.3299999999999983</v>
      </c>
    </row>
    <row r="1335" spans="1:16">
      <c r="A1335">
        <v>218.33</v>
      </c>
      <c r="B1335" s="42">
        <v>28.56</v>
      </c>
      <c r="C1335">
        <v>29.28</v>
      </c>
      <c r="D1335">
        <v>29.17</v>
      </c>
      <c r="E1335">
        <v>28.06</v>
      </c>
      <c r="F1335">
        <v>124.34</v>
      </c>
      <c r="G1335">
        <v>131.66999999999999</v>
      </c>
      <c r="H1335">
        <v>117.12</v>
      </c>
      <c r="K1335" s="9">
        <f t="shared" si="150"/>
        <v>0</v>
      </c>
      <c r="L1335">
        <f t="shared" si="151"/>
        <v>-5.0000000000000711E-2</v>
      </c>
      <c r="M1335">
        <f t="shared" si="152"/>
        <v>6.0000000000002274E-2</v>
      </c>
      <c r="N1335">
        <f t="shared" si="153"/>
        <v>-1.5</v>
      </c>
      <c r="O1335">
        <f t="shared" si="154"/>
        <v>-0.26999999999998181</v>
      </c>
      <c r="P1335" s="10">
        <f t="shared" si="155"/>
        <v>-2.7800000000000011</v>
      </c>
    </row>
    <row r="1336" spans="1:16">
      <c r="A1336">
        <v>218.5</v>
      </c>
      <c r="B1336" s="42">
        <v>28.51</v>
      </c>
      <c r="C1336">
        <v>29.34</v>
      </c>
      <c r="D1336">
        <v>29.23</v>
      </c>
      <c r="E1336">
        <v>28.06</v>
      </c>
      <c r="F1336">
        <v>124.01</v>
      </c>
      <c r="G1336">
        <v>131.56</v>
      </c>
      <c r="H1336">
        <v>115.9</v>
      </c>
      <c r="K1336" s="9">
        <f t="shared" si="150"/>
        <v>-0.16999999999999815</v>
      </c>
      <c r="L1336">
        <f t="shared" si="151"/>
        <v>-0.21999999999999886</v>
      </c>
      <c r="M1336">
        <f t="shared" si="152"/>
        <v>0</v>
      </c>
      <c r="N1336">
        <f t="shared" si="153"/>
        <v>-1.5600000000000023</v>
      </c>
      <c r="O1336">
        <f t="shared" si="154"/>
        <v>-0.28000000000000114</v>
      </c>
      <c r="P1336" s="10">
        <f t="shared" si="155"/>
        <v>-2.3400000000000034</v>
      </c>
    </row>
    <row r="1337" spans="1:16">
      <c r="A1337">
        <v>218.67</v>
      </c>
      <c r="B1337" s="42">
        <v>28.51</v>
      </c>
      <c r="C1337">
        <v>29.34</v>
      </c>
      <c r="D1337">
        <v>29.23</v>
      </c>
      <c r="E1337">
        <v>28.06</v>
      </c>
      <c r="F1337">
        <v>123.34</v>
      </c>
      <c r="G1337">
        <v>131.44999999999999</v>
      </c>
      <c r="H1337">
        <v>115.51</v>
      </c>
      <c r="K1337" s="9">
        <f t="shared" si="150"/>
        <v>-0.10999999999999943</v>
      </c>
      <c r="L1337">
        <f t="shared" si="151"/>
        <v>-0.21999999999999886</v>
      </c>
      <c r="M1337">
        <f t="shared" si="152"/>
        <v>6.0000000000002274E-2</v>
      </c>
      <c r="N1337">
        <f t="shared" si="153"/>
        <v>-0.60999999999999943</v>
      </c>
      <c r="O1337">
        <f t="shared" si="154"/>
        <v>-0.28000000000000114</v>
      </c>
      <c r="P1337" s="10">
        <f t="shared" si="155"/>
        <v>-1.9500000000000028</v>
      </c>
    </row>
    <row r="1338" spans="1:16">
      <c r="A1338">
        <v>218.83</v>
      </c>
      <c r="B1338" s="42">
        <v>28.67</v>
      </c>
      <c r="C1338">
        <v>29.28</v>
      </c>
      <c r="D1338">
        <v>29.12</v>
      </c>
      <c r="E1338">
        <v>28.12</v>
      </c>
      <c r="F1338">
        <v>122.84</v>
      </c>
      <c r="G1338">
        <v>131.4</v>
      </c>
      <c r="H1338">
        <v>114.34</v>
      </c>
      <c r="K1338" s="9">
        <f t="shared" si="150"/>
        <v>-5.0000000000000711E-2</v>
      </c>
      <c r="L1338">
        <f t="shared" si="151"/>
        <v>-0.17000000000000171</v>
      </c>
      <c r="M1338">
        <f t="shared" si="152"/>
        <v>-6.0000000000002274E-2</v>
      </c>
      <c r="N1338">
        <f t="shared" si="153"/>
        <v>-0.10999999999999943</v>
      </c>
      <c r="O1338">
        <f t="shared" si="154"/>
        <v>-0.39000000000001478</v>
      </c>
      <c r="P1338" s="10">
        <f t="shared" si="155"/>
        <v>-1.0600000000000023</v>
      </c>
    </row>
    <row r="1339" spans="1:16">
      <c r="A1339">
        <v>219</v>
      </c>
      <c r="B1339" s="42">
        <v>28.51</v>
      </c>
      <c r="C1339">
        <v>29.17</v>
      </c>
      <c r="D1339">
        <v>29.01</v>
      </c>
      <c r="E1339">
        <v>28.06</v>
      </c>
      <c r="F1339">
        <v>122.45</v>
      </c>
      <c r="G1339">
        <v>131.28</v>
      </c>
      <c r="H1339">
        <v>113.56</v>
      </c>
      <c r="K1339" s="9">
        <f t="shared" si="150"/>
        <v>-5.0000000000000711E-2</v>
      </c>
      <c r="L1339">
        <f t="shared" si="151"/>
        <v>-6.0000000000002274E-2</v>
      </c>
      <c r="M1339">
        <f t="shared" si="152"/>
        <v>0</v>
      </c>
      <c r="N1339">
        <f t="shared" si="153"/>
        <v>-0.54999999999999716</v>
      </c>
      <c r="O1339">
        <f t="shared" si="154"/>
        <v>-0.5</v>
      </c>
      <c r="P1339" s="10">
        <f t="shared" si="155"/>
        <v>-0.43999999999999773</v>
      </c>
    </row>
    <row r="1340" spans="1:16">
      <c r="A1340">
        <v>219.17</v>
      </c>
      <c r="B1340" s="42">
        <v>28.56</v>
      </c>
      <c r="C1340">
        <v>29.23</v>
      </c>
      <c r="D1340">
        <v>29.01</v>
      </c>
      <c r="E1340">
        <v>28.12</v>
      </c>
      <c r="F1340">
        <v>122.73</v>
      </c>
      <c r="G1340">
        <v>131.16999999999999</v>
      </c>
      <c r="H1340">
        <v>113.56</v>
      </c>
      <c r="K1340" s="9">
        <f t="shared" si="150"/>
        <v>0</v>
      </c>
      <c r="L1340">
        <f t="shared" si="151"/>
        <v>-6.0000000000002274E-2</v>
      </c>
      <c r="M1340">
        <f t="shared" si="152"/>
        <v>-6.0000000000002274E-2</v>
      </c>
      <c r="N1340">
        <f t="shared" si="153"/>
        <v>-0.5</v>
      </c>
      <c r="O1340">
        <f t="shared" si="154"/>
        <v>-0.54999999999998295</v>
      </c>
      <c r="P1340" s="10">
        <f t="shared" si="155"/>
        <v>-1.0499999999999972</v>
      </c>
    </row>
    <row r="1341" spans="1:16">
      <c r="A1341">
        <v>219.33</v>
      </c>
      <c r="B1341" s="42">
        <v>28.51</v>
      </c>
      <c r="C1341">
        <v>29.23</v>
      </c>
      <c r="D1341">
        <v>28.95</v>
      </c>
      <c r="E1341">
        <v>28.06</v>
      </c>
      <c r="F1341">
        <v>122.73</v>
      </c>
      <c r="G1341">
        <v>131.01</v>
      </c>
      <c r="H1341">
        <v>113.28</v>
      </c>
      <c r="K1341" s="9">
        <f t="shared" si="150"/>
        <v>0</v>
      </c>
      <c r="L1341">
        <f t="shared" si="151"/>
        <v>0</v>
      </c>
      <c r="M1341">
        <f t="shared" si="152"/>
        <v>0</v>
      </c>
      <c r="N1341">
        <f t="shared" si="153"/>
        <v>-0.45000000000000284</v>
      </c>
      <c r="O1341">
        <f t="shared" si="154"/>
        <v>-0.60999999999998522</v>
      </c>
      <c r="P1341" s="10">
        <f t="shared" si="155"/>
        <v>-1.1099999999999994</v>
      </c>
    </row>
    <row r="1342" spans="1:16">
      <c r="A1342">
        <v>219.5</v>
      </c>
      <c r="B1342" s="42">
        <v>28.4</v>
      </c>
      <c r="C1342">
        <v>29.12</v>
      </c>
      <c r="D1342">
        <v>28.95</v>
      </c>
      <c r="E1342">
        <v>28.06</v>
      </c>
      <c r="F1342">
        <v>121.9</v>
      </c>
      <c r="G1342">
        <v>130.78</v>
      </c>
      <c r="H1342">
        <v>113.12</v>
      </c>
      <c r="K1342" s="9">
        <f t="shared" si="150"/>
        <v>5.0000000000000711E-2</v>
      </c>
      <c r="L1342">
        <f t="shared" si="151"/>
        <v>0</v>
      </c>
      <c r="M1342">
        <f t="shared" si="152"/>
        <v>0</v>
      </c>
      <c r="N1342">
        <f t="shared" si="153"/>
        <v>-0.12000000000000455</v>
      </c>
      <c r="O1342">
        <f t="shared" si="154"/>
        <v>-0.55000000000001137</v>
      </c>
      <c r="P1342" s="10">
        <f t="shared" si="155"/>
        <v>-1.2800000000000011</v>
      </c>
    </row>
    <row r="1343" spans="1:16">
      <c r="A1343">
        <v>219.67</v>
      </c>
      <c r="B1343" s="42">
        <v>28.51</v>
      </c>
      <c r="C1343">
        <v>29.23</v>
      </c>
      <c r="D1343">
        <v>28.95</v>
      </c>
      <c r="E1343">
        <v>28.06</v>
      </c>
      <c r="F1343">
        <v>122.23</v>
      </c>
      <c r="G1343">
        <v>130.62</v>
      </c>
      <c r="H1343">
        <v>112.51</v>
      </c>
      <c r="K1343" s="9">
        <f t="shared" si="150"/>
        <v>-5.9999999999998721E-2</v>
      </c>
      <c r="L1343">
        <f t="shared" si="151"/>
        <v>6.0000000000002274E-2</v>
      </c>
      <c r="M1343">
        <f t="shared" si="152"/>
        <v>0</v>
      </c>
      <c r="N1343">
        <f t="shared" si="153"/>
        <v>-0.45000000000000284</v>
      </c>
      <c r="O1343">
        <f t="shared" si="154"/>
        <v>-0.56000000000000227</v>
      </c>
      <c r="P1343" s="10">
        <f t="shared" si="155"/>
        <v>-0.84000000000000341</v>
      </c>
    </row>
    <row r="1344" spans="1:16">
      <c r="A1344">
        <v>219.83</v>
      </c>
      <c r="B1344" s="42">
        <v>28.51</v>
      </c>
      <c r="C1344">
        <v>29.23</v>
      </c>
      <c r="D1344">
        <v>28.95</v>
      </c>
      <c r="E1344">
        <v>28.06</v>
      </c>
      <c r="F1344">
        <v>122.28</v>
      </c>
      <c r="G1344">
        <v>130.4</v>
      </c>
      <c r="H1344">
        <v>112.17</v>
      </c>
      <c r="K1344" s="9">
        <f t="shared" si="150"/>
        <v>-5.9999999999998721E-2</v>
      </c>
      <c r="L1344">
        <f t="shared" si="151"/>
        <v>-5.0000000000000711E-2</v>
      </c>
      <c r="M1344">
        <f t="shared" si="152"/>
        <v>-4.9999999999997158E-2</v>
      </c>
      <c r="N1344">
        <f t="shared" si="153"/>
        <v>-0.65999999999999659</v>
      </c>
      <c r="O1344">
        <f t="shared" si="154"/>
        <v>-0.56000000000000227</v>
      </c>
      <c r="P1344" s="10">
        <f t="shared" si="155"/>
        <v>-1.3900000000000006</v>
      </c>
    </row>
    <row r="1345" spans="1:16">
      <c r="A1345">
        <v>220</v>
      </c>
      <c r="B1345" s="42">
        <v>28.67</v>
      </c>
      <c r="C1345">
        <v>29.17</v>
      </c>
      <c r="D1345">
        <v>28.95</v>
      </c>
      <c r="E1345">
        <v>28.06</v>
      </c>
      <c r="F1345">
        <v>121.78</v>
      </c>
      <c r="G1345">
        <v>130.22999999999999</v>
      </c>
      <c r="H1345">
        <v>111.84</v>
      </c>
      <c r="K1345" s="9">
        <f t="shared" si="150"/>
        <v>0</v>
      </c>
      <c r="L1345">
        <f t="shared" si="151"/>
        <v>0.10999999999999943</v>
      </c>
      <c r="M1345">
        <f t="shared" si="152"/>
        <v>0</v>
      </c>
      <c r="N1345">
        <f t="shared" si="153"/>
        <v>-0.32999999999999829</v>
      </c>
      <c r="O1345">
        <f t="shared" si="154"/>
        <v>-0.56000000000000227</v>
      </c>
      <c r="P1345" s="10">
        <f t="shared" si="155"/>
        <v>-0.82999999999999829</v>
      </c>
    </row>
    <row r="1346" spans="1:16">
      <c r="A1346">
        <v>220.17</v>
      </c>
      <c r="B1346" s="42">
        <v>28.73</v>
      </c>
      <c r="C1346">
        <v>29.17</v>
      </c>
      <c r="D1346">
        <v>29.01</v>
      </c>
      <c r="E1346">
        <v>28.06</v>
      </c>
      <c r="F1346">
        <v>121.78</v>
      </c>
      <c r="G1346">
        <v>130.06</v>
      </c>
      <c r="H1346">
        <v>111.67</v>
      </c>
      <c r="K1346" s="9">
        <f t="shared" si="150"/>
        <v>0.10999999999999943</v>
      </c>
      <c r="L1346">
        <f t="shared" si="151"/>
        <v>4.9999999999997158E-2</v>
      </c>
      <c r="M1346">
        <f t="shared" si="152"/>
        <v>0.17000000000000171</v>
      </c>
      <c r="N1346">
        <f t="shared" si="153"/>
        <v>-1.269999999999996</v>
      </c>
      <c r="O1346">
        <f t="shared" si="154"/>
        <v>-0.55000000000001137</v>
      </c>
      <c r="P1346" s="10">
        <f t="shared" si="155"/>
        <v>-0.10999999999999943</v>
      </c>
    </row>
    <row r="1347" spans="1:16">
      <c r="A1347">
        <v>220.33</v>
      </c>
      <c r="B1347" s="42">
        <v>28.73</v>
      </c>
      <c r="C1347">
        <v>29.17</v>
      </c>
      <c r="D1347">
        <v>28.9</v>
      </c>
      <c r="E1347">
        <v>28.01</v>
      </c>
      <c r="F1347">
        <v>121.62</v>
      </c>
      <c r="G1347">
        <v>129.84</v>
      </c>
      <c r="H1347">
        <v>110.78</v>
      </c>
      <c r="K1347" s="9">
        <f t="shared" si="150"/>
        <v>0.33999999999999986</v>
      </c>
      <c r="L1347">
        <f t="shared" si="151"/>
        <v>0.38000000000000256</v>
      </c>
      <c r="M1347">
        <f t="shared" si="152"/>
        <v>0.21999999999999886</v>
      </c>
      <c r="N1347">
        <f t="shared" si="153"/>
        <v>-2.1700000000000017</v>
      </c>
      <c r="O1347">
        <f t="shared" si="154"/>
        <v>-0.5</v>
      </c>
      <c r="P1347" s="10">
        <f t="shared" si="155"/>
        <v>1.3900000000000006</v>
      </c>
    </row>
    <row r="1348" spans="1:16">
      <c r="A1348">
        <v>220.5</v>
      </c>
      <c r="B1348" s="42">
        <v>28.78</v>
      </c>
      <c r="C1348">
        <v>29.17</v>
      </c>
      <c r="D1348">
        <v>29.06</v>
      </c>
      <c r="E1348">
        <v>28.06</v>
      </c>
      <c r="F1348">
        <v>121.45</v>
      </c>
      <c r="G1348">
        <v>129.66999999999999</v>
      </c>
      <c r="H1348">
        <v>111.01</v>
      </c>
      <c r="K1348" s="9">
        <f t="shared" si="150"/>
        <v>0.60999999999999943</v>
      </c>
      <c r="L1348">
        <f t="shared" si="151"/>
        <v>0.56000000000000227</v>
      </c>
      <c r="M1348">
        <f t="shared" si="152"/>
        <v>0.17000000000000171</v>
      </c>
      <c r="N1348">
        <f t="shared" si="153"/>
        <v>-2.1099999999999994</v>
      </c>
      <c r="O1348">
        <f t="shared" si="154"/>
        <v>-0.5</v>
      </c>
      <c r="P1348" s="10">
        <f t="shared" si="155"/>
        <v>1.2199999999999989</v>
      </c>
    </row>
    <row r="1349" spans="1:16">
      <c r="A1349">
        <v>220.67</v>
      </c>
      <c r="B1349" s="42">
        <v>28.9</v>
      </c>
      <c r="C1349">
        <v>29.28</v>
      </c>
      <c r="D1349">
        <v>29.06</v>
      </c>
      <c r="E1349">
        <v>28.23</v>
      </c>
      <c r="F1349">
        <v>120.51</v>
      </c>
      <c r="G1349">
        <v>129.51</v>
      </c>
      <c r="H1349">
        <v>111.56</v>
      </c>
      <c r="K1349" s="9">
        <f t="shared" si="150"/>
        <v>0.5</v>
      </c>
      <c r="L1349">
        <f t="shared" si="151"/>
        <v>0.67000000000000171</v>
      </c>
      <c r="M1349">
        <f t="shared" si="152"/>
        <v>5.0000000000000711E-2</v>
      </c>
      <c r="N1349">
        <f t="shared" si="153"/>
        <v>-1</v>
      </c>
      <c r="O1349">
        <f t="shared" si="154"/>
        <v>-0.5</v>
      </c>
      <c r="P1349" s="10">
        <f t="shared" si="155"/>
        <v>0.17000000000000171</v>
      </c>
    </row>
    <row r="1350" spans="1:16">
      <c r="A1350">
        <v>220.83</v>
      </c>
      <c r="B1350" s="42">
        <v>29.23</v>
      </c>
      <c r="C1350">
        <v>29.51</v>
      </c>
      <c r="D1350">
        <v>29.28</v>
      </c>
      <c r="E1350">
        <v>28.23</v>
      </c>
      <c r="F1350">
        <v>119.45</v>
      </c>
      <c r="G1350">
        <v>129.34</v>
      </c>
      <c r="H1350">
        <v>112.17</v>
      </c>
      <c r="K1350" s="9">
        <f t="shared" si="150"/>
        <v>0.66000000000000014</v>
      </c>
      <c r="L1350">
        <f t="shared" si="151"/>
        <v>0.66999999999999815</v>
      </c>
      <c r="M1350">
        <f t="shared" si="152"/>
        <v>0.28000000000000114</v>
      </c>
      <c r="N1350">
        <f t="shared" si="153"/>
        <v>0.21999999999999886</v>
      </c>
      <c r="O1350">
        <f t="shared" si="154"/>
        <v>-0.5</v>
      </c>
      <c r="P1350" s="10">
        <f t="shared" si="155"/>
        <v>-0.82999999999999829</v>
      </c>
    </row>
    <row r="1351" spans="1:16">
      <c r="A1351">
        <v>221</v>
      </c>
      <c r="B1351" s="42">
        <v>29.45</v>
      </c>
      <c r="C1351">
        <v>29.78</v>
      </c>
      <c r="D1351">
        <v>29.62</v>
      </c>
      <c r="E1351">
        <v>28.23</v>
      </c>
      <c r="F1351">
        <v>119.34</v>
      </c>
      <c r="G1351">
        <v>129.16999999999999</v>
      </c>
      <c r="H1351">
        <v>112.23</v>
      </c>
      <c r="K1351" s="9">
        <f t="shared" si="150"/>
        <v>0.44999999999999929</v>
      </c>
      <c r="L1351">
        <f t="shared" si="151"/>
        <v>0.5</v>
      </c>
      <c r="M1351">
        <f t="shared" si="152"/>
        <v>0.44000000000000128</v>
      </c>
      <c r="N1351">
        <f t="shared" si="153"/>
        <v>0.43999999999999773</v>
      </c>
      <c r="O1351">
        <f t="shared" si="154"/>
        <v>-0.60999999999998522</v>
      </c>
      <c r="P1351" s="10">
        <f t="shared" si="155"/>
        <v>-1.6700000000000017</v>
      </c>
    </row>
    <row r="1352" spans="1:16">
      <c r="A1352">
        <v>221.17</v>
      </c>
      <c r="B1352" s="42">
        <v>29.45</v>
      </c>
      <c r="C1352">
        <v>29.78</v>
      </c>
      <c r="D1352">
        <v>29.73</v>
      </c>
      <c r="E1352">
        <v>28.28</v>
      </c>
      <c r="F1352">
        <v>119.51</v>
      </c>
      <c r="G1352">
        <v>129.01</v>
      </c>
      <c r="H1352">
        <v>111.73</v>
      </c>
      <c r="K1352" s="9">
        <f t="shared" si="150"/>
        <v>0.39000000000000057</v>
      </c>
      <c r="L1352">
        <f t="shared" si="151"/>
        <v>0.32999999999999829</v>
      </c>
      <c r="M1352">
        <f t="shared" si="152"/>
        <v>0.5</v>
      </c>
      <c r="N1352">
        <f t="shared" si="153"/>
        <v>0.5</v>
      </c>
      <c r="O1352">
        <f t="shared" si="154"/>
        <v>-0.60999999999998522</v>
      </c>
      <c r="P1352" s="10">
        <f t="shared" si="155"/>
        <v>-1.6700000000000017</v>
      </c>
    </row>
    <row r="1353" spans="1:16">
      <c r="A1353">
        <v>221.33</v>
      </c>
      <c r="B1353" s="42">
        <v>29.73</v>
      </c>
      <c r="C1353">
        <v>30.17</v>
      </c>
      <c r="D1353">
        <v>29.95</v>
      </c>
      <c r="E1353">
        <v>28.51</v>
      </c>
      <c r="F1353">
        <v>119.67</v>
      </c>
      <c r="G1353">
        <v>128.84</v>
      </c>
      <c r="H1353">
        <v>111.34</v>
      </c>
      <c r="K1353" s="9">
        <f t="shared" si="150"/>
        <v>5.9999999999998721E-2</v>
      </c>
      <c r="L1353">
        <f t="shared" si="151"/>
        <v>0.10999999999999943</v>
      </c>
      <c r="M1353">
        <f t="shared" si="152"/>
        <v>0.54999999999999716</v>
      </c>
      <c r="N1353">
        <f t="shared" si="153"/>
        <v>0</v>
      </c>
      <c r="O1353">
        <f t="shared" si="154"/>
        <v>-0.5</v>
      </c>
      <c r="P1353" s="10">
        <f t="shared" si="155"/>
        <v>-1.5600000000000023</v>
      </c>
    </row>
    <row r="1354" spans="1:16">
      <c r="A1354">
        <v>221.5</v>
      </c>
      <c r="B1354" s="42">
        <v>29.78</v>
      </c>
      <c r="C1354">
        <v>30.23</v>
      </c>
      <c r="D1354">
        <v>30.12</v>
      </c>
      <c r="E1354">
        <v>28.67</v>
      </c>
      <c r="F1354">
        <v>119.78</v>
      </c>
      <c r="G1354">
        <v>128.56</v>
      </c>
      <c r="H1354">
        <v>110.56</v>
      </c>
      <c r="K1354" s="9">
        <f t="shared" si="150"/>
        <v>0.10999999999999943</v>
      </c>
      <c r="L1354">
        <f t="shared" si="151"/>
        <v>-6.0000000000002274E-2</v>
      </c>
      <c r="M1354">
        <f t="shared" si="152"/>
        <v>1.3399999999999999</v>
      </c>
      <c r="N1354">
        <f t="shared" si="153"/>
        <v>-0.26999999999999602</v>
      </c>
      <c r="O1354">
        <f t="shared" si="154"/>
        <v>-0.5</v>
      </c>
      <c r="P1354" s="10">
        <f t="shared" si="155"/>
        <v>-1.6599999999999966</v>
      </c>
    </row>
    <row r="1355" spans="1:16">
      <c r="A1355">
        <v>221.67</v>
      </c>
      <c r="B1355" s="42">
        <v>29.9</v>
      </c>
      <c r="C1355">
        <v>30.17</v>
      </c>
      <c r="D1355">
        <v>30.06</v>
      </c>
      <c r="E1355">
        <v>28.78</v>
      </c>
      <c r="F1355">
        <v>120.01</v>
      </c>
      <c r="G1355">
        <v>128.4</v>
      </c>
      <c r="H1355">
        <v>110.06</v>
      </c>
      <c r="K1355" s="9">
        <f t="shared" si="150"/>
        <v>5.9999999999998721E-2</v>
      </c>
      <c r="L1355">
        <f t="shared" si="151"/>
        <v>-4.9999999999997158E-2</v>
      </c>
      <c r="M1355">
        <f t="shared" si="152"/>
        <v>1.5</v>
      </c>
      <c r="N1355">
        <f t="shared" si="153"/>
        <v>-0.34000000000000341</v>
      </c>
      <c r="O1355">
        <f t="shared" si="154"/>
        <v>-0.5</v>
      </c>
      <c r="P1355" s="10">
        <f t="shared" si="155"/>
        <v>-2.1099999999999994</v>
      </c>
    </row>
    <row r="1356" spans="1:16">
      <c r="A1356">
        <v>221.83</v>
      </c>
      <c r="B1356" s="42">
        <v>29.9</v>
      </c>
      <c r="C1356">
        <v>30.23</v>
      </c>
      <c r="D1356">
        <v>30.06</v>
      </c>
      <c r="E1356">
        <v>29.06</v>
      </c>
      <c r="F1356">
        <v>119.67</v>
      </c>
      <c r="G1356">
        <v>128.34</v>
      </c>
      <c r="H1356">
        <v>109.78</v>
      </c>
      <c r="K1356" s="9">
        <f t="shared" si="150"/>
        <v>5.0000000000000711E-2</v>
      </c>
      <c r="L1356">
        <f t="shared" si="151"/>
        <v>6.0000000000002274E-2</v>
      </c>
      <c r="M1356">
        <f t="shared" si="152"/>
        <v>1.8399999999999999</v>
      </c>
      <c r="N1356">
        <f t="shared" si="153"/>
        <v>0.45000000000000284</v>
      </c>
      <c r="O1356">
        <f t="shared" si="154"/>
        <v>-0.5</v>
      </c>
      <c r="P1356" s="10">
        <f t="shared" si="155"/>
        <v>-1.5</v>
      </c>
    </row>
    <row r="1357" spans="1:16">
      <c r="A1357">
        <v>222</v>
      </c>
      <c r="B1357" s="42">
        <v>29.9</v>
      </c>
      <c r="C1357">
        <v>30.34</v>
      </c>
      <c r="D1357">
        <v>30.06</v>
      </c>
      <c r="E1357">
        <v>30.01</v>
      </c>
      <c r="F1357">
        <v>119.51</v>
      </c>
      <c r="G1357">
        <v>128.06</v>
      </c>
      <c r="H1357">
        <v>108.9</v>
      </c>
      <c r="K1357" s="9">
        <f t="shared" si="150"/>
        <v>0</v>
      </c>
      <c r="L1357">
        <f t="shared" si="151"/>
        <v>0.11000000000000298</v>
      </c>
      <c r="M1357">
        <f t="shared" si="152"/>
        <v>1.7199999999999989</v>
      </c>
      <c r="N1357">
        <f t="shared" si="153"/>
        <v>0.32999999999999829</v>
      </c>
      <c r="O1357">
        <f t="shared" si="154"/>
        <v>-0.32999999999999829</v>
      </c>
      <c r="P1357" s="10">
        <f t="shared" si="155"/>
        <v>-0.73000000000000398</v>
      </c>
    </row>
    <row r="1358" spans="1:16">
      <c r="A1358">
        <v>222.17</v>
      </c>
      <c r="B1358" s="42">
        <v>29.84</v>
      </c>
      <c r="C1358">
        <v>30.23</v>
      </c>
      <c r="D1358">
        <v>30.01</v>
      </c>
      <c r="E1358">
        <v>30.28</v>
      </c>
      <c r="F1358">
        <v>119.67</v>
      </c>
      <c r="G1358">
        <v>127.9</v>
      </c>
      <c r="H1358">
        <v>107.95</v>
      </c>
      <c r="K1358" s="9">
        <f t="shared" si="150"/>
        <v>0.21999999999999886</v>
      </c>
      <c r="L1358">
        <f t="shared" si="151"/>
        <v>0.21999999999999886</v>
      </c>
      <c r="M1358">
        <f t="shared" si="152"/>
        <v>2.5</v>
      </c>
      <c r="N1358">
        <f t="shared" si="153"/>
        <v>0.28000000000000114</v>
      </c>
      <c r="O1358">
        <f t="shared" si="154"/>
        <v>-0.17000000000000171</v>
      </c>
      <c r="P1358" s="10">
        <f t="shared" si="155"/>
        <v>0.5</v>
      </c>
    </row>
    <row r="1359" spans="1:16">
      <c r="A1359">
        <v>222.33</v>
      </c>
      <c r="B1359" s="42">
        <v>29.9</v>
      </c>
      <c r="C1359">
        <v>30.28</v>
      </c>
      <c r="D1359">
        <v>30.12</v>
      </c>
      <c r="E1359">
        <v>30.9</v>
      </c>
      <c r="F1359">
        <v>120.12</v>
      </c>
      <c r="G1359">
        <v>127.84</v>
      </c>
      <c r="H1359">
        <v>108.28</v>
      </c>
      <c r="K1359" s="9">
        <f t="shared" si="150"/>
        <v>0.23000000000000043</v>
      </c>
      <c r="L1359">
        <f t="shared" si="151"/>
        <v>0.16000000000000014</v>
      </c>
      <c r="M1359">
        <f t="shared" si="152"/>
        <v>3.0500000000000043</v>
      </c>
      <c r="N1359">
        <f t="shared" si="153"/>
        <v>-0.45000000000000284</v>
      </c>
      <c r="O1359">
        <f t="shared" si="154"/>
        <v>-0.21999999999999886</v>
      </c>
      <c r="P1359" s="10">
        <f t="shared" si="155"/>
        <v>1.4500000000000028</v>
      </c>
    </row>
    <row r="1360" spans="1:16">
      <c r="A1360">
        <v>222.5</v>
      </c>
      <c r="B1360" s="42">
        <v>30.01</v>
      </c>
      <c r="C1360">
        <v>30.34</v>
      </c>
      <c r="D1360">
        <v>30.17</v>
      </c>
      <c r="E1360">
        <v>31.73</v>
      </c>
      <c r="F1360">
        <v>119.84</v>
      </c>
      <c r="G1360">
        <v>127.73</v>
      </c>
      <c r="H1360">
        <v>108.17</v>
      </c>
      <c r="K1360" s="9">
        <f t="shared" si="150"/>
        <v>0.33000000000000185</v>
      </c>
      <c r="L1360">
        <f t="shared" si="151"/>
        <v>0.16999999999999815</v>
      </c>
      <c r="M1360">
        <f t="shared" si="152"/>
        <v>3.2799999999999976</v>
      </c>
      <c r="N1360">
        <f t="shared" si="153"/>
        <v>-0.10999999999999943</v>
      </c>
      <c r="O1360">
        <f t="shared" si="154"/>
        <v>-0.10999999999999943</v>
      </c>
      <c r="P1360" s="10">
        <f t="shared" si="155"/>
        <v>2.4500000000000028</v>
      </c>
    </row>
    <row r="1361" spans="1:16">
      <c r="A1361">
        <v>222.67</v>
      </c>
      <c r="B1361" s="42">
        <v>30.06</v>
      </c>
      <c r="C1361">
        <v>30.45</v>
      </c>
      <c r="D1361">
        <v>30.23</v>
      </c>
      <c r="E1361">
        <v>32.78</v>
      </c>
      <c r="F1361">
        <v>119.95</v>
      </c>
      <c r="G1361">
        <v>127.73</v>
      </c>
      <c r="H1361">
        <v>108.45</v>
      </c>
      <c r="K1361" s="9">
        <f t="shared" si="150"/>
        <v>0.22000000000000242</v>
      </c>
      <c r="L1361">
        <f t="shared" si="151"/>
        <v>0.28000000000000114</v>
      </c>
      <c r="M1361">
        <f t="shared" si="152"/>
        <v>3.2800000000000011</v>
      </c>
      <c r="N1361">
        <f t="shared" si="153"/>
        <v>-0.71999999999999886</v>
      </c>
      <c r="O1361">
        <f t="shared" si="154"/>
        <v>-0.21999999999999886</v>
      </c>
      <c r="P1361" s="10">
        <f t="shared" si="155"/>
        <v>2.5600000000000023</v>
      </c>
    </row>
    <row r="1362" spans="1:16">
      <c r="A1362">
        <v>222.83</v>
      </c>
      <c r="B1362" s="42">
        <v>30.06</v>
      </c>
      <c r="C1362">
        <v>30.51</v>
      </c>
      <c r="D1362">
        <v>30.28</v>
      </c>
      <c r="E1362">
        <v>33.950000000000003</v>
      </c>
      <c r="F1362">
        <v>119.67</v>
      </c>
      <c r="G1362">
        <v>127.62</v>
      </c>
      <c r="H1362">
        <v>109.73</v>
      </c>
      <c r="K1362" s="9">
        <f t="shared" si="150"/>
        <v>0.26999999999999957</v>
      </c>
      <c r="L1362">
        <f t="shared" si="151"/>
        <v>0.27999999999999758</v>
      </c>
      <c r="M1362">
        <f t="shared" si="152"/>
        <v>3.1099999999999994</v>
      </c>
      <c r="N1362">
        <f t="shared" si="153"/>
        <v>-0.65999999999999659</v>
      </c>
      <c r="O1362">
        <f t="shared" si="154"/>
        <v>-0.34000000000000341</v>
      </c>
      <c r="P1362" s="10">
        <f t="shared" si="155"/>
        <v>1.4399999999999977</v>
      </c>
    </row>
    <row r="1363" spans="1:16">
      <c r="A1363">
        <v>223</v>
      </c>
      <c r="B1363" s="42">
        <v>30.23</v>
      </c>
      <c r="C1363">
        <v>30.67</v>
      </c>
      <c r="D1363">
        <v>30.34</v>
      </c>
      <c r="E1363">
        <v>35.01</v>
      </c>
      <c r="F1363">
        <v>119.73</v>
      </c>
      <c r="G1363">
        <v>127.62</v>
      </c>
      <c r="H1363">
        <v>110.62</v>
      </c>
      <c r="K1363" s="9">
        <f t="shared" si="150"/>
        <v>0.22999999999999687</v>
      </c>
      <c r="L1363">
        <f t="shared" si="151"/>
        <v>0.33000000000000185</v>
      </c>
      <c r="M1363">
        <f t="shared" si="152"/>
        <v>3</v>
      </c>
      <c r="N1363">
        <f t="shared" si="153"/>
        <v>-0.89000000000000057</v>
      </c>
      <c r="O1363">
        <f t="shared" si="154"/>
        <v>-0.39000000000000057</v>
      </c>
      <c r="P1363" s="10">
        <f t="shared" si="155"/>
        <v>0.32999999999999829</v>
      </c>
    </row>
    <row r="1364" spans="1:16">
      <c r="A1364">
        <v>223.17</v>
      </c>
      <c r="B1364" s="42">
        <v>30.28</v>
      </c>
      <c r="C1364">
        <v>30.67</v>
      </c>
      <c r="D1364">
        <v>30.51</v>
      </c>
      <c r="E1364">
        <v>36.06</v>
      </c>
      <c r="F1364">
        <v>119.23</v>
      </c>
      <c r="G1364">
        <v>127.51</v>
      </c>
      <c r="H1364">
        <v>111.01</v>
      </c>
      <c r="K1364" s="9">
        <f t="shared" si="150"/>
        <v>0.33999999999999986</v>
      </c>
      <c r="L1364">
        <f t="shared" si="151"/>
        <v>0.21999999999999886</v>
      </c>
      <c r="M1364">
        <f t="shared" si="152"/>
        <v>3</v>
      </c>
      <c r="N1364">
        <f t="shared" si="153"/>
        <v>-0.32999999999999829</v>
      </c>
      <c r="O1364">
        <f t="shared" si="154"/>
        <v>-0.39000000000000057</v>
      </c>
      <c r="P1364" s="10">
        <f t="shared" si="155"/>
        <v>-0.73000000000000398</v>
      </c>
    </row>
    <row r="1365" spans="1:16">
      <c r="A1365">
        <v>223.33</v>
      </c>
      <c r="B1365" s="42">
        <v>30.4</v>
      </c>
      <c r="C1365">
        <v>30.78</v>
      </c>
      <c r="D1365">
        <v>30.56</v>
      </c>
      <c r="E1365">
        <v>37.06</v>
      </c>
      <c r="F1365">
        <v>119.01</v>
      </c>
      <c r="G1365">
        <v>127.28</v>
      </c>
      <c r="H1365">
        <v>111.17</v>
      </c>
      <c r="K1365" s="9">
        <f t="shared" si="150"/>
        <v>0.33999999999999986</v>
      </c>
      <c r="L1365">
        <f t="shared" si="151"/>
        <v>0.33999999999999986</v>
      </c>
      <c r="M1365">
        <f t="shared" si="152"/>
        <v>2.7800000000000011</v>
      </c>
      <c r="N1365">
        <f t="shared" si="153"/>
        <v>-0.23000000000000398</v>
      </c>
      <c r="O1365">
        <f t="shared" si="154"/>
        <v>-0.21999999999999886</v>
      </c>
      <c r="P1365" s="10">
        <f t="shared" si="155"/>
        <v>-1.0499999999999972</v>
      </c>
    </row>
    <row r="1366" spans="1:16">
      <c r="A1366">
        <v>223.5</v>
      </c>
      <c r="B1366" s="42">
        <v>30.51</v>
      </c>
      <c r="C1366">
        <v>30.9</v>
      </c>
      <c r="D1366">
        <v>30.67</v>
      </c>
      <c r="E1366">
        <v>38.01</v>
      </c>
      <c r="F1366">
        <v>118.84</v>
      </c>
      <c r="G1366">
        <v>127.23</v>
      </c>
      <c r="H1366">
        <v>110.95</v>
      </c>
      <c r="K1366" s="9">
        <f t="shared" si="150"/>
        <v>0.16000000000000014</v>
      </c>
      <c r="L1366">
        <f t="shared" si="151"/>
        <v>0.22999999999999687</v>
      </c>
      <c r="M1366">
        <f t="shared" si="152"/>
        <v>2.8300000000000054</v>
      </c>
      <c r="N1366">
        <f t="shared" si="153"/>
        <v>6.0000000000002274E-2</v>
      </c>
      <c r="O1366">
        <f t="shared" si="154"/>
        <v>-0.28000000000000114</v>
      </c>
      <c r="P1366" s="10">
        <f t="shared" si="155"/>
        <v>-1.0499999999999972</v>
      </c>
    </row>
    <row r="1367" spans="1:16">
      <c r="A1367">
        <v>223.67</v>
      </c>
      <c r="B1367" s="42">
        <v>30.62</v>
      </c>
      <c r="C1367">
        <v>31.01</v>
      </c>
      <c r="D1367">
        <v>30.73</v>
      </c>
      <c r="E1367">
        <v>39.06</v>
      </c>
      <c r="F1367">
        <v>118.9</v>
      </c>
      <c r="G1367">
        <v>127.12</v>
      </c>
      <c r="H1367">
        <v>110.28</v>
      </c>
      <c r="K1367" s="9">
        <f t="shared" si="150"/>
        <v>0.38999999999999702</v>
      </c>
      <c r="L1367">
        <f t="shared" si="151"/>
        <v>0.32999999999999829</v>
      </c>
      <c r="M1367">
        <f t="shared" si="152"/>
        <v>2.4499999999999957</v>
      </c>
      <c r="N1367">
        <f t="shared" si="153"/>
        <v>-0.28000000000000114</v>
      </c>
      <c r="O1367">
        <f t="shared" si="154"/>
        <v>-0.21999999999999886</v>
      </c>
      <c r="P1367" s="10">
        <f t="shared" si="155"/>
        <v>-1.1599999999999966</v>
      </c>
    </row>
    <row r="1368" spans="1:16">
      <c r="A1368">
        <v>223.83</v>
      </c>
      <c r="B1368" s="42">
        <v>30.84</v>
      </c>
      <c r="C1368">
        <v>31.12</v>
      </c>
      <c r="D1368">
        <v>30.9</v>
      </c>
      <c r="E1368">
        <v>39.840000000000003</v>
      </c>
      <c r="F1368">
        <v>118.78</v>
      </c>
      <c r="G1368">
        <v>127.06</v>
      </c>
      <c r="H1368">
        <v>110.12</v>
      </c>
      <c r="K1368" s="9">
        <f t="shared" si="150"/>
        <v>0.16000000000000014</v>
      </c>
      <c r="L1368">
        <f t="shared" si="151"/>
        <v>0.11000000000000298</v>
      </c>
      <c r="M1368">
        <f t="shared" si="152"/>
        <v>2.5599999999999952</v>
      </c>
      <c r="N1368">
        <f t="shared" si="153"/>
        <v>-0.54999999999999716</v>
      </c>
      <c r="O1368">
        <f t="shared" si="154"/>
        <v>-0.32999999999999829</v>
      </c>
      <c r="P1368" s="10">
        <f t="shared" si="155"/>
        <v>-1.8400000000000034</v>
      </c>
    </row>
    <row r="1369" spans="1:16">
      <c r="A1369">
        <v>224</v>
      </c>
      <c r="B1369" s="42">
        <v>30.9</v>
      </c>
      <c r="C1369">
        <v>31.06</v>
      </c>
      <c r="D1369">
        <v>30.9</v>
      </c>
      <c r="E1369">
        <v>40.840000000000003</v>
      </c>
      <c r="F1369">
        <v>118.9</v>
      </c>
      <c r="G1369">
        <v>126.95</v>
      </c>
      <c r="H1369">
        <v>109.9</v>
      </c>
      <c r="K1369" s="9">
        <f t="shared" ref="K1369:K1432" si="156">C1372-C1369</f>
        <v>0.56000000000000227</v>
      </c>
      <c r="L1369">
        <f t="shared" ref="L1369:L1432" si="157">D1372-D1369</f>
        <v>0.27000000000000313</v>
      </c>
      <c r="M1369">
        <f t="shared" ref="M1369:M1432" si="158">E1372-E1369</f>
        <v>2.279999999999994</v>
      </c>
      <c r="N1369">
        <f t="shared" ref="N1369:N1432" si="159">F1372-F1369</f>
        <v>-1.4500000000000028</v>
      </c>
      <c r="O1369">
        <f t="shared" ref="O1369:O1432" si="160">G1372-G1369</f>
        <v>-0.28000000000000114</v>
      </c>
      <c r="P1369" s="10">
        <f t="shared" ref="P1369:P1432" si="161">H1372-H1369</f>
        <v>-1.7800000000000011</v>
      </c>
    </row>
    <row r="1370" spans="1:16">
      <c r="A1370">
        <v>224.17</v>
      </c>
      <c r="B1370" s="42">
        <v>31.01</v>
      </c>
      <c r="C1370">
        <v>31.4</v>
      </c>
      <c r="D1370">
        <v>31.06</v>
      </c>
      <c r="E1370">
        <v>41.51</v>
      </c>
      <c r="F1370">
        <v>118.62</v>
      </c>
      <c r="G1370">
        <v>126.9</v>
      </c>
      <c r="H1370">
        <v>109.12</v>
      </c>
      <c r="K1370" s="9">
        <f t="shared" si="156"/>
        <v>0.22000000000000242</v>
      </c>
      <c r="L1370">
        <f t="shared" si="157"/>
        <v>0.11000000000000298</v>
      </c>
      <c r="M1370">
        <f t="shared" si="158"/>
        <v>2.8900000000000006</v>
      </c>
      <c r="N1370">
        <f t="shared" si="159"/>
        <v>-1.2199999999999989</v>
      </c>
      <c r="O1370">
        <f t="shared" si="160"/>
        <v>-0.45000000000000284</v>
      </c>
      <c r="P1370" s="10">
        <f t="shared" si="161"/>
        <v>-1.1099999999999994</v>
      </c>
    </row>
    <row r="1371" spans="1:16">
      <c r="A1371">
        <v>224.33</v>
      </c>
      <c r="B1371" s="42">
        <v>31.06</v>
      </c>
      <c r="C1371">
        <v>31.28</v>
      </c>
      <c r="D1371">
        <v>31.01</v>
      </c>
      <c r="E1371">
        <v>42.4</v>
      </c>
      <c r="F1371">
        <v>118.23</v>
      </c>
      <c r="G1371">
        <v>126.73</v>
      </c>
      <c r="H1371">
        <v>108.28</v>
      </c>
      <c r="K1371" s="9">
        <f t="shared" si="156"/>
        <v>0.44999999999999929</v>
      </c>
      <c r="L1371">
        <f t="shared" si="157"/>
        <v>0.26999999999999957</v>
      </c>
      <c r="M1371">
        <f t="shared" si="158"/>
        <v>2.6600000000000037</v>
      </c>
      <c r="N1371">
        <f t="shared" si="159"/>
        <v>-0.67000000000000171</v>
      </c>
      <c r="O1371">
        <f t="shared" si="160"/>
        <v>-0.32999999999999829</v>
      </c>
      <c r="P1371" s="10">
        <f t="shared" si="161"/>
        <v>-0.5</v>
      </c>
    </row>
    <row r="1372" spans="1:16">
      <c r="A1372">
        <v>224.5</v>
      </c>
      <c r="B1372" s="42">
        <v>31.28</v>
      </c>
      <c r="C1372">
        <v>31.62</v>
      </c>
      <c r="D1372">
        <v>31.17</v>
      </c>
      <c r="E1372">
        <v>43.12</v>
      </c>
      <c r="F1372">
        <v>117.45</v>
      </c>
      <c r="G1372">
        <v>126.67</v>
      </c>
      <c r="H1372">
        <v>108.12</v>
      </c>
      <c r="K1372" s="9">
        <f t="shared" si="156"/>
        <v>0.10999999999999943</v>
      </c>
      <c r="L1372">
        <f t="shared" si="157"/>
        <v>0.22999999999999687</v>
      </c>
      <c r="M1372">
        <f t="shared" si="158"/>
        <v>2.7800000000000011</v>
      </c>
      <c r="N1372">
        <f t="shared" si="159"/>
        <v>-0.54999999999999716</v>
      </c>
      <c r="O1372">
        <f t="shared" si="160"/>
        <v>-0.43999999999999773</v>
      </c>
      <c r="P1372" s="10">
        <f t="shared" si="161"/>
        <v>-0.45000000000000284</v>
      </c>
    </row>
    <row r="1373" spans="1:16">
      <c r="A1373">
        <v>224.67</v>
      </c>
      <c r="B1373" s="42">
        <v>31.34</v>
      </c>
      <c r="C1373">
        <v>31.62</v>
      </c>
      <c r="D1373">
        <v>31.17</v>
      </c>
      <c r="E1373">
        <v>44.4</v>
      </c>
      <c r="F1373">
        <v>117.4</v>
      </c>
      <c r="G1373">
        <v>126.45</v>
      </c>
      <c r="H1373">
        <v>108.01</v>
      </c>
      <c r="K1373" s="9">
        <f t="shared" si="156"/>
        <v>0.21999999999999886</v>
      </c>
      <c r="L1373">
        <f t="shared" si="157"/>
        <v>0.33999999999999986</v>
      </c>
      <c r="M1373">
        <f t="shared" si="158"/>
        <v>2.0500000000000043</v>
      </c>
      <c r="N1373">
        <f t="shared" si="159"/>
        <v>-0.78000000000000114</v>
      </c>
      <c r="O1373">
        <f t="shared" si="160"/>
        <v>-0.21999999999999886</v>
      </c>
      <c r="P1373" s="10">
        <f t="shared" si="161"/>
        <v>-0.60999999999999943</v>
      </c>
    </row>
    <row r="1374" spans="1:16">
      <c r="A1374">
        <v>224.83</v>
      </c>
      <c r="B1374" s="42">
        <v>31.51</v>
      </c>
      <c r="C1374">
        <v>31.73</v>
      </c>
      <c r="D1374">
        <v>31.28</v>
      </c>
      <c r="E1374">
        <v>45.06</v>
      </c>
      <c r="F1374">
        <v>117.56</v>
      </c>
      <c r="G1374">
        <v>126.4</v>
      </c>
      <c r="H1374">
        <v>107.78</v>
      </c>
      <c r="K1374" s="9">
        <f t="shared" si="156"/>
        <v>0.16999999999999815</v>
      </c>
      <c r="L1374">
        <f t="shared" si="157"/>
        <v>0.27999999999999758</v>
      </c>
      <c r="M1374">
        <f t="shared" si="158"/>
        <v>2.0599999999999952</v>
      </c>
      <c r="N1374">
        <f t="shared" si="159"/>
        <v>-1.2800000000000011</v>
      </c>
      <c r="O1374">
        <f t="shared" si="160"/>
        <v>-0.28000000000000114</v>
      </c>
      <c r="P1374" s="10">
        <f t="shared" si="161"/>
        <v>-1.0499999999999972</v>
      </c>
    </row>
    <row r="1375" spans="1:16">
      <c r="A1375">
        <v>225</v>
      </c>
      <c r="B1375" s="42">
        <v>31.51</v>
      </c>
      <c r="C1375">
        <v>31.73</v>
      </c>
      <c r="D1375">
        <v>31.4</v>
      </c>
      <c r="E1375">
        <v>45.9</v>
      </c>
      <c r="F1375">
        <v>116.9</v>
      </c>
      <c r="G1375">
        <v>126.23</v>
      </c>
      <c r="H1375">
        <v>107.67</v>
      </c>
      <c r="K1375" s="9">
        <f t="shared" si="156"/>
        <v>0.33000000000000185</v>
      </c>
      <c r="L1375">
        <f t="shared" si="157"/>
        <v>0.27000000000000313</v>
      </c>
      <c r="M1375">
        <f t="shared" si="158"/>
        <v>1.8800000000000026</v>
      </c>
      <c r="N1375">
        <f t="shared" si="159"/>
        <v>-0.62000000000000455</v>
      </c>
      <c r="O1375">
        <f t="shared" si="160"/>
        <v>-0.28000000000000114</v>
      </c>
      <c r="P1375" s="10">
        <f t="shared" si="161"/>
        <v>-0.93999999999999773</v>
      </c>
    </row>
    <row r="1376" spans="1:16">
      <c r="A1376">
        <v>225.17</v>
      </c>
      <c r="B1376" s="42">
        <v>31.67</v>
      </c>
      <c r="C1376">
        <v>31.84</v>
      </c>
      <c r="D1376">
        <v>31.51</v>
      </c>
      <c r="E1376">
        <v>46.45</v>
      </c>
      <c r="F1376">
        <v>116.62</v>
      </c>
      <c r="G1376">
        <v>126.23</v>
      </c>
      <c r="H1376">
        <v>107.4</v>
      </c>
      <c r="K1376" s="9">
        <f t="shared" si="156"/>
        <v>0.27999999999999758</v>
      </c>
      <c r="L1376">
        <f t="shared" si="157"/>
        <v>0.21999999999999886</v>
      </c>
      <c r="M1376">
        <f t="shared" si="158"/>
        <v>1.8900000000000006</v>
      </c>
      <c r="N1376">
        <f t="shared" si="159"/>
        <v>-0.95000000000000284</v>
      </c>
      <c r="O1376">
        <f t="shared" si="160"/>
        <v>-0.28000000000000114</v>
      </c>
      <c r="P1376" s="10">
        <f t="shared" si="161"/>
        <v>-1</v>
      </c>
    </row>
    <row r="1377" spans="1:16">
      <c r="A1377">
        <v>225.33</v>
      </c>
      <c r="B1377" s="42">
        <v>31.73</v>
      </c>
      <c r="C1377">
        <v>31.9</v>
      </c>
      <c r="D1377">
        <v>31.56</v>
      </c>
      <c r="E1377">
        <v>47.12</v>
      </c>
      <c r="F1377">
        <v>116.28</v>
      </c>
      <c r="G1377">
        <v>126.12</v>
      </c>
      <c r="H1377">
        <v>106.73</v>
      </c>
      <c r="K1377" s="9">
        <f t="shared" si="156"/>
        <v>0.44000000000000483</v>
      </c>
      <c r="L1377">
        <f t="shared" si="157"/>
        <v>0.33999999999999986</v>
      </c>
      <c r="M1377">
        <f t="shared" si="158"/>
        <v>1.4400000000000048</v>
      </c>
      <c r="N1377">
        <f t="shared" si="159"/>
        <v>-1</v>
      </c>
      <c r="O1377">
        <f t="shared" si="160"/>
        <v>-0.10999999999999943</v>
      </c>
      <c r="P1377" s="10">
        <f t="shared" si="161"/>
        <v>-0.71999999999999886</v>
      </c>
    </row>
    <row r="1378" spans="1:16">
      <c r="A1378">
        <v>225.5</v>
      </c>
      <c r="B1378" s="42">
        <v>31.84</v>
      </c>
      <c r="C1378">
        <v>32.06</v>
      </c>
      <c r="D1378">
        <v>31.67</v>
      </c>
      <c r="E1378">
        <v>47.78</v>
      </c>
      <c r="F1378">
        <v>116.28</v>
      </c>
      <c r="G1378">
        <v>125.95</v>
      </c>
      <c r="H1378">
        <v>106.73</v>
      </c>
      <c r="K1378" s="9">
        <f t="shared" si="156"/>
        <v>0.28000000000000114</v>
      </c>
      <c r="L1378">
        <f t="shared" si="157"/>
        <v>0.22999999999999687</v>
      </c>
      <c r="M1378">
        <f t="shared" si="158"/>
        <v>1.4499999999999957</v>
      </c>
      <c r="N1378">
        <f t="shared" si="159"/>
        <v>-0.93999999999999773</v>
      </c>
      <c r="O1378">
        <f t="shared" si="160"/>
        <v>-4.9999999999997158E-2</v>
      </c>
      <c r="P1378" s="10">
        <f t="shared" si="161"/>
        <v>-1.2800000000000011</v>
      </c>
    </row>
    <row r="1379" spans="1:16">
      <c r="A1379">
        <v>225.67</v>
      </c>
      <c r="B1379" s="42">
        <v>32.06</v>
      </c>
      <c r="C1379">
        <v>32.119999999999997</v>
      </c>
      <c r="D1379">
        <v>31.73</v>
      </c>
      <c r="E1379">
        <v>48.34</v>
      </c>
      <c r="F1379">
        <v>115.67</v>
      </c>
      <c r="G1379">
        <v>125.95</v>
      </c>
      <c r="H1379">
        <v>106.4</v>
      </c>
      <c r="K1379" s="9">
        <f t="shared" si="156"/>
        <v>0.3300000000000054</v>
      </c>
      <c r="L1379">
        <f t="shared" si="157"/>
        <v>0.21999999999999886</v>
      </c>
      <c r="M1379">
        <f t="shared" si="158"/>
        <v>1.279999999999994</v>
      </c>
      <c r="N1379">
        <f t="shared" si="159"/>
        <v>-0.76999999999999602</v>
      </c>
      <c r="O1379">
        <f t="shared" si="160"/>
        <v>-4.9999999999997158E-2</v>
      </c>
      <c r="P1379" s="10">
        <f t="shared" si="161"/>
        <v>-1.6700000000000017</v>
      </c>
    </row>
    <row r="1380" spans="1:16">
      <c r="A1380">
        <v>225.83</v>
      </c>
      <c r="B1380" s="42">
        <v>32.229999999999997</v>
      </c>
      <c r="C1380">
        <v>32.340000000000003</v>
      </c>
      <c r="D1380">
        <v>31.9</v>
      </c>
      <c r="E1380">
        <v>48.56</v>
      </c>
      <c r="F1380">
        <v>115.28</v>
      </c>
      <c r="G1380">
        <v>126.01</v>
      </c>
      <c r="H1380">
        <v>106.01</v>
      </c>
      <c r="K1380" s="9">
        <f t="shared" si="156"/>
        <v>0.10999999999999943</v>
      </c>
      <c r="L1380">
        <f t="shared" si="157"/>
        <v>0.10999999999999943</v>
      </c>
      <c r="M1380">
        <f t="shared" si="158"/>
        <v>1.2800000000000011</v>
      </c>
      <c r="N1380">
        <f t="shared" si="159"/>
        <v>-0.87999999999999545</v>
      </c>
      <c r="O1380">
        <f t="shared" si="160"/>
        <v>-0.28000000000000114</v>
      </c>
      <c r="P1380" s="10">
        <f t="shared" si="161"/>
        <v>-2.5</v>
      </c>
    </row>
    <row r="1381" spans="1:16">
      <c r="A1381">
        <v>226</v>
      </c>
      <c r="B1381" s="42">
        <v>32.28</v>
      </c>
      <c r="C1381">
        <v>32.340000000000003</v>
      </c>
      <c r="D1381">
        <v>31.9</v>
      </c>
      <c r="E1381">
        <v>49.23</v>
      </c>
      <c r="F1381">
        <v>115.34</v>
      </c>
      <c r="G1381">
        <v>125.9</v>
      </c>
      <c r="H1381">
        <v>105.45</v>
      </c>
      <c r="K1381" s="9">
        <f t="shared" si="156"/>
        <v>0.43999999999999773</v>
      </c>
      <c r="L1381">
        <f t="shared" si="157"/>
        <v>0.32999999999999829</v>
      </c>
      <c r="M1381">
        <f t="shared" si="158"/>
        <v>0.89000000000000057</v>
      </c>
      <c r="N1381">
        <f t="shared" si="159"/>
        <v>-1.5</v>
      </c>
      <c r="O1381">
        <f t="shared" si="160"/>
        <v>-0.12000000000000455</v>
      </c>
      <c r="P1381" s="10">
        <f t="shared" si="161"/>
        <v>-2.5499999999999972</v>
      </c>
    </row>
    <row r="1382" spans="1:16">
      <c r="A1382">
        <v>226.17</v>
      </c>
      <c r="B1382" s="42">
        <v>32.51</v>
      </c>
      <c r="C1382">
        <v>32.450000000000003</v>
      </c>
      <c r="D1382">
        <v>31.95</v>
      </c>
      <c r="E1382">
        <v>49.62</v>
      </c>
      <c r="F1382">
        <v>114.9</v>
      </c>
      <c r="G1382">
        <v>125.9</v>
      </c>
      <c r="H1382">
        <v>104.73</v>
      </c>
      <c r="K1382" s="9">
        <f t="shared" si="156"/>
        <v>0.21999999999999886</v>
      </c>
      <c r="L1382">
        <f t="shared" si="157"/>
        <v>0.27999999999999758</v>
      </c>
      <c r="M1382">
        <f t="shared" si="158"/>
        <v>0.89000000000000057</v>
      </c>
      <c r="N1382">
        <f t="shared" si="159"/>
        <v>-0.84000000000000341</v>
      </c>
      <c r="O1382">
        <f t="shared" si="160"/>
        <v>-0.17000000000000171</v>
      </c>
      <c r="P1382" s="10">
        <f t="shared" si="161"/>
        <v>-2.5</v>
      </c>
    </row>
    <row r="1383" spans="1:16">
      <c r="A1383">
        <v>226.33</v>
      </c>
      <c r="B1383" s="42">
        <v>32.51</v>
      </c>
      <c r="C1383">
        <v>32.450000000000003</v>
      </c>
      <c r="D1383">
        <v>32.01</v>
      </c>
      <c r="E1383">
        <v>49.84</v>
      </c>
      <c r="F1383">
        <v>114.4</v>
      </c>
      <c r="G1383">
        <v>125.73</v>
      </c>
      <c r="H1383">
        <v>103.51</v>
      </c>
      <c r="K1383" s="9">
        <f t="shared" si="156"/>
        <v>0.5</v>
      </c>
      <c r="L1383">
        <f t="shared" si="157"/>
        <v>0.3300000000000054</v>
      </c>
      <c r="M1383">
        <f t="shared" si="158"/>
        <v>1</v>
      </c>
      <c r="N1383">
        <f t="shared" si="159"/>
        <v>-0.34000000000000341</v>
      </c>
      <c r="O1383">
        <f t="shared" si="160"/>
        <v>0</v>
      </c>
      <c r="P1383" s="10">
        <f t="shared" si="161"/>
        <v>-1.2800000000000011</v>
      </c>
    </row>
    <row r="1384" spans="1:16">
      <c r="A1384">
        <v>226.5</v>
      </c>
      <c r="B1384" s="42">
        <v>32.729999999999997</v>
      </c>
      <c r="C1384">
        <v>32.78</v>
      </c>
      <c r="D1384">
        <v>32.229999999999997</v>
      </c>
      <c r="E1384">
        <v>50.12</v>
      </c>
      <c r="F1384">
        <v>113.84</v>
      </c>
      <c r="G1384">
        <v>125.78</v>
      </c>
      <c r="H1384">
        <v>102.9</v>
      </c>
      <c r="K1384" s="9">
        <f t="shared" si="156"/>
        <v>0.17000000000000171</v>
      </c>
      <c r="L1384">
        <f t="shared" si="157"/>
        <v>0.28000000000000114</v>
      </c>
      <c r="M1384">
        <f t="shared" si="158"/>
        <v>1</v>
      </c>
      <c r="N1384">
        <f t="shared" si="159"/>
        <v>-0.17000000000000171</v>
      </c>
      <c r="O1384">
        <f t="shared" si="160"/>
        <v>-4.9999999999997158E-2</v>
      </c>
      <c r="P1384" s="10">
        <f t="shared" si="161"/>
        <v>-0.78000000000000114</v>
      </c>
    </row>
    <row r="1385" spans="1:16">
      <c r="A1385">
        <v>226.67</v>
      </c>
      <c r="B1385" s="42">
        <v>32.729999999999997</v>
      </c>
      <c r="C1385">
        <v>32.67</v>
      </c>
      <c r="D1385">
        <v>32.229999999999997</v>
      </c>
      <c r="E1385">
        <v>50.51</v>
      </c>
      <c r="F1385">
        <v>114.06</v>
      </c>
      <c r="G1385">
        <v>125.73</v>
      </c>
      <c r="H1385">
        <v>102.23</v>
      </c>
      <c r="K1385" s="9">
        <f t="shared" si="156"/>
        <v>0.39000000000000057</v>
      </c>
      <c r="L1385">
        <f t="shared" si="157"/>
        <v>0.28000000000000114</v>
      </c>
      <c r="M1385">
        <f t="shared" si="158"/>
        <v>0.89000000000000057</v>
      </c>
      <c r="N1385">
        <f t="shared" si="159"/>
        <v>-0.54999999999999716</v>
      </c>
      <c r="O1385">
        <f t="shared" si="160"/>
        <v>-0.10999999999999943</v>
      </c>
      <c r="P1385" s="10">
        <f t="shared" si="161"/>
        <v>-0.32999999999999829</v>
      </c>
    </row>
    <row r="1386" spans="1:16">
      <c r="A1386">
        <v>226.83</v>
      </c>
      <c r="B1386" s="42">
        <v>32.840000000000003</v>
      </c>
      <c r="C1386">
        <v>32.950000000000003</v>
      </c>
      <c r="D1386">
        <v>32.340000000000003</v>
      </c>
      <c r="E1386">
        <v>50.84</v>
      </c>
      <c r="F1386">
        <v>114.06</v>
      </c>
      <c r="G1386">
        <v>125.73</v>
      </c>
      <c r="H1386">
        <v>102.23</v>
      </c>
      <c r="K1386" s="9">
        <f t="shared" si="156"/>
        <v>0.21999999999999886</v>
      </c>
      <c r="L1386">
        <f t="shared" si="157"/>
        <v>0.32999999999999829</v>
      </c>
      <c r="M1386">
        <f t="shared" si="158"/>
        <v>0.82999999999999829</v>
      </c>
      <c r="N1386">
        <f t="shared" si="159"/>
        <v>-1.2800000000000011</v>
      </c>
      <c r="O1386">
        <f t="shared" si="160"/>
        <v>-0.10999999999999943</v>
      </c>
      <c r="P1386" s="10">
        <f t="shared" si="161"/>
        <v>-0.28000000000000114</v>
      </c>
    </row>
    <row r="1387" spans="1:16">
      <c r="A1387">
        <v>227</v>
      </c>
      <c r="B1387" s="42">
        <v>32.950000000000003</v>
      </c>
      <c r="C1387">
        <v>32.950000000000003</v>
      </c>
      <c r="D1387">
        <v>32.51</v>
      </c>
      <c r="E1387">
        <v>51.12</v>
      </c>
      <c r="F1387">
        <v>113.67</v>
      </c>
      <c r="G1387">
        <v>125.73</v>
      </c>
      <c r="H1387">
        <v>102.12</v>
      </c>
      <c r="K1387" s="9">
        <f t="shared" si="156"/>
        <v>0.39000000000000057</v>
      </c>
      <c r="L1387">
        <f t="shared" si="157"/>
        <v>0.27000000000000313</v>
      </c>
      <c r="M1387">
        <f t="shared" si="158"/>
        <v>0.55000000000000426</v>
      </c>
      <c r="N1387">
        <f t="shared" si="159"/>
        <v>-0.89000000000000057</v>
      </c>
      <c r="O1387">
        <f t="shared" si="160"/>
        <v>-0.10999999999999943</v>
      </c>
      <c r="P1387" s="10">
        <f t="shared" si="161"/>
        <v>0.78000000000000114</v>
      </c>
    </row>
    <row r="1388" spans="1:16">
      <c r="A1388">
        <v>227.17</v>
      </c>
      <c r="B1388" s="42">
        <v>33.119999999999997</v>
      </c>
      <c r="C1388">
        <v>33.06</v>
      </c>
      <c r="D1388">
        <v>32.51</v>
      </c>
      <c r="E1388">
        <v>51.4</v>
      </c>
      <c r="F1388">
        <v>113.51</v>
      </c>
      <c r="G1388">
        <v>125.62</v>
      </c>
      <c r="H1388">
        <v>101.9</v>
      </c>
      <c r="K1388" s="9">
        <f t="shared" si="156"/>
        <v>0.28000000000000114</v>
      </c>
      <c r="L1388">
        <f t="shared" si="157"/>
        <v>0.39000000000000057</v>
      </c>
      <c r="M1388">
        <f t="shared" si="158"/>
        <v>0.60999999999999943</v>
      </c>
      <c r="N1388">
        <f t="shared" si="159"/>
        <v>-0.84000000000000341</v>
      </c>
      <c r="O1388">
        <f t="shared" si="160"/>
        <v>-6.0000000000002274E-2</v>
      </c>
      <c r="P1388" s="10">
        <f t="shared" si="161"/>
        <v>0.5</v>
      </c>
    </row>
    <row r="1389" spans="1:16">
      <c r="A1389">
        <v>227.33</v>
      </c>
      <c r="B1389" s="42">
        <v>33.229999999999997</v>
      </c>
      <c r="C1389">
        <v>33.17</v>
      </c>
      <c r="D1389">
        <v>32.67</v>
      </c>
      <c r="E1389">
        <v>51.67</v>
      </c>
      <c r="F1389">
        <v>112.78</v>
      </c>
      <c r="G1389">
        <v>125.62</v>
      </c>
      <c r="H1389">
        <v>101.95</v>
      </c>
      <c r="K1389" s="9">
        <f t="shared" si="156"/>
        <v>0.22999999999999687</v>
      </c>
      <c r="L1389">
        <f t="shared" si="157"/>
        <v>0.17000000000000171</v>
      </c>
      <c r="M1389">
        <f t="shared" si="158"/>
        <v>0.28000000000000114</v>
      </c>
      <c r="N1389">
        <f t="shared" si="159"/>
        <v>0</v>
      </c>
      <c r="O1389">
        <f t="shared" si="160"/>
        <v>-0.17000000000000171</v>
      </c>
      <c r="P1389" s="10">
        <f t="shared" si="161"/>
        <v>-0.21999999999999886</v>
      </c>
    </row>
    <row r="1390" spans="1:16">
      <c r="A1390">
        <v>227.5</v>
      </c>
      <c r="B1390" s="42">
        <v>33.340000000000003</v>
      </c>
      <c r="C1390">
        <v>33.340000000000003</v>
      </c>
      <c r="D1390">
        <v>32.78</v>
      </c>
      <c r="E1390">
        <v>51.67</v>
      </c>
      <c r="F1390">
        <v>112.78</v>
      </c>
      <c r="G1390">
        <v>125.62</v>
      </c>
      <c r="H1390">
        <v>102.9</v>
      </c>
      <c r="K1390" s="9">
        <f t="shared" si="156"/>
        <v>0.21999999999999886</v>
      </c>
      <c r="L1390">
        <f t="shared" si="157"/>
        <v>0.17000000000000171</v>
      </c>
      <c r="M1390">
        <f t="shared" si="158"/>
        <v>0.67000000000000171</v>
      </c>
      <c r="N1390">
        <f t="shared" si="159"/>
        <v>0</v>
      </c>
      <c r="O1390">
        <f t="shared" si="160"/>
        <v>-0.45000000000000284</v>
      </c>
      <c r="P1390" s="10">
        <f t="shared" si="161"/>
        <v>-1.6700000000000017</v>
      </c>
    </row>
    <row r="1391" spans="1:16">
      <c r="A1391">
        <v>227.67</v>
      </c>
      <c r="B1391" s="42">
        <v>33.340000000000003</v>
      </c>
      <c r="C1391">
        <v>33.340000000000003</v>
      </c>
      <c r="D1391">
        <v>32.9</v>
      </c>
      <c r="E1391">
        <v>52.01</v>
      </c>
      <c r="F1391">
        <v>112.67</v>
      </c>
      <c r="G1391">
        <v>125.56</v>
      </c>
      <c r="H1391">
        <v>102.4</v>
      </c>
      <c r="K1391" s="9">
        <f t="shared" si="156"/>
        <v>0.27999999999999403</v>
      </c>
      <c r="L1391">
        <f t="shared" si="157"/>
        <v>0.16000000000000369</v>
      </c>
      <c r="M1391">
        <f t="shared" si="158"/>
        <v>0.39000000000000057</v>
      </c>
      <c r="N1391">
        <f t="shared" si="159"/>
        <v>-0.10999999999999943</v>
      </c>
      <c r="O1391">
        <f t="shared" si="160"/>
        <v>-0.21999999999999886</v>
      </c>
      <c r="P1391" s="10">
        <f t="shared" si="161"/>
        <v>-1.3900000000000006</v>
      </c>
    </row>
    <row r="1392" spans="1:16">
      <c r="A1392">
        <v>227.83</v>
      </c>
      <c r="B1392" s="42">
        <v>33.51</v>
      </c>
      <c r="C1392">
        <v>33.4</v>
      </c>
      <c r="D1392">
        <v>32.840000000000003</v>
      </c>
      <c r="E1392">
        <v>51.95</v>
      </c>
      <c r="F1392">
        <v>112.78</v>
      </c>
      <c r="G1392">
        <v>125.45</v>
      </c>
      <c r="H1392">
        <v>101.73</v>
      </c>
      <c r="K1392" s="9">
        <f t="shared" si="156"/>
        <v>0.38000000000000256</v>
      </c>
      <c r="L1392">
        <f t="shared" si="157"/>
        <v>0.38999999999999346</v>
      </c>
      <c r="M1392">
        <f t="shared" si="158"/>
        <v>0.60999999999999943</v>
      </c>
      <c r="N1392">
        <f t="shared" si="159"/>
        <v>-0.43999999999999773</v>
      </c>
      <c r="O1392">
        <f t="shared" si="160"/>
        <v>-0.10999999999999943</v>
      </c>
      <c r="P1392" s="10">
        <f t="shared" si="161"/>
        <v>-0.60999999999999943</v>
      </c>
    </row>
    <row r="1393" spans="1:16">
      <c r="A1393">
        <v>228</v>
      </c>
      <c r="B1393" s="42">
        <v>33.51</v>
      </c>
      <c r="C1393">
        <v>33.56</v>
      </c>
      <c r="D1393">
        <v>32.950000000000003</v>
      </c>
      <c r="E1393">
        <v>52.34</v>
      </c>
      <c r="F1393">
        <v>112.78</v>
      </c>
      <c r="G1393">
        <v>125.17</v>
      </c>
      <c r="H1393">
        <v>101.23</v>
      </c>
      <c r="K1393" s="9">
        <f t="shared" si="156"/>
        <v>0.33999999999999631</v>
      </c>
      <c r="L1393">
        <f t="shared" si="157"/>
        <v>0.39000000000000057</v>
      </c>
      <c r="M1393">
        <f t="shared" si="158"/>
        <v>0.38999999999999346</v>
      </c>
      <c r="N1393">
        <f t="shared" si="159"/>
        <v>-0.60999999999999943</v>
      </c>
      <c r="O1393">
        <f t="shared" si="160"/>
        <v>0.10999999999999943</v>
      </c>
      <c r="P1393" s="10">
        <f t="shared" si="161"/>
        <v>0.17000000000000171</v>
      </c>
    </row>
    <row r="1394" spans="1:16">
      <c r="A1394">
        <v>228.17</v>
      </c>
      <c r="B1394" s="42">
        <v>33.56</v>
      </c>
      <c r="C1394">
        <v>33.619999999999997</v>
      </c>
      <c r="D1394">
        <v>33.06</v>
      </c>
      <c r="E1394">
        <v>52.4</v>
      </c>
      <c r="F1394">
        <v>112.56</v>
      </c>
      <c r="G1394">
        <v>125.34</v>
      </c>
      <c r="H1394">
        <v>101.01</v>
      </c>
      <c r="K1394" s="9">
        <f t="shared" si="156"/>
        <v>0.3300000000000054</v>
      </c>
      <c r="L1394">
        <f t="shared" si="157"/>
        <v>0.5</v>
      </c>
      <c r="M1394">
        <f t="shared" si="158"/>
        <v>0.44000000000000483</v>
      </c>
      <c r="N1394">
        <f t="shared" si="159"/>
        <v>-0.39000000000000057</v>
      </c>
      <c r="O1394">
        <f t="shared" si="160"/>
        <v>-6.0000000000002274E-2</v>
      </c>
      <c r="P1394" s="10">
        <f t="shared" si="161"/>
        <v>0</v>
      </c>
    </row>
    <row r="1395" spans="1:16">
      <c r="A1395">
        <v>228.33</v>
      </c>
      <c r="B1395" s="42">
        <v>33.56</v>
      </c>
      <c r="C1395">
        <v>33.78</v>
      </c>
      <c r="D1395">
        <v>33.229999999999997</v>
      </c>
      <c r="E1395">
        <v>52.56</v>
      </c>
      <c r="F1395">
        <v>112.34</v>
      </c>
      <c r="G1395">
        <v>125.34</v>
      </c>
      <c r="H1395">
        <v>101.12</v>
      </c>
      <c r="K1395" s="9">
        <f t="shared" si="156"/>
        <v>0.33999999999999631</v>
      </c>
      <c r="L1395">
        <f t="shared" si="157"/>
        <v>0.39000000000000057</v>
      </c>
      <c r="M1395">
        <f t="shared" si="158"/>
        <v>0.55999999999999517</v>
      </c>
      <c r="N1395">
        <f t="shared" si="159"/>
        <v>-0.5</v>
      </c>
      <c r="O1395">
        <f t="shared" si="160"/>
        <v>-6.0000000000002274E-2</v>
      </c>
      <c r="P1395" s="10">
        <f t="shared" si="161"/>
        <v>-0.60999999999999943</v>
      </c>
    </row>
    <row r="1396" spans="1:16">
      <c r="A1396">
        <v>228.5</v>
      </c>
      <c r="B1396" s="42">
        <v>33.729999999999997</v>
      </c>
      <c r="C1396">
        <v>33.9</v>
      </c>
      <c r="D1396">
        <v>33.340000000000003</v>
      </c>
      <c r="E1396">
        <v>52.73</v>
      </c>
      <c r="F1396">
        <v>112.17</v>
      </c>
      <c r="G1396">
        <v>125.28</v>
      </c>
      <c r="H1396">
        <v>101.4</v>
      </c>
      <c r="K1396" s="9">
        <f t="shared" si="156"/>
        <v>0.21999999999999886</v>
      </c>
      <c r="L1396">
        <f t="shared" si="157"/>
        <v>0.27999999999999403</v>
      </c>
      <c r="M1396">
        <f t="shared" si="158"/>
        <v>0.61000000000000654</v>
      </c>
      <c r="N1396">
        <f t="shared" si="159"/>
        <v>-0.76999999999999602</v>
      </c>
      <c r="O1396">
        <f t="shared" si="160"/>
        <v>0</v>
      </c>
      <c r="P1396" s="10">
        <f t="shared" si="161"/>
        <v>-0.73000000000000398</v>
      </c>
    </row>
    <row r="1397" spans="1:16">
      <c r="A1397">
        <v>228.67</v>
      </c>
      <c r="B1397" s="42">
        <v>33.78</v>
      </c>
      <c r="C1397">
        <v>33.950000000000003</v>
      </c>
      <c r="D1397">
        <v>33.56</v>
      </c>
      <c r="E1397">
        <v>52.84</v>
      </c>
      <c r="F1397">
        <v>112.17</v>
      </c>
      <c r="G1397">
        <v>125.28</v>
      </c>
      <c r="H1397">
        <v>101.01</v>
      </c>
      <c r="K1397" s="9">
        <f t="shared" si="156"/>
        <v>0.27999999999999403</v>
      </c>
      <c r="L1397">
        <f t="shared" si="157"/>
        <v>0.28000000000000114</v>
      </c>
      <c r="M1397">
        <f t="shared" si="158"/>
        <v>0.60999999999999943</v>
      </c>
      <c r="N1397">
        <f t="shared" si="159"/>
        <v>-1</v>
      </c>
      <c r="O1397">
        <f t="shared" si="160"/>
        <v>-4.9999999999997158E-2</v>
      </c>
      <c r="P1397" s="10">
        <f t="shared" si="161"/>
        <v>-0.73000000000000398</v>
      </c>
    </row>
    <row r="1398" spans="1:16">
      <c r="A1398">
        <v>228.83</v>
      </c>
      <c r="B1398" s="42">
        <v>33.78</v>
      </c>
      <c r="C1398">
        <v>34.119999999999997</v>
      </c>
      <c r="D1398">
        <v>33.619999999999997</v>
      </c>
      <c r="E1398">
        <v>53.12</v>
      </c>
      <c r="F1398">
        <v>111.84</v>
      </c>
      <c r="G1398">
        <v>125.28</v>
      </c>
      <c r="H1398">
        <v>100.51</v>
      </c>
      <c r="K1398" s="9">
        <f t="shared" si="156"/>
        <v>0.22000000000000597</v>
      </c>
      <c r="L1398">
        <f t="shared" si="157"/>
        <v>0.22000000000000597</v>
      </c>
      <c r="M1398">
        <f t="shared" si="158"/>
        <v>0.39000000000000057</v>
      </c>
      <c r="N1398">
        <f t="shared" si="159"/>
        <v>-0.67000000000000171</v>
      </c>
      <c r="O1398">
        <f t="shared" si="160"/>
        <v>-0.15999999999999659</v>
      </c>
      <c r="P1398" s="10">
        <f t="shared" si="161"/>
        <v>-1</v>
      </c>
    </row>
    <row r="1399" spans="1:16">
      <c r="A1399">
        <v>229</v>
      </c>
      <c r="B1399" s="42">
        <v>33.78</v>
      </c>
      <c r="C1399">
        <v>34.119999999999997</v>
      </c>
      <c r="D1399">
        <v>33.619999999999997</v>
      </c>
      <c r="E1399">
        <v>53.34</v>
      </c>
      <c r="F1399">
        <v>111.4</v>
      </c>
      <c r="G1399">
        <v>125.28</v>
      </c>
      <c r="H1399">
        <v>100.67</v>
      </c>
      <c r="K1399" s="9">
        <f t="shared" si="156"/>
        <v>0.22000000000000597</v>
      </c>
      <c r="L1399">
        <f t="shared" si="157"/>
        <v>0.3300000000000054</v>
      </c>
      <c r="M1399">
        <f t="shared" si="158"/>
        <v>0.32999999999999829</v>
      </c>
      <c r="N1399">
        <f t="shared" si="159"/>
        <v>-0.67000000000000171</v>
      </c>
      <c r="O1399">
        <f t="shared" si="160"/>
        <v>-0.10999999999999943</v>
      </c>
      <c r="P1399" s="10">
        <f t="shared" si="161"/>
        <v>-1.3900000000000006</v>
      </c>
    </row>
    <row r="1400" spans="1:16">
      <c r="A1400">
        <v>229.17</v>
      </c>
      <c r="B1400" s="42">
        <v>33.950000000000003</v>
      </c>
      <c r="C1400">
        <v>34.229999999999997</v>
      </c>
      <c r="D1400">
        <v>33.840000000000003</v>
      </c>
      <c r="E1400">
        <v>53.45</v>
      </c>
      <c r="F1400">
        <v>111.17</v>
      </c>
      <c r="G1400">
        <v>125.23</v>
      </c>
      <c r="H1400">
        <v>100.28</v>
      </c>
      <c r="K1400" s="9">
        <f t="shared" si="156"/>
        <v>0.22000000000000597</v>
      </c>
      <c r="L1400">
        <f t="shared" si="157"/>
        <v>0.10999999999999943</v>
      </c>
      <c r="M1400">
        <f t="shared" si="158"/>
        <v>0.32999999999999829</v>
      </c>
      <c r="N1400">
        <f t="shared" si="159"/>
        <v>-0.82999999999999829</v>
      </c>
      <c r="O1400">
        <f t="shared" si="160"/>
        <v>-0.17000000000000171</v>
      </c>
      <c r="P1400" s="10">
        <f t="shared" si="161"/>
        <v>-0.87999999999999545</v>
      </c>
    </row>
    <row r="1401" spans="1:16">
      <c r="A1401">
        <v>229.33</v>
      </c>
      <c r="B1401" s="42">
        <v>33.950000000000003</v>
      </c>
      <c r="C1401">
        <v>34.340000000000003</v>
      </c>
      <c r="D1401">
        <v>33.840000000000003</v>
      </c>
      <c r="E1401">
        <v>53.51</v>
      </c>
      <c r="F1401">
        <v>111.17</v>
      </c>
      <c r="G1401">
        <v>125.12</v>
      </c>
      <c r="H1401">
        <v>99.51</v>
      </c>
      <c r="K1401" s="9">
        <f t="shared" si="156"/>
        <v>0.21999999999999886</v>
      </c>
      <c r="L1401">
        <f t="shared" si="157"/>
        <v>0.21999999999999886</v>
      </c>
      <c r="M1401">
        <f t="shared" si="158"/>
        <v>0.21999999999999886</v>
      </c>
      <c r="N1401">
        <f t="shared" si="159"/>
        <v>-0.93999999999999773</v>
      </c>
      <c r="O1401">
        <f t="shared" si="160"/>
        <v>-6.0000000000002274E-2</v>
      </c>
      <c r="P1401" s="10">
        <f t="shared" si="161"/>
        <v>-0.60999999999999943</v>
      </c>
    </row>
    <row r="1402" spans="1:16">
      <c r="A1402">
        <v>229.5</v>
      </c>
      <c r="B1402" s="42">
        <v>34.01</v>
      </c>
      <c r="C1402">
        <v>34.340000000000003</v>
      </c>
      <c r="D1402">
        <v>33.950000000000003</v>
      </c>
      <c r="E1402">
        <v>53.67</v>
      </c>
      <c r="F1402">
        <v>110.73</v>
      </c>
      <c r="G1402">
        <v>125.17</v>
      </c>
      <c r="H1402">
        <v>99.28</v>
      </c>
      <c r="K1402" s="9">
        <f t="shared" si="156"/>
        <v>0.27999999999999403</v>
      </c>
      <c r="L1402">
        <f t="shared" si="157"/>
        <v>0.21999999999999886</v>
      </c>
      <c r="M1402">
        <f t="shared" si="158"/>
        <v>0.17000000000000171</v>
      </c>
      <c r="N1402">
        <f t="shared" si="159"/>
        <v>-0.32999999999999829</v>
      </c>
      <c r="O1402">
        <f t="shared" si="160"/>
        <v>-0.21999999999999886</v>
      </c>
      <c r="P1402" s="10">
        <f t="shared" si="161"/>
        <v>0.17000000000000171</v>
      </c>
    </row>
    <row r="1403" spans="1:16">
      <c r="A1403">
        <v>229.67</v>
      </c>
      <c r="B1403" s="42">
        <v>34.17</v>
      </c>
      <c r="C1403">
        <v>34.450000000000003</v>
      </c>
      <c r="D1403">
        <v>33.950000000000003</v>
      </c>
      <c r="E1403">
        <v>53.78</v>
      </c>
      <c r="F1403">
        <v>110.34</v>
      </c>
      <c r="G1403">
        <v>125.06</v>
      </c>
      <c r="H1403">
        <v>99.4</v>
      </c>
      <c r="K1403" s="9">
        <f t="shared" si="156"/>
        <v>0.27999999999999403</v>
      </c>
      <c r="L1403">
        <f t="shared" si="157"/>
        <v>0.27999999999999403</v>
      </c>
      <c r="M1403">
        <f t="shared" si="158"/>
        <v>0</v>
      </c>
      <c r="N1403">
        <f t="shared" si="159"/>
        <v>-0.43999999999999773</v>
      </c>
      <c r="O1403">
        <f t="shared" si="160"/>
        <v>-0.15999999999999659</v>
      </c>
      <c r="P1403" s="10">
        <f t="shared" si="161"/>
        <v>0.10999999999999943</v>
      </c>
    </row>
    <row r="1404" spans="1:16">
      <c r="A1404">
        <v>229.83</v>
      </c>
      <c r="B1404" s="42">
        <v>34.229999999999997</v>
      </c>
      <c r="C1404">
        <v>34.56</v>
      </c>
      <c r="D1404">
        <v>34.06</v>
      </c>
      <c r="E1404">
        <v>53.73</v>
      </c>
      <c r="F1404">
        <v>110.23</v>
      </c>
      <c r="G1404">
        <v>125.06</v>
      </c>
      <c r="H1404">
        <v>98.9</v>
      </c>
      <c r="K1404" s="9">
        <f t="shared" si="156"/>
        <v>0.1699999999999946</v>
      </c>
      <c r="L1404">
        <f t="shared" si="157"/>
        <v>0.28000000000000114</v>
      </c>
      <c r="M1404">
        <f t="shared" si="158"/>
        <v>0.22000000000000597</v>
      </c>
      <c r="N1404">
        <f t="shared" si="159"/>
        <v>-6.0000000000002274E-2</v>
      </c>
      <c r="O1404">
        <f t="shared" si="160"/>
        <v>-0.10999999999999943</v>
      </c>
      <c r="P1404" s="10">
        <f t="shared" si="161"/>
        <v>0.76999999999999602</v>
      </c>
    </row>
    <row r="1405" spans="1:16">
      <c r="A1405">
        <v>230</v>
      </c>
      <c r="B1405" s="42">
        <v>34.229999999999997</v>
      </c>
      <c r="C1405">
        <v>34.619999999999997</v>
      </c>
      <c r="D1405">
        <v>34.17</v>
      </c>
      <c r="E1405">
        <v>53.84</v>
      </c>
      <c r="F1405">
        <v>110.4</v>
      </c>
      <c r="G1405">
        <v>124.95</v>
      </c>
      <c r="H1405">
        <v>99.45</v>
      </c>
      <c r="K1405" s="9">
        <f t="shared" si="156"/>
        <v>0.39000000000000057</v>
      </c>
      <c r="L1405">
        <f t="shared" si="157"/>
        <v>0.22999999999999687</v>
      </c>
      <c r="M1405">
        <f t="shared" si="158"/>
        <v>0.10999999999999943</v>
      </c>
      <c r="N1405">
        <f t="shared" si="159"/>
        <v>-0.12000000000000455</v>
      </c>
      <c r="O1405">
        <f t="shared" si="160"/>
        <v>-0.10999999999999943</v>
      </c>
      <c r="P1405" s="10">
        <f t="shared" si="161"/>
        <v>6.0000000000002274E-2</v>
      </c>
    </row>
    <row r="1406" spans="1:16">
      <c r="A1406">
        <v>230.17</v>
      </c>
      <c r="B1406" s="42">
        <v>34.28</v>
      </c>
      <c r="C1406">
        <v>34.729999999999997</v>
      </c>
      <c r="D1406">
        <v>34.229999999999997</v>
      </c>
      <c r="E1406">
        <v>53.78</v>
      </c>
      <c r="F1406">
        <v>109.9</v>
      </c>
      <c r="G1406">
        <v>124.9</v>
      </c>
      <c r="H1406">
        <v>99.51</v>
      </c>
      <c r="K1406" s="9">
        <f t="shared" si="156"/>
        <v>0.11000000000000654</v>
      </c>
      <c r="L1406">
        <f t="shared" si="157"/>
        <v>0.3300000000000054</v>
      </c>
      <c r="M1406">
        <f t="shared" si="158"/>
        <v>0.44999999999999574</v>
      </c>
      <c r="N1406">
        <f t="shared" si="159"/>
        <v>0.21999999999999886</v>
      </c>
      <c r="O1406">
        <f t="shared" si="160"/>
        <v>0</v>
      </c>
      <c r="P1406" s="10">
        <f t="shared" si="161"/>
        <v>-0.39000000000000057</v>
      </c>
    </row>
    <row r="1407" spans="1:16">
      <c r="A1407">
        <v>230.33</v>
      </c>
      <c r="B1407" s="42">
        <v>34.28</v>
      </c>
      <c r="C1407">
        <v>34.729999999999997</v>
      </c>
      <c r="D1407">
        <v>34.340000000000003</v>
      </c>
      <c r="E1407">
        <v>53.95</v>
      </c>
      <c r="F1407">
        <v>110.17</v>
      </c>
      <c r="G1407">
        <v>124.95</v>
      </c>
      <c r="H1407">
        <v>99.67</v>
      </c>
      <c r="K1407" s="9">
        <f t="shared" si="156"/>
        <v>0.44000000000000483</v>
      </c>
      <c r="L1407">
        <f t="shared" si="157"/>
        <v>0.38999999999999346</v>
      </c>
      <c r="M1407">
        <f t="shared" si="158"/>
        <v>0.21999999999999886</v>
      </c>
      <c r="N1407">
        <f t="shared" si="159"/>
        <v>-0.60999999999999943</v>
      </c>
      <c r="O1407">
        <f t="shared" si="160"/>
        <v>-0.17000000000000171</v>
      </c>
      <c r="P1407" s="10">
        <f t="shared" si="161"/>
        <v>0.10999999999999943</v>
      </c>
    </row>
    <row r="1408" spans="1:16">
      <c r="A1408">
        <v>230.5</v>
      </c>
      <c r="B1408" s="42">
        <v>34.340000000000003</v>
      </c>
      <c r="C1408">
        <v>35.01</v>
      </c>
      <c r="D1408">
        <v>34.4</v>
      </c>
      <c r="E1408">
        <v>53.95</v>
      </c>
      <c r="F1408">
        <v>110.28</v>
      </c>
      <c r="G1408">
        <v>124.84</v>
      </c>
      <c r="H1408">
        <v>99.51</v>
      </c>
      <c r="K1408" s="9">
        <f t="shared" si="156"/>
        <v>0.27000000000000313</v>
      </c>
      <c r="L1408">
        <f t="shared" si="157"/>
        <v>0.38000000000000256</v>
      </c>
      <c r="M1408">
        <f t="shared" si="158"/>
        <v>0.39000000000000057</v>
      </c>
      <c r="N1408">
        <f t="shared" si="159"/>
        <v>-0.76999999999999602</v>
      </c>
      <c r="O1408">
        <f t="shared" si="160"/>
        <v>-6.0000000000002274E-2</v>
      </c>
      <c r="P1408" s="10">
        <f t="shared" si="161"/>
        <v>-6.0000000000002274E-2</v>
      </c>
    </row>
    <row r="1409" spans="1:16">
      <c r="A1409">
        <v>230.67</v>
      </c>
      <c r="B1409" s="42">
        <v>34.340000000000003</v>
      </c>
      <c r="C1409">
        <v>34.840000000000003</v>
      </c>
      <c r="D1409">
        <v>34.56</v>
      </c>
      <c r="E1409">
        <v>54.23</v>
      </c>
      <c r="F1409">
        <v>110.12</v>
      </c>
      <c r="G1409">
        <v>124.9</v>
      </c>
      <c r="H1409">
        <v>99.12</v>
      </c>
      <c r="K1409" s="9">
        <f t="shared" si="156"/>
        <v>0.5</v>
      </c>
      <c r="L1409">
        <f t="shared" si="157"/>
        <v>0.28000000000000114</v>
      </c>
      <c r="M1409">
        <f t="shared" si="158"/>
        <v>0.28000000000000114</v>
      </c>
      <c r="N1409">
        <f t="shared" si="159"/>
        <v>-0.89000000000000057</v>
      </c>
      <c r="O1409">
        <f t="shared" si="160"/>
        <v>-0.23000000000000398</v>
      </c>
      <c r="P1409" s="10">
        <f t="shared" si="161"/>
        <v>-0.34000000000000341</v>
      </c>
    </row>
    <row r="1410" spans="1:16">
      <c r="A1410">
        <v>230.83</v>
      </c>
      <c r="B1410" s="42">
        <v>34.4</v>
      </c>
      <c r="C1410">
        <v>35.17</v>
      </c>
      <c r="D1410">
        <v>34.729999999999997</v>
      </c>
      <c r="E1410">
        <v>54.17</v>
      </c>
      <c r="F1410">
        <v>109.56</v>
      </c>
      <c r="G1410">
        <v>124.78</v>
      </c>
      <c r="H1410">
        <v>99.78</v>
      </c>
      <c r="K1410" s="9">
        <f t="shared" si="156"/>
        <v>0.28000000000000114</v>
      </c>
      <c r="L1410">
        <f t="shared" si="157"/>
        <v>0.28000000000000114</v>
      </c>
      <c r="M1410">
        <f t="shared" si="158"/>
        <v>0.28000000000000114</v>
      </c>
      <c r="N1410">
        <f t="shared" si="159"/>
        <v>6.0000000000002274E-2</v>
      </c>
      <c r="O1410">
        <f t="shared" si="160"/>
        <v>-0.15999999999999659</v>
      </c>
      <c r="P1410" s="10">
        <f t="shared" si="161"/>
        <v>-1.2199999999999989</v>
      </c>
    </row>
    <row r="1411" spans="1:16">
      <c r="A1411">
        <v>231</v>
      </c>
      <c r="B1411" s="42">
        <v>34.4</v>
      </c>
      <c r="C1411">
        <v>35.28</v>
      </c>
      <c r="D1411">
        <v>34.78</v>
      </c>
      <c r="E1411">
        <v>54.34</v>
      </c>
      <c r="F1411">
        <v>109.51</v>
      </c>
      <c r="G1411">
        <v>124.78</v>
      </c>
      <c r="H1411">
        <v>99.45</v>
      </c>
      <c r="K1411" s="9">
        <f t="shared" si="156"/>
        <v>0.44999999999999574</v>
      </c>
      <c r="L1411">
        <f t="shared" si="157"/>
        <v>0.39000000000000057</v>
      </c>
      <c r="M1411">
        <f t="shared" si="158"/>
        <v>0.10999999999999943</v>
      </c>
      <c r="N1411">
        <f t="shared" si="159"/>
        <v>-0.60999999999999943</v>
      </c>
      <c r="O1411">
        <f t="shared" si="160"/>
        <v>-0.15999999999999659</v>
      </c>
      <c r="P1411" s="10">
        <f t="shared" si="161"/>
        <v>-0.82999999999999829</v>
      </c>
    </row>
    <row r="1412" spans="1:16">
      <c r="A1412">
        <v>231.17</v>
      </c>
      <c r="B1412" s="42">
        <v>34.4</v>
      </c>
      <c r="C1412">
        <v>35.340000000000003</v>
      </c>
      <c r="D1412">
        <v>34.840000000000003</v>
      </c>
      <c r="E1412">
        <v>54.51</v>
      </c>
      <c r="F1412">
        <v>109.23</v>
      </c>
      <c r="G1412">
        <v>124.67</v>
      </c>
      <c r="H1412">
        <v>98.78</v>
      </c>
      <c r="K1412" s="9">
        <f t="shared" si="156"/>
        <v>0.27999999999999403</v>
      </c>
      <c r="L1412">
        <f t="shared" si="157"/>
        <v>0.32999999999999829</v>
      </c>
      <c r="M1412">
        <f t="shared" si="158"/>
        <v>-0.1699999999999946</v>
      </c>
      <c r="N1412">
        <f t="shared" si="159"/>
        <v>-0.78000000000000114</v>
      </c>
      <c r="O1412">
        <f t="shared" si="160"/>
        <v>-0.15999999999999659</v>
      </c>
      <c r="P1412" s="10">
        <f t="shared" si="161"/>
        <v>0</v>
      </c>
    </row>
    <row r="1413" spans="1:16">
      <c r="A1413">
        <v>231.33</v>
      </c>
      <c r="B1413" s="42">
        <v>34.450000000000003</v>
      </c>
      <c r="C1413">
        <v>35.450000000000003</v>
      </c>
      <c r="D1413">
        <v>35.01</v>
      </c>
      <c r="E1413">
        <v>54.45</v>
      </c>
      <c r="F1413">
        <v>109.62</v>
      </c>
      <c r="G1413">
        <v>124.62</v>
      </c>
      <c r="H1413">
        <v>98.56</v>
      </c>
      <c r="K1413" s="9">
        <f t="shared" si="156"/>
        <v>0.32999999999999829</v>
      </c>
      <c r="L1413">
        <f t="shared" si="157"/>
        <v>0.3300000000000054</v>
      </c>
      <c r="M1413">
        <f t="shared" si="158"/>
        <v>-0.22000000000000597</v>
      </c>
      <c r="N1413">
        <f t="shared" si="159"/>
        <v>-1.2800000000000011</v>
      </c>
      <c r="O1413">
        <f t="shared" si="160"/>
        <v>-0.17000000000000171</v>
      </c>
      <c r="P1413" s="10">
        <f t="shared" si="161"/>
        <v>-0.15999999999999659</v>
      </c>
    </row>
    <row r="1414" spans="1:16">
      <c r="A1414">
        <v>231.5</v>
      </c>
      <c r="B1414" s="42">
        <v>34.56</v>
      </c>
      <c r="C1414">
        <v>35.729999999999997</v>
      </c>
      <c r="D1414">
        <v>35.17</v>
      </c>
      <c r="E1414">
        <v>54.45</v>
      </c>
      <c r="F1414">
        <v>108.9</v>
      </c>
      <c r="G1414">
        <v>124.62</v>
      </c>
      <c r="H1414">
        <v>98.62</v>
      </c>
      <c r="K1414" s="9">
        <f t="shared" si="156"/>
        <v>0</v>
      </c>
      <c r="L1414">
        <f t="shared" si="157"/>
        <v>0.17000000000000171</v>
      </c>
      <c r="M1414">
        <f t="shared" si="158"/>
        <v>-0.3300000000000054</v>
      </c>
      <c r="N1414">
        <f t="shared" si="159"/>
        <v>-0.56000000000000227</v>
      </c>
      <c r="O1414">
        <f t="shared" si="160"/>
        <v>-0.45000000000000284</v>
      </c>
      <c r="P1414" s="10">
        <f t="shared" si="161"/>
        <v>-1.0600000000000023</v>
      </c>
    </row>
    <row r="1415" spans="1:16">
      <c r="A1415">
        <v>231.67</v>
      </c>
      <c r="B1415" s="42">
        <v>34.56</v>
      </c>
      <c r="C1415">
        <v>35.619999999999997</v>
      </c>
      <c r="D1415">
        <v>35.17</v>
      </c>
      <c r="E1415">
        <v>54.34</v>
      </c>
      <c r="F1415">
        <v>108.45</v>
      </c>
      <c r="G1415">
        <v>124.51</v>
      </c>
      <c r="H1415">
        <v>98.78</v>
      </c>
      <c r="K1415" s="9">
        <f t="shared" si="156"/>
        <v>0.28000000000000114</v>
      </c>
      <c r="L1415">
        <f t="shared" si="157"/>
        <v>0.28000000000000114</v>
      </c>
      <c r="M1415">
        <f t="shared" si="158"/>
        <v>-0.17000000000000171</v>
      </c>
      <c r="N1415">
        <f t="shared" si="159"/>
        <v>-0.10999999999999943</v>
      </c>
      <c r="O1415">
        <f t="shared" si="160"/>
        <v>-0.23000000000000398</v>
      </c>
      <c r="P1415" s="10">
        <f t="shared" si="161"/>
        <v>-1.5</v>
      </c>
    </row>
    <row r="1416" spans="1:16">
      <c r="A1416">
        <v>231.83</v>
      </c>
      <c r="B1416" s="42">
        <v>34.56</v>
      </c>
      <c r="C1416">
        <v>35.78</v>
      </c>
      <c r="D1416">
        <v>35.340000000000003</v>
      </c>
      <c r="E1416">
        <v>54.23</v>
      </c>
      <c r="F1416">
        <v>108.34</v>
      </c>
      <c r="G1416">
        <v>124.45</v>
      </c>
      <c r="H1416">
        <v>98.4</v>
      </c>
      <c r="K1416" s="9">
        <f t="shared" si="156"/>
        <v>0.22999999999999687</v>
      </c>
      <c r="L1416">
        <f t="shared" si="157"/>
        <v>0.32999999999999829</v>
      </c>
      <c r="M1416">
        <f t="shared" si="158"/>
        <v>0.11000000000000654</v>
      </c>
      <c r="N1416">
        <f t="shared" si="159"/>
        <v>-0.43999999999999773</v>
      </c>
      <c r="O1416">
        <f t="shared" si="160"/>
        <v>-0.10999999999999943</v>
      </c>
      <c r="P1416" s="10">
        <f t="shared" si="161"/>
        <v>-1.3900000000000006</v>
      </c>
    </row>
    <row r="1417" spans="1:16">
      <c r="A1417">
        <v>232</v>
      </c>
      <c r="B1417" s="42">
        <v>34.56</v>
      </c>
      <c r="C1417">
        <v>35.729999999999997</v>
      </c>
      <c r="D1417">
        <v>35.340000000000003</v>
      </c>
      <c r="E1417">
        <v>54.12</v>
      </c>
      <c r="F1417">
        <v>108.34</v>
      </c>
      <c r="G1417">
        <v>124.17</v>
      </c>
      <c r="H1417">
        <v>97.56</v>
      </c>
      <c r="K1417" s="9">
        <f t="shared" si="156"/>
        <v>0.17000000000000171</v>
      </c>
      <c r="L1417">
        <f t="shared" si="157"/>
        <v>0.27999999999999403</v>
      </c>
      <c r="M1417">
        <f t="shared" si="158"/>
        <v>-0.10999999999999943</v>
      </c>
      <c r="N1417">
        <f t="shared" si="159"/>
        <v>-0.89000000000000057</v>
      </c>
      <c r="O1417">
        <f t="shared" si="160"/>
        <v>0</v>
      </c>
      <c r="P1417" s="10">
        <f t="shared" si="161"/>
        <v>-0.65999999999999659</v>
      </c>
    </row>
    <row r="1418" spans="1:16">
      <c r="A1418">
        <v>232.17</v>
      </c>
      <c r="B1418" s="42">
        <v>34.56</v>
      </c>
      <c r="C1418">
        <v>35.9</v>
      </c>
      <c r="D1418">
        <v>35.450000000000003</v>
      </c>
      <c r="E1418">
        <v>54.17</v>
      </c>
      <c r="F1418">
        <v>108.34</v>
      </c>
      <c r="G1418">
        <v>124.28</v>
      </c>
      <c r="H1418">
        <v>97.28</v>
      </c>
      <c r="K1418" s="9">
        <f t="shared" si="156"/>
        <v>0.16000000000000369</v>
      </c>
      <c r="L1418">
        <f t="shared" si="157"/>
        <v>0.39000000000000057</v>
      </c>
      <c r="M1418">
        <f t="shared" si="158"/>
        <v>-1.3900000000000006</v>
      </c>
      <c r="N1418">
        <f t="shared" si="159"/>
        <v>-1.1700000000000017</v>
      </c>
      <c r="O1418">
        <f t="shared" si="160"/>
        <v>-0.10999999999999943</v>
      </c>
      <c r="P1418" s="10">
        <f t="shared" si="161"/>
        <v>-0.76999999999999602</v>
      </c>
    </row>
    <row r="1419" spans="1:16">
      <c r="A1419">
        <v>232.33</v>
      </c>
      <c r="B1419" s="42">
        <v>34.729999999999997</v>
      </c>
      <c r="C1419">
        <v>36.01</v>
      </c>
      <c r="D1419">
        <v>35.67</v>
      </c>
      <c r="E1419">
        <v>54.34</v>
      </c>
      <c r="F1419">
        <v>107.9</v>
      </c>
      <c r="G1419">
        <v>124.34</v>
      </c>
      <c r="H1419">
        <v>97.01</v>
      </c>
      <c r="K1419" s="9">
        <f t="shared" si="156"/>
        <v>-5.9999999999995168E-2</v>
      </c>
      <c r="L1419">
        <f t="shared" si="157"/>
        <v>5.9999999999995168E-2</v>
      </c>
      <c r="M1419">
        <f t="shared" si="158"/>
        <v>-2.9400000000000048</v>
      </c>
      <c r="N1419">
        <f t="shared" si="159"/>
        <v>-0.56000000000000227</v>
      </c>
      <c r="O1419">
        <f t="shared" si="160"/>
        <v>-0.21999999999999886</v>
      </c>
      <c r="P1419" s="10">
        <f t="shared" si="161"/>
        <v>-0.39000000000000057</v>
      </c>
    </row>
    <row r="1420" spans="1:16">
      <c r="A1420">
        <v>232.5</v>
      </c>
      <c r="B1420" s="42">
        <v>34.619999999999997</v>
      </c>
      <c r="C1420">
        <v>35.9</v>
      </c>
      <c r="D1420">
        <v>35.619999999999997</v>
      </c>
      <c r="E1420">
        <v>54.01</v>
      </c>
      <c r="F1420">
        <v>107.45</v>
      </c>
      <c r="G1420">
        <v>124.17</v>
      </c>
      <c r="H1420">
        <v>96.9</v>
      </c>
      <c r="K1420" s="9">
        <f t="shared" si="156"/>
        <v>0.10999999999999943</v>
      </c>
      <c r="L1420">
        <f t="shared" si="157"/>
        <v>0.10999999999999943</v>
      </c>
      <c r="M1420">
        <f t="shared" si="158"/>
        <v>-3.5599999999999952</v>
      </c>
      <c r="N1420">
        <f t="shared" si="159"/>
        <v>-0.28000000000000114</v>
      </c>
      <c r="O1420">
        <f t="shared" si="160"/>
        <v>-0.15999999999999659</v>
      </c>
      <c r="P1420" s="10">
        <f t="shared" si="161"/>
        <v>-0.73000000000000398</v>
      </c>
    </row>
    <row r="1421" spans="1:16">
      <c r="A1421">
        <v>232.67</v>
      </c>
      <c r="B1421" s="42">
        <v>34.67</v>
      </c>
      <c r="C1421">
        <v>36.06</v>
      </c>
      <c r="D1421">
        <v>35.840000000000003</v>
      </c>
      <c r="E1421">
        <v>52.78</v>
      </c>
      <c r="F1421">
        <v>107.17</v>
      </c>
      <c r="G1421">
        <v>124.17</v>
      </c>
      <c r="H1421">
        <v>96.51</v>
      </c>
      <c r="K1421" s="9">
        <f t="shared" si="156"/>
        <v>0.10999999999999943</v>
      </c>
      <c r="L1421">
        <f t="shared" si="157"/>
        <v>-6.0000000000002274E-2</v>
      </c>
      <c r="M1421">
        <f t="shared" si="158"/>
        <v>-3</v>
      </c>
      <c r="N1421">
        <f t="shared" si="159"/>
        <v>-0.15999999999999659</v>
      </c>
      <c r="O1421">
        <f t="shared" si="160"/>
        <v>-0.15999999999999659</v>
      </c>
      <c r="P1421" s="10">
        <f t="shared" si="161"/>
        <v>4.9999999999997158E-2</v>
      </c>
    </row>
    <row r="1422" spans="1:16">
      <c r="A1422">
        <v>232.83</v>
      </c>
      <c r="B1422" s="42">
        <v>34.56</v>
      </c>
      <c r="C1422">
        <v>35.950000000000003</v>
      </c>
      <c r="D1422">
        <v>35.729999999999997</v>
      </c>
      <c r="E1422">
        <v>51.4</v>
      </c>
      <c r="F1422">
        <v>107.34</v>
      </c>
      <c r="G1422">
        <v>124.12</v>
      </c>
      <c r="H1422">
        <v>96.62</v>
      </c>
      <c r="K1422" s="9">
        <f t="shared" si="156"/>
        <v>-5.0000000000004263E-2</v>
      </c>
      <c r="L1422">
        <f t="shared" si="157"/>
        <v>0</v>
      </c>
      <c r="M1422">
        <f t="shared" si="158"/>
        <v>-2.8399999999999963</v>
      </c>
      <c r="N1422">
        <f t="shared" si="159"/>
        <v>-0.67000000000000171</v>
      </c>
      <c r="O1422">
        <f t="shared" si="160"/>
        <v>-0.28000000000000114</v>
      </c>
      <c r="P1422" s="10">
        <f t="shared" si="161"/>
        <v>-0.60999999999999943</v>
      </c>
    </row>
    <row r="1423" spans="1:16">
      <c r="A1423">
        <v>233</v>
      </c>
      <c r="B1423" s="42">
        <v>34.450000000000003</v>
      </c>
      <c r="C1423">
        <v>36.01</v>
      </c>
      <c r="D1423">
        <v>35.729999999999997</v>
      </c>
      <c r="E1423">
        <v>50.45</v>
      </c>
      <c r="F1423">
        <v>107.17</v>
      </c>
      <c r="G1423">
        <v>124.01</v>
      </c>
      <c r="H1423">
        <v>96.17</v>
      </c>
      <c r="K1423" s="9">
        <f t="shared" si="156"/>
        <v>-5.9999999999995168E-2</v>
      </c>
      <c r="L1423">
        <f t="shared" si="157"/>
        <v>-0.10999999999999943</v>
      </c>
      <c r="M1423">
        <f t="shared" si="158"/>
        <v>-3.5</v>
      </c>
      <c r="N1423">
        <f t="shared" si="159"/>
        <v>-0.65999999999999659</v>
      </c>
      <c r="O1423">
        <f t="shared" si="160"/>
        <v>-0.23000000000000398</v>
      </c>
      <c r="P1423" s="10">
        <f t="shared" si="161"/>
        <v>-0.54999999999999716</v>
      </c>
    </row>
    <row r="1424" spans="1:16">
      <c r="A1424">
        <v>233.17</v>
      </c>
      <c r="B1424" s="42">
        <v>34.619999999999997</v>
      </c>
      <c r="C1424">
        <v>36.17</v>
      </c>
      <c r="D1424">
        <v>35.78</v>
      </c>
      <c r="E1424">
        <v>49.78</v>
      </c>
      <c r="F1424">
        <v>107.01</v>
      </c>
      <c r="G1424">
        <v>124.01</v>
      </c>
      <c r="H1424">
        <v>96.56</v>
      </c>
      <c r="K1424" s="9">
        <f t="shared" si="156"/>
        <v>-0.77000000000000313</v>
      </c>
      <c r="L1424">
        <f t="shared" si="157"/>
        <v>-0.43999999999999773</v>
      </c>
      <c r="M1424">
        <f t="shared" si="158"/>
        <v>-4.6099999999999994</v>
      </c>
      <c r="N1424">
        <f t="shared" si="159"/>
        <v>-1.230000000000004</v>
      </c>
      <c r="O1424">
        <f t="shared" si="160"/>
        <v>-0.45000000000000284</v>
      </c>
      <c r="P1424" s="10">
        <f t="shared" si="161"/>
        <v>-0.43999999999999773</v>
      </c>
    </row>
    <row r="1425" spans="1:16">
      <c r="A1425">
        <v>233.33</v>
      </c>
      <c r="B1425" s="42">
        <v>34.4</v>
      </c>
      <c r="C1425">
        <v>35.9</v>
      </c>
      <c r="D1425">
        <v>35.729999999999997</v>
      </c>
      <c r="E1425">
        <v>48.56</v>
      </c>
      <c r="F1425">
        <v>106.67</v>
      </c>
      <c r="G1425">
        <v>123.84</v>
      </c>
      <c r="H1425">
        <v>96.01</v>
      </c>
      <c r="K1425" s="9">
        <f t="shared" si="156"/>
        <v>-0.67000000000000171</v>
      </c>
      <c r="L1425">
        <f t="shared" si="157"/>
        <v>-0.60999999999999943</v>
      </c>
      <c r="M1425">
        <f t="shared" si="158"/>
        <v>-4.9400000000000048</v>
      </c>
      <c r="N1425">
        <f t="shared" si="159"/>
        <v>-1.1099999999999994</v>
      </c>
      <c r="O1425">
        <f t="shared" si="160"/>
        <v>-0.28000000000000114</v>
      </c>
      <c r="P1425" s="10">
        <f t="shared" si="161"/>
        <v>0</v>
      </c>
    </row>
    <row r="1426" spans="1:16">
      <c r="A1426">
        <v>233.5</v>
      </c>
      <c r="B1426" s="42">
        <v>34.450000000000003</v>
      </c>
      <c r="C1426">
        <v>35.950000000000003</v>
      </c>
      <c r="D1426">
        <v>35.619999999999997</v>
      </c>
      <c r="E1426">
        <v>46.95</v>
      </c>
      <c r="F1426">
        <v>106.51</v>
      </c>
      <c r="G1426">
        <v>123.78</v>
      </c>
      <c r="H1426">
        <v>95.62</v>
      </c>
      <c r="K1426" s="9">
        <f t="shared" si="156"/>
        <v>-0.94000000000000483</v>
      </c>
      <c r="L1426">
        <f t="shared" si="157"/>
        <v>-0.83999999999999631</v>
      </c>
      <c r="M1426">
        <f t="shared" si="158"/>
        <v>-4.7800000000000011</v>
      </c>
      <c r="N1426">
        <f t="shared" si="159"/>
        <v>-1.3900000000000006</v>
      </c>
      <c r="O1426">
        <f t="shared" si="160"/>
        <v>-0.32999999999999829</v>
      </c>
      <c r="P1426" s="10">
        <f t="shared" si="161"/>
        <v>0.43999999999999773</v>
      </c>
    </row>
    <row r="1427" spans="1:16">
      <c r="A1427">
        <v>233.67</v>
      </c>
      <c r="B1427" s="42">
        <v>34.119999999999997</v>
      </c>
      <c r="C1427">
        <v>35.4</v>
      </c>
      <c r="D1427">
        <v>35.340000000000003</v>
      </c>
      <c r="E1427">
        <v>45.17</v>
      </c>
      <c r="F1427">
        <v>105.78</v>
      </c>
      <c r="G1427">
        <v>123.56</v>
      </c>
      <c r="H1427">
        <v>96.12</v>
      </c>
      <c r="K1427" s="9">
        <f t="shared" si="156"/>
        <v>-0.55999999999999517</v>
      </c>
      <c r="L1427">
        <f t="shared" si="157"/>
        <v>-0.72000000000000597</v>
      </c>
      <c r="M1427">
        <f t="shared" si="158"/>
        <v>-4.1099999999999994</v>
      </c>
      <c r="N1427">
        <f t="shared" si="159"/>
        <v>-0.60999999999999943</v>
      </c>
      <c r="O1427">
        <f t="shared" si="160"/>
        <v>-0.21999999999999886</v>
      </c>
      <c r="P1427" s="10">
        <f t="shared" si="161"/>
        <v>-0.71999999999999886</v>
      </c>
    </row>
    <row r="1428" spans="1:16">
      <c r="A1428">
        <v>233.83</v>
      </c>
      <c r="B1428" s="42">
        <v>33.450000000000003</v>
      </c>
      <c r="C1428">
        <v>35.229999999999997</v>
      </c>
      <c r="D1428">
        <v>35.119999999999997</v>
      </c>
      <c r="E1428">
        <v>43.62</v>
      </c>
      <c r="F1428">
        <v>105.56</v>
      </c>
      <c r="G1428">
        <v>123.56</v>
      </c>
      <c r="H1428">
        <v>96.01</v>
      </c>
      <c r="K1428" s="9">
        <f t="shared" si="156"/>
        <v>-0.71999999999999886</v>
      </c>
      <c r="L1428">
        <f t="shared" si="157"/>
        <v>-0.83999999999999631</v>
      </c>
      <c r="M1428">
        <f t="shared" si="158"/>
        <v>-3.6699999999999946</v>
      </c>
      <c r="N1428">
        <f t="shared" si="159"/>
        <v>-0.5</v>
      </c>
      <c r="O1428">
        <f t="shared" si="160"/>
        <v>-0.32999999999999829</v>
      </c>
      <c r="P1428" s="10">
        <f t="shared" si="161"/>
        <v>-1.1700000000000017</v>
      </c>
    </row>
    <row r="1429" spans="1:16">
      <c r="A1429">
        <v>234</v>
      </c>
      <c r="B1429" s="42">
        <v>32.840000000000003</v>
      </c>
      <c r="C1429">
        <v>35.01</v>
      </c>
      <c r="D1429">
        <v>34.78</v>
      </c>
      <c r="E1429">
        <v>42.17</v>
      </c>
      <c r="F1429">
        <v>105.12</v>
      </c>
      <c r="G1429">
        <v>123.45</v>
      </c>
      <c r="H1429">
        <v>96.06</v>
      </c>
      <c r="K1429" s="9">
        <f t="shared" si="156"/>
        <v>-0.78000000000000114</v>
      </c>
      <c r="L1429">
        <f t="shared" si="157"/>
        <v>-0.77000000000000313</v>
      </c>
      <c r="M1429">
        <f t="shared" si="158"/>
        <v>-3.1099999999999994</v>
      </c>
      <c r="N1429">
        <f t="shared" si="159"/>
        <v>-0.34000000000000341</v>
      </c>
      <c r="O1429">
        <f t="shared" si="160"/>
        <v>-0.39000000000000057</v>
      </c>
      <c r="P1429" s="10">
        <f t="shared" si="161"/>
        <v>-1.0499999999999972</v>
      </c>
    </row>
    <row r="1430" spans="1:16">
      <c r="A1430">
        <v>234.17</v>
      </c>
      <c r="B1430" s="42">
        <v>32.28</v>
      </c>
      <c r="C1430">
        <v>34.840000000000003</v>
      </c>
      <c r="D1430">
        <v>34.619999999999997</v>
      </c>
      <c r="E1430">
        <v>41.06</v>
      </c>
      <c r="F1430">
        <v>105.17</v>
      </c>
      <c r="G1430">
        <v>123.34</v>
      </c>
      <c r="H1430">
        <v>95.4</v>
      </c>
      <c r="K1430" s="9">
        <f t="shared" si="156"/>
        <v>-1.1100000000000065</v>
      </c>
      <c r="L1430">
        <f t="shared" si="157"/>
        <v>-0.94999999999999574</v>
      </c>
      <c r="M1430">
        <f t="shared" si="158"/>
        <v>-2.8300000000000054</v>
      </c>
      <c r="N1430">
        <f t="shared" si="159"/>
        <v>-0.5</v>
      </c>
      <c r="O1430">
        <f t="shared" si="160"/>
        <v>-0.43999999999999773</v>
      </c>
      <c r="P1430" s="10">
        <f t="shared" si="161"/>
        <v>-0.62000000000000455</v>
      </c>
    </row>
    <row r="1431" spans="1:16">
      <c r="A1431">
        <v>234.33</v>
      </c>
      <c r="B1431" s="42">
        <v>31.73</v>
      </c>
      <c r="C1431">
        <v>34.51</v>
      </c>
      <c r="D1431">
        <v>34.28</v>
      </c>
      <c r="E1431">
        <v>39.950000000000003</v>
      </c>
      <c r="F1431">
        <v>105.06</v>
      </c>
      <c r="G1431">
        <v>123.23</v>
      </c>
      <c r="H1431">
        <v>94.84</v>
      </c>
      <c r="K1431" s="9">
        <f t="shared" si="156"/>
        <v>-1</v>
      </c>
      <c r="L1431">
        <f t="shared" si="157"/>
        <v>-1</v>
      </c>
      <c r="M1431">
        <f t="shared" si="158"/>
        <v>-2.720000000000006</v>
      </c>
      <c r="N1431">
        <f t="shared" si="159"/>
        <v>-1.2800000000000011</v>
      </c>
      <c r="O1431">
        <f t="shared" si="160"/>
        <v>-0.28000000000000114</v>
      </c>
      <c r="P1431" s="10">
        <f t="shared" si="161"/>
        <v>6.0000000000002274E-2</v>
      </c>
    </row>
    <row r="1432" spans="1:16">
      <c r="A1432">
        <v>234.5</v>
      </c>
      <c r="B1432" s="42">
        <v>31.34</v>
      </c>
      <c r="C1432">
        <v>34.229999999999997</v>
      </c>
      <c r="D1432">
        <v>34.01</v>
      </c>
      <c r="E1432">
        <v>39.06</v>
      </c>
      <c r="F1432">
        <v>104.78</v>
      </c>
      <c r="G1432">
        <v>123.06</v>
      </c>
      <c r="H1432">
        <v>95.01</v>
      </c>
      <c r="K1432" s="9">
        <f t="shared" si="156"/>
        <v>-1.0599999999999952</v>
      </c>
      <c r="L1432">
        <f t="shared" si="157"/>
        <v>-1</v>
      </c>
      <c r="M1432">
        <f t="shared" si="158"/>
        <v>-2.5500000000000043</v>
      </c>
      <c r="N1432">
        <f t="shared" si="159"/>
        <v>-1.1099999999999994</v>
      </c>
      <c r="O1432">
        <f t="shared" si="160"/>
        <v>-0.28000000000000114</v>
      </c>
      <c r="P1432" s="10">
        <f t="shared" si="161"/>
        <v>-1.1099999999999994</v>
      </c>
    </row>
    <row r="1433" spans="1:16">
      <c r="A1433">
        <v>234.67</v>
      </c>
      <c r="B1433" s="42">
        <v>30.9</v>
      </c>
      <c r="C1433">
        <v>33.729999999999997</v>
      </c>
      <c r="D1433">
        <v>33.67</v>
      </c>
      <c r="E1433">
        <v>38.229999999999997</v>
      </c>
      <c r="F1433">
        <v>104.67</v>
      </c>
      <c r="G1433">
        <v>122.9</v>
      </c>
      <c r="H1433">
        <v>94.78</v>
      </c>
      <c r="K1433" s="9">
        <f t="shared" ref="K1433:K1496" si="162">C1436-C1433</f>
        <v>-0.5</v>
      </c>
      <c r="L1433">
        <f t="shared" ref="L1433:L1496" si="163">D1436-D1433</f>
        <v>-0.77000000000000313</v>
      </c>
      <c r="M1433">
        <f t="shared" ref="M1433:M1496" si="164">E1436-E1433</f>
        <v>-2.4499999999999957</v>
      </c>
      <c r="N1433">
        <f t="shared" ref="N1433:N1496" si="165">F1436-F1433</f>
        <v>-1.6599999999999966</v>
      </c>
      <c r="O1433">
        <f t="shared" ref="O1433:O1496" si="166">G1436-G1433</f>
        <v>-0.17000000000000171</v>
      </c>
      <c r="P1433" s="10">
        <f t="shared" ref="P1433:P1496" si="167">H1436-H1433</f>
        <v>-1.0499999999999972</v>
      </c>
    </row>
    <row r="1434" spans="1:16">
      <c r="A1434">
        <v>234.83</v>
      </c>
      <c r="B1434" s="42">
        <v>30.51</v>
      </c>
      <c r="C1434">
        <v>33.51</v>
      </c>
      <c r="D1434">
        <v>33.28</v>
      </c>
      <c r="E1434">
        <v>37.229999999999997</v>
      </c>
      <c r="F1434">
        <v>103.78</v>
      </c>
      <c r="G1434">
        <v>122.95</v>
      </c>
      <c r="H1434">
        <v>94.9</v>
      </c>
      <c r="K1434" s="9">
        <f t="shared" si="162"/>
        <v>-0.39000000000000057</v>
      </c>
      <c r="L1434">
        <f t="shared" si="163"/>
        <v>-0.43999999999999773</v>
      </c>
      <c r="M1434">
        <f t="shared" si="164"/>
        <v>-1.6699999999999946</v>
      </c>
      <c r="N1434">
        <f t="shared" si="165"/>
        <v>-1.0499999999999972</v>
      </c>
      <c r="O1434">
        <f t="shared" si="166"/>
        <v>-0.39000000000000057</v>
      </c>
      <c r="P1434" s="10">
        <f t="shared" si="167"/>
        <v>-1</v>
      </c>
    </row>
    <row r="1435" spans="1:16">
      <c r="A1435">
        <v>235</v>
      </c>
      <c r="B1435" s="42">
        <v>30.06</v>
      </c>
      <c r="C1435">
        <v>33.17</v>
      </c>
      <c r="D1435">
        <v>33.01</v>
      </c>
      <c r="E1435">
        <v>36.51</v>
      </c>
      <c r="F1435">
        <v>103.67</v>
      </c>
      <c r="G1435">
        <v>122.78</v>
      </c>
      <c r="H1435">
        <v>93.9</v>
      </c>
      <c r="K1435" s="9">
        <f t="shared" si="162"/>
        <v>-5.0000000000004263E-2</v>
      </c>
      <c r="L1435">
        <f t="shared" si="163"/>
        <v>-0.22999999999999687</v>
      </c>
      <c r="M1435">
        <f t="shared" si="164"/>
        <v>-1.5599999999999952</v>
      </c>
      <c r="N1435">
        <f t="shared" si="165"/>
        <v>-1.7199999999999989</v>
      </c>
      <c r="O1435">
        <f t="shared" si="166"/>
        <v>-0.26999999999999602</v>
      </c>
      <c r="P1435" s="10">
        <f t="shared" si="167"/>
        <v>-6.0000000000002274E-2</v>
      </c>
    </row>
    <row r="1436" spans="1:16">
      <c r="A1436">
        <v>235.17</v>
      </c>
      <c r="B1436" s="42">
        <v>29.95</v>
      </c>
      <c r="C1436">
        <v>33.229999999999997</v>
      </c>
      <c r="D1436">
        <v>32.9</v>
      </c>
      <c r="E1436">
        <v>35.78</v>
      </c>
      <c r="F1436">
        <v>103.01</v>
      </c>
      <c r="G1436">
        <v>122.73</v>
      </c>
      <c r="H1436">
        <v>93.73</v>
      </c>
      <c r="K1436" s="9">
        <f t="shared" si="162"/>
        <v>-0.27999999999999403</v>
      </c>
      <c r="L1436">
        <f t="shared" si="163"/>
        <v>0</v>
      </c>
      <c r="M1436">
        <f t="shared" si="164"/>
        <v>-0.77000000000000313</v>
      </c>
      <c r="N1436">
        <f t="shared" si="165"/>
        <v>-0.89000000000000057</v>
      </c>
      <c r="O1436">
        <f t="shared" si="166"/>
        <v>-0.32999999999999829</v>
      </c>
      <c r="P1436" s="10">
        <f t="shared" si="167"/>
        <v>-6.0000000000002274E-2</v>
      </c>
    </row>
    <row r="1437" spans="1:16">
      <c r="A1437">
        <v>235.33</v>
      </c>
      <c r="B1437" s="42">
        <v>29.73</v>
      </c>
      <c r="C1437">
        <v>33.119999999999997</v>
      </c>
      <c r="D1437">
        <v>32.840000000000003</v>
      </c>
      <c r="E1437">
        <v>35.56</v>
      </c>
      <c r="F1437">
        <v>102.73</v>
      </c>
      <c r="G1437">
        <v>122.56</v>
      </c>
      <c r="H1437">
        <v>93.9</v>
      </c>
      <c r="K1437" s="9">
        <f t="shared" si="162"/>
        <v>5.0000000000004263E-2</v>
      </c>
      <c r="L1437">
        <f t="shared" si="163"/>
        <v>5.9999999999995168E-2</v>
      </c>
      <c r="M1437">
        <f t="shared" si="164"/>
        <v>-0.94000000000000483</v>
      </c>
      <c r="N1437">
        <f t="shared" si="165"/>
        <v>-0.32999999999999829</v>
      </c>
      <c r="O1437">
        <f t="shared" si="166"/>
        <v>-0.15999999999999659</v>
      </c>
      <c r="P1437" s="10">
        <f t="shared" si="167"/>
        <v>-1</v>
      </c>
    </row>
    <row r="1438" spans="1:16">
      <c r="A1438">
        <v>235.5</v>
      </c>
      <c r="B1438" s="42">
        <v>29.51</v>
      </c>
      <c r="C1438">
        <v>33.119999999999997</v>
      </c>
      <c r="D1438">
        <v>32.78</v>
      </c>
      <c r="E1438">
        <v>34.950000000000003</v>
      </c>
      <c r="F1438">
        <v>101.95</v>
      </c>
      <c r="G1438">
        <v>122.51</v>
      </c>
      <c r="H1438">
        <v>93.84</v>
      </c>
      <c r="K1438" s="9">
        <f t="shared" si="162"/>
        <v>0</v>
      </c>
      <c r="L1438">
        <f t="shared" si="163"/>
        <v>0.17000000000000171</v>
      </c>
      <c r="M1438">
        <f t="shared" si="164"/>
        <v>-0.22000000000000597</v>
      </c>
      <c r="N1438">
        <f t="shared" si="165"/>
        <v>0.28000000000000114</v>
      </c>
      <c r="O1438">
        <f t="shared" si="166"/>
        <v>-0.17000000000000171</v>
      </c>
      <c r="P1438" s="10">
        <f t="shared" si="167"/>
        <v>-1.1099999999999994</v>
      </c>
    </row>
    <row r="1439" spans="1:16">
      <c r="A1439">
        <v>235.67</v>
      </c>
      <c r="B1439" s="42">
        <v>29.4</v>
      </c>
      <c r="C1439">
        <v>32.950000000000003</v>
      </c>
      <c r="D1439">
        <v>32.9</v>
      </c>
      <c r="E1439">
        <v>35.01</v>
      </c>
      <c r="F1439">
        <v>102.12</v>
      </c>
      <c r="G1439">
        <v>122.4</v>
      </c>
      <c r="H1439">
        <v>93.67</v>
      </c>
      <c r="K1439" s="9">
        <f t="shared" si="162"/>
        <v>0.10999999999999943</v>
      </c>
      <c r="L1439">
        <f t="shared" si="163"/>
        <v>-0.11999999999999744</v>
      </c>
      <c r="M1439">
        <f t="shared" si="164"/>
        <v>-0.60999999999999943</v>
      </c>
      <c r="N1439">
        <f t="shared" si="165"/>
        <v>-0.39000000000000057</v>
      </c>
      <c r="O1439">
        <f t="shared" si="166"/>
        <v>-0.28000000000000114</v>
      </c>
      <c r="P1439" s="10">
        <f t="shared" si="167"/>
        <v>-1.5499999999999972</v>
      </c>
    </row>
    <row r="1440" spans="1:16">
      <c r="A1440">
        <v>235.83</v>
      </c>
      <c r="B1440" s="42">
        <v>29.23</v>
      </c>
      <c r="C1440">
        <v>33.17</v>
      </c>
      <c r="D1440">
        <v>32.9</v>
      </c>
      <c r="E1440">
        <v>34.619999999999997</v>
      </c>
      <c r="F1440">
        <v>102.4</v>
      </c>
      <c r="G1440">
        <v>122.4</v>
      </c>
      <c r="H1440">
        <v>92.9</v>
      </c>
      <c r="K1440" s="9">
        <f t="shared" si="162"/>
        <v>-5.0000000000004263E-2</v>
      </c>
      <c r="L1440">
        <f t="shared" si="163"/>
        <v>0</v>
      </c>
      <c r="M1440">
        <f t="shared" si="164"/>
        <v>-0.33999999999999631</v>
      </c>
      <c r="N1440">
        <f t="shared" si="165"/>
        <v>-0.67000000000000171</v>
      </c>
      <c r="O1440">
        <f t="shared" si="166"/>
        <v>-0.45000000000000284</v>
      </c>
      <c r="P1440" s="10">
        <f t="shared" si="167"/>
        <v>-1</v>
      </c>
    </row>
    <row r="1441" spans="1:16">
      <c r="A1441">
        <v>236</v>
      </c>
      <c r="B1441" s="42">
        <v>28.9</v>
      </c>
      <c r="C1441">
        <v>33.119999999999997</v>
      </c>
      <c r="D1441">
        <v>32.950000000000003</v>
      </c>
      <c r="E1441">
        <v>34.729999999999997</v>
      </c>
      <c r="F1441">
        <v>102.23</v>
      </c>
      <c r="G1441">
        <v>122.34</v>
      </c>
      <c r="H1441">
        <v>92.73</v>
      </c>
      <c r="K1441" s="9">
        <f t="shared" si="162"/>
        <v>-0.10999999999999943</v>
      </c>
      <c r="L1441">
        <f t="shared" si="163"/>
        <v>-5.0000000000004263E-2</v>
      </c>
      <c r="M1441">
        <f t="shared" si="164"/>
        <v>-0.55999999999999517</v>
      </c>
      <c r="N1441">
        <f t="shared" si="165"/>
        <v>-0.32999999999999829</v>
      </c>
      <c r="O1441">
        <f t="shared" si="166"/>
        <v>-0.43999999999999773</v>
      </c>
      <c r="P1441" s="10">
        <f t="shared" si="167"/>
        <v>-1.2199999999999989</v>
      </c>
    </row>
    <row r="1442" spans="1:16">
      <c r="A1442">
        <v>236.17</v>
      </c>
      <c r="B1442" s="42">
        <v>28.78</v>
      </c>
      <c r="C1442">
        <v>33.06</v>
      </c>
      <c r="D1442">
        <v>32.78</v>
      </c>
      <c r="E1442">
        <v>34.4</v>
      </c>
      <c r="F1442">
        <v>101.73</v>
      </c>
      <c r="G1442">
        <v>122.12</v>
      </c>
      <c r="H1442">
        <v>92.12</v>
      </c>
      <c r="K1442" s="9">
        <f t="shared" si="162"/>
        <v>0.10999999999999943</v>
      </c>
      <c r="L1442">
        <f t="shared" si="163"/>
        <v>0.22999999999999687</v>
      </c>
      <c r="M1442">
        <f t="shared" si="164"/>
        <v>-0.28000000000000114</v>
      </c>
      <c r="N1442">
        <f t="shared" si="165"/>
        <v>4.9999999999997158E-2</v>
      </c>
      <c r="O1442">
        <f t="shared" si="166"/>
        <v>-0.17000000000000171</v>
      </c>
      <c r="P1442" s="10">
        <f t="shared" si="167"/>
        <v>-0.5</v>
      </c>
    </row>
    <row r="1443" spans="1:16">
      <c r="A1443">
        <v>236.33</v>
      </c>
      <c r="B1443" s="42">
        <v>28.67</v>
      </c>
      <c r="C1443">
        <v>33.119999999999997</v>
      </c>
      <c r="D1443">
        <v>32.9</v>
      </c>
      <c r="E1443">
        <v>34.28</v>
      </c>
      <c r="F1443">
        <v>101.73</v>
      </c>
      <c r="G1443">
        <v>121.95</v>
      </c>
      <c r="H1443">
        <v>91.9</v>
      </c>
      <c r="K1443" s="9">
        <f t="shared" si="162"/>
        <v>0</v>
      </c>
      <c r="L1443">
        <f t="shared" si="163"/>
        <v>5.0000000000004263E-2</v>
      </c>
      <c r="M1443">
        <f t="shared" si="164"/>
        <v>-0.5</v>
      </c>
      <c r="N1443">
        <f t="shared" si="165"/>
        <v>-0.32999999999999829</v>
      </c>
      <c r="O1443">
        <f t="shared" si="166"/>
        <v>-0.17000000000000171</v>
      </c>
      <c r="P1443" s="10">
        <f t="shared" si="167"/>
        <v>-0.62000000000000455</v>
      </c>
    </row>
    <row r="1444" spans="1:16">
      <c r="A1444">
        <v>236.5</v>
      </c>
      <c r="B1444" s="42">
        <v>28.45</v>
      </c>
      <c r="C1444">
        <v>33.01</v>
      </c>
      <c r="D1444">
        <v>32.9</v>
      </c>
      <c r="E1444">
        <v>34.17</v>
      </c>
      <c r="F1444">
        <v>101.9</v>
      </c>
      <c r="G1444">
        <v>121.9</v>
      </c>
      <c r="H1444">
        <v>91.51</v>
      </c>
      <c r="K1444" s="9">
        <f t="shared" si="162"/>
        <v>0.21999999999999886</v>
      </c>
      <c r="L1444">
        <f t="shared" si="163"/>
        <v>0.10999999999999943</v>
      </c>
      <c r="M1444">
        <f t="shared" si="164"/>
        <v>-0.32999999999999829</v>
      </c>
      <c r="N1444">
        <f t="shared" si="165"/>
        <v>-0.62000000000000455</v>
      </c>
      <c r="O1444">
        <f t="shared" si="166"/>
        <v>-0.17000000000000171</v>
      </c>
      <c r="P1444" s="10">
        <f t="shared" si="167"/>
        <v>-0.56000000000000227</v>
      </c>
    </row>
    <row r="1445" spans="1:16">
      <c r="A1445">
        <v>236.67</v>
      </c>
      <c r="B1445" s="42">
        <v>28.51</v>
      </c>
      <c r="C1445">
        <v>33.17</v>
      </c>
      <c r="D1445">
        <v>33.01</v>
      </c>
      <c r="E1445">
        <v>34.119999999999997</v>
      </c>
      <c r="F1445">
        <v>101.78</v>
      </c>
      <c r="G1445">
        <v>121.95</v>
      </c>
      <c r="H1445">
        <v>91.62</v>
      </c>
      <c r="K1445" s="9">
        <f t="shared" si="162"/>
        <v>0.10999999999999943</v>
      </c>
      <c r="L1445">
        <f t="shared" si="163"/>
        <v>5.0000000000004263E-2</v>
      </c>
      <c r="M1445">
        <f t="shared" si="164"/>
        <v>-0.33999999999999631</v>
      </c>
      <c r="N1445">
        <f t="shared" si="165"/>
        <v>-1.269999999999996</v>
      </c>
      <c r="O1445">
        <f t="shared" si="166"/>
        <v>-0.21999999999999886</v>
      </c>
      <c r="P1445" s="10">
        <f t="shared" si="167"/>
        <v>-1.0600000000000023</v>
      </c>
    </row>
    <row r="1446" spans="1:16">
      <c r="A1446">
        <v>236.83</v>
      </c>
      <c r="B1446" s="42">
        <v>28.34</v>
      </c>
      <c r="C1446">
        <v>33.119999999999997</v>
      </c>
      <c r="D1446">
        <v>32.950000000000003</v>
      </c>
      <c r="E1446">
        <v>33.78</v>
      </c>
      <c r="F1446">
        <v>101.4</v>
      </c>
      <c r="G1446">
        <v>121.78</v>
      </c>
      <c r="H1446">
        <v>91.28</v>
      </c>
      <c r="K1446" s="9">
        <f t="shared" si="162"/>
        <v>-5.9999999999995168E-2</v>
      </c>
      <c r="L1446">
        <f t="shared" si="163"/>
        <v>0.10999999999999943</v>
      </c>
      <c r="M1446">
        <f t="shared" si="164"/>
        <v>0</v>
      </c>
      <c r="N1446">
        <f t="shared" si="165"/>
        <v>-1.1200000000000045</v>
      </c>
      <c r="O1446">
        <f t="shared" si="166"/>
        <v>-4.9999999999997158E-2</v>
      </c>
      <c r="P1446" s="10">
        <f t="shared" si="167"/>
        <v>-0.87999999999999545</v>
      </c>
    </row>
    <row r="1447" spans="1:16">
      <c r="A1447">
        <v>237</v>
      </c>
      <c r="B1447" s="42">
        <v>28.34</v>
      </c>
      <c r="C1447">
        <v>33.229999999999997</v>
      </c>
      <c r="D1447">
        <v>33.01</v>
      </c>
      <c r="E1447">
        <v>33.840000000000003</v>
      </c>
      <c r="F1447">
        <v>101.28</v>
      </c>
      <c r="G1447">
        <v>121.73</v>
      </c>
      <c r="H1447">
        <v>90.95</v>
      </c>
      <c r="K1447" s="9">
        <f t="shared" si="162"/>
        <v>-5.9999999999995168E-2</v>
      </c>
      <c r="L1447">
        <f t="shared" si="163"/>
        <v>-5.9999999999995168E-2</v>
      </c>
      <c r="M1447">
        <f t="shared" si="164"/>
        <v>-0.11000000000000654</v>
      </c>
      <c r="N1447">
        <f t="shared" si="165"/>
        <v>-1.1599999999999966</v>
      </c>
      <c r="O1447">
        <f t="shared" si="166"/>
        <v>-0.17000000000000171</v>
      </c>
      <c r="P1447" s="10">
        <f t="shared" si="167"/>
        <v>-1.1099999999999994</v>
      </c>
    </row>
    <row r="1448" spans="1:16">
      <c r="A1448">
        <v>237.17</v>
      </c>
      <c r="B1448" s="42">
        <v>28.17</v>
      </c>
      <c r="C1448">
        <v>33.28</v>
      </c>
      <c r="D1448">
        <v>33.06</v>
      </c>
      <c r="E1448">
        <v>33.78</v>
      </c>
      <c r="F1448">
        <v>100.51</v>
      </c>
      <c r="G1448">
        <v>121.73</v>
      </c>
      <c r="H1448">
        <v>90.56</v>
      </c>
      <c r="K1448" s="9">
        <f t="shared" si="162"/>
        <v>-0.16000000000000369</v>
      </c>
      <c r="L1448">
        <f t="shared" si="163"/>
        <v>-0.10999999999999943</v>
      </c>
      <c r="M1448">
        <f t="shared" si="164"/>
        <v>-0.10999999999999943</v>
      </c>
      <c r="N1448">
        <f t="shared" si="165"/>
        <v>-0.56000000000000227</v>
      </c>
      <c r="O1448">
        <f t="shared" si="166"/>
        <v>-0.45000000000000284</v>
      </c>
      <c r="P1448" s="10">
        <f t="shared" si="167"/>
        <v>-1.2199999999999989</v>
      </c>
    </row>
    <row r="1449" spans="1:16">
      <c r="A1449">
        <v>237.33</v>
      </c>
      <c r="B1449" s="42">
        <v>28.01</v>
      </c>
      <c r="C1449">
        <v>33.06</v>
      </c>
      <c r="D1449">
        <v>33.06</v>
      </c>
      <c r="E1449">
        <v>33.78</v>
      </c>
      <c r="F1449">
        <v>100.28</v>
      </c>
      <c r="G1449">
        <v>121.73</v>
      </c>
      <c r="H1449">
        <v>90.4</v>
      </c>
      <c r="K1449" s="9">
        <f t="shared" si="162"/>
        <v>0.33999999999999631</v>
      </c>
      <c r="L1449">
        <f t="shared" si="163"/>
        <v>0</v>
      </c>
      <c r="M1449">
        <f t="shared" si="164"/>
        <v>-0.27000000000000313</v>
      </c>
      <c r="N1449">
        <f t="shared" si="165"/>
        <v>-0.60999999999999943</v>
      </c>
      <c r="O1449">
        <f t="shared" si="166"/>
        <v>-0.45000000000000284</v>
      </c>
      <c r="P1449" s="10">
        <f t="shared" si="167"/>
        <v>-1.1700000000000017</v>
      </c>
    </row>
    <row r="1450" spans="1:16">
      <c r="A1450">
        <v>237.5</v>
      </c>
      <c r="B1450" s="42">
        <v>27.9</v>
      </c>
      <c r="C1450">
        <v>33.17</v>
      </c>
      <c r="D1450">
        <v>32.950000000000003</v>
      </c>
      <c r="E1450">
        <v>33.729999999999997</v>
      </c>
      <c r="F1450">
        <v>100.12</v>
      </c>
      <c r="G1450">
        <v>121.56</v>
      </c>
      <c r="H1450">
        <v>89.84</v>
      </c>
      <c r="K1450" s="9">
        <f t="shared" si="162"/>
        <v>5.9999999999995168E-2</v>
      </c>
      <c r="L1450">
        <f t="shared" si="163"/>
        <v>0.10999999999999943</v>
      </c>
      <c r="M1450">
        <f t="shared" si="164"/>
        <v>-0.1699999999999946</v>
      </c>
      <c r="N1450">
        <f t="shared" si="165"/>
        <v>-1.1099999999999994</v>
      </c>
      <c r="O1450">
        <f t="shared" si="166"/>
        <v>-0.43999999999999773</v>
      </c>
      <c r="P1450" s="10">
        <f t="shared" si="167"/>
        <v>-1.3299999999999983</v>
      </c>
    </row>
    <row r="1451" spans="1:16">
      <c r="A1451">
        <v>237.67</v>
      </c>
      <c r="B1451" s="42">
        <v>27.84</v>
      </c>
      <c r="C1451">
        <v>33.119999999999997</v>
      </c>
      <c r="D1451">
        <v>32.950000000000003</v>
      </c>
      <c r="E1451">
        <v>33.67</v>
      </c>
      <c r="F1451">
        <v>99.95</v>
      </c>
      <c r="G1451">
        <v>121.28</v>
      </c>
      <c r="H1451">
        <v>89.34</v>
      </c>
      <c r="K1451" s="9">
        <f t="shared" si="162"/>
        <v>0.16000000000000369</v>
      </c>
      <c r="L1451">
        <f t="shared" si="163"/>
        <v>0.1699999999999946</v>
      </c>
      <c r="M1451">
        <f t="shared" si="164"/>
        <v>-0.5</v>
      </c>
      <c r="N1451">
        <f t="shared" si="165"/>
        <v>-1.2800000000000011</v>
      </c>
      <c r="O1451">
        <f t="shared" si="166"/>
        <v>-0.21999999999999886</v>
      </c>
      <c r="P1451" s="10">
        <f t="shared" si="167"/>
        <v>-1.2199999999999989</v>
      </c>
    </row>
    <row r="1452" spans="1:16">
      <c r="A1452">
        <v>237.83</v>
      </c>
      <c r="B1452" s="42">
        <v>27.9</v>
      </c>
      <c r="C1452">
        <v>33.4</v>
      </c>
      <c r="D1452">
        <v>33.06</v>
      </c>
      <c r="E1452">
        <v>33.51</v>
      </c>
      <c r="F1452">
        <v>99.67</v>
      </c>
      <c r="G1452">
        <v>121.28</v>
      </c>
      <c r="H1452">
        <v>89.23</v>
      </c>
      <c r="K1452" s="9">
        <f t="shared" si="162"/>
        <v>-0.22999999999999687</v>
      </c>
      <c r="L1452">
        <f t="shared" si="163"/>
        <v>5.9999999999995168E-2</v>
      </c>
      <c r="M1452">
        <f t="shared" si="164"/>
        <v>-0.55999999999999517</v>
      </c>
      <c r="N1452">
        <f t="shared" si="165"/>
        <v>-0.89000000000000057</v>
      </c>
      <c r="O1452">
        <f t="shared" si="166"/>
        <v>-0.37999999999999545</v>
      </c>
      <c r="P1452" s="10">
        <f t="shared" si="167"/>
        <v>-1.1700000000000017</v>
      </c>
    </row>
    <row r="1453" spans="1:16">
      <c r="A1453">
        <v>238</v>
      </c>
      <c r="B1453" s="42">
        <v>27.9</v>
      </c>
      <c r="C1453">
        <v>33.229999999999997</v>
      </c>
      <c r="D1453">
        <v>33.06</v>
      </c>
      <c r="E1453">
        <v>33.56</v>
      </c>
      <c r="F1453">
        <v>99.01</v>
      </c>
      <c r="G1453">
        <v>121.12</v>
      </c>
      <c r="H1453">
        <v>88.51</v>
      </c>
      <c r="K1453" s="9">
        <f t="shared" si="162"/>
        <v>-0.44999999999999574</v>
      </c>
      <c r="L1453">
        <f t="shared" si="163"/>
        <v>-0.3300000000000054</v>
      </c>
      <c r="M1453">
        <f t="shared" si="164"/>
        <v>-0.71999999999999886</v>
      </c>
      <c r="N1453">
        <f t="shared" si="165"/>
        <v>0.26999999999999602</v>
      </c>
      <c r="O1453">
        <f t="shared" si="166"/>
        <v>-0.34000000000000341</v>
      </c>
      <c r="P1453" s="10">
        <f t="shared" si="167"/>
        <v>0.21999999999999886</v>
      </c>
    </row>
    <row r="1454" spans="1:16">
      <c r="A1454">
        <v>238.17</v>
      </c>
      <c r="B1454" s="42">
        <v>27.9</v>
      </c>
      <c r="C1454">
        <v>33.28</v>
      </c>
      <c r="D1454">
        <v>33.119999999999997</v>
      </c>
      <c r="E1454">
        <v>33.17</v>
      </c>
      <c r="F1454">
        <v>98.67</v>
      </c>
      <c r="G1454">
        <v>121.06</v>
      </c>
      <c r="H1454">
        <v>88.12</v>
      </c>
      <c r="K1454" s="9">
        <f t="shared" si="162"/>
        <v>-0.5</v>
      </c>
      <c r="L1454">
        <f t="shared" si="163"/>
        <v>-0.44999999999999574</v>
      </c>
      <c r="M1454">
        <f t="shared" si="164"/>
        <v>-0.55000000000000426</v>
      </c>
      <c r="N1454">
        <f t="shared" si="165"/>
        <v>-4.9999999999997158E-2</v>
      </c>
      <c r="O1454">
        <f t="shared" si="166"/>
        <v>-0.39000000000000057</v>
      </c>
      <c r="P1454" s="10">
        <f t="shared" si="167"/>
        <v>-6.0000000000002274E-2</v>
      </c>
    </row>
    <row r="1455" spans="1:16">
      <c r="A1455">
        <v>238.33</v>
      </c>
      <c r="B1455" s="42">
        <v>27.78</v>
      </c>
      <c r="C1455">
        <v>33.17</v>
      </c>
      <c r="D1455">
        <v>33.119999999999997</v>
      </c>
      <c r="E1455">
        <v>32.950000000000003</v>
      </c>
      <c r="F1455">
        <v>98.78</v>
      </c>
      <c r="G1455">
        <v>120.9</v>
      </c>
      <c r="H1455">
        <v>88.06</v>
      </c>
      <c r="K1455" s="9">
        <f t="shared" si="162"/>
        <v>-0.32999999999999829</v>
      </c>
      <c r="L1455">
        <f t="shared" si="163"/>
        <v>-0.5</v>
      </c>
      <c r="M1455">
        <f t="shared" si="164"/>
        <v>-0.44000000000000483</v>
      </c>
      <c r="N1455">
        <f t="shared" si="165"/>
        <v>-4.9999999999997158E-2</v>
      </c>
      <c r="O1455">
        <f t="shared" si="166"/>
        <v>-0.28000000000000114</v>
      </c>
      <c r="P1455" s="10">
        <f t="shared" si="167"/>
        <v>6.0000000000002274E-2</v>
      </c>
    </row>
    <row r="1456" spans="1:16">
      <c r="A1456">
        <v>238.5</v>
      </c>
      <c r="B1456" s="42">
        <v>27.67</v>
      </c>
      <c r="C1456">
        <v>32.78</v>
      </c>
      <c r="D1456">
        <v>32.729999999999997</v>
      </c>
      <c r="E1456">
        <v>32.840000000000003</v>
      </c>
      <c r="F1456">
        <v>99.28</v>
      </c>
      <c r="G1456">
        <v>120.78</v>
      </c>
      <c r="H1456">
        <v>88.73</v>
      </c>
      <c r="K1456" s="9">
        <f t="shared" si="162"/>
        <v>-0.27000000000000313</v>
      </c>
      <c r="L1456">
        <f t="shared" si="163"/>
        <v>-0.21999999999999886</v>
      </c>
      <c r="M1456">
        <f t="shared" si="164"/>
        <v>0.32999999999999829</v>
      </c>
      <c r="N1456">
        <f t="shared" si="165"/>
        <v>-0.82999999999999829</v>
      </c>
      <c r="O1456">
        <f t="shared" si="166"/>
        <v>-0.37999999999999545</v>
      </c>
      <c r="P1456" s="10">
        <f t="shared" si="167"/>
        <v>-0.95000000000000284</v>
      </c>
    </row>
    <row r="1457" spans="1:16">
      <c r="A1457">
        <v>238.67</v>
      </c>
      <c r="B1457" s="42">
        <v>27.73</v>
      </c>
      <c r="C1457">
        <v>32.78</v>
      </c>
      <c r="D1457">
        <v>32.67</v>
      </c>
      <c r="E1457">
        <v>32.619999999999997</v>
      </c>
      <c r="F1457">
        <v>98.62</v>
      </c>
      <c r="G1457">
        <v>120.67</v>
      </c>
      <c r="H1457">
        <v>88.06</v>
      </c>
      <c r="K1457" s="9">
        <f t="shared" si="162"/>
        <v>-5.0000000000004263E-2</v>
      </c>
      <c r="L1457">
        <f t="shared" si="163"/>
        <v>-0.16000000000000369</v>
      </c>
      <c r="M1457">
        <f t="shared" si="164"/>
        <v>0.3300000000000054</v>
      </c>
      <c r="N1457">
        <f t="shared" si="165"/>
        <v>-0.45000000000000284</v>
      </c>
      <c r="O1457">
        <f t="shared" si="166"/>
        <v>-0.32999999999999829</v>
      </c>
      <c r="P1457" s="10">
        <f t="shared" si="167"/>
        <v>-0.78000000000000114</v>
      </c>
    </row>
    <row r="1458" spans="1:16">
      <c r="A1458">
        <v>238.83</v>
      </c>
      <c r="B1458" s="42">
        <v>27.73</v>
      </c>
      <c r="C1458">
        <v>32.840000000000003</v>
      </c>
      <c r="D1458">
        <v>32.619999999999997</v>
      </c>
      <c r="E1458">
        <v>32.51</v>
      </c>
      <c r="F1458">
        <v>98.73</v>
      </c>
      <c r="G1458">
        <v>120.62</v>
      </c>
      <c r="H1458">
        <v>88.12</v>
      </c>
      <c r="K1458" s="9">
        <f t="shared" si="162"/>
        <v>-0.22000000000000597</v>
      </c>
      <c r="L1458">
        <f t="shared" si="163"/>
        <v>-0.1699999999999946</v>
      </c>
      <c r="M1458">
        <f t="shared" si="164"/>
        <v>0.55000000000000426</v>
      </c>
      <c r="N1458">
        <f t="shared" si="165"/>
        <v>-0.32999999999999829</v>
      </c>
      <c r="O1458">
        <f t="shared" si="166"/>
        <v>-0.34000000000000341</v>
      </c>
      <c r="P1458" s="10">
        <f t="shared" si="167"/>
        <v>-1.8400000000000034</v>
      </c>
    </row>
    <row r="1459" spans="1:16">
      <c r="A1459">
        <v>239</v>
      </c>
      <c r="B1459" s="42">
        <v>27.67</v>
      </c>
      <c r="C1459">
        <v>32.51</v>
      </c>
      <c r="D1459">
        <v>32.51</v>
      </c>
      <c r="E1459">
        <v>33.17</v>
      </c>
      <c r="F1459">
        <v>98.45</v>
      </c>
      <c r="G1459">
        <v>120.4</v>
      </c>
      <c r="H1459">
        <v>87.78</v>
      </c>
      <c r="K1459" s="9">
        <f t="shared" si="162"/>
        <v>0.21999999999999886</v>
      </c>
      <c r="L1459">
        <f t="shared" si="163"/>
        <v>0</v>
      </c>
      <c r="M1459">
        <f t="shared" si="164"/>
        <v>0.33999999999999631</v>
      </c>
      <c r="N1459">
        <f t="shared" si="165"/>
        <v>-0.28000000000000114</v>
      </c>
      <c r="O1459">
        <f t="shared" si="166"/>
        <v>-0.28000000000000114</v>
      </c>
      <c r="P1459" s="10">
        <f t="shared" si="167"/>
        <v>-1.269999999999996</v>
      </c>
    </row>
    <row r="1460" spans="1:16">
      <c r="A1460">
        <v>239.17</v>
      </c>
      <c r="B1460" s="42">
        <v>27.62</v>
      </c>
      <c r="C1460">
        <v>32.729999999999997</v>
      </c>
      <c r="D1460">
        <v>32.51</v>
      </c>
      <c r="E1460">
        <v>32.950000000000003</v>
      </c>
      <c r="F1460">
        <v>98.17</v>
      </c>
      <c r="G1460">
        <v>120.34</v>
      </c>
      <c r="H1460">
        <v>87.28</v>
      </c>
      <c r="K1460" s="9">
        <f t="shared" si="162"/>
        <v>5.0000000000004263E-2</v>
      </c>
      <c r="L1460">
        <f t="shared" si="163"/>
        <v>0</v>
      </c>
      <c r="M1460">
        <f t="shared" si="164"/>
        <v>0.55999999999999517</v>
      </c>
      <c r="N1460">
        <f t="shared" si="165"/>
        <v>-0.10999999999999943</v>
      </c>
      <c r="O1460">
        <f t="shared" si="166"/>
        <v>-0.21999999999999886</v>
      </c>
      <c r="P1460" s="10">
        <f t="shared" si="167"/>
        <v>-1</v>
      </c>
    </row>
    <row r="1461" spans="1:16">
      <c r="A1461">
        <v>239.33</v>
      </c>
      <c r="B1461" s="42">
        <v>27.62</v>
      </c>
      <c r="C1461">
        <v>32.619999999999997</v>
      </c>
      <c r="D1461">
        <v>32.450000000000003</v>
      </c>
      <c r="E1461">
        <v>33.06</v>
      </c>
      <c r="F1461">
        <v>98.4</v>
      </c>
      <c r="G1461">
        <v>120.28</v>
      </c>
      <c r="H1461">
        <v>86.28</v>
      </c>
      <c r="K1461" s="9">
        <f t="shared" si="162"/>
        <v>0.16000000000000369</v>
      </c>
      <c r="L1461">
        <f t="shared" si="163"/>
        <v>0.21999999999999886</v>
      </c>
      <c r="M1461">
        <f t="shared" si="164"/>
        <v>0.28000000000000114</v>
      </c>
      <c r="N1461">
        <f t="shared" si="165"/>
        <v>-0.67000000000000171</v>
      </c>
      <c r="O1461">
        <f t="shared" si="166"/>
        <v>-0.37999999999999545</v>
      </c>
      <c r="P1461" s="10">
        <f t="shared" si="167"/>
        <v>-0.76999999999999602</v>
      </c>
    </row>
    <row r="1462" spans="1:16">
      <c r="A1462">
        <v>239.5</v>
      </c>
      <c r="B1462" s="42">
        <v>27.45</v>
      </c>
      <c r="C1462">
        <v>32.729999999999997</v>
      </c>
      <c r="D1462">
        <v>32.51</v>
      </c>
      <c r="E1462">
        <v>33.51</v>
      </c>
      <c r="F1462">
        <v>98.17</v>
      </c>
      <c r="G1462">
        <v>120.12</v>
      </c>
      <c r="H1462">
        <v>86.51</v>
      </c>
      <c r="K1462" s="9">
        <f t="shared" si="162"/>
        <v>0.11000000000000654</v>
      </c>
      <c r="L1462">
        <f t="shared" si="163"/>
        <v>0.21999999999999886</v>
      </c>
      <c r="M1462">
        <f t="shared" si="164"/>
        <v>-0.1699999999999946</v>
      </c>
      <c r="N1462">
        <f t="shared" si="165"/>
        <v>-0.39000000000000057</v>
      </c>
      <c r="O1462">
        <f t="shared" si="166"/>
        <v>-0.34000000000000341</v>
      </c>
      <c r="P1462" s="10">
        <f t="shared" si="167"/>
        <v>-1.1700000000000017</v>
      </c>
    </row>
    <row r="1463" spans="1:16">
      <c r="A1463">
        <v>239.67</v>
      </c>
      <c r="B1463" s="42">
        <v>27.45</v>
      </c>
      <c r="C1463">
        <v>32.78</v>
      </c>
      <c r="D1463">
        <v>32.51</v>
      </c>
      <c r="E1463">
        <v>33.51</v>
      </c>
      <c r="F1463">
        <v>98.06</v>
      </c>
      <c r="G1463">
        <v>120.12</v>
      </c>
      <c r="H1463">
        <v>86.28</v>
      </c>
      <c r="K1463" s="9">
        <f t="shared" si="162"/>
        <v>0.28000000000000114</v>
      </c>
      <c r="L1463">
        <f t="shared" si="163"/>
        <v>0.27000000000000313</v>
      </c>
      <c r="M1463">
        <f t="shared" si="164"/>
        <v>-0.28000000000000114</v>
      </c>
      <c r="N1463">
        <f t="shared" si="165"/>
        <v>-0.54999999999999716</v>
      </c>
      <c r="O1463">
        <f t="shared" si="166"/>
        <v>-0.5</v>
      </c>
      <c r="P1463" s="10">
        <f t="shared" si="167"/>
        <v>-1.1599999999999966</v>
      </c>
    </row>
    <row r="1464" spans="1:16">
      <c r="A1464">
        <v>239.83</v>
      </c>
      <c r="B1464" s="42">
        <v>27.51</v>
      </c>
      <c r="C1464">
        <v>32.78</v>
      </c>
      <c r="D1464">
        <v>32.67</v>
      </c>
      <c r="E1464">
        <v>33.340000000000003</v>
      </c>
      <c r="F1464">
        <v>97.73</v>
      </c>
      <c r="G1464">
        <v>119.9</v>
      </c>
      <c r="H1464">
        <v>85.51</v>
      </c>
      <c r="K1464" s="9">
        <f t="shared" si="162"/>
        <v>0.33999999999999631</v>
      </c>
      <c r="L1464">
        <f t="shared" si="163"/>
        <v>0.28000000000000114</v>
      </c>
      <c r="M1464">
        <f t="shared" si="164"/>
        <v>0.1699999999999946</v>
      </c>
      <c r="N1464">
        <f t="shared" si="165"/>
        <v>-0.82999999999999829</v>
      </c>
      <c r="O1464">
        <f t="shared" si="166"/>
        <v>-0.62000000000000455</v>
      </c>
      <c r="P1464" s="10">
        <f t="shared" si="167"/>
        <v>-0.5</v>
      </c>
    </row>
    <row r="1465" spans="1:16">
      <c r="A1465">
        <v>240</v>
      </c>
      <c r="B1465" s="42">
        <v>27.45</v>
      </c>
      <c r="C1465">
        <v>32.840000000000003</v>
      </c>
      <c r="D1465">
        <v>32.729999999999997</v>
      </c>
      <c r="E1465">
        <v>33.340000000000003</v>
      </c>
      <c r="F1465">
        <v>97.78</v>
      </c>
      <c r="G1465">
        <v>119.78</v>
      </c>
      <c r="H1465">
        <v>85.34</v>
      </c>
      <c r="K1465" s="9">
        <f t="shared" si="162"/>
        <v>0.43999999999999773</v>
      </c>
      <c r="L1465">
        <f t="shared" si="163"/>
        <v>0.39000000000000057</v>
      </c>
      <c r="M1465">
        <f t="shared" si="164"/>
        <v>0.43999999999999773</v>
      </c>
      <c r="N1465">
        <f t="shared" si="165"/>
        <v>-1.0499999999999972</v>
      </c>
      <c r="O1465">
        <f t="shared" si="166"/>
        <v>-0.54999999999999716</v>
      </c>
      <c r="P1465" s="10">
        <f t="shared" si="167"/>
        <v>-0.93999999999999773</v>
      </c>
    </row>
    <row r="1466" spans="1:16">
      <c r="A1466">
        <v>240.17</v>
      </c>
      <c r="B1466" s="42">
        <v>27.62</v>
      </c>
      <c r="C1466">
        <v>33.06</v>
      </c>
      <c r="D1466">
        <v>32.78</v>
      </c>
      <c r="E1466">
        <v>33.229999999999997</v>
      </c>
      <c r="F1466">
        <v>97.51</v>
      </c>
      <c r="G1466">
        <v>119.62</v>
      </c>
      <c r="H1466">
        <v>85.12</v>
      </c>
      <c r="K1466" s="9">
        <f t="shared" si="162"/>
        <v>0.10999999999999943</v>
      </c>
      <c r="L1466">
        <f t="shared" si="163"/>
        <v>0.33999999999999631</v>
      </c>
      <c r="M1466">
        <f t="shared" si="164"/>
        <v>1.1700000000000017</v>
      </c>
      <c r="N1466">
        <f t="shared" si="165"/>
        <v>-1.3400000000000034</v>
      </c>
      <c r="O1466">
        <f t="shared" si="166"/>
        <v>-0.5</v>
      </c>
      <c r="P1466" s="10">
        <f t="shared" si="167"/>
        <v>-0.89000000000000057</v>
      </c>
    </row>
    <row r="1467" spans="1:16">
      <c r="A1467">
        <v>240.33</v>
      </c>
      <c r="B1467" s="42">
        <v>27.67</v>
      </c>
      <c r="C1467">
        <v>33.119999999999997</v>
      </c>
      <c r="D1467">
        <v>32.950000000000003</v>
      </c>
      <c r="E1467">
        <v>33.51</v>
      </c>
      <c r="F1467">
        <v>96.9</v>
      </c>
      <c r="G1467">
        <v>119.28</v>
      </c>
      <c r="H1467">
        <v>85.01</v>
      </c>
      <c r="K1467" s="9">
        <f t="shared" si="162"/>
        <v>0.44000000000000483</v>
      </c>
      <c r="L1467">
        <f t="shared" si="163"/>
        <v>0.39000000000000057</v>
      </c>
      <c r="M1467">
        <f t="shared" si="164"/>
        <v>1.2700000000000031</v>
      </c>
      <c r="N1467">
        <f t="shared" si="165"/>
        <v>-0.78000000000000114</v>
      </c>
      <c r="O1467">
        <f t="shared" si="166"/>
        <v>-0.37999999999999545</v>
      </c>
      <c r="P1467" s="10">
        <f t="shared" si="167"/>
        <v>-1.6099999999999994</v>
      </c>
    </row>
    <row r="1468" spans="1:16">
      <c r="A1468">
        <v>240.5</v>
      </c>
      <c r="B1468" s="42">
        <v>27.78</v>
      </c>
      <c r="C1468">
        <v>33.28</v>
      </c>
      <c r="D1468">
        <v>33.119999999999997</v>
      </c>
      <c r="E1468">
        <v>33.78</v>
      </c>
      <c r="F1468">
        <v>96.73</v>
      </c>
      <c r="G1468">
        <v>119.23</v>
      </c>
      <c r="H1468">
        <v>84.4</v>
      </c>
      <c r="K1468" s="9">
        <f t="shared" si="162"/>
        <v>0.39000000000000057</v>
      </c>
      <c r="L1468">
        <f t="shared" si="163"/>
        <v>0.39000000000000057</v>
      </c>
      <c r="M1468">
        <f t="shared" si="164"/>
        <v>1.3900000000000006</v>
      </c>
      <c r="N1468">
        <f t="shared" si="165"/>
        <v>-0.82999999999999829</v>
      </c>
      <c r="O1468">
        <f t="shared" si="166"/>
        <v>-0.5</v>
      </c>
      <c r="P1468" s="10">
        <f t="shared" si="167"/>
        <v>-1.7800000000000011</v>
      </c>
    </row>
    <row r="1469" spans="1:16">
      <c r="A1469">
        <v>240.67</v>
      </c>
      <c r="B1469" s="42">
        <v>27.78</v>
      </c>
      <c r="C1469">
        <v>33.17</v>
      </c>
      <c r="D1469">
        <v>33.119999999999997</v>
      </c>
      <c r="E1469">
        <v>34.4</v>
      </c>
      <c r="F1469">
        <v>96.17</v>
      </c>
      <c r="G1469">
        <v>119.12</v>
      </c>
      <c r="H1469">
        <v>84.23</v>
      </c>
      <c r="K1469" s="9">
        <f t="shared" si="162"/>
        <v>0.55999999999999517</v>
      </c>
      <c r="L1469">
        <f t="shared" si="163"/>
        <v>0.5</v>
      </c>
      <c r="M1469">
        <f t="shared" si="164"/>
        <v>1.0500000000000043</v>
      </c>
      <c r="N1469">
        <f t="shared" si="165"/>
        <v>-0.26999999999999602</v>
      </c>
      <c r="O1469">
        <f t="shared" si="166"/>
        <v>-0.60999999999999943</v>
      </c>
      <c r="P1469" s="10">
        <f t="shared" si="167"/>
        <v>-2.0600000000000023</v>
      </c>
    </row>
    <row r="1470" spans="1:16">
      <c r="A1470">
        <v>240.83</v>
      </c>
      <c r="B1470" s="42">
        <v>27.9</v>
      </c>
      <c r="C1470">
        <v>33.56</v>
      </c>
      <c r="D1470">
        <v>33.340000000000003</v>
      </c>
      <c r="E1470">
        <v>34.78</v>
      </c>
      <c r="F1470">
        <v>96.12</v>
      </c>
      <c r="G1470">
        <v>118.9</v>
      </c>
      <c r="H1470">
        <v>83.4</v>
      </c>
      <c r="K1470" s="9">
        <f t="shared" si="162"/>
        <v>5.9999999999995168E-2</v>
      </c>
      <c r="L1470">
        <f t="shared" si="163"/>
        <v>0.32999999999999829</v>
      </c>
      <c r="M1470">
        <f t="shared" si="164"/>
        <v>0.94999999999999574</v>
      </c>
      <c r="N1470">
        <f t="shared" si="165"/>
        <v>-0.17000000000000171</v>
      </c>
      <c r="O1470">
        <f t="shared" si="166"/>
        <v>-0.5</v>
      </c>
      <c r="P1470" s="10">
        <f t="shared" si="167"/>
        <v>-1.6700000000000017</v>
      </c>
    </row>
    <row r="1471" spans="1:16">
      <c r="A1471">
        <v>241</v>
      </c>
      <c r="B1471" s="42">
        <v>27.95</v>
      </c>
      <c r="C1471">
        <v>33.67</v>
      </c>
      <c r="D1471">
        <v>33.51</v>
      </c>
      <c r="E1471">
        <v>35.17</v>
      </c>
      <c r="F1471">
        <v>95.9</v>
      </c>
      <c r="G1471">
        <v>118.73</v>
      </c>
      <c r="H1471">
        <v>82.62</v>
      </c>
      <c r="K1471" s="9">
        <f t="shared" si="162"/>
        <v>0.17000000000000171</v>
      </c>
      <c r="L1471">
        <f t="shared" si="163"/>
        <v>0.27000000000000313</v>
      </c>
      <c r="M1471">
        <f t="shared" si="164"/>
        <v>1.1700000000000017</v>
      </c>
      <c r="N1471">
        <f t="shared" si="165"/>
        <v>-0.39000000000000057</v>
      </c>
      <c r="O1471">
        <f t="shared" si="166"/>
        <v>-0.56000000000000227</v>
      </c>
      <c r="P1471" s="10">
        <f t="shared" si="167"/>
        <v>-1.3900000000000006</v>
      </c>
    </row>
    <row r="1472" spans="1:16">
      <c r="A1472">
        <v>241.17</v>
      </c>
      <c r="B1472" s="42">
        <v>28.12</v>
      </c>
      <c r="C1472">
        <v>33.729999999999997</v>
      </c>
      <c r="D1472">
        <v>33.619999999999997</v>
      </c>
      <c r="E1472">
        <v>35.450000000000003</v>
      </c>
      <c r="F1472">
        <v>95.9</v>
      </c>
      <c r="G1472">
        <v>118.51</v>
      </c>
      <c r="H1472">
        <v>82.17</v>
      </c>
      <c r="K1472" s="9">
        <f t="shared" si="162"/>
        <v>0.5</v>
      </c>
      <c r="L1472">
        <f t="shared" si="163"/>
        <v>0.3300000000000054</v>
      </c>
      <c r="M1472">
        <f t="shared" si="164"/>
        <v>1.3299999999999983</v>
      </c>
      <c r="N1472">
        <f t="shared" si="165"/>
        <v>-0.5</v>
      </c>
      <c r="O1472">
        <f t="shared" si="166"/>
        <v>-0.78000000000000114</v>
      </c>
      <c r="P1472" s="10">
        <f t="shared" si="167"/>
        <v>-1.5499999999999972</v>
      </c>
    </row>
    <row r="1473" spans="1:16">
      <c r="A1473">
        <v>241.33</v>
      </c>
      <c r="B1473" s="42">
        <v>28.28</v>
      </c>
      <c r="C1473">
        <v>33.619999999999997</v>
      </c>
      <c r="D1473">
        <v>33.67</v>
      </c>
      <c r="E1473">
        <v>35.729999999999997</v>
      </c>
      <c r="F1473">
        <v>95.95</v>
      </c>
      <c r="G1473">
        <v>118.4</v>
      </c>
      <c r="H1473">
        <v>81.73</v>
      </c>
      <c r="K1473" s="9">
        <f t="shared" si="162"/>
        <v>0.72000000000000597</v>
      </c>
      <c r="L1473">
        <f t="shared" si="163"/>
        <v>0.55999999999999517</v>
      </c>
      <c r="M1473">
        <f t="shared" si="164"/>
        <v>1.4400000000000048</v>
      </c>
      <c r="N1473">
        <f t="shared" si="165"/>
        <v>-0.71999999999999886</v>
      </c>
      <c r="O1473">
        <f t="shared" si="166"/>
        <v>-0.78000000000000114</v>
      </c>
      <c r="P1473" s="10">
        <f t="shared" si="167"/>
        <v>-0.95000000000000284</v>
      </c>
    </row>
    <row r="1474" spans="1:16">
      <c r="A1474">
        <v>241.5</v>
      </c>
      <c r="B1474" s="42">
        <v>28.34</v>
      </c>
      <c r="C1474">
        <v>33.840000000000003</v>
      </c>
      <c r="D1474">
        <v>33.78</v>
      </c>
      <c r="E1474">
        <v>36.340000000000003</v>
      </c>
      <c r="F1474">
        <v>95.51</v>
      </c>
      <c r="G1474">
        <v>118.17</v>
      </c>
      <c r="H1474">
        <v>81.23</v>
      </c>
      <c r="K1474" s="9">
        <f t="shared" si="162"/>
        <v>0.6699999999999946</v>
      </c>
      <c r="L1474">
        <f t="shared" si="163"/>
        <v>0.56000000000000227</v>
      </c>
      <c r="M1474">
        <f t="shared" si="164"/>
        <v>1.1099999999999994</v>
      </c>
      <c r="N1474">
        <f t="shared" si="165"/>
        <v>-0.84000000000000341</v>
      </c>
      <c r="O1474">
        <f t="shared" si="166"/>
        <v>-0.89000000000000057</v>
      </c>
      <c r="P1474" s="10">
        <f t="shared" si="167"/>
        <v>-0.95000000000000284</v>
      </c>
    </row>
    <row r="1475" spans="1:16">
      <c r="A1475">
        <v>241.67</v>
      </c>
      <c r="B1475" s="42">
        <v>28.67</v>
      </c>
      <c r="C1475">
        <v>34.229999999999997</v>
      </c>
      <c r="D1475">
        <v>33.950000000000003</v>
      </c>
      <c r="E1475">
        <v>36.78</v>
      </c>
      <c r="F1475">
        <v>95.4</v>
      </c>
      <c r="G1475">
        <v>117.73</v>
      </c>
      <c r="H1475">
        <v>80.62</v>
      </c>
      <c r="K1475" s="9">
        <f t="shared" si="162"/>
        <v>0.55000000000000426</v>
      </c>
      <c r="L1475">
        <f t="shared" si="163"/>
        <v>0.6699999999999946</v>
      </c>
      <c r="M1475">
        <f t="shared" si="164"/>
        <v>1.2299999999999969</v>
      </c>
      <c r="N1475">
        <f t="shared" si="165"/>
        <v>-0.67000000000000171</v>
      </c>
      <c r="O1475">
        <f t="shared" si="166"/>
        <v>-0.60999999999999943</v>
      </c>
      <c r="P1475" s="10">
        <f t="shared" si="167"/>
        <v>-0.95000000000000284</v>
      </c>
    </row>
    <row r="1476" spans="1:16">
      <c r="A1476">
        <v>241.83</v>
      </c>
      <c r="B1476" s="42">
        <v>29.01</v>
      </c>
      <c r="C1476">
        <v>34.340000000000003</v>
      </c>
      <c r="D1476">
        <v>34.229999999999997</v>
      </c>
      <c r="E1476">
        <v>37.17</v>
      </c>
      <c r="F1476">
        <v>95.23</v>
      </c>
      <c r="G1476">
        <v>117.62</v>
      </c>
      <c r="H1476">
        <v>80.78</v>
      </c>
      <c r="K1476" s="9">
        <f t="shared" si="162"/>
        <v>0.5</v>
      </c>
      <c r="L1476">
        <f t="shared" si="163"/>
        <v>0.5</v>
      </c>
      <c r="M1476">
        <f t="shared" si="164"/>
        <v>0.89000000000000057</v>
      </c>
      <c r="N1476">
        <f t="shared" si="165"/>
        <v>-0.82999999999999829</v>
      </c>
      <c r="O1476">
        <f t="shared" si="166"/>
        <v>-0.67000000000000171</v>
      </c>
      <c r="P1476" s="10">
        <f t="shared" si="167"/>
        <v>-1.269999999999996</v>
      </c>
    </row>
    <row r="1477" spans="1:16">
      <c r="A1477">
        <v>242</v>
      </c>
      <c r="B1477" s="42">
        <v>29.12</v>
      </c>
      <c r="C1477">
        <v>34.51</v>
      </c>
      <c r="D1477">
        <v>34.340000000000003</v>
      </c>
      <c r="E1477">
        <v>37.450000000000003</v>
      </c>
      <c r="F1477">
        <v>94.67</v>
      </c>
      <c r="G1477">
        <v>117.28</v>
      </c>
      <c r="H1477">
        <v>80.28</v>
      </c>
      <c r="K1477" s="9">
        <f t="shared" si="162"/>
        <v>0.5</v>
      </c>
      <c r="L1477">
        <f t="shared" si="163"/>
        <v>0.5</v>
      </c>
      <c r="M1477">
        <f t="shared" si="164"/>
        <v>0.77999999999999403</v>
      </c>
      <c r="N1477">
        <f t="shared" si="165"/>
        <v>-0.76999999999999602</v>
      </c>
      <c r="O1477">
        <f t="shared" si="166"/>
        <v>-0.54999999999999716</v>
      </c>
      <c r="P1477" s="10">
        <f t="shared" si="167"/>
        <v>-0.60999999999999943</v>
      </c>
    </row>
    <row r="1478" spans="1:16">
      <c r="A1478">
        <v>242.17</v>
      </c>
      <c r="B1478" s="42">
        <v>29.17</v>
      </c>
      <c r="C1478">
        <v>34.78</v>
      </c>
      <c r="D1478">
        <v>34.619999999999997</v>
      </c>
      <c r="E1478">
        <v>38.01</v>
      </c>
      <c r="F1478">
        <v>94.73</v>
      </c>
      <c r="G1478">
        <v>117.12</v>
      </c>
      <c r="H1478">
        <v>79.67</v>
      </c>
      <c r="K1478" s="9">
        <f t="shared" si="162"/>
        <v>0.44999999999999574</v>
      </c>
      <c r="L1478">
        <f t="shared" si="163"/>
        <v>0.5</v>
      </c>
      <c r="M1478">
        <f t="shared" si="164"/>
        <v>0.66000000000000369</v>
      </c>
      <c r="N1478">
        <f t="shared" si="165"/>
        <v>-1.1700000000000017</v>
      </c>
      <c r="O1478">
        <f t="shared" si="166"/>
        <v>-0.67000000000000171</v>
      </c>
      <c r="P1478" s="10">
        <f t="shared" si="167"/>
        <v>-0.26999999999999602</v>
      </c>
    </row>
    <row r="1479" spans="1:16">
      <c r="A1479">
        <v>242.33</v>
      </c>
      <c r="B1479" s="42">
        <v>29.17</v>
      </c>
      <c r="C1479">
        <v>34.840000000000003</v>
      </c>
      <c r="D1479">
        <v>34.729999999999997</v>
      </c>
      <c r="E1479">
        <v>38.06</v>
      </c>
      <c r="F1479">
        <v>94.4</v>
      </c>
      <c r="G1479">
        <v>116.95</v>
      </c>
      <c r="H1479">
        <v>79.510000000000005</v>
      </c>
      <c r="K1479" s="9">
        <f t="shared" si="162"/>
        <v>0.88999999999999346</v>
      </c>
      <c r="L1479">
        <f t="shared" si="163"/>
        <v>0.8300000000000054</v>
      </c>
      <c r="M1479">
        <f t="shared" si="164"/>
        <v>0.44999999999999574</v>
      </c>
      <c r="N1479">
        <f t="shared" si="165"/>
        <v>-0.73000000000000398</v>
      </c>
      <c r="O1479">
        <f t="shared" si="166"/>
        <v>-0.5</v>
      </c>
      <c r="P1479" s="10">
        <f t="shared" si="167"/>
        <v>-0.67000000000000171</v>
      </c>
    </row>
    <row r="1480" spans="1:16">
      <c r="A1480">
        <v>242.5</v>
      </c>
      <c r="B1480" s="42">
        <v>29.17</v>
      </c>
      <c r="C1480">
        <v>35.01</v>
      </c>
      <c r="D1480">
        <v>34.840000000000003</v>
      </c>
      <c r="E1480">
        <v>38.229999999999997</v>
      </c>
      <c r="F1480">
        <v>93.9</v>
      </c>
      <c r="G1480">
        <v>116.73</v>
      </c>
      <c r="H1480">
        <v>79.67</v>
      </c>
      <c r="K1480" s="9">
        <f t="shared" si="162"/>
        <v>1.1099999999999994</v>
      </c>
      <c r="L1480">
        <f t="shared" si="163"/>
        <v>1.0599999999999952</v>
      </c>
      <c r="M1480">
        <f t="shared" si="164"/>
        <v>1.1700000000000017</v>
      </c>
      <c r="N1480">
        <f t="shared" si="165"/>
        <v>-0.73000000000000398</v>
      </c>
      <c r="O1480">
        <f t="shared" si="166"/>
        <v>-0.45000000000000284</v>
      </c>
      <c r="P1480" s="10">
        <f t="shared" si="167"/>
        <v>-1.1099999999999994</v>
      </c>
    </row>
    <row r="1481" spans="1:16">
      <c r="A1481">
        <v>242.67</v>
      </c>
      <c r="B1481" s="42">
        <v>29.17</v>
      </c>
      <c r="C1481">
        <v>35.229999999999997</v>
      </c>
      <c r="D1481">
        <v>35.119999999999997</v>
      </c>
      <c r="E1481">
        <v>38.67</v>
      </c>
      <c r="F1481">
        <v>93.56</v>
      </c>
      <c r="G1481">
        <v>116.45</v>
      </c>
      <c r="H1481">
        <v>79.400000000000006</v>
      </c>
      <c r="K1481" s="9">
        <f t="shared" si="162"/>
        <v>1.1100000000000065</v>
      </c>
      <c r="L1481">
        <f t="shared" si="163"/>
        <v>1.0500000000000043</v>
      </c>
      <c r="M1481">
        <f t="shared" si="164"/>
        <v>0.94999999999999574</v>
      </c>
      <c r="N1481">
        <f t="shared" si="165"/>
        <v>-0.54999999999999716</v>
      </c>
      <c r="O1481">
        <f t="shared" si="166"/>
        <v>-0.60999999999999943</v>
      </c>
      <c r="P1481" s="10">
        <f t="shared" si="167"/>
        <v>-1.3900000000000006</v>
      </c>
    </row>
    <row r="1482" spans="1:16">
      <c r="A1482">
        <v>242.83</v>
      </c>
      <c r="B1482" s="42">
        <v>29.17</v>
      </c>
      <c r="C1482">
        <v>35.729999999999997</v>
      </c>
      <c r="D1482">
        <v>35.56</v>
      </c>
      <c r="E1482">
        <v>38.51</v>
      </c>
      <c r="F1482">
        <v>93.67</v>
      </c>
      <c r="G1482">
        <v>116.45</v>
      </c>
      <c r="H1482">
        <v>78.84</v>
      </c>
      <c r="K1482" s="9">
        <f t="shared" si="162"/>
        <v>1.0500000000000043</v>
      </c>
      <c r="L1482">
        <f t="shared" si="163"/>
        <v>1.0599999999999952</v>
      </c>
      <c r="M1482">
        <f t="shared" si="164"/>
        <v>1.5500000000000043</v>
      </c>
      <c r="N1482">
        <f t="shared" si="165"/>
        <v>-0.5</v>
      </c>
      <c r="O1482">
        <f t="shared" si="166"/>
        <v>-1</v>
      </c>
      <c r="P1482" s="10">
        <f t="shared" si="167"/>
        <v>-1.1700000000000017</v>
      </c>
    </row>
    <row r="1483" spans="1:16">
      <c r="A1483">
        <v>243</v>
      </c>
      <c r="B1483" s="42">
        <v>29.17</v>
      </c>
      <c r="C1483">
        <v>36.119999999999997</v>
      </c>
      <c r="D1483">
        <v>35.9</v>
      </c>
      <c r="E1483">
        <v>39.4</v>
      </c>
      <c r="F1483">
        <v>93.17</v>
      </c>
      <c r="G1483">
        <v>116.28</v>
      </c>
      <c r="H1483">
        <v>78.56</v>
      </c>
      <c r="K1483" s="9">
        <f t="shared" si="162"/>
        <v>1</v>
      </c>
      <c r="L1483">
        <f t="shared" si="163"/>
        <v>1.1099999999999994</v>
      </c>
      <c r="M1483">
        <f t="shared" si="164"/>
        <v>0.71999999999999886</v>
      </c>
      <c r="N1483">
        <f t="shared" si="165"/>
        <v>-0.15999999999999659</v>
      </c>
      <c r="O1483">
        <f t="shared" si="166"/>
        <v>-1.269999999999996</v>
      </c>
      <c r="P1483" s="10">
        <f t="shared" si="167"/>
        <v>-1.2199999999999989</v>
      </c>
    </row>
    <row r="1484" spans="1:16">
      <c r="A1484">
        <v>243.17</v>
      </c>
      <c r="B1484" s="42">
        <v>29.34</v>
      </c>
      <c r="C1484">
        <v>36.340000000000003</v>
      </c>
      <c r="D1484">
        <v>36.17</v>
      </c>
      <c r="E1484">
        <v>39.619999999999997</v>
      </c>
      <c r="F1484">
        <v>93.01</v>
      </c>
      <c r="G1484">
        <v>115.84</v>
      </c>
      <c r="H1484">
        <v>78.010000000000005</v>
      </c>
      <c r="K1484" s="9">
        <f t="shared" si="162"/>
        <v>1</v>
      </c>
      <c r="L1484">
        <f t="shared" si="163"/>
        <v>1.0599999999999952</v>
      </c>
      <c r="M1484">
        <f t="shared" si="164"/>
        <v>0.3300000000000054</v>
      </c>
      <c r="N1484">
        <f t="shared" si="165"/>
        <v>-0.56000000000000227</v>
      </c>
      <c r="O1484">
        <f t="shared" si="166"/>
        <v>-1</v>
      </c>
      <c r="P1484" s="10">
        <f t="shared" si="167"/>
        <v>-1</v>
      </c>
    </row>
    <row r="1485" spans="1:16">
      <c r="A1485">
        <v>243.33</v>
      </c>
      <c r="B1485" s="42">
        <v>29.51</v>
      </c>
      <c r="C1485">
        <v>36.78</v>
      </c>
      <c r="D1485">
        <v>36.619999999999997</v>
      </c>
      <c r="E1485">
        <v>40.06</v>
      </c>
      <c r="F1485">
        <v>93.17</v>
      </c>
      <c r="G1485">
        <v>115.45</v>
      </c>
      <c r="H1485">
        <v>77.67</v>
      </c>
      <c r="K1485" s="9">
        <f t="shared" si="162"/>
        <v>0.89000000000000057</v>
      </c>
      <c r="L1485">
        <f t="shared" si="163"/>
        <v>0.94000000000000483</v>
      </c>
      <c r="M1485">
        <f t="shared" si="164"/>
        <v>0.1699999999999946</v>
      </c>
      <c r="N1485">
        <f t="shared" si="165"/>
        <v>-0.89000000000000057</v>
      </c>
      <c r="O1485">
        <f t="shared" si="166"/>
        <v>-0.82999999999999829</v>
      </c>
      <c r="P1485" s="10">
        <f t="shared" si="167"/>
        <v>-1</v>
      </c>
    </row>
    <row r="1486" spans="1:16">
      <c r="A1486">
        <v>243.5</v>
      </c>
      <c r="B1486" s="42">
        <v>29.67</v>
      </c>
      <c r="C1486">
        <v>37.119999999999997</v>
      </c>
      <c r="D1486">
        <v>37.01</v>
      </c>
      <c r="E1486">
        <v>40.119999999999997</v>
      </c>
      <c r="F1486">
        <v>93.01</v>
      </c>
      <c r="G1486">
        <v>115.01</v>
      </c>
      <c r="H1486">
        <v>77.34</v>
      </c>
      <c r="K1486" s="9">
        <f t="shared" si="162"/>
        <v>1</v>
      </c>
      <c r="L1486">
        <f t="shared" si="163"/>
        <v>0.94000000000000483</v>
      </c>
      <c r="M1486">
        <f t="shared" si="164"/>
        <v>0.16000000000000369</v>
      </c>
      <c r="N1486">
        <f t="shared" si="165"/>
        <v>-1.2800000000000011</v>
      </c>
      <c r="O1486">
        <f t="shared" si="166"/>
        <v>-0.67000000000000171</v>
      </c>
      <c r="P1486" s="10">
        <f t="shared" si="167"/>
        <v>-1.0600000000000023</v>
      </c>
    </row>
    <row r="1487" spans="1:16">
      <c r="A1487">
        <v>243.67</v>
      </c>
      <c r="B1487" s="42">
        <v>29.9</v>
      </c>
      <c r="C1487">
        <v>37.340000000000003</v>
      </c>
      <c r="D1487">
        <v>37.229999999999997</v>
      </c>
      <c r="E1487">
        <v>39.950000000000003</v>
      </c>
      <c r="F1487">
        <v>92.45</v>
      </c>
      <c r="G1487">
        <v>114.84</v>
      </c>
      <c r="H1487">
        <v>77.010000000000005</v>
      </c>
      <c r="K1487" s="9">
        <f t="shared" si="162"/>
        <v>1.1699999999999946</v>
      </c>
      <c r="L1487">
        <f t="shared" si="163"/>
        <v>1.1700000000000017</v>
      </c>
      <c r="M1487">
        <f t="shared" si="164"/>
        <v>0.55999999999999517</v>
      </c>
      <c r="N1487">
        <f t="shared" si="165"/>
        <v>-0.71999999999999886</v>
      </c>
      <c r="O1487">
        <f t="shared" si="166"/>
        <v>-0.78000000000000114</v>
      </c>
      <c r="P1487" s="10">
        <f t="shared" si="167"/>
        <v>-0.95000000000000284</v>
      </c>
    </row>
    <row r="1488" spans="1:16">
      <c r="A1488">
        <v>243.83</v>
      </c>
      <c r="B1488" s="42">
        <v>29.78</v>
      </c>
      <c r="C1488">
        <v>37.67</v>
      </c>
      <c r="D1488">
        <v>37.56</v>
      </c>
      <c r="E1488">
        <v>40.229999999999997</v>
      </c>
      <c r="F1488">
        <v>92.28</v>
      </c>
      <c r="G1488">
        <v>114.62</v>
      </c>
      <c r="H1488">
        <v>76.67</v>
      </c>
      <c r="K1488" s="9">
        <f t="shared" si="162"/>
        <v>0.78000000000000114</v>
      </c>
      <c r="L1488">
        <f t="shared" si="163"/>
        <v>0.89000000000000057</v>
      </c>
      <c r="M1488">
        <f t="shared" si="164"/>
        <v>0.39000000000000057</v>
      </c>
      <c r="N1488">
        <f t="shared" si="165"/>
        <v>-0.21999999999999886</v>
      </c>
      <c r="O1488">
        <f t="shared" si="166"/>
        <v>-0.67000000000000171</v>
      </c>
      <c r="P1488" s="10">
        <f t="shared" si="167"/>
        <v>-0.93999999999999773</v>
      </c>
    </row>
    <row r="1489" spans="1:16">
      <c r="A1489">
        <v>244</v>
      </c>
      <c r="B1489" s="42">
        <v>29.78</v>
      </c>
      <c r="C1489">
        <v>38.119999999999997</v>
      </c>
      <c r="D1489">
        <v>37.950000000000003</v>
      </c>
      <c r="E1489">
        <v>40.28</v>
      </c>
      <c r="F1489">
        <v>91.73</v>
      </c>
      <c r="G1489">
        <v>114.34</v>
      </c>
      <c r="H1489">
        <v>76.28</v>
      </c>
      <c r="K1489" s="9">
        <f t="shared" si="162"/>
        <v>0.44000000000000483</v>
      </c>
      <c r="L1489">
        <f t="shared" si="163"/>
        <v>0.60999999999999943</v>
      </c>
      <c r="M1489">
        <f t="shared" si="164"/>
        <v>0.28000000000000114</v>
      </c>
      <c r="N1489">
        <f t="shared" si="165"/>
        <v>-0.10999999999999943</v>
      </c>
      <c r="O1489">
        <f t="shared" si="166"/>
        <v>-0.60999999999999943</v>
      </c>
      <c r="P1489" s="10">
        <f t="shared" si="167"/>
        <v>-0.87999999999999545</v>
      </c>
    </row>
    <row r="1490" spans="1:16">
      <c r="A1490">
        <v>244.17</v>
      </c>
      <c r="B1490" s="42">
        <v>29.9</v>
      </c>
      <c r="C1490">
        <v>38.51</v>
      </c>
      <c r="D1490">
        <v>38.4</v>
      </c>
      <c r="E1490">
        <v>40.51</v>
      </c>
      <c r="F1490">
        <v>91.73</v>
      </c>
      <c r="G1490">
        <v>114.06</v>
      </c>
      <c r="H1490">
        <v>76.06</v>
      </c>
      <c r="K1490" s="9">
        <f t="shared" si="162"/>
        <v>0.16000000000000369</v>
      </c>
      <c r="L1490">
        <f t="shared" si="163"/>
        <v>0.21999999999999886</v>
      </c>
      <c r="M1490">
        <f t="shared" si="164"/>
        <v>0.16000000000000369</v>
      </c>
      <c r="N1490">
        <f t="shared" si="165"/>
        <v>-0.39000000000000057</v>
      </c>
      <c r="O1490">
        <f t="shared" si="166"/>
        <v>-0.54999999999999716</v>
      </c>
      <c r="P1490" s="10">
        <f t="shared" si="167"/>
        <v>-1.1099999999999994</v>
      </c>
    </row>
    <row r="1491" spans="1:16">
      <c r="A1491">
        <v>244.33</v>
      </c>
      <c r="B1491" s="42">
        <v>30.28</v>
      </c>
      <c r="C1491">
        <v>38.450000000000003</v>
      </c>
      <c r="D1491">
        <v>38.450000000000003</v>
      </c>
      <c r="E1491">
        <v>40.619999999999997</v>
      </c>
      <c r="F1491">
        <v>92.06</v>
      </c>
      <c r="G1491">
        <v>113.95</v>
      </c>
      <c r="H1491">
        <v>75.73</v>
      </c>
      <c r="K1491" s="9">
        <f t="shared" si="162"/>
        <v>0.10999999999999943</v>
      </c>
      <c r="L1491">
        <f t="shared" si="163"/>
        <v>5.9999999999995168E-2</v>
      </c>
      <c r="M1491">
        <f t="shared" si="164"/>
        <v>0.28000000000000114</v>
      </c>
      <c r="N1491">
        <f t="shared" si="165"/>
        <v>-0.65999999999999659</v>
      </c>
      <c r="O1491">
        <f t="shared" si="166"/>
        <v>-0.67000000000000171</v>
      </c>
      <c r="P1491" s="10">
        <f t="shared" si="167"/>
        <v>-0.95000000000000284</v>
      </c>
    </row>
    <row r="1492" spans="1:16">
      <c r="A1492">
        <v>244.5</v>
      </c>
      <c r="B1492" s="42">
        <v>30.51</v>
      </c>
      <c r="C1492">
        <v>38.56</v>
      </c>
      <c r="D1492">
        <v>38.56</v>
      </c>
      <c r="E1492">
        <v>40.56</v>
      </c>
      <c r="F1492">
        <v>91.62</v>
      </c>
      <c r="G1492">
        <v>113.73</v>
      </c>
      <c r="H1492">
        <v>75.400000000000006</v>
      </c>
      <c r="K1492" s="9">
        <f t="shared" si="162"/>
        <v>0</v>
      </c>
      <c r="L1492">
        <f t="shared" si="163"/>
        <v>0</v>
      </c>
      <c r="M1492">
        <f t="shared" si="164"/>
        <v>0.60999999999999943</v>
      </c>
      <c r="N1492">
        <f t="shared" si="165"/>
        <v>-0.17000000000000171</v>
      </c>
      <c r="O1492">
        <f t="shared" si="166"/>
        <v>-0.67000000000000171</v>
      </c>
      <c r="P1492" s="10">
        <f t="shared" si="167"/>
        <v>-0.89000000000000057</v>
      </c>
    </row>
    <row r="1493" spans="1:16">
      <c r="A1493">
        <v>244.67</v>
      </c>
      <c r="B1493" s="42">
        <v>30.51</v>
      </c>
      <c r="C1493">
        <v>38.67</v>
      </c>
      <c r="D1493">
        <v>38.619999999999997</v>
      </c>
      <c r="E1493">
        <v>40.67</v>
      </c>
      <c r="F1493">
        <v>91.34</v>
      </c>
      <c r="G1493">
        <v>113.51</v>
      </c>
      <c r="H1493">
        <v>74.95</v>
      </c>
      <c r="K1493" s="9">
        <f t="shared" si="162"/>
        <v>0.33999999999999631</v>
      </c>
      <c r="L1493">
        <f t="shared" si="163"/>
        <v>0.10999999999999943</v>
      </c>
      <c r="M1493">
        <f t="shared" si="164"/>
        <v>0.5</v>
      </c>
      <c r="N1493">
        <f t="shared" si="165"/>
        <v>-0.43999999999999773</v>
      </c>
      <c r="O1493">
        <f t="shared" si="166"/>
        <v>-0.89000000000000057</v>
      </c>
      <c r="P1493" s="10">
        <f t="shared" si="167"/>
        <v>-1.1700000000000017</v>
      </c>
    </row>
    <row r="1494" spans="1:16">
      <c r="A1494">
        <v>244.83</v>
      </c>
      <c r="B1494" s="42">
        <v>30.51</v>
      </c>
      <c r="C1494">
        <v>38.56</v>
      </c>
      <c r="D1494">
        <v>38.51</v>
      </c>
      <c r="E1494">
        <v>40.9</v>
      </c>
      <c r="F1494">
        <v>91.4</v>
      </c>
      <c r="G1494">
        <v>113.28</v>
      </c>
      <c r="H1494">
        <v>74.78</v>
      </c>
      <c r="K1494" s="9">
        <f t="shared" si="162"/>
        <v>0.83999999999999631</v>
      </c>
      <c r="L1494">
        <f t="shared" si="163"/>
        <v>0.77000000000000313</v>
      </c>
      <c r="M1494">
        <f t="shared" si="164"/>
        <v>0.55000000000000426</v>
      </c>
      <c r="N1494">
        <f t="shared" si="165"/>
        <v>-0.45000000000000284</v>
      </c>
      <c r="O1494">
        <f t="shared" si="166"/>
        <v>-0.87999999999999545</v>
      </c>
      <c r="P1494" s="10">
        <f t="shared" si="167"/>
        <v>-0.71999999999999886</v>
      </c>
    </row>
    <row r="1495" spans="1:16">
      <c r="A1495">
        <v>245</v>
      </c>
      <c r="B1495" s="42">
        <v>30.67</v>
      </c>
      <c r="C1495">
        <v>38.56</v>
      </c>
      <c r="D1495">
        <v>38.56</v>
      </c>
      <c r="E1495">
        <v>41.17</v>
      </c>
      <c r="F1495">
        <v>91.45</v>
      </c>
      <c r="G1495">
        <v>113.06</v>
      </c>
      <c r="H1495">
        <v>74.510000000000005</v>
      </c>
      <c r="K1495" s="9">
        <f t="shared" si="162"/>
        <v>1.0599999999999952</v>
      </c>
      <c r="L1495">
        <f t="shared" si="163"/>
        <v>1</v>
      </c>
      <c r="M1495">
        <f t="shared" si="164"/>
        <v>0.94999999999999574</v>
      </c>
      <c r="N1495">
        <f t="shared" si="165"/>
        <v>-0.54999999999999716</v>
      </c>
      <c r="O1495">
        <f t="shared" si="166"/>
        <v>-0.93999999999999773</v>
      </c>
      <c r="P1495" s="10">
        <f t="shared" si="167"/>
        <v>-0.23000000000000398</v>
      </c>
    </row>
    <row r="1496" spans="1:16">
      <c r="A1496">
        <v>245.17</v>
      </c>
      <c r="B1496" s="42">
        <v>30.67</v>
      </c>
      <c r="C1496">
        <v>39.01</v>
      </c>
      <c r="D1496">
        <v>38.729999999999997</v>
      </c>
      <c r="E1496">
        <v>41.17</v>
      </c>
      <c r="F1496">
        <v>90.9</v>
      </c>
      <c r="G1496">
        <v>112.62</v>
      </c>
      <c r="H1496">
        <v>73.78</v>
      </c>
      <c r="K1496" s="9">
        <f t="shared" si="162"/>
        <v>0.71999999999999886</v>
      </c>
      <c r="L1496">
        <f t="shared" si="163"/>
        <v>1</v>
      </c>
      <c r="M1496">
        <f t="shared" si="164"/>
        <v>1.0599999999999952</v>
      </c>
      <c r="N1496">
        <f t="shared" si="165"/>
        <v>-0.28000000000000114</v>
      </c>
      <c r="O1496">
        <f t="shared" si="166"/>
        <v>-0.71999999999999886</v>
      </c>
      <c r="P1496" s="10">
        <f t="shared" si="167"/>
        <v>-4.9999999999997158E-2</v>
      </c>
    </row>
    <row r="1497" spans="1:16">
      <c r="A1497">
        <v>245.33</v>
      </c>
      <c r="B1497" s="42">
        <v>30.84</v>
      </c>
      <c r="C1497">
        <v>39.4</v>
      </c>
      <c r="D1497">
        <v>39.28</v>
      </c>
      <c r="E1497">
        <v>41.45</v>
      </c>
      <c r="F1497">
        <v>90.95</v>
      </c>
      <c r="G1497">
        <v>112.4</v>
      </c>
      <c r="H1497">
        <v>74.06</v>
      </c>
      <c r="K1497" s="9">
        <f t="shared" ref="K1497:K1560" si="168">C1500-C1497</f>
        <v>0.44000000000000483</v>
      </c>
      <c r="L1497">
        <f t="shared" ref="L1497:L1560" si="169">D1500-D1497</f>
        <v>0.5</v>
      </c>
      <c r="M1497">
        <f t="shared" ref="M1497:M1560" si="170">E1500-E1497</f>
        <v>0.89000000000000057</v>
      </c>
      <c r="N1497">
        <f t="shared" ref="N1497:N1560" si="171">F1500-F1497</f>
        <v>-0.43999999999999773</v>
      </c>
      <c r="O1497">
        <f t="shared" ref="O1497:O1560" si="172">G1500-G1497</f>
        <v>-0.89000000000000057</v>
      </c>
      <c r="P1497" s="10">
        <f t="shared" ref="P1497:P1560" si="173">H1500-H1497</f>
        <v>-1.2199999999999989</v>
      </c>
    </row>
    <row r="1498" spans="1:16">
      <c r="A1498">
        <v>245.5</v>
      </c>
      <c r="B1498" s="42">
        <v>31.12</v>
      </c>
      <c r="C1498">
        <v>39.619999999999997</v>
      </c>
      <c r="D1498">
        <v>39.56</v>
      </c>
      <c r="E1498">
        <v>42.12</v>
      </c>
      <c r="F1498">
        <v>90.9</v>
      </c>
      <c r="G1498">
        <v>112.12</v>
      </c>
      <c r="H1498">
        <v>74.28</v>
      </c>
      <c r="K1498" s="9">
        <f t="shared" si="168"/>
        <v>5.0000000000004263E-2</v>
      </c>
      <c r="L1498">
        <f t="shared" si="169"/>
        <v>-5.0000000000004263E-2</v>
      </c>
      <c r="M1498">
        <f t="shared" si="170"/>
        <v>0.3300000000000054</v>
      </c>
      <c r="N1498">
        <f t="shared" si="171"/>
        <v>-0.45000000000000284</v>
      </c>
      <c r="O1498">
        <f t="shared" si="172"/>
        <v>-0.84000000000000341</v>
      </c>
      <c r="P1498" s="10">
        <f t="shared" si="173"/>
        <v>-2</v>
      </c>
    </row>
    <row r="1499" spans="1:16">
      <c r="A1499">
        <v>245.67</v>
      </c>
      <c r="B1499" s="42">
        <v>30.95</v>
      </c>
      <c r="C1499">
        <v>39.729999999999997</v>
      </c>
      <c r="D1499">
        <v>39.729999999999997</v>
      </c>
      <c r="E1499">
        <v>42.23</v>
      </c>
      <c r="F1499">
        <v>90.62</v>
      </c>
      <c r="G1499">
        <v>111.9</v>
      </c>
      <c r="H1499">
        <v>73.73</v>
      </c>
      <c r="K1499" s="9">
        <f t="shared" si="168"/>
        <v>0.22000000000000597</v>
      </c>
      <c r="L1499">
        <f t="shared" si="169"/>
        <v>0.11000000000000654</v>
      </c>
      <c r="M1499">
        <f t="shared" si="170"/>
        <v>0.22000000000000597</v>
      </c>
      <c r="N1499">
        <f t="shared" si="171"/>
        <v>0</v>
      </c>
      <c r="O1499">
        <f t="shared" si="172"/>
        <v>-0.73000000000000398</v>
      </c>
      <c r="P1499" s="10">
        <f t="shared" si="173"/>
        <v>-1.8299999999999983</v>
      </c>
    </row>
    <row r="1500" spans="1:16">
      <c r="A1500">
        <v>245.83</v>
      </c>
      <c r="B1500" s="42">
        <v>31.17</v>
      </c>
      <c r="C1500">
        <v>39.840000000000003</v>
      </c>
      <c r="D1500">
        <v>39.78</v>
      </c>
      <c r="E1500">
        <v>42.34</v>
      </c>
      <c r="F1500">
        <v>90.51</v>
      </c>
      <c r="G1500">
        <v>111.51</v>
      </c>
      <c r="H1500">
        <v>72.84</v>
      </c>
      <c r="K1500" s="9">
        <f t="shared" si="168"/>
        <v>0.55999999999999517</v>
      </c>
      <c r="L1500">
        <f t="shared" si="169"/>
        <v>0.5</v>
      </c>
      <c r="M1500">
        <f t="shared" si="170"/>
        <v>0.21999999999999886</v>
      </c>
      <c r="N1500">
        <f t="shared" si="171"/>
        <v>-0.28000000000000114</v>
      </c>
      <c r="O1500">
        <f t="shared" si="172"/>
        <v>-0.5</v>
      </c>
      <c r="P1500" s="10">
        <f t="shared" si="173"/>
        <v>-0.56000000000000227</v>
      </c>
    </row>
    <row r="1501" spans="1:16">
      <c r="A1501">
        <v>246</v>
      </c>
      <c r="B1501" s="42">
        <v>31.51</v>
      </c>
      <c r="C1501">
        <v>39.67</v>
      </c>
      <c r="D1501">
        <v>39.51</v>
      </c>
      <c r="E1501">
        <v>42.45</v>
      </c>
      <c r="F1501">
        <v>90.45</v>
      </c>
      <c r="G1501">
        <v>111.28</v>
      </c>
      <c r="H1501">
        <v>72.28</v>
      </c>
      <c r="K1501" s="9">
        <f t="shared" si="168"/>
        <v>0.89000000000000057</v>
      </c>
      <c r="L1501">
        <f t="shared" si="169"/>
        <v>1</v>
      </c>
      <c r="M1501">
        <f t="shared" si="170"/>
        <v>0.32999999999999829</v>
      </c>
      <c r="N1501">
        <f t="shared" si="171"/>
        <v>-0.5</v>
      </c>
      <c r="O1501">
        <f t="shared" si="172"/>
        <v>-0.65999999999999659</v>
      </c>
      <c r="P1501" s="10">
        <f t="shared" si="173"/>
        <v>-0.37999999999999545</v>
      </c>
    </row>
    <row r="1502" spans="1:16">
      <c r="A1502">
        <v>246.17</v>
      </c>
      <c r="B1502" s="42">
        <v>31.9</v>
      </c>
      <c r="C1502">
        <v>39.950000000000003</v>
      </c>
      <c r="D1502">
        <v>39.840000000000003</v>
      </c>
      <c r="E1502">
        <v>42.45</v>
      </c>
      <c r="F1502">
        <v>90.62</v>
      </c>
      <c r="G1502">
        <v>111.17</v>
      </c>
      <c r="H1502">
        <v>71.900000000000006</v>
      </c>
      <c r="K1502" s="9">
        <f t="shared" si="168"/>
        <v>0.71999999999999886</v>
      </c>
      <c r="L1502">
        <f t="shared" si="169"/>
        <v>0.77999999999999403</v>
      </c>
      <c r="M1502">
        <f t="shared" si="170"/>
        <v>0.60999999999999943</v>
      </c>
      <c r="N1502">
        <f t="shared" si="171"/>
        <v>-0.45000000000000284</v>
      </c>
      <c r="O1502">
        <f t="shared" si="172"/>
        <v>-0.82999999999999829</v>
      </c>
      <c r="P1502" s="10">
        <f t="shared" si="173"/>
        <v>-0.34000000000000341</v>
      </c>
    </row>
    <row r="1503" spans="1:16">
      <c r="A1503">
        <v>246.33</v>
      </c>
      <c r="B1503" s="42">
        <v>32.340000000000003</v>
      </c>
      <c r="C1503">
        <v>40.4</v>
      </c>
      <c r="D1503">
        <v>40.28</v>
      </c>
      <c r="E1503">
        <v>42.56</v>
      </c>
      <c r="F1503">
        <v>90.23</v>
      </c>
      <c r="G1503">
        <v>111.01</v>
      </c>
      <c r="H1503">
        <v>72.28</v>
      </c>
      <c r="K1503" s="9">
        <f t="shared" si="168"/>
        <v>0.5</v>
      </c>
      <c r="L1503">
        <f t="shared" si="169"/>
        <v>0.44999999999999574</v>
      </c>
      <c r="M1503">
        <f t="shared" si="170"/>
        <v>0.5</v>
      </c>
      <c r="N1503">
        <f t="shared" si="171"/>
        <v>-0.17000000000000171</v>
      </c>
      <c r="O1503">
        <f t="shared" si="172"/>
        <v>-1</v>
      </c>
      <c r="P1503" s="10">
        <f t="shared" si="173"/>
        <v>-0.71999999999999886</v>
      </c>
    </row>
    <row r="1504" spans="1:16">
      <c r="A1504">
        <v>246.5</v>
      </c>
      <c r="B1504" s="42">
        <v>32.78</v>
      </c>
      <c r="C1504">
        <v>40.56</v>
      </c>
      <c r="D1504">
        <v>40.51</v>
      </c>
      <c r="E1504">
        <v>42.78</v>
      </c>
      <c r="F1504">
        <v>89.95</v>
      </c>
      <c r="G1504">
        <v>110.62</v>
      </c>
      <c r="H1504">
        <v>71.900000000000006</v>
      </c>
      <c r="K1504" s="9">
        <f t="shared" si="168"/>
        <v>1.2199999999999989</v>
      </c>
      <c r="L1504">
        <f t="shared" si="169"/>
        <v>1</v>
      </c>
      <c r="M1504">
        <f t="shared" si="170"/>
        <v>-0.32999999999999829</v>
      </c>
      <c r="N1504">
        <f t="shared" si="171"/>
        <v>6.0000000000002274E-2</v>
      </c>
      <c r="O1504">
        <f t="shared" si="172"/>
        <v>-0.84000000000000341</v>
      </c>
      <c r="P1504" s="10">
        <f t="shared" si="173"/>
        <v>-0.39000000000000057</v>
      </c>
    </row>
    <row r="1505" spans="1:16">
      <c r="A1505">
        <v>246.67</v>
      </c>
      <c r="B1505" s="42">
        <v>32.950000000000003</v>
      </c>
      <c r="C1505">
        <v>40.67</v>
      </c>
      <c r="D1505">
        <v>40.619999999999997</v>
      </c>
      <c r="E1505">
        <v>43.06</v>
      </c>
      <c r="F1505">
        <v>90.17</v>
      </c>
      <c r="G1505">
        <v>110.34</v>
      </c>
      <c r="H1505">
        <v>71.56</v>
      </c>
      <c r="K1505" s="9">
        <f t="shared" si="168"/>
        <v>1.0599999999999952</v>
      </c>
      <c r="L1505">
        <f t="shared" si="169"/>
        <v>1.0500000000000043</v>
      </c>
      <c r="M1505">
        <f t="shared" si="170"/>
        <v>-0.89000000000000057</v>
      </c>
      <c r="N1505">
        <f t="shared" si="171"/>
        <v>-0.32999999999999829</v>
      </c>
      <c r="O1505">
        <f t="shared" si="172"/>
        <v>-0.78000000000000114</v>
      </c>
      <c r="P1505" s="10">
        <f t="shared" si="173"/>
        <v>-0.21999999999999886</v>
      </c>
    </row>
    <row r="1506" spans="1:16">
      <c r="A1506">
        <v>246.83</v>
      </c>
      <c r="B1506" s="42">
        <v>33.06</v>
      </c>
      <c r="C1506">
        <v>40.9</v>
      </c>
      <c r="D1506">
        <v>40.729999999999997</v>
      </c>
      <c r="E1506">
        <v>43.06</v>
      </c>
      <c r="F1506">
        <v>90.06</v>
      </c>
      <c r="G1506">
        <v>110.01</v>
      </c>
      <c r="H1506">
        <v>71.56</v>
      </c>
      <c r="K1506" s="9">
        <f t="shared" si="168"/>
        <v>1.1600000000000037</v>
      </c>
      <c r="L1506">
        <f t="shared" si="169"/>
        <v>1.1100000000000065</v>
      </c>
      <c r="M1506">
        <f t="shared" si="170"/>
        <v>-1.1099999999999994</v>
      </c>
      <c r="N1506">
        <f t="shared" si="171"/>
        <v>-0.28000000000000114</v>
      </c>
      <c r="O1506">
        <f t="shared" si="172"/>
        <v>-0.78000000000000114</v>
      </c>
      <c r="P1506" s="10">
        <f t="shared" si="173"/>
        <v>-4.9999999999997158E-2</v>
      </c>
    </row>
    <row r="1507" spans="1:16">
      <c r="A1507">
        <v>247</v>
      </c>
      <c r="B1507" s="42">
        <v>33.119999999999997</v>
      </c>
      <c r="C1507">
        <v>41.78</v>
      </c>
      <c r="D1507">
        <v>41.51</v>
      </c>
      <c r="E1507">
        <v>42.45</v>
      </c>
      <c r="F1507">
        <v>90.01</v>
      </c>
      <c r="G1507">
        <v>109.78</v>
      </c>
      <c r="H1507">
        <v>71.510000000000005</v>
      </c>
      <c r="K1507" s="9">
        <f t="shared" si="168"/>
        <v>0.44999999999999574</v>
      </c>
      <c r="L1507">
        <f t="shared" si="169"/>
        <v>0.66000000000000369</v>
      </c>
      <c r="M1507">
        <f t="shared" si="170"/>
        <v>-0.55000000000000426</v>
      </c>
      <c r="N1507">
        <f t="shared" si="171"/>
        <v>-0.73000000000000398</v>
      </c>
      <c r="O1507">
        <f t="shared" si="172"/>
        <v>-0.87999999999999545</v>
      </c>
      <c r="P1507" s="10">
        <f t="shared" si="173"/>
        <v>-0.23000000000000398</v>
      </c>
    </row>
    <row r="1508" spans="1:16">
      <c r="A1508">
        <v>247.17</v>
      </c>
      <c r="B1508" s="42">
        <v>34.9</v>
      </c>
      <c r="C1508">
        <v>41.73</v>
      </c>
      <c r="D1508">
        <v>41.67</v>
      </c>
      <c r="E1508">
        <v>42.17</v>
      </c>
      <c r="F1508">
        <v>89.84</v>
      </c>
      <c r="G1508">
        <v>109.56</v>
      </c>
      <c r="H1508">
        <v>71.34</v>
      </c>
      <c r="K1508" s="9">
        <f t="shared" si="168"/>
        <v>1</v>
      </c>
      <c r="L1508">
        <f t="shared" si="169"/>
        <v>1</v>
      </c>
      <c r="M1508">
        <f t="shared" si="170"/>
        <v>-0.77000000000000313</v>
      </c>
      <c r="N1508">
        <f t="shared" si="171"/>
        <v>-0.71999999999999886</v>
      </c>
      <c r="O1508">
        <f t="shared" si="172"/>
        <v>-0.89000000000000057</v>
      </c>
      <c r="P1508" s="10">
        <f t="shared" si="173"/>
        <v>-0.32999999999999829</v>
      </c>
    </row>
    <row r="1509" spans="1:16">
      <c r="A1509">
        <v>247.33</v>
      </c>
      <c r="B1509" s="42">
        <v>34.78</v>
      </c>
      <c r="C1509">
        <v>42.06</v>
      </c>
      <c r="D1509">
        <v>41.84</v>
      </c>
      <c r="E1509">
        <v>41.95</v>
      </c>
      <c r="F1509">
        <v>89.78</v>
      </c>
      <c r="G1509">
        <v>109.23</v>
      </c>
      <c r="H1509">
        <v>71.510000000000005</v>
      </c>
      <c r="K1509" s="9">
        <f t="shared" si="168"/>
        <v>1.2800000000000011</v>
      </c>
      <c r="L1509">
        <f t="shared" si="169"/>
        <v>1.3299999999999983</v>
      </c>
      <c r="M1509">
        <f t="shared" si="170"/>
        <v>-1</v>
      </c>
      <c r="N1509">
        <f t="shared" si="171"/>
        <v>-0.60999999999999943</v>
      </c>
      <c r="O1509">
        <f t="shared" si="172"/>
        <v>-0.78000000000000114</v>
      </c>
      <c r="P1509" s="10">
        <f t="shared" si="173"/>
        <v>-0.78000000000000114</v>
      </c>
    </row>
    <row r="1510" spans="1:16">
      <c r="A1510">
        <v>247.5</v>
      </c>
      <c r="B1510" s="42">
        <v>34.729999999999997</v>
      </c>
      <c r="C1510">
        <v>42.23</v>
      </c>
      <c r="D1510">
        <v>42.17</v>
      </c>
      <c r="E1510">
        <v>41.9</v>
      </c>
      <c r="F1510">
        <v>89.28</v>
      </c>
      <c r="G1510">
        <v>108.9</v>
      </c>
      <c r="H1510">
        <v>71.28</v>
      </c>
      <c r="K1510" s="9">
        <f t="shared" si="168"/>
        <v>1.720000000000006</v>
      </c>
      <c r="L1510">
        <f t="shared" si="169"/>
        <v>1.7299999999999969</v>
      </c>
      <c r="M1510">
        <f t="shared" si="170"/>
        <v>-1.1199999999999974</v>
      </c>
      <c r="N1510">
        <f t="shared" si="171"/>
        <v>0.23000000000000398</v>
      </c>
      <c r="O1510">
        <f t="shared" si="172"/>
        <v>-0.62000000000000455</v>
      </c>
      <c r="P1510" s="10">
        <f t="shared" si="173"/>
        <v>-0.5</v>
      </c>
    </row>
    <row r="1511" spans="1:16">
      <c r="A1511">
        <v>247.67</v>
      </c>
      <c r="B1511" s="42">
        <v>34.67</v>
      </c>
      <c r="C1511">
        <v>42.73</v>
      </c>
      <c r="D1511">
        <v>42.67</v>
      </c>
      <c r="E1511">
        <v>41.4</v>
      </c>
      <c r="F1511">
        <v>89.12</v>
      </c>
      <c r="G1511">
        <v>108.67</v>
      </c>
      <c r="H1511">
        <v>71.010000000000005</v>
      </c>
      <c r="K1511" s="9">
        <f t="shared" si="168"/>
        <v>1.1700000000000017</v>
      </c>
      <c r="L1511">
        <f t="shared" si="169"/>
        <v>1.1099999999999994</v>
      </c>
      <c r="M1511">
        <f t="shared" si="170"/>
        <v>-0.22999999999999687</v>
      </c>
      <c r="N1511">
        <f t="shared" si="171"/>
        <v>-6.0000000000002274E-2</v>
      </c>
      <c r="O1511">
        <f t="shared" si="172"/>
        <v>-0.71999999999999886</v>
      </c>
      <c r="P1511" s="10">
        <f t="shared" si="173"/>
        <v>-0.23000000000000398</v>
      </c>
    </row>
    <row r="1512" spans="1:16">
      <c r="A1512">
        <v>247.83</v>
      </c>
      <c r="B1512" s="42">
        <v>35.619999999999997</v>
      </c>
      <c r="C1512">
        <v>43.34</v>
      </c>
      <c r="D1512">
        <v>43.17</v>
      </c>
      <c r="E1512">
        <v>40.950000000000003</v>
      </c>
      <c r="F1512">
        <v>89.17</v>
      </c>
      <c r="G1512">
        <v>108.45</v>
      </c>
      <c r="H1512">
        <v>70.73</v>
      </c>
      <c r="K1512" s="9">
        <f t="shared" si="168"/>
        <v>0.38999999999999346</v>
      </c>
      <c r="L1512">
        <f t="shared" si="169"/>
        <v>0.44999999999999574</v>
      </c>
      <c r="M1512">
        <f t="shared" si="170"/>
        <v>0.32999999999999829</v>
      </c>
      <c r="N1512">
        <f t="shared" si="171"/>
        <v>-0.60999999999999943</v>
      </c>
      <c r="O1512">
        <f t="shared" si="172"/>
        <v>-0.71999999999999886</v>
      </c>
      <c r="P1512" s="10">
        <f t="shared" si="173"/>
        <v>-1</v>
      </c>
    </row>
    <row r="1513" spans="1:16">
      <c r="A1513">
        <v>248</v>
      </c>
      <c r="B1513" s="42">
        <v>36.619999999999997</v>
      </c>
      <c r="C1513">
        <v>43.95</v>
      </c>
      <c r="D1513">
        <v>43.9</v>
      </c>
      <c r="E1513">
        <v>40.78</v>
      </c>
      <c r="F1513">
        <v>89.51</v>
      </c>
      <c r="G1513">
        <v>108.28</v>
      </c>
      <c r="H1513">
        <v>70.78</v>
      </c>
      <c r="K1513" s="9">
        <f t="shared" si="168"/>
        <v>-0.3300000000000054</v>
      </c>
      <c r="L1513">
        <f t="shared" si="169"/>
        <v>-0.55999999999999517</v>
      </c>
      <c r="M1513">
        <f t="shared" si="170"/>
        <v>0.78000000000000114</v>
      </c>
      <c r="N1513">
        <f t="shared" si="171"/>
        <v>-1</v>
      </c>
      <c r="O1513">
        <f t="shared" si="172"/>
        <v>-0.82999999999999829</v>
      </c>
      <c r="P1513" s="10">
        <f t="shared" si="173"/>
        <v>-0.32999999999999829</v>
      </c>
    </row>
    <row r="1514" spans="1:16">
      <c r="A1514">
        <v>248.17</v>
      </c>
      <c r="B1514" s="42">
        <v>38.01</v>
      </c>
      <c r="C1514">
        <v>43.9</v>
      </c>
      <c r="D1514">
        <v>43.78</v>
      </c>
      <c r="E1514">
        <v>41.17</v>
      </c>
      <c r="F1514">
        <v>89.06</v>
      </c>
      <c r="G1514">
        <v>107.95</v>
      </c>
      <c r="H1514">
        <v>70.78</v>
      </c>
      <c r="K1514" s="9">
        <f t="shared" si="168"/>
        <v>-0.39000000000000057</v>
      </c>
      <c r="L1514">
        <f t="shared" si="169"/>
        <v>-0.38000000000000256</v>
      </c>
      <c r="M1514">
        <f t="shared" si="170"/>
        <v>0.83999999999999631</v>
      </c>
      <c r="N1514">
        <f t="shared" si="171"/>
        <v>-0.32999999999999829</v>
      </c>
      <c r="O1514">
        <f t="shared" si="172"/>
        <v>-0.60999999999999943</v>
      </c>
      <c r="P1514" s="10">
        <f t="shared" si="173"/>
        <v>-0.10999999999999943</v>
      </c>
    </row>
    <row r="1515" spans="1:16">
      <c r="A1515">
        <v>248.33</v>
      </c>
      <c r="B1515" s="42">
        <v>39.06</v>
      </c>
      <c r="C1515">
        <v>43.73</v>
      </c>
      <c r="D1515">
        <v>43.62</v>
      </c>
      <c r="E1515">
        <v>41.28</v>
      </c>
      <c r="F1515">
        <v>88.56</v>
      </c>
      <c r="G1515">
        <v>107.73</v>
      </c>
      <c r="H1515">
        <v>69.73</v>
      </c>
      <c r="K1515" s="9">
        <f t="shared" si="168"/>
        <v>-0.38999999999999346</v>
      </c>
      <c r="L1515">
        <f t="shared" si="169"/>
        <v>-0.39000000000000057</v>
      </c>
      <c r="M1515">
        <f t="shared" si="170"/>
        <v>0.28000000000000114</v>
      </c>
      <c r="N1515">
        <f t="shared" si="171"/>
        <v>0.17000000000000171</v>
      </c>
      <c r="O1515">
        <f t="shared" si="172"/>
        <v>-0.71999999999999886</v>
      </c>
      <c r="P1515" s="10">
        <f t="shared" si="173"/>
        <v>0.32999999999999829</v>
      </c>
    </row>
    <row r="1516" spans="1:16">
      <c r="A1516">
        <v>248.5</v>
      </c>
      <c r="B1516" s="42">
        <v>39.51</v>
      </c>
      <c r="C1516">
        <v>43.62</v>
      </c>
      <c r="D1516">
        <v>43.34</v>
      </c>
      <c r="E1516">
        <v>41.56</v>
      </c>
      <c r="F1516">
        <v>88.51</v>
      </c>
      <c r="G1516">
        <v>107.45</v>
      </c>
      <c r="H1516">
        <v>70.45</v>
      </c>
      <c r="K1516" s="9">
        <f t="shared" si="168"/>
        <v>-0.1699999999999946</v>
      </c>
      <c r="L1516">
        <f t="shared" si="169"/>
        <v>-6.0000000000002274E-2</v>
      </c>
      <c r="M1516">
        <f t="shared" si="170"/>
        <v>0.33999999999999631</v>
      </c>
      <c r="N1516">
        <f t="shared" si="171"/>
        <v>0.39000000000000057</v>
      </c>
      <c r="O1516">
        <f t="shared" si="172"/>
        <v>-0.71999999999999886</v>
      </c>
      <c r="P1516" s="10">
        <f t="shared" si="173"/>
        <v>-0.21999999999999886</v>
      </c>
    </row>
    <row r="1517" spans="1:16">
      <c r="A1517">
        <v>248.67</v>
      </c>
      <c r="B1517" s="42">
        <v>39.450000000000003</v>
      </c>
      <c r="C1517">
        <v>43.51</v>
      </c>
      <c r="D1517">
        <v>43.4</v>
      </c>
      <c r="E1517">
        <v>42.01</v>
      </c>
      <c r="F1517">
        <v>88.73</v>
      </c>
      <c r="G1517">
        <v>107.34</v>
      </c>
      <c r="H1517">
        <v>70.67</v>
      </c>
      <c r="K1517" s="9">
        <f t="shared" si="168"/>
        <v>-0.10999999999999943</v>
      </c>
      <c r="L1517">
        <f t="shared" si="169"/>
        <v>-0.11999999999999744</v>
      </c>
      <c r="M1517">
        <f t="shared" si="170"/>
        <v>-0.33999999999999631</v>
      </c>
      <c r="N1517">
        <f t="shared" si="171"/>
        <v>-6.0000000000002274E-2</v>
      </c>
      <c r="O1517">
        <f t="shared" si="172"/>
        <v>-0.78000000000000114</v>
      </c>
      <c r="P1517" s="10">
        <f t="shared" si="173"/>
        <v>-0.10999999999999943</v>
      </c>
    </row>
    <row r="1518" spans="1:16">
      <c r="A1518">
        <v>248.83</v>
      </c>
      <c r="B1518" s="42">
        <v>39.17</v>
      </c>
      <c r="C1518">
        <v>43.34</v>
      </c>
      <c r="D1518">
        <v>43.23</v>
      </c>
      <c r="E1518">
        <v>41.56</v>
      </c>
      <c r="F1518">
        <v>88.73</v>
      </c>
      <c r="G1518">
        <v>107.01</v>
      </c>
      <c r="H1518">
        <v>70.06</v>
      </c>
      <c r="K1518" s="9">
        <f t="shared" si="168"/>
        <v>-0.11000000000000654</v>
      </c>
      <c r="L1518">
        <f t="shared" si="169"/>
        <v>-0.10999999999999943</v>
      </c>
      <c r="M1518">
        <f t="shared" si="170"/>
        <v>5.9999999999995168E-2</v>
      </c>
      <c r="N1518">
        <f t="shared" si="171"/>
        <v>0</v>
      </c>
      <c r="O1518">
        <f t="shared" si="172"/>
        <v>-0.73000000000000398</v>
      </c>
      <c r="P1518" s="10">
        <f t="shared" si="173"/>
        <v>0.39000000000000057</v>
      </c>
    </row>
    <row r="1519" spans="1:16">
      <c r="A1519">
        <v>249</v>
      </c>
      <c r="B1519" s="42">
        <v>38.950000000000003</v>
      </c>
      <c r="C1519">
        <v>43.45</v>
      </c>
      <c r="D1519">
        <v>43.28</v>
      </c>
      <c r="E1519">
        <v>41.9</v>
      </c>
      <c r="F1519">
        <v>88.9</v>
      </c>
      <c r="G1519">
        <v>106.73</v>
      </c>
      <c r="H1519">
        <v>70.23</v>
      </c>
      <c r="K1519" s="9">
        <f t="shared" si="168"/>
        <v>-0.3300000000000054</v>
      </c>
      <c r="L1519">
        <f t="shared" si="169"/>
        <v>-0.32999999999999829</v>
      </c>
      <c r="M1519">
        <f t="shared" si="170"/>
        <v>-0.55999999999999517</v>
      </c>
      <c r="N1519">
        <f t="shared" si="171"/>
        <v>0.10999999999999943</v>
      </c>
      <c r="O1519">
        <f t="shared" si="172"/>
        <v>-0.56000000000000227</v>
      </c>
      <c r="P1519" s="10">
        <f t="shared" si="173"/>
        <v>0.17000000000000171</v>
      </c>
    </row>
    <row r="1520" spans="1:16">
      <c r="A1520">
        <v>249.17</v>
      </c>
      <c r="B1520" s="42">
        <v>38.619999999999997</v>
      </c>
      <c r="C1520">
        <v>43.4</v>
      </c>
      <c r="D1520">
        <v>43.28</v>
      </c>
      <c r="E1520">
        <v>41.67</v>
      </c>
      <c r="F1520">
        <v>88.67</v>
      </c>
      <c r="G1520">
        <v>106.56</v>
      </c>
      <c r="H1520">
        <v>70.56</v>
      </c>
      <c r="K1520" s="9">
        <f t="shared" si="168"/>
        <v>-0.33999999999999631</v>
      </c>
      <c r="L1520">
        <f t="shared" si="169"/>
        <v>-0.43999999999999773</v>
      </c>
      <c r="M1520">
        <f t="shared" si="170"/>
        <v>-0.77000000000000313</v>
      </c>
      <c r="N1520">
        <f t="shared" si="171"/>
        <v>0.10999999999999943</v>
      </c>
      <c r="O1520">
        <f t="shared" si="172"/>
        <v>-0.65999999999999659</v>
      </c>
      <c r="P1520" s="10">
        <f t="shared" si="173"/>
        <v>-0.5</v>
      </c>
    </row>
    <row r="1521" spans="1:16">
      <c r="A1521">
        <v>249.33</v>
      </c>
      <c r="B1521" s="42">
        <v>38.4</v>
      </c>
      <c r="C1521">
        <v>43.23</v>
      </c>
      <c r="D1521">
        <v>43.12</v>
      </c>
      <c r="E1521">
        <v>41.62</v>
      </c>
      <c r="F1521">
        <v>88.73</v>
      </c>
      <c r="G1521">
        <v>106.28</v>
      </c>
      <c r="H1521">
        <v>70.45</v>
      </c>
      <c r="K1521" s="9">
        <f t="shared" si="168"/>
        <v>-0.1699999999999946</v>
      </c>
      <c r="L1521">
        <f t="shared" si="169"/>
        <v>-0.27999999999999403</v>
      </c>
      <c r="M1521">
        <f t="shared" si="170"/>
        <v>-1</v>
      </c>
      <c r="N1521">
        <f t="shared" si="171"/>
        <v>-0.5</v>
      </c>
      <c r="O1521">
        <f t="shared" si="172"/>
        <v>-0.54999999999999716</v>
      </c>
      <c r="P1521" s="10">
        <f t="shared" si="173"/>
        <v>-0.43999999999999773</v>
      </c>
    </row>
    <row r="1522" spans="1:16">
      <c r="A1522">
        <v>249.5</v>
      </c>
      <c r="B1522" s="42">
        <v>38.4</v>
      </c>
      <c r="C1522">
        <v>43.12</v>
      </c>
      <c r="D1522">
        <v>42.95</v>
      </c>
      <c r="E1522">
        <v>41.34</v>
      </c>
      <c r="F1522">
        <v>89.01</v>
      </c>
      <c r="G1522">
        <v>106.17</v>
      </c>
      <c r="H1522">
        <v>70.400000000000006</v>
      </c>
      <c r="K1522" s="9">
        <f t="shared" si="168"/>
        <v>-5.9999999999995168E-2</v>
      </c>
      <c r="L1522">
        <f t="shared" si="169"/>
        <v>-0.22000000000000597</v>
      </c>
      <c r="M1522">
        <f t="shared" si="170"/>
        <v>-0.8300000000000054</v>
      </c>
      <c r="N1522">
        <f t="shared" si="171"/>
        <v>-1.0600000000000023</v>
      </c>
      <c r="O1522">
        <f t="shared" si="172"/>
        <v>-0.60999999999999943</v>
      </c>
      <c r="P1522" s="10">
        <f t="shared" si="173"/>
        <v>-0.45000000000000284</v>
      </c>
    </row>
    <row r="1523" spans="1:16">
      <c r="A1523">
        <v>249.67</v>
      </c>
      <c r="B1523" s="42">
        <v>38.119999999999997</v>
      </c>
      <c r="C1523">
        <v>43.06</v>
      </c>
      <c r="D1523">
        <v>42.84</v>
      </c>
      <c r="E1523">
        <v>40.9</v>
      </c>
      <c r="F1523">
        <v>88.78</v>
      </c>
      <c r="G1523">
        <v>105.9</v>
      </c>
      <c r="H1523">
        <v>70.06</v>
      </c>
      <c r="K1523" s="9">
        <f t="shared" si="168"/>
        <v>-0.10999999999999943</v>
      </c>
      <c r="L1523">
        <f t="shared" si="169"/>
        <v>-0.17000000000000171</v>
      </c>
      <c r="M1523">
        <f t="shared" si="170"/>
        <v>-0.39000000000000057</v>
      </c>
      <c r="N1523">
        <f t="shared" si="171"/>
        <v>-0.60999999999999943</v>
      </c>
      <c r="O1523">
        <f t="shared" si="172"/>
        <v>-0.62000000000000455</v>
      </c>
      <c r="P1523" s="10">
        <f t="shared" si="173"/>
        <v>0.10999999999999943</v>
      </c>
    </row>
    <row r="1524" spans="1:16">
      <c r="A1524">
        <v>249.83</v>
      </c>
      <c r="B1524" s="42">
        <v>38.119999999999997</v>
      </c>
      <c r="C1524">
        <v>43.06</v>
      </c>
      <c r="D1524">
        <v>42.84</v>
      </c>
      <c r="E1524">
        <v>40.619999999999997</v>
      </c>
      <c r="F1524">
        <v>88.23</v>
      </c>
      <c r="G1524">
        <v>105.73</v>
      </c>
      <c r="H1524">
        <v>70.010000000000005</v>
      </c>
      <c r="K1524" s="9">
        <f t="shared" si="168"/>
        <v>-5.0000000000004263E-2</v>
      </c>
      <c r="L1524">
        <f t="shared" si="169"/>
        <v>-0.22000000000000597</v>
      </c>
      <c r="M1524">
        <f t="shared" si="170"/>
        <v>-0.10999999999999943</v>
      </c>
      <c r="N1524">
        <f t="shared" si="171"/>
        <v>-6.0000000000002274E-2</v>
      </c>
      <c r="O1524">
        <f t="shared" si="172"/>
        <v>-0.78000000000000114</v>
      </c>
      <c r="P1524" s="10">
        <f t="shared" si="173"/>
        <v>0</v>
      </c>
    </row>
    <row r="1525" spans="1:16">
      <c r="A1525">
        <v>250</v>
      </c>
      <c r="B1525" s="42">
        <v>37.950000000000003</v>
      </c>
      <c r="C1525">
        <v>43.06</v>
      </c>
      <c r="D1525">
        <v>42.73</v>
      </c>
      <c r="E1525">
        <v>40.51</v>
      </c>
      <c r="F1525">
        <v>87.95</v>
      </c>
      <c r="G1525">
        <v>105.56</v>
      </c>
      <c r="H1525">
        <v>69.95</v>
      </c>
      <c r="K1525" s="9">
        <f t="shared" si="168"/>
        <v>-0.10999999999999943</v>
      </c>
      <c r="L1525">
        <f t="shared" si="169"/>
        <v>-5.9999999999995168E-2</v>
      </c>
      <c r="M1525">
        <f t="shared" si="170"/>
        <v>-0.1699999999999946</v>
      </c>
      <c r="N1525">
        <f t="shared" si="171"/>
        <v>-4.9999999999997158E-2</v>
      </c>
      <c r="O1525">
        <f t="shared" si="172"/>
        <v>-0.82999999999999829</v>
      </c>
      <c r="P1525" s="10">
        <f t="shared" si="173"/>
        <v>-0.54999999999999716</v>
      </c>
    </row>
    <row r="1526" spans="1:16">
      <c r="A1526">
        <v>250.17</v>
      </c>
      <c r="B1526" s="42">
        <v>38.01</v>
      </c>
      <c r="C1526">
        <v>42.95</v>
      </c>
      <c r="D1526">
        <v>42.67</v>
      </c>
      <c r="E1526">
        <v>40.51</v>
      </c>
      <c r="F1526">
        <v>88.17</v>
      </c>
      <c r="G1526">
        <v>105.28</v>
      </c>
      <c r="H1526">
        <v>70.17</v>
      </c>
      <c r="K1526" s="9">
        <f t="shared" si="168"/>
        <v>5.9999999999995168E-2</v>
      </c>
      <c r="L1526">
        <f t="shared" si="169"/>
        <v>-5.0000000000004263E-2</v>
      </c>
      <c r="M1526">
        <f t="shared" si="170"/>
        <v>-0.28000000000000114</v>
      </c>
      <c r="N1526">
        <f t="shared" si="171"/>
        <v>-4.9999999999997158E-2</v>
      </c>
      <c r="O1526">
        <f t="shared" si="172"/>
        <v>-0.93999999999999773</v>
      </c>
      <c r="P1526" s="10">
        <f t="shared" si="173"/>
        <v>-1.269999999999996</v>
      </c>
    </row>
    <row r="1527" spans="1:16">
      <c r="A1527">
        <v>250.33</v>
      </c>
      <c r="B1527" s="42">
        <v>37.9</v>
      </c>
      <c r="C1527">
        <v>43.01</v>
      </c>
      <c r="D1527">
        <v>42.62</v>
      </c>
      <c r="E1527">
        <v>40.51</v>
      </c>
      <c r="F1527">
        <v>88.17</v>
      </c>
      <c r="G1527">
        <v>104.95</v>
      </c>
      <c r="H1527">
        <v>70.010000000000005</v>
      </c>
      <c r="K1527" s="9">
        <f t="shared" si="168"/>
        <v>-5.9999999999995168E-2</v>
      </c>
      <c r="L1527">
        <f t="shared" si="169"/>
        <v>5.0000000000004263E-2</v>
      </c>
      <c r="M1527">
        <f t="shared" si="170"/>
        <v>-0.39000000000000057</v>
      </c>
      <c r="N1527">
        <f t="shared" si="171"/>
        <v>-0.15999999999999659</v>
      </c>
      <c r="O1527">
        <f t="shared" si="172"/>
        <v>-0.82999999999999829</v>
      </c>
      <c r="P1527" s="10">
        <f t="shared" si="173"/>
        <v>-1.0600000000000023</v>
      </c>
    </row>
    <row r="1528" spans="1:16">
      <c r="A1528">
        <v>250.5</v>
      </c>
      <c r="B1528" s="42">
        <v>37.9</v>
      </c>
      <c r="C1528">
        <v>42.95</v>
      </c>
      <c r="D1528">
        <v>42.67</v>
      </c>
      <c r="E1528">
        <v>40.340000000000003</v>
      </c>
      <c r="F1528">
        <v>87.9</v>
      </c>
      <c r="G1528">
        <v>104.73</v>
      </c>
      <c r="H1528">
        <v>69.400000000000006</v>
      </c>
      <c r="K1528" s="9">
        <f t="shared" si="168"/>
        <v>-5.0000000000004263E-2</v>
      </c>
      <c r="L1528">
        <f t="shared" si="169"/>
        <v>0</v>
      </c>
      <c r="M1528">
        <f t="shared" si="170"/>
        <v>-0.44000000000000483</v>
      </c>
      <c r="N1528">
        <f t="shared" si="171"/>
        <v>0.10999999999999943</v>
      </c>
      <c r="O1528">
        <f t="shared" si="172"/>
        <v>-0.78000000000000114</v>
      </c>
      <c r="P1528" s="10">
        <f t="shared" si="173"/>
        <v>-0.5</v>
      </c>
    </row>
    <row r="1529" spans="1:16">
      <c r="A1529">
        <v>250.67</v>
      </c>
      <c r="B1529" s="42">
        <v>37.729999999999997</v>
      </c>
      <c r="C1529">
        <v>43.01</v>
      </c>
      <c r="D1529">
        <v>42.62</v>
      </c>
      <c r="E1529">
        <v>40.229999999999997</v>
      </c>
      <c r="F1529">
        <v>88.12</v>
      </c>
      <c r="G1529">
        <v>104.34</v>
      </c>
      <c r="H1529">
        <v>68.900000000000006</v>
      </c>
      <c r="K1529" s="9">
        <f t="shared" si="168"/>
        <v>-0.22999999999999687</v>
      </c>
      <c r="L1529">
        <f t="shared" si="169"/>
        <v>0</v>
      </c>
      <c r="M1529">
        <f t="shared" si="170"/>
        <v>-0.5</v>
      </c>
      <c r="N1529">
        <f t="shared" si="171"/>
        <v>-6.0000000000002274E-2</v>
      </c>
      <c r="O1529">
        <f t="shared" si="172"/>
        <v>-0.60999999999999943</v>
      </c>
      <c r="P1529" s="10">
        <f t="shared" si="173"/>
        <v>-0.12000000000000455</v>
      </c>
    </row>
    <row r="1530" spans="1:16">
      <c r="A1530">
        <v>250.83</v>
      </c>
      <c r="B1530" s="42">
        <v>37.67</v>
      </c>
      <c r="C1530">
        <v>42.95</v>
      </c>
      <c r="D1530">
        <v>42.67</v>
      </c>
      <c r="E1530">
        <v>40.119999999999997</v>
      </c>
      <c r="F1530">
        <v>88.01</v>
      </c>
      <c r="G1530">
        <v>104.12</v>
      </c>
      <c r="H1530">
        <v>68.95</v>
      </c>
      <c r="K1530" s="9">
        <f t="shared" si="168"/>
        <v>-0.10999999999999943</v>
      </c>
      <c r="L1530">
        <f t="shared" si="169"/>
        <v>-5.0000000000004263E-2</v>
      </c>
      <c r="M1530">
        <f t="shared" si="170"/>
        <v>-0.39000000000000057</v>
      </c>
      <c r="N1530">
        <f t="shared" si="171"/>
        <v>-0.28000000000000114</v>
      </c>
      <c r="O1530">
        <f t="shared" si="172"/>
        <v>-0.56000000000000227</v>
      </c>
      <c r="P1530" s="10">
        <f t="shared" si="173"/>
        <v>-0.17000000000000171</v>
      </c>
    </row>
    <row r="1531" spans="1:16">
      <c r="A1531">
        <v>251</v>
      </c>
      <c r="B1531" s="42">
        <v>37.619999999999997</v>
      </c>
      <c r="C1531">
        <v>42.9</v>
      </c>
      <c r="D1531">
        <v>42.67</v>
      </c>
      <c r="E1531">
        <v>39.9</v>
      </c>
      <c r="F1531">
        <v>88.01</v>
      </c>
      <c r="G1531">
        <v>103.95</v>
      </c>
      <c r="H1531">
        <v>68.900000000000006</v>
      </c>
      <c r="K1531" s="9">
        <f t="shared" si="168"/>
        <v>0</v>
      </c>
      <c r="L1531">
        <f t="shared" si="169"/>
        <v>5.9999999999995168E-2</v>
      </c>
      <c r="M1531">
        <f t="shared" si="170"/>
        <v>-0.11999999999999744</v>
      </c>
      <c r="N1531">
        <f t="shared" si="171"/>
        <v>0</v>
      </c>
      <c r="O1531">
        <f t="shared" si="172"/>
        <v>-0.54999999999999716</v>
      </c>
      <c r="P1531" s="10">
        <f t="shared" si="173"/>
        <v>4.9999999999997158E-2</v>
      </c>
    </row>
    <row r="1532" spans="1:16">
      <c r="A1532">
        <v>251.17</v>
      </c>
      <c r="B1532" s="42">
        <v>37.56</v>
      </c>
      <c r="C1532">
        <v>42.78</v>
      </c>
      <c r="D1532">
        <v>42.62</v>
      </c>
      <c r="E1532">
        <v>39.729999999999997</v>
      </c>
      <c r="F1532">
        <v>88.06</v>
      </c>
      <c r="G1532">
        <v>103.73</v>
      </c>
      <c r="H1532">
        <v>68.78</v>
      </c>
      <c r="K1532" s="9">
        <f t="shared" si="168"/>
        <v>0.17000000000000171</v>
      </c>
      <c r="L1532">
        <f t="shared" si="169"/>
        <v>0.10999999999999943</v>
      </c>
      <c r="M1532">
        <f t="shared" si="170"/>
        <v>-0.1699999999999946</v>
      </c>
      <c r="N1532">
        <f t="shared" si="171"/>
        <v>0</v>
      </c>
      <c r="O1532">
        <f t="shared" si="172"/>
        <v>-0.5</v>
      </c>
      <c r="P1532" s="10">
        <f t="shared" si="173"/>
        <v>0.34000000000000341</v>
      </c>
    </row>
    <row r="1533" spans="1:16">
      <c r="A1533">
        <v>251.33</v>
      </c>
      <c r="B1533" s="42">
        <v>37.56</v>
      </c>
      <c r="C1533">
        <v>42.84</v>
      </c>
      <c r="D1533">
        <v>42.62</v>
      </c>
      <c r="E1533">
        <v>39.729999999999997</v>
      </c>
      <c r="F1533">
        <v>87.73</v>
      </c>
      <c r="G1533">
        <v>103.56</v>
      </c>
      <c r="H1533">
        <v>68.78</v>
      </c>
      <c r="K1533" s="9">
        <f t="shared" si="168"/>
        <v>0.21999999999999886</v>
      </c>
      <c r="L1533">
        <f t="shared" si="169"/>
        <v>0.22000000000000597</v>
      </c>
      <c r="M1533">
        <f t="shared" si="170"/>
        <v>0</v>
      </c>
      <c r="N1533">
        <f t="shared" si="171"/>
        <v>-0.32999999999999829</v>
      </c>
      <c r="O1533">
        <f t="shared" si="172"/>
        <v>-0.65999999999999659</v>
      </c>
      <c r="P1533" s="10">
        <f t="shared" si="173"/>
        <v>-0.10999999999999943</v>
      </c>
    </row>
    <row r="1534" spans="1:16">
      <c r="A1534">
        <v>251.5</v>
      </c>
      <c r="B1534" s="42">
        <v>37.56</v>
      </c>
      <c r="C1534">
        <v>42.9</v>
      </c>
      <c r="D1534">
        <v>42.73</v>
      </c>
      <c r="E1534">
        <v>39.78</v>
      </c>
      <c r="F1534">
        <v>88.01</v>
      </c>
      <c r="G1534">
        <v>103.4</v>
      </c>
      <c r="H1534">
        <v>68.95</v>
      </c>
      <c r="K1534" s="9">
        <f t="shared" si="168"/>
        <v>5.0000000000004263E-2</v>
      </c>
      <c r="L1534">
        <f t="shared" si="169"/>
        <v>-5.9999999999995168E-2</v>
      </c>
      <c r="M1534">
        <f t="shared" si="170"/>
        <v>-0.38000000000000256</v>
      </c>
      <c r="N1534">
        <f t="shared" si="171"/>
        <v>-0.78000000000000114</v>
      </c>
      <c r="O1534">
        <f t="shared" si="172"/>
        <v>-0.84000000000000341</v>
      </c>
      <c r="P1534" s="10">
        <f t="shared" si="173"/>
        <v>-0.78000000000000114</v>
      </c>
    </row>
    <row r="1535" spans="1:16">
      <c r="A1535">
        <v>251.67</v>
      </c>
      <c r="B1535" s="42">
        <v>37.450000000000003</v>
      </c>
      <c r="C1535">
        <v>42.95</v>
      </c>
      <c r="D1535">
        <v>42.73</v>
      </c>
      <c r="E1535">
        <v>39.56</v>
      </c>
      <c r="F1535">
        <v>88.06</v>
      </c>
      <c r="G1535">
        <v>103.23</v>
      </c>
      <c r="H1535">
        <v>69.12</v>
      </c>
      <c r="K1535" s="9">
        <f t="shared" si="168"/>
        <v>-5.0000000000004263E-2</v>
      </c>
      <c r="L1535">
        <f t="shared" si="169"/>
        <v>-5.9999999999995168E-2</v>
      </c>
      <c r="M1535">
        <f t="shared" si="170"/>
        <v>-0.21999999999999886</v>
      </c>
      <c r="N1535">
        <f t="shared" si="171"/>
        <v>-0.71999999999999886</v>
      </c>
      <c r="O1535">
        <f t="shared" si="172"/>
        <v>-0.95000000000000284</v>
      </c>
      <c r="P1535" s="10">
        <f t="shared" si="173"/>
        <v>-1.8900000000000006</v>
      </c>
    </row>
    <row r="1536" spans="1:16">
      <c r="A1536">
        <v>251.83</v>
      </c>
      <c r="B1536" s="42">
        <v>37.340000000000003</v>
      </c>
      <c r="C1536">
        <v>43.06</v>
      </c>
      <c r="D1536">
        <v>42.84</v>
      </c>
      <c r="E1536">
        <v>39.729999999999997</v>
      </c>
      <c r="F1536">
        <v>87.4</v>
      </c>
      <c r="G1536">
        <v>102.9</v>
      </c>
      <c r="H1536">
        <v>68.67</v>
      </c>
      <c r="K1536" s="9">
        <f t="shared" si="168"/>
        <v>-0.10999999999999943</v>
      </c>
      <c r="L1536">
        <f t="shared" si="169"/>
        <v>-0.17000000000000171</v>
      </c>
      <c r="M1536">
        <f t="shared" si="170"/>
        <v>-0.6699999999999946</v>
      </c>
      <c r="N1536">
        <f t="shared" si="171"/>
        <v>-0.23000000000000398</v>
      </c>
      <c r="O1536">
        <f t="shared" si="172"/>
        <v>-0.78000000000000114</v>
      </c>
      <c r="P1536" s="10">
        <f t="shared" si="173"/>
        <v>-1.8299999999999983</v>
      </c>
    </row>
    <row r="1537" spans="1:16">
      <c r="A1537">
        <v>252</v>
      </c>
      <c r="B1537" s="42">
        <v>37.17</v>
      </c>
      <c r="C1537">
        <v>42.95</v>
      </c>
      <c r="D1537">
        <v>42.67</v>
      </c>
      <c r="E1537">
        <v>39.4</v>
      </c>
      <c r="F1537">
        <v>87.23</v>
      </c>
      <c r="G1537">
        <v>102.56</v>
      </c>
      <c r="H1537">
        <v>68.17</v>
      </c>
      <c r="K1537" s="9">
        <f t="shared" si="168"/>
        <v>-5.0000000000004263E-2</v>
      </c>
      <c r="L1537">
        <f t="shared" si="169"/>
        <v>5.9999999999995168E-2</v>
      </c>
      <c r="M1537">
        <f t="shared" si="170"/>
        <v>-0.33999999999999631</v>
      </c>
      <c r="N1537">
        <f t="shared" si="171"/>
        <v>-0.28000000000000114</v>
      </c>
      <c r="O1537">
        <f t="shared" si="172"/>
        <v>-0.78000000000000114</v>
      </c>
      <c r="P1537" s="10">
        <f t="shared" si="173"/>
        <v>-2.1599999999999966</v>
      </c>
    </row>
    <row r="1538" spans="1:16">
      <c r="A1538">
        <v>252.17</v>
      </c>
      <c r="B1538" s="42">
        <v>37.06</v>
      </c>
      <c r="C1538">
        <v>42.9</v>
      </c>
      <c r="D1538">
        <v>42.67</v>
      </c>
      <c r="E1538">
        <v>39.340000000000003</v>
      </c>
      <c r="F1538">
        <v>87.34</v>
      </c>
      <c r="G1538">
        <v>102.28</v>
      </c>
      <c r="H1538">
        <v>67.23</v>
      </c>
      <c r="K1538" s="9">
        <f t="shared" si="168"/>
        <v>-5.9999999999995168E-2</v>
      </c>
      <c r="L1538">
        <f t="shared" si="169"/>
        <v>-5.0000000000004263E-2</v>
      </c>
      <c r="M1538">
        <f t="shared" si="170"/>
        <v>-0.39000000000000057</v>
      </c>
      <c r="N1538">
        <f t="shared" si="171"/>
        <v>-6.0000000000002274E-2</v>
      </c>
      <c r="O1538">
        <f t="shared" si="172"/>
        <v>-0.76999999999999602</v>
      </c>
      <c r="P1538" s="10">
        <f t="shared" si="173"/>
        <v>-1</v>
      </c>
    </row>
    <row r="1539" spans="1:16">
      <c r="A1539">
        <v>252.33</v>
      </c>
      <c r="B1539" s="42">
        <v>36.9</v>
      </c>
      <c r="C1539">
        <v>42.95</v>
      </c>
      <c r="D1539">
        <v>42.67</v>
      </c>
      <c r="E1539">
        <v>39.06</v>
      </c>
      <c r="F1539">
        <v>87.17</v>
      </c>
      <c r="G1539">
        <v>102.12</v>
      </c>
      <c r="H1539">
        <v>66.84</v>
      </c>
      <c r="K1539" s="9">
        <f t="shared" si="168"/>
        <v>0</v>
      </c>
      <c r="L1539">
        <f t="shared" si="169"/>
        <v>5.9999999999995168E-2</v>
      </c>
      <c r="M1539">
        <f t="shared" si="170"/>
        <v>-0.28000000000000114</v>
      </c>
      <c r="N1539">
        <f t="shared" si="171"/>
        <v>0.45000000000000284</v>
      </c>
      <c r="O1539">
        <f t="shared" si="172"/>
        <v>-0.71999999999999886</v>
      </c>
      <c r="P1539" s="10">
        <f t="shared" si="173"/>
        <v>-0.28000000000000114</v>
      </c>
    </row>
    <row r="1540" spans="1:16">
      <c r="A1540">
        <v>252.5</v>
      </c>
      <c r="B1540" s="42">
        <v>36.729999999999997</v>
      </c>
      <c r="C1540">
        <v>42.9</v>
      </c>
      <c r="D1540">
        <v>42.73</v>
      </c>
      <c r="E1540">
        <v>39.06</v>
      </c>
      <c r="F1540">
        <v>86.95</v>
      </c>
      <c r="G1540">
        <v>101.78</v>
      </c>
      <c r="H1540">
        <v>66.010000000000005</v>
      </c>
      <c r="K1540" s="9">
        <f t="shared" si="168"/>
        <v>0</v>
      </c>
      <c r="L1540">
        <f t="shared" si="169"/>
        <v>-5.9999999999995168E-2</v>
      </c>
      <c r="M1540">
        <f t="shared" si="170"/>
        <v>-0.39000000000000057</v>
      </c>
      <c r="N1540">
        <f t="shared" si="171"/>
        <v>-0.21999999999999886</v>
      </c>
      <c r="O1540">
        <f t="shared" si="172"/>
        <v>-0.60999999999999943</v>
      </c>
      <c r="P1540" s="10">
        <f t="shared" si="173"/>
        <v>0</v>
      </c>
    </row>
    <row r="1541" spans="1:16">
      <c r="A1541">
        <v>252.67</v>
      </c>
      <c r="B1541" s="42">
        <v>36.51</v>
      </c>
      <c r="C1541">
        <v>42.84</v>
      </c>
      <c r="D1541">
        <v>42.62</v>
      </c>
      <c r="E1541">
        <v>38.950000000000003</v>
      </c>
      <c r="F1541">
        <v>87.28</v>
      </c>
      <c r="G1541">
        <v>101.51</v>
      </c>
      <c r="H1541">
        <v>66.23</v>
      </c>
      <c r="K1541" s="9">
        <f t="shared" si="168"/>
        <v>0</v>
      </c>
      <c r="L1541">
        <f t="shared" si="169"/>
        <v>5.0000000000004263E-2</v>
      </c>
      <c r="M1541">
        <f t="shared" si="170"/>
        <v>-0.5</v>
      </c>
      <c r="N1541">
        <f t="shared" si="171"/>
        <v>-0.65999999999999659</v>
      </c>
      <c r="O1541">
        <f t="shared" si="172"/>
        <v>-0.5</v>
      </c>
      <c r="P1541" s="10">
        <f t="shared" si="173"/>
        <v>-0.5</v>
      </c>
    </row>
    <row r="1542" spans="1:16">
      <c r="A1542">
        <v>252.83</v>
      </c>
      <c r="B1542" s="42">
        <v>36.51</v>
      </c>
      <c r="C1542">
        <v>42.95</v>
      </c>
      <c r="D1542">
        <v>42.73</v>
      </c>
      <c r="E1542">
        <v>38.78</v>
      </c>
      <c r="F1542">
        <v>87.62</v>
      </c>
      <c r="G1542">
        <v>101.4</v>
      </c>
      <c r="H1542">
        <v>66.56</v>
      </c>
      <c r="K1542" s="9">
        <f t="shared" si="168"/>
        <v>-5.0000000000004263E-2</v>
      </c>
      <c r="L1542">
        <f t="shared" si="169"/>
        <v>-5.9999999999995168E-2</v>
      </c>
      <c r="M1542">
        <f t="shared" si="170"/>
        <v>-0.5</v>
      </c>
      <c r="N1542">
        <f t="shared" si="171"/>
        <v>-1</v>
      </c>
      <c r="O1542">
        <f t="shared" si="172"/>
        <v>-0.56000000000000227</v>
      </c>
      <c r="P1542" s="10">
        <f t="shared" si="173"/>
        <v>-0.60999999999999943</v>
      </c>
    </row>
    <row r="1543" spans="1:16">
      <c r="A1543">
        <v>253</v>
      </c>
      <c r="B1543" s="42">
        <v>36.229999999999997</v>
      </c>
      <c r="C1543">
        <v>42.9</v>
      </c>
      <c r="D1543">
        <v>42.67</v>
      </c>
      <c r="E1543">
        <v>38.67</v>
      </c>
      <c r="F1543">
        <v>86.73</v>
      </c>
      <c r="G1543">
        <v>101.17</v>
      </c>
      <c r="H1543">
        <v>66.010000000000005</v>
      </c>
      <c r="K1543" s="9">
        <f t="shared" si="168"/>
        <v>-5.9999999999995168E-2</v>
      </c>
      <c r="L1543">
        <f t="shared" si="169"/>
        <v>0</v>
      </c>
      <c r="M1543">
        <f t="shared" si="170"/>
        <v>-0.55000000000000426</v>
      </c>
      <c r="N1543">
        <f t="shared" si="171"/>
        <v>0.28000000000000114</v>
      </c>
      <c r="O1543">
        <f t="shared" si="172"/>
        <v>-0.39000000000000057</v>
      </c>
      <c r="P1543" s="10">
        <f t="shared" si="173"/>
        <v>1.3299999999999983</v>
      </c>
    </row>
    <row r="1544" spans="1:16">
      <c r="A1544">
        <v>253.17</v>
      </c>
      <c r="B1544" s="42">
        <v>36.06</v>
      </c>
      <c r="C1544">
        <v>42.84</v>
      </c>
      <c r="D1544">
        <v>42.67</v>
      </c>
      <c r="E1544">
        <v>38.450000000000003</v>
      </c>
      <c r="F1544">
        <v>86.62</v>
      </c>
      <c r="G1544">
        <v>101.01</v>
      </c>
      <c r="H1544">
        <v>65.73</v>
      </c>
      <c r="K1544" s="9">
        <f t="shared" si="168"/>
        <v>0.10999999999999943</v>
      </c>
      <c r="L1544">
        <f t="shared" si="169"/>
        <v>5.9999999999995168E-2</v>
      </c>
      <c r="M1544">
        <f t="shared" si="170"/>
        <v>-0.39000000000000057</v>
      </c>
      <c r="N1544">
        <f t="shared" si="171"/>
        <v>1</v>
      </c>
      <c r="O1544">
        <f t="shared" si="172"/>
        <v>-0.23000000000000398</v>
      </c>
      <c r="P1544" s="10">
        <f t="shared" si="173"/>
        <v>2.3900000000000006</v>
      </c>
    </row>
    <row r="1545" spans="1:16">
      <c r="A1545">
        <v>253.33</v>
      </c>
      <c r="B1545" s="42">
        <v>35.729999999999997</v>
      </c>
      <c r="C1545">
        <v>42.9</v>
      </c>
      <c r="D1545">
        <v>42.67</v>
      </c>
      <c r="E1545">
        <v>38.28</v>
      </c>
      <c r="F1545">
        <v>86.62</v>
      </c>
      <c r="G1545">
        <v>100.84</v>
      </c>
      <c r="H1545">
        <v>65.95</v>
      </c>
      <c r="K1545" s="9">
        <f t="shared" si="168"/>
        <v>5.0000000000004263E-2</v>
      </c>
      <c r="L1545">
        <f t="shared" si="169"/>
        <v>0</v>
      </c>
      <c r="M1545">
        <f t="shared" si="170"/>
        <v>-0.21999999999999886</v>
      </c>
      <c r="N1545">
        <f t="shared" si="171"/>
        <v>1.1599999999999966</v>
      </c>
      <c r="O1545">
        <f t="shared" si="172"/>
        <v>-6.0000000000002274E-2</v>
      </c>
      <c r="P1545" s="10">
        <f t="shared" si="173"/>
        <v>2.7199999999999989</v>
      </c>
    </row>
    <row r="1546" spans="1:16">
      <c r="A1546">
        <v>253.5</v>
      </c>
      <c r="B1546" s="42">
        <v>35.619999999999997</v>
      </c>
      <c r="C1546">
        <v>42.84</v>
      </c>
      <c r="D1546">
        <v>42.67</v>
      </c>
      <c r="E1546">
        <v>38.119999999999997</v>
      </c>
      <c r="F1546">
        <v>87.01</v>
      </c>
      <c r="G1546">
        <v>100.78</v>
      </c>
      <c r="H1546">
        <v>67.34</v>
      </c>
      <c r="K1546" s="9">
        <f t="shared" si="168"/>
        <v>5.9999999999995168E-2</v>
      </c>
      <c r="L1546">
        <f t="shared" si="169"/>
        <v>0</v>
      </c>
      <c r="M1546">
        <f t="shared" si="170"/>
        <v>-5.9999999999995168E-2</v>
      </c>
      <c r="N1546">
        <f t="shared" si="171"/>
        <v>1.1599999999999966</v>
      </c>
      <c r="O1546">
        <f t="shared" si="172"/>
        <v>6.0000000000002274E-2</v>
      </c>
      <c r="P1546" s="10">
        <f t="shared" si="173"/>
        <v>1.7199999999999989</v>
      </c>
    </row>
    <row r="1547" spans="1:16">
      <c r="A1547">
        <v>253.67</v>
      </c>
      <c r="B1547" s="42">
        <v>35.56</v>
      </c>
      <c r="C1547">
        <v>42.95</v>
      </c>
      <c r="D1547">
        <v>42.73</v>
      </c>
      <c r="E1547">
        <v>38.06</v>
      </c>
      <c r="F1547">
        <v>87.62</v>
      </c>
      <c r="G1547">
        <v>100.78</v>
      </c>
      <c r="H1547">
        <v>68.12</v>
      </c>
      <c r="K1547" s="9">
        <f t="shared" si="168"/>
        <v>-5.0000000000004263E-2</v>
      </c>
      <c r="L1547">
        <f t="shared" si="169"/>
        <v>-5.9999999999995168E-2</v>
      </c>
      <c r="M1547">
        <f t="shared" si="170"/>
        <v>0</v>
      </c>
      <c r="N1547">
        <f t="shared" si="171"/>
        <v>0.82999999999999829</v>
      </c>
      <c r="O1547">
        <f t="shared" si="172"/>
        <v>0.17000000000000171</v>
      </c>
      <c r="P1547" s="10">
        <f t="shared" si="173"/>
        <v>1.6599999999999966</v>
      </c>
    </row>
    <row r="1548" spans="1:16">
      <c r="A1548">
        <v>253.83</v>
      </c>
      <c r="B1548" s="42">
        <v>35.51</v>
      </c>
      <c r="C1548">
        <v>42.95</v>
      </c>
      <c r="D1548">
        <v>42.67</v>
      </c>
      <c r="E1548">
        <v>38.06</v>
      </c>
      <c r="F1548">
        <v>87.78</v>
      </c>
      <c r="G1548">
        <v>100.78</v>
      </c>
      <c r="H1548">
        <v>68.67</v>
      </c>
      <c r="K1548" s="9">
        <f t="shared" si="168"/>
        <v>-0.10999999999999943</v>
      </c>
      <c r="L1548">
        <f t="shared" si="169"/>
        <v>-5.0000000000004263E-2</v>
      </c>
      <c r="M1548">
        <f t="shared" si="170"/>
        <v>0</v>
      </c>
      <c r="N1548">
        <f t="shared" si="171"/>
        <v>0.95000000000000284</v>
      </c>
      <c r="O1548">
        <f t="shared" si="172"/>
        <v>0.17000000000000171</v>
      </c>
      <c r="P1548" s="10">
        <f t="shared" si="173"/>
        <v>2.0600000000000023</v>
      </c>
    </row>
    <row r="1549" spans="1:16">
      <c r="A1549">
        <v>254</v>
      </c>
      <c r="B1549" s="42">
        <v>35.450000000000003</v>
      </c>
      <c r="C1549">
        <v>42.9</v>
      </c>
      <c r="D1549">
        <v>42.67</v>
      </c>
      <c r="E1549">
        <v>38.06</v>
      </c>
      <c r="F1549">
        <v>88.17</v>
      </c>
      <c r="G1549">
        <v>100.84</v>
      </c>
      <c r="H1549">
        <v>69.06</v>
      </c>
      <c r="K1549" s="9">
        <f t="shared" si="168"/>
        <v>-0.17000000000000171</v>
      </c>
      <c r="L1549">
        <f t="shared" si="169"/>
        <v>-5.0000000000004263E-2</v>
      </c>
      <c r="M1549">
        <f t="shared" si="170"/>
        <v>-0.10999999999999943</v>
      </c>
      <c r="N1549">
        <f t="shared" si="171"/>
        <v>0.73000000000000398</v>
      </c>
      <c r="O1549">
        <f t="shared" si="172"/>
        <v>0.17000000000000171</v>
      </c>
      <c r="P1549" s="10">
        <f t="shared" si="173"/>
        <v>1.7199999999999989</v>
      </c>
    </row>
    <row r="1550" spans="1:16">
      <c r="A1550">
        <v>254.17</v>
      </c>
      <c r="B1550" s="42">
        <v>35.4</v>
      </c>
      <c r="C1550">
        <v>42.9</v>
      </c>
      <c r="D1550">
        <v>42.67</v>
      </c>
      <c r="E1550">
        <v>38.06</v>
      </c>
      <c r="F1550">
        <v>88.45</v>
      </c>
      <c r="G1550">
        <v>100.95</v>
      </c>
      <c r="H1550">
        <v>69.78</v>
      </c>
      <c r="K1550" s="9">
        <f t="shared" si="168"/>
        <v>-5.9999999999995168E-2</v>
      </c>
      <c r="L1550">
        <f t="shared" si="169"/>
        <v>-5.0000000000004263E-2</v>
      </c>
      <c r="M1550">
        <f t="shared" si="170"/>
        <v>-0.10999999999999943</v>
      </c>
      <c r="N1550">
        <f t="shared" si="171"/>
        <v>0.60999999999999943</v>
      </c>
      <c r="O1550">
        <f t="shared" si="172"/>
        <v>6.0000000000002274E-2</v>
      </c>
      <c r="P1550" s="10">
        <f t="shared" si="173"/>
        <v>1.3900000000000006</v>
      </c>
    </row>
    <row r="1551" spans="1:16">
      <c r="A1551">
        <v>254.33</v>
      </c>
      <c r="B1551" s="42">
        <v>35.28</v>
      </c>
      <c r="C1551">
        <v>42.84</v>
      </c>
      <c r="D1551">
        <v>42.62</v>
      </c>
      <c r="E1551">
        <v>38.06</v>
      </c>
      <c r="F1551">
        <v>88.73</v>
      </c>
      <c r="G1551">
        <v>100.95</v>
      </c>
      <c r="H1551">
        <v>70.73</v>
      </c>
      <c r="K1551" s="9">
        <f t="shared" si="168"/>
        <v>-0.11000000000000654</v>
      </c>
      <c r="L1551">
        <f t="shared" si="169"/>
        <v>-0.1699999999999946</v>
      </c>
      <c r="M1551">
        <f t="shared" si="170"/>
        <v>-5.0000000000004263E-2</v>
      </c>
      <c r="N1551">
        <f t="shared" si="171"/>
        <v>0.17000000000000171</v>
      </c>
      <c r="O1551">
        <f t="shared" si="172"/>
        <v>0.17000000000000171</v>
      </c>
      <c r="P1551" s="10">
        <f t="shared" si="173"/>
        <v>1.2800000000000011</v>
      </c>
    </row>
    <row r="1552" spans="1:16">
      <c r="A1552">
        <v>254.5</v>
      </c>
      <c r="B1552" s="42">
        <v>35.119999999999997</v>
      </c>
      <c r="C1552">
        <v>42.73</v>
      </c>
      <c r="D1552">
        <v>42.62</v>
      </c>
      <c r="E1552">
        <v>37.950000000000003</v>
      </c>
      <c r="F1552">
        <v>88.9</v>
      </c>
      <c r="G1552">
        <v>101.01</v>
      </c>
      <c r="H1552">
        <v>70.78</v>
      </c>
      <c r="K1552" s="9">
        <f t="shared" si="168"/>
        <v>-5.9999999999995168E-2</v>
      </c>
      <c r="L1552">
        <f t="shared" si="169"/>
        <v>-0.1699999999999946</v>
      </c>
      <c r="M1552">
        <f t="shared" si="170"/>
        <v>0.10999999999999943</v>
      </c>
      <c r="N1552">
        <f t="shared" si="171"/>
        <v>0.32999999999999829</v>
      </c>
      <c r="O1552">
        <f t="shared" si="172"/>
        <v>0.15999999999999659</v>
      </c>
      <c r="P1552" s="10">
        <f t="shared" si="173"/>
        <v>1.8400000000000034</v>
      </c>
    </row>
    <row r="1553" spans="1:16">
      <c r="A1553">
        <v>254.67</v>
      </c>
      <c r="B1553" s="42">
        <v>35.01</v>
      </c>
      <c r="C1553">
        <v>42.84</v>
      </c>
      <c r="D1553">
        <v>42.62</v>
      </c>
      <c r="E1553">
        <v>37.950000000000003</v>
      </c>
      <c r="F1553">
        <v>89.06</v>
      </c>
      <c r="G1553">
        <v>101.01</v>
      </c>
      <c r="H1553">
        <v>71.17</v>
      </c>
      <c r="K1553" s="9">
        <f t="shared" si="168"/>
        <v>-0.3300000000000054</v>
      </c>
      <c r="L1553">
        <f t="shared" si="169"/>
        <v>-0.33999999999999631</v>
      </c>
      <c r="M1553">
        <f t="shared" si="170"/>
        <v>0.39000000000000057</v>
      </c>
      <c r="N1553">
        <f t="shared" si="171"/>
        <v>0.39000000000000057</v>
      </c>
      <c r="O1553">
        <f t="shared" si="172"/>
        <v>0.26999999999999602</v>
      </c>
      <c r="P1553" s="10">
        <f t="shared" si="173"/>
        <v>1.8900000000000006</v>
      </c>
    </row>
    <row r="1554" spans="1:16">
      <c r="A1554">
        <v>254.83</v>
      </c>
      <c r="B1554" s="42">
        <v>34.78</v>
      </c>
      <c r="C1554">
        <v>42.73</v>
      </c>
      <c r="D1554">
        <v>42.45</v>
      </c>
      <c r="E1554">
        <v>38.01</v>
      </c>
      <c r="F1554">
        <v>88.9</v>
      </c>
      <c r="G1554">
        <v>101.12</v>
      </c>
      <c r="H1554">
        <v>72.010000000000005</v>
      </c>
      <c r="K1554" s="9">
        <f t="shared" si="168"/>
        <v>-0.21999999999999886</v>
      </c>
      <c r="L1554">
        <f t="shared" si="169"/>
        <v>-0.28000000000000114</v>
      </c>
      <c r="M1554">
        <f t="shared" si="170"/>
        <v>0.71999999999999886</v>
      </c>
      <c r="N1554">
        <f t="shared" si="171"/>
        <v>-6.0000000000002274E-2</v>
      </c>
      <c r="O1554">
        <f t="shared" si="172"/>
        <v>0.21999999999999886</v>
      </c>
      <c r="P1554" s="10">
        <f t="shared" si="173"/>
        <v>0.71999999999999886</v>
      </c>
    </row>
    <row r="1555" spans="1:16">
      <c r="A1555">
        <v>255</v>
      </c>
      <c r="B1555" s="42">
        <v>34.78</v>
      </c>
      <c r="C1555">
        <v>42.67</v>
      </c>
      <c r="D1555">
        <v>42.45</v>
      </c>
      <c r="E1555">
        <v>38.06</v>
      </c>
      <c r="F1555">
        <v>89.23</v>
      </c>
      <c r="G1555">
        <v>101.17</v>
      </c>
      <c r="H1555">
        <v>72.62</v>
      </c>
      <c r="K1555" s="9">
        <f t="shared" si="168"/>
        <v>-0.39000000000000057</v>
      </c>
      <c r="L1555">
        <f t="shared" si="169"/>
        <v>-0.44000000000000483</v>
      </c>
      <c r="M1555">
        <f t="shared" si="170"/>
        <v>1.0599999999999952</v>
      </c>
      <c r="N1555">
        <f t="shared" si="171"/>
        <v>-0.10999999999999943</v>
      </c>
      <c r="O1555">
        <f t="shared" si="172"/>
        <v>0.10999999999999943</v>
      </c>
      <c r="P1555" s="10">
        <f t="shared" si="173"/>
        <v>-6.0000000000002274E-2</v>
      </c>
    </row>
    <row r="1556" spans="1:16">
      <c r="A1556">
        <v>255.17</v>
      </c>
      <c r="B1556" s="42">
        <v>34.67</v>
      </c>
      <c r="C1556">
        <v>42.51</v>
      </c>
      <c r="D1556">
        <v>42.28</v>
      </c>
      <c r="E1556">
        <v>38.340000000000003</v>
      </c>
      <c r="F1556">
        <v>89.45</v>
      </c>
      <c r="G1556">
        <v>101.28</v>
      </c>
      <c r="H1556">
        <v>73.06</v>
      </c>
      <c r="K1556" s="9">
        <f t="shared" si="168"/>
        <v>-0.22999999999999687</v>
      </c>
      <c r="L1556">
        <f t="shared" si="169"/>
        <v>-0.16000000000000369</v>
      </c>
      <c r="M1556">
        <f t="shared" si="170"/>
        <v>2.6099999999999994</v>
      </c>
      <c r="N1556">
        <f t="shared" si="171"/>
        <v>-0.28000000000000114</v>
      </c>
      <c r="O1556">
        <f t="shared" si="172"/>
        <v>0.12000000000000455</v>
      </c>
      <c r="P1556" s="10">
        <f t="shared" si="173"/>
        <v>-1</v>
      </c>
    </row>
    <row r="1557" spans="1:16">
      <c r="A1557">
        <v>255.33</v>
      </c>
      <c r="B1557" s="42">
        <v>34.619999999999997</v>
      </c>
      <c r="C1557">
        <v>42.51</v>
      </c>
      <c r="D1557">
        <v>42.17</v>
      </c>
      <c r="E1557">
        <v>38.729999999999997</v>
      </c>
      <c r="F1557">
        <v>88.84</v>
      </c>
      <c r="G1557">
        <v>101.34</v>
      </c>
      <c r="H1557">
        <v>72.73</v>
      </c>
      <c r="K1557" s="9">
        <f t="shared" si="168"/>
        <v>-0.33999999999999631</v>
      </c>
      <c r="L1557">
        <f t="shared" si="169"/>
        <v>-0.10999999999999943</v>
      </c>
      <c r="M1557">
        <f t="shared" si="170"/>
        <v>3.4400000000000048</v>
      </c>
      <c r="N1557">
        <f t="shared" si="171"/>
        <v>0.10999999999999943</v>
      </c>
      <c r="O1557">
        <f t="shared" si="172"/>
        <v>0.10999999999999943</v>
      </c>
      <c r="P1557" s="10">
        <f t="shared" si="173"/>
        <v>-1</v>
      </c>
    </row>
    <row r="1558" spans="1:16">
      <c r="A1558">
        <v>255.5</v>
      </c>
      <c r="B1558" s="42">
        <v>34.56</v>
      </c>
      <c r="C1558">
        <v>42.28</v>
      </c>
      <c r="D1558">
        <v>42.01</v>
      </c>
      <c r="E1558">
        <v>39.119999999999997</v>
      </c>
      <c r="F1558">
        <v>89.12</v>
      </c>
      <c r="G1558">
        <v>101.28</v>
      </c>
      <c r="H1558">
        <v>72.56</v>
      </c>
      <c r="K1558" s="9">
        <f t="shared" si="168"/>
        <v>-0.10999999999999943</v>
      </c>
      <c r="L1558">
        <f t="shared" si="169"/>
        <v>5.0000000000004263E-2</v>
      </c>
      <c r="M1558">
        <f t="shared" si="170"/>
        <v>4</v>
      </c>
      <c r="N1558">
        <f t="shared" si="171"/>
        <v>-0.10999999999999943</v>
      </c>
      <c r="O1558">
        <f t="shared" si="172"/>
        <v>0.17000000000000171</v>
      </c>
      <c r="P1558" s="10">
        <f t="shared" si="173"/>
        <v>-0.28000000000000114</v>
      </c>
    </row>
    <row r="1559" spans="1:16">
      <c r="A1559">
        <v>255.67</v>
      </c>
      <c r="B1559" s="42">
        <v>34.619999999999997</v>
      </c>
      <c r="C1559">
        <v>42.28</v>
      </c>
      <c r="D1559">
        <v>42.12</v>
      </c>
      <c r="E1559">
        <v>40.950000000000003</v>
      </c>
      <c r="F1559">
        <v>89.17</v>
      </c>
      <c r="G1559">
        <v>101.4</v>
      </c>
      <c r="H1559">
        <v>72.06</v>
      </c>
      <c r="K1559" s="9">
        <f t="shared" si="168"/>
        <v>-0.10999999999999943</v>
      </c>
      <c r="L1559">
        <f t="shared" si="169"/>
        <v>-0.1699999999999946</v>
      </c>
      <c r="M1559">
        <f t="shared" si="170"/>
        <v>2.9499999999999957</v>
      </c>
      <c r="N1559">
        <f t="shared" si="171"/>
        <v>0.10999999999999943</v>
      </c>
      <c r="O1559">
        <f t="shared" si="172"/>
        <v>0.10999999999999943</v>
      </c>
      <c r="P1559" s="10">
        <f t="shared" si="173"/>
        <v>0.34000000000000341</v>
      </c>
    </row>
    <row r="1560" spans="1:16">
      <c r="A1560">
        <v>255.83</v>
      </c>
      <c r="B1560" s="42">
        <v>34.619999999999997</v>
      </c>
      <c r="C1560">
        <v>42.17</v>
      </c>
      <c r="D1560">
        <v>42.06</v>
      </c>
      <c r="E1560">
        <v>42.17</v>
      </c>
      <c r="F1560">
        <v>88.95</v>
      </c>
      <c r="G1560">
        <v>101.45</v>
      </c>
      <c r="H1560">
        <v>71.73</v>
      </c>
      <c r="K1560" s="9">
        <f t="shared" si="168"/>
        <v>-5.0000000000004263E-2</v>
      </c>
      <c r="L1560">
        <f t="shared" si="169"/>
        <v>-0.10999999999999943</v>
      </c>
      <c r="M1560">
        <f t="shared" si="170"/>
        <v>2.3399999999999963</v>
      </c>
      <c r="N1560">
        <f t="shared" si="171"/>
        <v>0.17000000000000171</v>
      </c>
      <c r="O1560">
        <f t="shared" si="172"/>
        <v>-4.9999999999997158E-2</v>
      </c>
      <c r="P1560" s="10">
        <f t="shared" si="173"/>
        <v>0.39000000000000057</v>
      </c>
    </row>
    <row r="1561" spans="1:16">
      <c r="A1561">
        <v>256</v>
      </c>
      <c r="B1561" s="42">
        <v>34.56</v>
      </c>
      <c r="C1561">
        <v>42.17</v>
      </c>
      <c r="D1561">
        <v>42.06</v>
      </c>
      <c r="E1561">
        <v>43.12</v>
      </c>
      <c r="F1561">
        <v>89.01</v>
      </c>
      <c r="G1561">
        <v>101.45</v>
      </c>
      <c r="H1561">
        <v>72.28</v>
      </c>
      <c r="K1561" s="9">
        <f t="shared" ref="K1561:K1624" si="174">C1564-C1561</f>
        <v>0</v>
      </c>
      <c r="L1561">
        <f t="shared" ref="L1561:L1624" si="175">D1564-D1561</f>
        <v>-0.10999999999999943</v>
      </c>
      <c r="M1561">
        <f t="shared" ref="M1561:M1624" si="176">E1564-E1561</f>
        <v>2.0500000000000043</v>
      </c>
      <c r="N1561">
        <f t="shared" ref="N1561:N1624" si="177">F1564-F1561</f>
        <v>-0.45000000000000284</v>
      </c>
      <c r="O1561">
        <f t="shared" ref="O1561:O1624" si="178">G1564-G1561</f>
        <v>-0.10999999999999943</v>
      </c>
      <c r="P1561" s="10">
        <f t="shared" ref="P1561:P1624" si="179">H1564-H1561</f>
        <v>-4.9999999999997158E-2</v>
      </c>
    </row>
    <row r="1562" spans="1:16">
      <c r="A1562">
        <v>256.17</v>
      </c>
      <c r="B1562" s="42">
        <v>34.56</v>
      </c>
      <c r="C1562">
        <v>42.17</v>
      </c>
      <c r="D1562">
        <v>41.95</v>
      </c>
      <c r="E1562">
        <v>43.9</v>
      </c>
      <c r="F1562">
        <v>89.28</v>
      </c>
      <c r="G1562">
        <v>101.51</v>
      </c>
      <c r="H1562">
        <v>72.400000000000006</v>
      </c>
      <c r="K1562" s="9">
        <f t="shared" si="174"/>
        <v>0</v>
      </c>
      <c r="L1562">
        <f t="shared" si="175"/>
        <v>0</v>
      </c>
      <c r="M1562">
        <f t="shared" si="176"/>
        <v>2</v>
      </c>
      <c r="N1562">
        <f t="shared" si="177"/>
        <v>-0.65999999999999659</v>
      </c>
      <c r="O1562">
        <f t="shared" si="178"/>
        <v>-0.17000000000000171</v>
      </c>
      <c r="P1562" s="10">
        <f t="shared" si="179"/>
        <v>0.37999999999999545</v>
      </c>
    </row>
    <row r="1563" spans="1:16">
      <c r="A1563">
        <v>256.33</v>
      </c>
      <c r="B1563" s="42">
        <v>34.51</v>
      </c>
      <c r="C1563">
        <v>42.12</v>
      </c>
      <c r="D1563">
        <v>41.95</v>
      </c>
      <c r="E1563">
        <v>44.51</v>
      </c>
      <c r="F1563">
        <v>89.12</v>
      </c>
      <c r="G1563">
        <v>101.4</v>
      </c>
      <c r="H1563">
        <v>72.12</v>
      </c>
      <c r="K1563" s="9">
        <f t="shared" si="174"/>
        <v>-5.9999999999995168E-2</v>
      </c>
      <c r="L1563">
        <f t="shared" si="175"/>
        <v>-0.10999999999999943</v>
      </c>
      <c r="M1563">
        <f t="shared" si="176"/>
        <v>1.8900000000000006</v>
      </c>
      <c r="N1563">
        <f t="shared" si="177"/>
        <v>-0.78000000000000114</v>
      </c>
      <c r="O1563">
        <f t="shared" si="178"/>
        <v>-0.12000000000000455</v>
      </c>
      <c r="P1563" s="10">
        <f t="shared" si="179"/>
        <v>0.78000000000000114</v>
      </c>
    </row>
    <row r="1564" spans="1:16">
      <c r="A1564">
        <v>256.5</v>
      </c>
      <c r="B1564" s="42">
        <v>34.340000000000003</v>
      </c>
      <c r="C1564">
        <v>42.17</v>
      </c>
      <c r="D1564">
        <v>41.95</v>
      </c>
      <c r="E1564">
        <v>45.17</v>
      </c>
      <c r="F1564">
        <v>88.56</v>
      </c>
      <c r="G1564">
        <v>101.34</v>
      </c>
      <c r="H1564">
        <v>72.23</v>
      </c>
      <c r="K1564" s="9">
        <f t="shared" si="174"/>
        <v>0.44999999999999574</v>
      </c>
      <c r="L1564">
        <f t="shared" si="175"/>
        <v>0.32999999999999829</v>
      </c>
      <c r="M1564">
        <f t="shared" si="176"/>
        <v>2.3900000000000006</v>
      </c>
      <c r="N1564">
        <f t="shared" si="177"/>
        <v>-0.21999999999999886</v>
      </c>
      <c r="O1564">
        <f t="shared" si="178"/>
        <v>0.10999999999999943</v>
      </c>
      <c r="P1564" s="10">
        <f t="shared" si="179"/>
        <v>1.8900000000000006</v>
      </c>
    </row>
    <row r="1565" spans="1:16">
      <c r="A1565">
        <v>256.67</v>
      </c>
      <c r="B1565" s="42">
        <v>34.28</v>
      </c>
      <c r="C1565">
        <v>42.17</v>
      </c>
      <c r="D1565">
        <v>41.95</v>
      </c>
      <c r="E1565">
        <v>45.9</v>
      </c>
      <c r="F1565">
        <v>88.62</v>
      </c>
      <c r="G1565">
        <v>101.34</v>
      </c>
      <c r="H1565">
        <v>72.78</v>
      </c>
      <c r="K1565" s="9">
        <f t="shared" si="174"/>
        <v>0.55999999999999517</v>
      </c>
      <c r="L1565">
        <f t="shared" si="175"/>
        <v>0.55999999999999517</v>
      </c>
      <c r="M1565">
        <f t="shared" si="176"/>
        <v>2.5</v>
      </c>
      <c r="N1565">
        <f t="shared" si="177"/>
        <v>-0.60999999999999943</v>
      </c>
      <c r="O1565">
        <f t="shared" si="178"/>
        <v>6.0000000000002274E-2</v>
      </c>
      <c r="P1565" s="10">
        <f t="shared" si="179"/>
        <v>1.730000000000004</v>
      </c>
    </row>
    <row r="1566" spans="1:16">
      <c r="A1566">
        <v>256.83</v>
      </c>
      <c r="B1566" s="42">
        <v>34.119999999999997</v>
      </c>
      <c r="C1566">
        <v>42.06</v>
      </c>
      <c r="D1566">
        <v>41.84</v>
      </c>
      <c r="E1566">
        <v>46.4</v>
      </c>
      <c r="F1566">
        <v>88.34</v>
      </c>
      <c r="G1566">
        <v>101.28</v>
      </c>
      <c r="H1566">
        <v>72.900000000000006</v>
      </c>
      <c r="K1566" s="9">
        <f t="shared" si="174"/>
        <v>0.5</v>
      </c>
      <c r="L1566">
        <f t="shared" si="175"/>
        <v>0.6699999999999946</v>
      </c>
      <c r="M1566">
        <f t="shared" si="176"/>
        <v>2.8299999999999983</v>
      </c>
      <c r="N1566">
        <f t="shared" si="177"/>
        <v>-0.60999999999999943</v>
      </c>
      <c r="O1566">
        <f t="shared" si="178"/>
        <v>0.17000000000000171</v>
      </c>
      <c r="P1566" s="10">
        <f t="shared" si="179"/>
        <v>2.5</v>
      </c>
    </row>
    <row r="1567" spans="1:16">
      <c r="A1567">
        <v>257</v>
      </c>
      <c r="B1567" s="42">
        <v>34.28</v>
      </c>
      <c r="C1567">
        <v>42.62</v>
      </c>
      <c r="D1567">
        <v>42.28</v>
      </c>
      <c r="E1567">
        <v>47.56</v>
      </c>
      <c r="F1567">
        <v>88.34</v>
      </c>
      <c r="G1567">
        <v>101.45</v>
      </c>
      <c r="H1567">
        <v>74.12</v>
      </c>
      <c r="K1567" s="9">
        <f t="shared" si="174"/>
        <v>-0.10999999999999943</v>
      </c>
      <c r="L1567">
        <f t="shared" si="175"/>
        <v>0.22999999999999687</v>
      </c>
      <c r="M1567">
        <f t="shared" si="176"/>
        <v>2.3399999999999963</v>
      </c>
      <c r="N1567">
        <f t="shared" si="177"/>
        <v>-0.67000000000000171</v>
      </c>
      <c r="O1567">
        <f t="shared" si="178"/>
        <v>0</v>
      </c>
      <c r="P1567" s="10">
        <f t="shared" si="179"/>
        <v>2.2199999999999989</v>
      </c>
    </row>
    <row r="1568" spans="1:16">
      <c r="A1568">
        <v>257.17</v>
      </c>
      <c r="B1568" s="42">
        <v>34.78</v>
      </c>
      <c r="C1568">
        <v>42.73</v>
      </c>
      <c r="D1568">
        <v>42.51</v>
      </c>
      <c r="E1568">
        <v>48.4</v>
      </c>
      <c r="F1568">
        <v>88.01</v>
      </c>
      <c r="G1568">
        <v>101.4</v>
      </c>
      <c r="H1568">
        <v>74.510000000000005</v>
      </c>
      <c r="K1568" s="9">
        <f t="shared" si="174"/>
        <v>-0.27999999999999403</v>
      </c>
      <c r="L1568">
        <f t="shared" si="175"/>
        <v>-5.9999999999995168E-2</v>
      </c>
      <c r="M1568">
        <f t="shared" si="176"/>
        <v>1.9400000000000048</v>
      </c>
      <c r="N1568">
        <f t="shared" si="177"/>
        <v>-1.1700000000000017</v>
      </c>
      <c r="O1568">
        <f t="shared" si="178"/>
        <v>4.9999999999997158E-2</v>
      </c>
      <c r="P1568" s="10">
        <f t="shared" si="179"/>
        <v>2.269999999999996</v>
      </c>
    </row>
    <row r="1569" spans="1:16">
      <c r="A1569">
        <v>257.33</v>
      </c>
      <c r="B1569" s="42">
        <v>35.06</v>
      </c>
      <c r="C1569">
        <v>42.56</v>
      </c>
      <c r="D1569">
        <v>42.51</v>
      </c>
      <c r="E1569">
        <v>49.23</v>
      </c>
      <c r="F1569">
        <v>87.73</v>
      </c>
      <c r="G1569">
        <v>101.45</v>
      </c>
      <c r="H1569">
        <v>75.400000000000006</v>
      </c>
      <c r="K1569" s="9">
        <f t="shared" si="174"/>
        <v>-0.21999999999999886</v>
      </c>
      <c r="L1569">
        <f t="shared" si="175"/>
        <v>-0.1699999999999946</v>
      </c>
      <c r="M1569">
        <f t="shared" si="176"/>
        <v>1.7800000000000011</v>
      </c>
      <c r="N1569">
        <f t="shared" si="177"/>
        <v>-1.2199999999999989</v>
      </c>
      <c r="O1569">
        <f t="shared" si="178"/>
        <v>-0.10999999999999943</v>
      </c>
      <c r="P1569" s="10">
        <f t="shared" si="179"/>
        <v>1.5</v>
      </c>
    </row>
    <row r="1570" spans="1:16">
      <c r="A1570">
        <v>257.5</v>
      </c>
      <c r="B1570" s="42">
        <v>35.17</v>
      </c>
      <c r="C1570">
        <v>42.51</v>
      </c>
      <c r="D1570">
        <v>42.51</v>
      </c>
      <c r="E1570">
        <v>49.9</v>
      </c>
      <c r="F1570">
        <v>87.67</v>
      </c>
      <c r="G1570">
        <v>101.45</v>
      </c>
      <c r="H1570">
        <v>76.34</v>
      </c>
      <c r="K1570" s="9">
        <f t="shared" si="174"/>
        <v>-0.22999999999999687</v>
      </c>
      <c r="L1570">
        <f t="shared" si="175"/>
        <v>-0.22999999999999687</v>
      </c>
      <c r="M1570">
        <f t="shared" si="176"/>
        <v>1.5500000000000043</v>
      </c>
      <c r="N1570">
        <f t="shared" si="177"/>
        <v>-0.76999999999999602</v>
      </c>
      <c r="O1570">
        <f t="shared" si="178"/>
        <v>-0.10999999999999943</v>
      </c>
      <c r="P1570" s="10">
        <f t="shared" si="179"/>
        <v>1.3299999999999983</v>
      </c>
    </row>
    <row r="1571" spans="1:16">
      <c r="A1571">
        <v>257.67</v>
      </c>
      <c r="B1571" s="42">
        <v>35.17</v>
      </c>
      <c r="C1571">
        <v>42.45</v>
      </c>
      <c r="D1571">
        <v>42.45</v>
      </c>
      <c r="E1571">
        <v>50.34</v>
      </c>
      <c r="F1571">
        <v>86.84</v>
      </c>
      <c r="G1571">
        <v>101.45</v>
      </c>
      <c r="H1571">
        <v>76.78</v>
      </c>
      <c r="K1571" s="9">
        <f t="shared" si="174"/>
        <v>-0.17000000000000171</v>
      </c>
      <c r="L1571">
        <f t="shared" si="175"/>
        <v>-0.17000000000000171</v>
      </c>
      <c r="M1571">
        <f t="shared" si="176"/>
        <v>1.3899999999999935</v>
      </c>
      <c r="N1571">
        <f t="shared" si="177"/>
        <v>-0.17000000000000171</v>
      </c>
      <c r="O1571">
        <f t="shared" si="178"/>
        <v>-0.17000000000000171</v>
      </c>
      <c r="P1571" s="10">
        <f t="shared" si="179"/>
        <v>1.6700000000000017</v>
      </c>
    </row>
    <row r="1572" spans="1:16">
      <c r="A1572">
        <v>257.83</v>
      </c>
      <c r="B1572" s="42">
        <v>35.17</v>
      </c>
      <c r="C1572">
        <v>42.34</v>
      </c>
      <c r="D1572">
        <v>42.34</v>
      </c>
      <c r="E1572">
        <v>51.01</v>
      </c>
      <c r="F1572">
        <v>86.51</v>
      </c>
      <c r="G1572">
        <v>101.34</v>
      </c>
      <c r="H1572">
        <v>76.900000000000006</v>
      </c>
      <c r="K1572" s="9">
        <f t="shared" si="174"/>
        <v>-6.0000000000002274E-2</v>
      </c>
      <c r="L1572">
        <f t="shared" si="175"/>
        <v>-0.11000000000000654</v>
      </c>
      <c r="M1572">
        <f t="shared" si="176"/>
        <v>0.94000000000000483</v>
      </c>
      <c r="N1572">
        <f t="shared" si="177"/>
        <v>0.54999999999999716</v>
      </c>
      <c r="O1572">
        <f t="shared" si="178"/>
        <v>-0.17000000000000171</v>
      </c>
      <c r="P1572" s="10">
        <f t="shared" si="179"/>
        <v>2</v>
      </c>
    </row>
    <row r="1573" spans="1:16">
      <c r="A1573">
        <v>258</v>
      </c>
      <c r="B1573" s="42">
        <v>35.229999999999997</v>
      </c>
      <c r="C1573">
        <v>42.28</v>
      </c>
      <c r="D1573">
        <v>42.28</v>
      </c>
      <c r="E1573">
        <v>51.45</v>
      </c>
      <c r="F1573">
        <v>86.9</v>
      </c>
      <c r="G1573">
        <v>101.34</v>
      </c>
      <c r="H1573">
        <v>77.67</v>
      </c>
      <c r="K1573" s="9">
        <f t="shared" si="174"/>
        <v>6.0000000000002274E-2</v>
      </c>
      <c r="L1573">
        <f t="shared" si="175"/>
        <v>6.0000000000002274E-2</v>
      </c>
      <c r="M1573">
        <f t="shared" si="176"/>
        <v>0.6699999999999946</v>
      </c>
      <c r="N1573">
        <f t="shared" si="177"/>
        <v>0.71999999999999886</v>
      </c>
      <c r="O1573">
        <f t="shared" si="178"/>
        <v>-0.17000000000000171</v>
      </c>
      <c r="P1573" s="10">
        <f t="shared" si="179"/>
        <v>1.5</v>
      </c>
    </row>
    <row r="1574" spans="1:16">
      <c r="A1574">
        <v>258.17</v>
      </c>
      <c r="B1574" s="42">
        <v>35.28</v>
      </c>
      <c r="C1574">
        <v>42.28</v>
      </c>
      <c r="D1574">
        <v>42.28</v>
      </c>
      <c r="E1574">
        <v>51.73</v>
      </c>
      <c r="F1574">
        <v>86.67</v>
      </c>
      <c r="G1574">
        <v>101.28</v>
      </c>
      <c r="H1574">
        <v>78.45</v>
      </c>
      <c r="K1574" s="9">
        <f t="shared" si="174"/>
        <v>0.17000000000000171</v>
      </c>
      <c r="L1574">
        <f t="shared" si="175"/>
        <v>0.11999999999999744</v>
      </c>
      <c r="M1574">
        <f t="shared" si="176"/>
        <v>0.39000000000000057</v>
      </c>
      <c r="N1574">
        <f t="shared" si="177"/>
        <v>1.1700000000000017</v>
      </c>
      <c r="O1574">
        <f t="shared" si="178"/>
        <v>-0.10999999999999943</v>
      </c>
      <c r="P1574" s="10">
        <f t="shared" si="179"/>
        <v>1.3900000000000006</v>
      </c>
    </row>
    <row r="1575" spans="1:16">
      <c r="A1575">
        <v>258.33</v>
      </c>
      <c r="B1575" s="42">
        <v>35.4</v>
      </c>
      <c r="C1575">
        <v>42.28</v>
      </c>
      <c r="D1575">
        <v>42.23</v>
      </c>
      <c r="E1575">
        <v>51.95</v>
      </c>
      <c r="F1575">
        <v>87.06</v>
      </c>
      <c r="G1575">
        <v>101.17</v>
      </c>
      <c r="H1575">
        <v>78.900000000000006</v>
      </c>
      <c r="K1575" s="9">
        <f t="shared" si="174"/>
        <v>0.22999999999999687</v>
      </c>
      <c r="L1575">
        <f t="shared" si="175"/>
        <v>0.22000000000000597</v>
      </c>
      <c r="M1575">
        <f t="shared" si="176"/>
        <v>5.9999999999995168E-2</v>
      </c>
      <c r="N1575">
        <f t="shared" si="177"/>
        <v>1.1099999999999994</v>
      </c>
      <c r="O1575">
        <f t="shared" si="178"/>
        <v>0</v>
      </c>
      <c r="P1575" s="10">
        <f t="shared" si="179"/>
        <v>1.6099999999999994</v>
      </c>
    </row>
    <row r="1576" spans="1:16">
      <c r="A1576">
        <v>258.5</v>
      </c>
      <c r="B1576" s="42">
        <v>35.56</v>
      </c>
      <c r="C1576">
        <v>42.34</v>
      </c>
      <c r="D1576">
        <v>42.34</v>
      </c>
      <c r="E1576">
        <v>52.12</v>
      </c>
      <c r="F1576">
        <v>87.62</v>
      </c>
      <c r="G1576">
        <v>101.17</v>
      </c>
      <c r="H1576">
        <v>79.17</v>
      </c>
      <c r="K1576" s="9">
        <f t="shared" si="174"/>
        <v>0.1699999999999946</v>
      </c>
      <c r="L1576">
        <f t="shared" si="175"/>
        <v>0</v>
      </c>
      <c r="M1576">
        <f t="shared" si="176"/>
        <v>-0.27999999999999403</v>
      </c>
      <c r="N1576">
        <f t="shared" si="177"/>
        <v>0.60999999999999943</v>
      </c>
      <c r="O1576">
        <f t="shared" si="178"/>
        <v>-0.15999999999999659</v>
      </c>
      <c r="P1576" s="10">
        <f t="shared" si="179"/>
        <v>1.9500000000000028</v>
      </c>
    </row>
    <row r="1577" spans="1:16">
      <c r="A1577">
        <v>258.67</v>
      </c>
      <c r="B1577" s="42">
        <v>35.619999999999997</v>
      </c>
      <c r="C1577">
        <v>42.45</v>
      </c>
      <c r="D1577">
        <v>42.4</v>
      </c>
      <c r="E1577">
        <v>52.12</v>
      </c>
      <c r="F1577">
        <v>87.84</v>
      </c>
      <c r="G1577">
        <v>101.17</v>
      </c>
      <c r="H1577">
        <v>79.84</v>
      </c>
      <c r="K1577" s="9">
        <f t="shared" si="174"/>
        <v>5.9999999999995168E-2</v>
      </c>
      <c r="L1577">
        <f t="shared" si="175"/>
        <v>5.0000000000004263E-2</v>
      </c>
      <c r="M1577">
        <f t="shared" si="176"/>
        <v>-0.27999999999999403</v>
      </c>
      <c r="N1577">
        <f t="shared" si="177"/>
        <v>0.39000000000000057</v>
      </c>
      <c r="O1577">
        <f t="shared" si="178"/>
        <v>-0.10999999999999943</v>
      </c>
      <c r="P1577" s="10">
        <f t="shared" si="179"/>
        <v>2.1099999999999994</v>
      </c>
    </row>
    <row r="1578" spans="1:16">
      <c r="A1578">
        <v>258.83</v>
      </c>
      <c r="B1578" s="42">
        <v>35.729999999999997</v>
      </c>
      <c r="C1578">
        <v>42.51</v>
      </c>
      <c r="D1578">
        <v>42.45</v>
      </c>
      <c r="E1578">
        <v>52.01</v>
      </c>
      <c r="F1578">
        <v>88.17</v>
      </c>
      <c r="G1578">
        <v>101.17</v>
      </c>
      <c r="H1578">
        <v>80.510000000000005</v>
      </c>
      <c r="K1578" s="9">
        <f t="shared" si="174"/>
        <v>0.10999999999999943</v>
      </c>
      <c r="L1578">
        <f t="shared" si="175"/>
        <v>0.10999999999999943</v>
      </c>
      <c r="M1578">
        <f t="shared" si="176"/>
        <v>-0.10999999999999943</v>
      </c>
      <c r="N1578">
        <f t="shared" si="177"/>
        <v>0.17000000000000171</v>
      </c>
      <c r="O1578">
        <f t="shared" si="178"/>
        <v>0</v>
      </c>
      <c r="P1578" s="10">
        <f t="shared" si="179"/>
        <v>1.8299999999999983</v>
      </c>
    </row>
    <row r="1579" spans="1:16">
      <c r="A1579">
        <v>259</v>
      </c>
      <c r="B1579" s="42">
        <v>35.78</v>
      </c>
      <c r="C1579">
        <v>42.51</v>
      </c>
      <c r="D1579">
        <v>42.34</v>
      </c>
      <c r="E1579">
        <v>51.84</v>
      </c>
      <c r="F1579">
        <v>88.23</v>
      </c>
      <c r="G1579">
        <v>101.01</v>
      </c>
      <c r="H1579">
        <v>81.12</v>
      </c>
      <c r="K1579" s="9">
        <f t="shared" si="174"/>
        <v>0.16000000000000369</v>
      </c>
      <c r="L1579">
        <f t="shared" si="175"/>
        <v>0.21999999999999886</v>
      </c>
      <c r="M1579">
        <f t="shared" si="176"/>
        <v>-0.11000000000000654</v>
      </c>
      <c r="N1579">
        <f t="shared" si="177"/>
        <v>0.28000000000000114</v>
      </c>
      <c r="O1579">
        <f t="shared" si="178"/>
        <v>0.21999999999999886</v>
      </c>
      <c r="P1579" s="10">
        <f t="shared" si="179"/>
        <v>2.1099999999999994</v>
      </c>
    </row>
    <row r="1580" spans="1:16">
      <c r="A1580">
        <v>259.17</v>
      </c>
      <c r="B1580" s="42">
        <v>35.9</v>
      </c>
      <c r="C1580">
        <v>42.51</v>
      </c>
      <c r="D1580">
        <v>42.45</v>
      </c>
      <c r="E1580">
        <v>51.84</v>
      </c>
      <c r="F1580">
        <v>88.23</v>
      </c>
      <c r="G1580">
        <v>101.06</v>
      </c>
      <c r="H1580">
        <v>81.95</v>
      </c>
      <c r="K1580" s="9">
        <f t="shared" si="174"/>
        <v>0.27000000000000313</v>
      </c>
      <c r="L1580">
        <f t="shared" si="175"/>
        <v>0.21999999999999886</v>
      </c>
      <c r="M1580">
        <f t="shared" si="176"/>
        <v>-0.17000000000000171</v>
      </c>
      <c r="N1580">
        <f t="shared" si="177"/>
        <v>0.28000000000000114</v>
      </c>
      <c r="O1580">
        <f t="shared" si="178"/>
        <v>0.39000000000000057</v>
      </c>
      <c r="P1580" s="10">
        <f t="shared" si="179"/>
        <v>1.7800000000000011</v>
      </c>
    </row>
    <row r="1581" spans="1:16">
      <c r="A1581">
        <v>259.33</v>
      </c>
      <c r="B1581" s="42">
        <v>36.17</v>
      </c>
      <c r="C1581">
        <v>42.62</v>
      </c>
      <c r="D1581">
        <v>42.56</v>
      </c>
      <c r="E1581">
        <v>51.9</v>
      </c>
      <c r="F1581">
        <v>88.34</v>
      </c>
      <c r="G1581">
        <v>101.17</v>
      </c>
      <c r="H1581">
        <v>82.34</v>
      </c>
      <c r="K1581" s="9">
        <f t="shared" si="174"/>
        <v>0.28000000000000114</v>
      </c>
      <c r="L1581">
        <f t="shared" si="175"/>
        <v>0.28000000000000114</v>
      </c>
      <c r="M1581">
        <f t="shared" si="176"/>
        <v>-0.11999999999999744</v>
      </c>
      <c r="N1581">
        <f t="shared" si="177"/>
        <v>0.39000000000000057</v>
      </c>
      <c r="O1581">
        <f t="shared" si="178"/>
        <v>0.45000000000000284</v>
      </c>
      <c r="P1581" s="10">
        <f t="shared" si="179"/>
        <v>1.6700000000000017</v>
      </c>
    </row>
    <row r="1582" spans="1:16">
      <c r="A1582">
        <v>259.5</v>
      </c>
      <c r="B1582" s="42">
        <v>36.229999999999997</v>
      </c>
      <c r="C1582">
        <v>42.67</v>
      </c>
      <c r="D1582">
        <v>42.56</v>
      </c>
      <c r="E1582">
        <v>51.73</v>
      </c>
      <c r="F1582">
        <v>88.51</v>
      </c>
      <c r="G1582">
        <v>101.23</v>
      </c>
      <c r="H1582">
        <v>83.23</v>
      </c>
      <c r="K1582" s="9">
        <f t="shared" si="174"/>
        <v>0.5</v>
      </c>
      <c r="L1582">
        <f t="shared" si="175"/>
        <v>0.5</v>
      </c>
      <c r="M1582">
        <f t="shared" si="176"/>
        <v>-0.1699999999999946</v>
      </c>
      <c r="N1582">
        <f t="shared" si="177"/>
        <v>0.54999999999999716</v>
      </c>
      <c r="O1582">
        <f t="shared" si="178"/>
        <v>0.67000000000000171</v>
      </c>
      <c r="P1582" s="10">
        <f t="shared" si="179"/>
        <v>0</v>
      </c>
    </row>
    <row r="1583" spans="1:16">
      <c r="A1583">
        <v>259.67</v>
      </c>
      <c r="B1583" s="42">
        <v>36.229999999999997</v>
      </c>
      <c r="C1583">
        <v>42.78</v>
      </c>
      <c r="D1583">
        <v>42.67</v>
      </c>
      <c r="E1583">
        <v>51.67</v>
      </c>
      <c r="F1583">
        <v>88.51</v>
      </c>
      <c r="G1583">
        <v>101.45</v>
      </c>
      <c r="H1583">
        <v>83.73</v>
      </c>
      <c r="K1583" s="9">
        <f t="shared" si="174"/>
        <v>0.56000000000000227</v>
      </c>
      <c r="L1583">
        <f t="shared" si="175"/>
        <v>0.60999999999999943</v>
      </c>
      <c r="M1583">
        <f t="shared" si="176"/>
        <v>-0.27000000000000313</v>
      </c>
      <c r="N1583">
        <f t="shared" si="177"/>
        <v>0.43999999999999773</v>
      </c>
      <c r="O1583">
        <f t="shared" si="178"/>
        <v>0.60999999999999943</v>
      </c>
      <c r="P1583" s="10">
        <f t="shared" si="179"/>
        <v>-1.0600000000000023</v>
      </c>
    </row>
    <row r="1584" spans="1:16">
      <c r="A1584">
        <v>259.83</v>
      </c>
      <c r="B1584" s="42">
        <v>36.450000000000003</v>
      </c>
      <c r="C1584">
        <v>42.9</v>
      </c>
      <c r="D1584">
        <v>42.84</v>
      </c>
      <c r="E1584">
        <v>51.78</v>
      </c>
      <c r="F1584">
        <v>88.73</v>
      </c>
      <c r="G1584">
        <v>101.62</v>
      </c>
      <c r="H1584">
        <v>84.01</v>
      </c>
      <c r="K1584" s="9">
        <f t="shared" si="174"/>
        <v>0.77000000000000313</v>
      </c>
      <c r="L1584">
        <f t="shared" si="175"/>
        <v>0.60999999999999943</v>
      </c>
      <c r="M1584">
        <f t="shared" si="176"/>
        <v>-0.27000000000000313</v>
      </c>
      <c r="N1584">
        <f t="shared" si="177"/>
        <v>0.21999999999999886</v>
      </c>
      <c r="O1584">
        <f t="shared" si="178"/>
        <v>0.54999999999999716</v>
      </c>
      <c r="P1584" s="10">
        <f t="shared" si="179"/>
        <v>-1.3400000000000034</v>
      </c>
    </row>
    <row r="1585" spans="1:16">
      <c r="A1585">
        <v>260</v>
      </c>
      <c r="B1585" s="42">
        <v>36.67</v>
      </c>
      <c r="C1585">
        <v>43.17</v>
      </c>
      <c r="D1585">
        <v>43.06</v>
      </c>
      <c r="E1585">
        <v>51.56</v>
      </c>
      <c r="F1585">
        <v>89.06</v>
      </c>
      <c r="G1585">
        <v>101.9</v>
      </c>
      <c r="H1585">
        <v>83.23</v>
      </c>
      <c r="K1585" s="9">
        <f t="shared" si="174"/>
        <v>0.67000000000000171</v>
      </c>
      <c r="L1585">
        <f t="shared" si="175"/>
        <v>0.6699999999999946</v>
      </c>
      <c r="M1585">
        <f t="shared" si="176"/>
        <v>0</v>
      </c>
      <c r="N1585">
        <f t="shared" si="177"/>
        <v>-0.10999999999999943</v>
      </c>
      <c r="O1585">
        <f t="shared" si="178"/>
        <v>0.43999999999999773</v>
      </c>
      <c r="P1585" s="10">
        <f t="shared" si="179"/>
        <v>-1.0600000000000023</v>
      </c>
    </row>
    <row r="1586" spans="1:16">
      <c r="A1586">
        <v>260.17</v>
      </c>
      <c r="B1586" s="42">
        <v>36.950000000000003</v>
      </c>
      <c r="C1586">
        <v>43.34</v>
      </c>
      <c r="D1586">
        <v>43.28</v>
      </c>
      <c r="E1586">
        <v>51.4</v>
      </c>
      <c r="F1586">
        <v>88.95</v>
      </c>
      <c r="G1586">
        <v>102.06</v>
      </c>
      <c r="H1586">
        <v>82.67</v>
      </c>
      <c r="K1586" s="9">
        <f t="shared" si="174"/>
        <v>0.6699999999999946</v>
      </c>
      <c r="L1586">
        <f t="shared" si="175"/>
        <v>0.61999999999999744</v>
      </c>
      <c r="M1586">
        <f t="shared" si="176"/>
        <v>0.38000000000000256</v>
      </c>
      <c r="N1586">
        <f t="shared" si="177"/>
        <v>-0.28000000000000114</v>
      </c>
      <c r="O1586">
        <f t="shared" si="178"/>
        <v>0.5</v>
      </c>
      <c r="P1586" s="10">
        <f t="shared" si="179"/>
        <v>-0.89000000000000057</v>
      </c>
    </row>
    <row r="1587" spans="1:16">
      <c r="A1587">
        <v>260.33</v>
      </c>
      <c r="B1587" s="42">
        <v>36.950000000000003</v>
      </c>
      <c r="C1587">
        <v>43.67</v>
      </c>
      <c r="D1587">
        <v>43.45</v>
      </c>
      <c r="E1587">
        <v>51.51</v>
      </c>
      <c r="F1587">
        <v>88.95</v>
      </c>
      <c r="G1587">
        <v>102.17</v>
      </c>
      <c r="H1587">
        <v>82.67</v>
      </c>
      <c r="K1587" s="9">
        <f t="shared" si="174"/>
        <v>0.67000000000000171</v>
      </c>
      <c r="L1587">
        <f t="shared" si="175"/>
        <v>0.82999999999999829</v>
      </c>
      <c r="M1587">
        <f t="shared" si="176"/>
        <v>0.60999999999999943</v>
      </c>
      <c r="N1587">
        <f t="shared" si="177"/>
        <v>-0.71999999999999886</v>
      </c>
      <c r="O1587">
        <f t="shared" si="178"/>
        <v>0.60999999999999943</v>
      </c>
      <c r="P1587" s="10">
        <f t="shared" si="179"/>
        <v>-1.8900000000000006</v>
      </c>
    </row>
    <row r="1588" spans="1:16">
      <c r="A1588">
        <v>260.5</v>
      </c>
      <c r="B1588" s="42">
        <v>37.01</v>
      </c>
      <c r="C1588">
        <v>43.84</v>
      </c>
      <c r="D1588">
        <v>43.73</v>
      </c>
      <c r="E1588">
        <v>51.56</v>
      </c>
      <c r="F1588">
        <v>88.95</v>
      </c>
      <c r="G1588">
        <v>102.34</v>
      </c>
      <c r="H1588">
        <v>82.17</v>
      </c>
      <c r="K1588" s="9">
        <f t="shared" si="174"/>
        <v>0.6699999999999946</v>
      </c>
      <c r="L1588">
        <f t="shared" si="175"/>
        <v>0.78000000000000114</v>
      </c>
      <c r="M1588">
        <f t="shared" si="176"/>
        <v>0.94999999999999574</v>
      </c>
      <c r="N1588">
        <f t="shared" si="177"/>
        <v>-1.1700000000000017</v>
      </c>
      <c r="O1588">
        <f t="shared" si="178"/>
        <v>0.56000000000000227</v>
      </c>
      <c r="P1588" s="10">
        <f t="shared" si="179"/>
        <v>-2.769999999999996</v>
      </c>
    </row>
    <row r="1589" spans="1:16">
      <c r="A1589">
        <v>260.67</v>
      </c>
      <c r="B1589" s="42">
        <v>37.17</v>
      </c>
      <c r="C1589">
        <v>44.01</v>
      </c>
      <c r="D1589">
        <v>43.9</v>
      </c>
      <c r="E1589">
        <v>51.78</v>
      </c>
      <c r="F1589">
        <v>88.67</v>
      </c>
      <c r="G1589">
        <v>102.56</v>
      </c>
      <c r="H1589">
        <v>81.78</v>
      </c>
      <c r="K1589" s="9">
        <f t="shared" si="174"/>
        <v>0.89000000000000057</v>
      </c>
      <c r="L1589">
        <f t="shared" si="175"/>
        <v>0.94000000000000483</v>
      </c>
      <c r="M1589">
        <f t="shared" si="176"/>
        <v>1</v>
      </c>
      <c r="N1589">
        <f t="shared" si="177"/>
        <v>-1.6099999999999994</v>
      </c>
      <c r="O1589">
        <f t="shared" si="178"/>
        <v>0.5</v>
      </c>
      <c r="P1589" s="10">
        <f t="shared" si="179"/>
        <v>-3.0499999999999972</v>
      </c>
    </row>
    <row r="1590" spans="1:16">
      <c r="A1590">
        <v>260.83</v>
      </c>
      <c r="B1590" s="42">
        <v>37.450000000000003</v>
      </c>
      <c r="C1590">
        <v>44.34</v>
      </c>
      <c r="D1590">
        <v>44.28</v>
      </c>
      <c r="E1590">
        <v>52.12</v>
      </c>
      <c r="F1590">
        <v>88.23</v>
      </c>
      <c r="G1590">
        <v>102.78</v>
      </c>
      <c r="H1590">
        <v>80.78</v>
      </c>
      <c r="K1590" s="9">
        <f t="shared" si="174"/>
        <v>0.77999999999999403</v>
      </c>
      <c r="L1590">
        <f t="shared" si="175"/>
        <v>0.89000000000000057</v>
      </c>
      <c r="M1590">
        <f t="shared" si="176"/>
        <v>1</v>
      </c>
      <c r="N1590">
        <f t="shared" si="177"/>
        <v>-1.3900000000000006</v>
      </c>
      <c r="O1590">
        <f t="shared" si="178"/>
        <v>0.45000000000000284</v>
      </c>
      <c r="P1590" s="10">
        <f t="shared" si="179"/>
        <v>-2.7199999999999989</v>
      </c>
    </row>
    <row r="1591" spans="1:16">
      <c r="A1591">
        <v>261</v>
      </c>
      <c r="B1591" s="42">
        <v>37.619999999999997</v>
      </c>
      <c r="C1591">
        <v>44.51</v>
      </c>
      <c r="D1591">
        <v>44.51</v>
      </c>
      <c r="E1591">
        <v>52.51</v>
      </c>
      <c r="F1591">
        <v>87.78</v>
      </c>
      <c r="G1591">
        <v>102.9</v>
      </c>
      <c r="H1591">
        <v>79.400000000000006</v>
      </c>
      <c r="K1591" s="9">
        <f t="shared" si="174"/>
        <v>0.8300000000000054</v>
      </c>
      <c r="L1591">
        <f t="shared" si="175"/>
        <v>0.89000000000000057</v>
      </c>
      <c r="M1591">
        <f t="shared" si="176"/>
        <v>1.0500000000000043</v>
      </c>
      <c r="N1591">
        <f t="shared" si="177"/>
        <v>-1.5499999999999972</v>
      </c>
      <c r="O1591">
        <f t="shared" si="178"/>
        <v>0.5</v>
      </c>
      <c r="P1591" s="10">
        <f t="shared" si="179"/>
        <v>-0.67000000000000171</v>
      </c>
    </row>
    <row r="1592" spans="1:16">
      <c r="A1592">
        <v>261.17</v>
      </c>
      <c r="B1592" s="42">
        <v>37.840000000000003</v>
      </c>
      <c r="C1592">
        <v>44.9</v>
      </c>
      <c r="D1592">
        <v>44.84</v>
      </c>
      <c r="E1592">
        <v>52.78</v>
      </c>
      <c r="F1592">
        <v>87.06</v>
      </c>
      <c r="G1592">
        <v>103.06</v>
      </c>
      <c r="H1592">
        <v>78.73</v>
      </c>
      <c r="K1592" s="9">
        <f t="shared" si="174"/>
        <v>0.60999999999999943</v>
      </c>
      <c r="L1592">
        <f t="shared" si="175"/>
        <v>0.71999999999999886</v>
      </c>
      <c r="M1592">
        <f t="shared" si="176"/>
        <v>1.2800000000000011</v>
      </c>
      <c r="N1592">
        <f t="shared" si="177"/>
        <v>-1.2800000000000011</v>
      </c>
      <c r="O1592">
        <f t="shared" si="178"/>
        <v>0.34000000000000341</v>
      </c>
      <c r="P1592" s="10">
        <f t="shared" si="179"/>
        <v>-0.17000000000000171</v>
      </c>
    </row>
    <row r="1593" spans="1:16">
      <c r="A1593">
        <v>261.33</v>
      </c>
      <c r="B1593" s="42">
        <v>37.950000000000003</v>
      </c>
      <c r="C1593">
        <v>45.12</v>
      </c>
      <c r="D1593">
        <v>45.17</v>
      </c>
      <c r="E1593">
        <v>53.12</v>
      </c>
      <c r="F1593">
        <v>86.84</v>
      </c>
      <c r="G1593">
        <v>103.23</v>
      </c>
      <c r="H1593">
        <v>78.06</v>
      </c>
      <c r="K1593" s="9">
        <f t="shared" si="174"/>
        <v>0.60999999999999943</v>
      </c>
      <c r="L1593">
        <f t="shared" si="175"/>
        <v>0.60999999999999943</v>
      </c>
      <c r="M1593">
        <f t="shared" si="176"/>
        <v>1.220000000000006</v>
      </c>
      <c r="N1593">
        <f t="shared" si="177"/>
        <v>-1.6700000000000017</v>
      </c>
      <c r="O1593">
        <f t="shared" si="178"/>
        <v>0.32999999999999829</v>
      </c>
      <c r="P1593" s="10">
        <f t="shared" si="179"/>
        <v>-0.32999999999999829</v>
      </c>
    </row>
    <row r="1594" spans="1:16">
      <c r="A1594">
        <v>261.5</v>
      </c>
      <c r="B1594" s="42">
        <v>38.06</v>
      </c>
      <c r="C1594">
        <v>45.34</v>
      </c>
      <c r="D1594">
        <v>45.4</v>
      </c>
      <c r="E1594">
        <v>53.56</v>
      </c>
      <c r="F1594">
        <v>86.23</v>
      </c>
      <c r="G1594">
        <v>103.4</v>
      </c>
      <c r="H1594">
        <v>78.73</v>
      </c>
      <c r="K1594" s="9">
        <f t="shared" si="174"/>
        <v>0.55999999999999517</v>
      </c>
      <c r="L1594">
        <f t="shared" si="175"/>
        <v>0.5</v>
      </c>
      <c r="M1594">
        <f t="shared" si="176"/>
        <v>1.2199999999999989</v>
      </c>
      <c r="N1594">
        <f t="shared" si="177"/>
        <v>-2</v>
      </c>
      <c r="O1594">
        <f t="shared" si="178"/>
        <v>0.21999999999999886</v>
      </c>
      <c r="P1594" s="10">
        <f t="shared" si="179"/>
        <v>-0.89000000000000057</v>
      </c>
    </row>
    <row r="1595" spans="1:16">
      <c r="A1595">
        <v>261.67</v>
      </c>
      <c r="B1595" s="42">
        <v>38.06</v>
      </c>
      <c r="C1595">
        <v>45.51</v>
      </c>
      <c r="D1595">
        <v>45.56</v>
      </c>
      <c r="E1595">
        <v>54.06</v>
      </c>
      <c r="F1595">
        <v>85.78</v>
      </c>
      <c r="G1595">
        <v>103.4</v>
      </c>
      <c r="H1595">
        <v>78.56</v>
      </c>
      <c r="K1595" s="9">
        <f t="shared" si="174"/>
        <v>0.55000000000000426</v>
      </c>
      <c r="L1595">
        <f t="shared" si="175"/>
        <v>0.5</v>
      </c>
      <c r="M1595">
        <f t="shared" si="176"/>
        <v>1.1099999999999994</v>
      </c>
      <c r="N1595">
        <f t="shared" si="177"/>
        <v>-2.8299999999999983</v>
      </c>
      <c r="O1595">
        <f t="shared" si="178"/>
        <v>0.15999999999999659</v>
      </c>
      <c r="P1595" s="10">
        <f t="shared" si="179"/>
        <v>-0.15999999999999659</v>
      </c>
    </row>
    <row r="1596" spans="1:16">
      <c r="A1596">
        <v>261.83</v>
      </c>
      <c r="B1596" s="42">
        <v>38.01</v>
      </c>
      <c r="C1596">
        <v>45.73</v>
      </c>
      <c r="D1596">
        <v>45.78</v>
      </c>
      <c r="E1596">
        <v>54.34</v>
      </c>
      <c r="F1596">
        <v>85.17</v>
      </c>
      <c r="G1596">
        <v>103.56</v>
      </c>
      <c r="H1596">
        <v>77.73</v>
      </c>
      <c r="K1596" s="9">
        <f t="shared" si="174"/>
        <v>0.44000000000000483</v>
      </c>
      <c r="L1596">
        <f t="shared" si="175"/>
        <v>0.39000000000000057</v>
      </c>
      <c r="M1596">
        <f t="shared" si="176"/>
        <v>1.279999999999994</v>
      </c>
      <c r="N1596">
        <f t="shared" si="177"/>
        <v>-3.269999999999996</v>
      </c>
      <c r="O1596">
        <f t="shared" si="178"/>
        <v>-0.10999999999999943</v>
      </c>
      <c r="P1596" s="10">
        <f t="shared" si="179"/>
        <v>1.1099999999999994</v>
      </c>
    </row>
    <row r="1597" spans="1:16">
      <c r="A1597">
        <v>262</v>
      </c>
      <c r="B1597" s="42">
        <v>38.01</v>
      </c>
      <c r="C1597">
        <v>45.9</v>
      </c>
      <c r="D1597">
        <v>45.9</v>
      </c>
      <c r="E1597">
        <v>54.78</v>
      </c>
      <c r="F1597">
        <v>84.23</v>
      </c>
      <c r="G1597">
        <v>103.62</v>
      </c>
      <c r="H1597">
        <v>77.84</v>
      </c>
      <c r="K1597" s="9">
        <f t="shared" si="174"/>
        <v>0.44000000000000483</v>
      </c>
      <c r="L1597">
        <f t="shared" si="175"/>
        <v>0.44000000000000483</v>
      </c>
      <c r="M1597">
        <f t="shared" si="176"/>
        <v>1.2800000000000011</v>
      </c>
      <c r="N1597">
        <f t="shared" si="177"/>
        <v>-3.1099999999999994</v>
      </c>
      <c r="O1597">
        <f t="shared" si="178"/>
        <v>-0.28000000000000114</v>
      </c>
      <c r="P1597" s="10">
        <f t="shared" si="179"/>
        <v>1.9399999999999977</v>
      </c>
    </row>
    <row r="1598" spans="1:16">
      <c r="A1598">
        <v>262.17</v>
      </c>
      <c r="B1598" s="42">
        <v>38.119999999999997</v>
      </c>
      <c r="C1598">
        <v>46.06</v>
      </c>
      <c r="D1598">
        <v>46.06</v>
      </c>
      <c r="E1598">
        <v>55.17</v>
      </c>
      <c r="F1598">
        <v>82.95</v>
      </c>
      <c r="G1598">
        <v>103.56</v>
      </c>
      <c r="H1598">
        <v>78.400000000000006</v>
      </c>
      <c r="K1598" s="9">
        <f t="shared" si="174"/>
        <v>0.39000000000000057</v>
      </c>
      <c r="L1598">
        <f t="shared" si="175"/>
        <v>0.39000000000000057</v>
      </c>
      <c r="M1598">
        <f t="shared" si="176"/>
        <v>1.2800000000000011</v>
      </c>
      <c r="N1598">
        <f t="shared" si="177"/>
        <v>-3.1099999999999994</v>
      </c>
      <c r="O1598">
        <f t="shared" si="178"/>
        <v>-0.5</v>
      </c>
      <c r="P1598" s="10">
        <f t="shared" si="179"/>
        <v>1.8299999999999983</v>
      </c>
    </row>
    <row r="1599" spans="1:16">
      <c r="A1599">
        <v>262.33</v>
      </c>
      <c r="B1599" s="42">
        <v>38.06</v>
      </c>
      <c r="C1599">
        <v>46.17</v>
      </c>
      <c r="D1599">
        <v>46.17</v>
      </c>
      <c r="E1599">
        <v>55.62</v>
      </c>
      <c r="F1599">
        <v>81.900000000000006</v>
      </c>
      <c r="G1599">
        <v>103.45</v>
      </c>
      <c r="H1599">
        <v>78.84</v>
      </c>
      <c r="K1599" s="9">
        <f t="shared" si="174"/>
        <v>0.28000000000000114</v>
      </c>
      <c r="L1599">
        <f t="shared" si="175"/>
        <v>0.33999999999999631</v>
      </c>
      <c r="M1599">
        <f t="shared" si="176"/>
        <v>1.220000000000006</v>
      </c>
      <c r="N1599">
        <f t="shared" si="177"/>
        <v>-2.5600000000000023</v>
      </c>
      <c r="O1599">
        <f t="shared" si="178"/>
        <v>-0.43999999999999773</v>
      </c>
      <c r="P1599" s="10">
        <f t="shared" si="179"/>
        <v>2.0600000000000023</v>
      </c>
    </row>
    <row r="1600" spans="1:16">
      <c r="A1600">
        <v>262.5</v>
      </c>
      <c r="B1600" s="42">
        <v>38.17</v>
      </c>
      <c r="C1600">
        <v>46.34</v>
      </c>
      <c r="D1600">
        <v>46.34</v>
      </c>
      <c r="E1600">
        <v>56.06</v>
      </c>
      <c r="F1600">
        <v>81.12</v>
      </c>
      <c r="G1600">
        <v>103.34</v>
      </c>
      <c r="H1600">
        <v>79.78</v>
      </c>
      <c r="K1600" s="9">
        <f t="shared" si="174"/>
        <v>0.21999999999999886</v>
      </c>
      <c r="L1600">
        <f t="shared" si="175"/>
        <v>0.27999999999999403</v>
      </c>
      <c r="M1600">
        <f t="shared" si="176"/>
        <v>1.1699999999999946</v>
      </c>
      <c r="N1600">
        <f t="shared" si="177"/>
        <v>-2.5</v>
      </c>
      <c r="O1600">
        <f t="shared" si="178"/>
        <v>-0.43999999999999773</v>
      </c>
      <c r="P1600" s="10">
        <f t="shared" si="179"/>
        <v>1.3900000000000006</v>
      </c>
    </row>
    <row r="1601" spans="1:16">
      <c r="A1601">
        <v>262.67</v>
      </c>
      <c r="B1601" s="42">
        <v>38.28</v>
      </c>
      <c r="C1601">
        <v>46.45</v>
      </c>
      <c r="D1601">
        <v>46.45</v>
      </c>
      <c r="E1601">
        <v>56.45</v>
      </c>
      <c r="F1601">
        <v>79.84</v>
      </c>
      <c r="G1601">
        <v>103.06</v>
      </c>
      <c r="H1601">
        <v>80.23</v>
      </c>
      <c r="K1601" s="9">
        <f t="shared" si="174"/>
        <v>0.21999999999999886</v>
      </c>
      <c r="L1601">
        <f t="shared" si="175"/>
        <v>0.21999999999999886</v>
      </c>
      <c r="M1601">
        <f t="shared" si="176"/>
        <v>1.1099999999999994</v>
      </c>
      <c r="N1601">
        <f t="shared" si="177"/>
        <v>-1.6700000000000017</v>
      </c>
      <c r="O1601">
        <f t="shared" si="178"/>
        <v>-0.5</v>
      </c>
      <c r="P1601" s="10">
        <f t="shared" si="179"/>
        <v>0.93999999999999773</v>
      </c>
    </row>
    <row r="1602" spans="1:16">
      <c r="A1602">
        <v>262.83</v>
      </c>
      <c r="B1602" s="42">
        <v>38.450000000000003</v>
      </c>
      <c r="C1602">
        <v>46.45</v>
      </c>
      <c r="D1602">
        <v>46.51</v>
      </c>
      <c r="E1602">
        <v>56.84</v>
      </c>
      <c r="F1602">
        <v>79.34</v>
      </c>
      <c r="G1602">
        <v>103.01</v>
      </c>
      <c r="H1602">
        <v>80.900000000000006</v>
      </c>
      <c r="K1602" s="9">
        <f t="shared" si="174"/>
        <v>0.39000000000000057</v>
      </c>
      <c r="L1602">
        <f t="shared" si="175"/>
        <v>0.27000000000000313</v>
      </c>
      <c r="M1602">
        <f t="shared" si="176"/>
        <v>1.1099999999999994</v>
      </c>
      <c r="N1602">
        <f t="shared" si="177"/>
        <v>-1.2800000000000011</v>
      </c>
      <c r="O1602">
        <f t="shared" si="178"/>
        <v>-0.73000000000000398</v>
      </c>
      <c r="P1602" s="10">
        <f t="shared" si="179"/>
        <v>0.82999999999999829</v>
      </c>
    </row>
    <row r="1603" spans="1:16">
      <c r="A1603">
        <v>263</v>
      </c>
      <c r="B1603" s="42">
        <v>38.51</v>
      </c>
      <c r="C1603">
        <v>46.56</v>
      </c>
      <c r="D1603">
        <v>46.62</v>
      </c>
      <c r="E1603">
        <v>57.23</v>
      </c>
      <c r="F1603">
        <v>78.62</v>
      </c>
      <c r="G1603">
        <v>102.9</v>
      </c>
      <c r="H1603">
        <v>81.17</v>
      </c>
      <c r="K1603" s="9">
        <f t="shared" si="174"/>
        <v>0.44999999999999574</v>
      </c>
      <c r="L1603">
        <f t="shared" si="175"/>
        <v>0.3300000000000054</v>
      </c>
      <c r="M1603">
        <f t="shared" si="176"/>
        <v>1.0500000000000043</v>
      </c>
      <c r="N1603">
        <f t="shared" si="177"/>
        <v>-0.71999999999999886</v>
      </c>
      <c r="O1603">
        <f t="shared" si="178"/>
        <v>-0.84000000000000341</v>
      </c>
      <c r="P1603" s="10">
        <f t="shared" si="179"/>
        <v>0.95000000000000284</v>
      </c>
    </row>
    <row r="1604" spans="1:16">
      <c r="A1604">
        <v>263.17</v>
      </c>
      <c r="B1604" s="42">
        <v>38.619999999999997</v>
      </c>
      <c r="C1604">
        <v>46.67</v>
      </c>
      <c r="D1604">
        <v>46.67</v>
      </c>
      <c r="E1604">
        <v>57.56</v>
      </c>
      <c r="F1604">
        <v>78.17</v>
      </c>
      <c r="G1604">
        <v>102.56</v>
      </c>
      <c r="H1604">
        <v>81.17</v>
      </c>
      <c r="K1604" s="9">
        <f t="shared" si="174"/>
        <v>0.33999999999999631</v>
      </c>
      <c r="L1604">
        <f t="shared" si="175"/>
        <v>0.33999999999999631</v>
      </c>
      <c r="M1604">
        <f t="shared" si="176"/>
        <v>1.0599999999999952</v>
      </c>
      <c r="N1604">
        <f t="shared" si="177"/>
        <v>-0.71999999999999886</v>
      </c>
      <c r="O1604">
        <f t="shared" si="178"/>
        <v>-0.65999999999999659</v>
      </c>
      <c r="P1604" s="10">
        <f t="shared" si="179"/>
        <v>0.17000000000000171</v>
      </c>
    </row>
    <row r="1605" spans="1:16">
      <c r="A1605">
        <v>263.33</v>
      </c>
      <c r="B1605" s="42">
        <v>38.78</v>
      </c>
      <c r="C1605">
        <v>46.84</v>
      </c>
      <c r="D1605">
        <v>46.78</v>
      </c>
      <c r="E1605">
        <v>57.95</v>
      </c>
      <c r="F1605">
        <v>78.06</v>
      </c>
      <c r="G1605">
        <v>102.28</v>
      </c>
      <c r="H1605">
        <v>81.73</v>
      </c>
      <c r="K1605" s="9">
        <f t="shared" si="174"/>
        <v>0.1699999999999946</v>
      </c>
      <c r="L1605">
        <f t="shared" si="175"/>
        <v>0.22999999999999687</v>
      </c>
      <c r="M1605">
        <f t="shared" si="176"/>
        <v>0.94999999999999574</v>
      </c>
      <c r="N1605">
        <f t="shared" si="177"/>
        <v>-0.78000000000000114</v>
      </c>
      <c r="O1605">
        <f t="shared" si="178"/>
        <v>-0.65999999999999659</v>
      </c>
      <c r="P1605" s="10">
        <f t="shared" si="179"/>
        <v>-0.78000000000000114</v>
      </c>
    </row>
    <row r="1606" spans="1:16">
      <c r="A1606">
        <v>263.5</v>
      </c>
      <c r="B1606" s="42">
        <v>38.9</v>
      </c>
      <c r="C1606">
        <v>47.01</v>
      </c>
      <c r="D1606">
        <v>46.95</v>
      </c>
      <c r="E1606">
        <v>58.28</v>
      </c>
      <c r="F1606">
        <v>77.900000000000006</v>
      </c>
      <c r="G1606">
        <v>102.06</v>
      </c>
      <c r="H1606">
        <v>82.12</v>
      </c>
      <c r="K1606" s="9">
        <f t="shared" si="174"/>
        <v>0.10999999999999943</v>
      </c>
      <c r="L1606">
        <f t="shared" si="175"/>
        <v>0.1699999999999946</v>
      </c>
      <c r="M1606">
        <f t="shared" si="176"/>
        <v>0.94999999999999574</v>
      </c>
      <c r="N1606">
        <f t="shared" si="177"/>
        <v>-1.1200000000000045</v>
      </c>
      <c r="O1606">
        <f t="shared" si="178"/>
        <v>-0.60999999999999943</v>
      </c>
      <c r="P1606" s="10">
        <f t="shared" si="179"/>
        <v>-1.6099999999999994</v>
      </c>
    </row>
    <row r="1607" spans="1:16">
      <c r="A1607">
        <v>263.67</v>
      </c>
      <c r="B1607" s="42">
        <v>38.950000000000003</v>
      </c>
      <c r="C1607">
        <v>47.01</v>
      </c>
      <c r="D1607">
        <v>47.01</v>
      </c>
      <c r="E1607">
        <v>58.62</v>
      </c>
      <c r="F1607">
        <v>77.45</v>
      </c>
      <c r="G1607">
        <v>101.9</v>
      </c>
      <c r="H1607">
        <v>81.34</v>
      </c>
      <c r="K1607" s="9">
        <f t="shared" si="174"/>
        <v>0.21999999999999886</v>
      </c>
      <c r="L1607">
        <f t="shared" si="175"/>
        <v>0.16000000000000369</v>
      </c>
      <c r="M1607">
        <f t="shared" si="176"/>
        <v>0.89000000000000057</v>
      </c>
      <c r="N1607">
        <f t="shared" si="177"/>
        <v>-1.6700000000000017</v>
      </c>
      <c r="O1607">
        <f t="shared" si="178"/>
        <v>-0.73000000000000398</v>
      </c>
      <c r="P1607" s="10">
        <f t="shared" si="179"/>
        <v>-0.28000000000000114</v>
      </c>
    </row>
    <row r="1608" spans="1:16">
      <c r="A1608">
        <v>263.83</v>
      </c>
      <c r="B1608" s="42">
        <v>38.78</v>
      </c>
      <c r="C1608">
        <v>47.01</v>
      </c>
      <c r="D1608">
        <v>47.01</v>
      </c>
      <c r="E1608">
        <v>58.9</v>
      </c>
      <c r="F1608">
        <v>77.28</v>
      </c>
      <c r="G1608">
        <v>101.62</v>
      </c>
      <c r="H1608">
        <v>80.95</v>
      </c>
      <c r="K1608" s="9">
        <f t="shared" si="174"/>
        <v>0.39000000000000057</v>
      </c>
      <c r="L1608">
        <f t="shared" si="175"/>
        <v>0.3300000000000054</v>
      </c>
      <c r="M1608">
        <f t="shared" si="176"/>
        <v>0.82999999999999829</v>
      </c>
      <c r="N1608">
        <f t="shared" si="177"/>
        <v>-1.6599999999999966</v>
      </c>
      <c r="O1608">
        <f t="shared" si="178"/>
        <v>-0.71999999999999886</v>
      </c>
      <c r="P1608" s="10">
        <f t="shared" si="179"/>
        <v>-0.10999999999999943</v>
      </c>
    </row>
    <row r="1609" spans="1:16">
      <c r="A1609">
        <v>264</v>
      </c>
      <c r="B1609" s="42">
        <v>38.840000000000003</v>
      </c>
      <c r="C1609">
        <v>47.12</v>
      </c>
      <c r="D1609">
        <v>47.12</v>
      </c>
      <c r="E1609">
        <v>59.23</v>
      </c>
      <c r="F1609">
        <v>76.78</v>
      </c>
      <c r="G1609">
        <v>101.45</v>
      </c>
      <c r="H1609">
        <v>80.510000000000005</v>
      </c>
      <c r="K1609" s="9">
        <f t="shared" si="174"/>
        <v>0.5</v>
      </c>
      <c r="L1609">
        <f t="shared" si="175"/>
        <v>0.39000000000000057</v>
      </c>
      <c r="M1609">
        <f t="shared" si="176"/>
        <v>0.78000000000000114</v>
      </c>
      <c r="N1609">
        <f t="shared" si="177"/>
        <v>-1.1599999999999966</v>
      </c>
      <c r="O1609">
        <f t="shared" si="178"/>
        <v>-0.60999999999999943</v>
      </c>
      <c r="P1609" s="10">
        <f t="shared" si="179"/>
        <v>0.15999999999999659</v>
      </c>
    </row>
    <row r="1610" spans="1:16">
      <c r="A1610">
        <v>264.17</v>
      </c>
      <c r="B1610" s="42">
        <v>38.840000000000003</v>
      </c>
      <c r="C1610">
        <v>47.23</v>
      </c>
      <c r="D1610">
        <v>47.17</v>
      </c>
      <c r="E1610">
        <v>59.51</v>
      </c>
      <c r="F1610">
        <v>75.78</v>
      </c>
      <c r="G1610">
        <v>101.17</v>
      </c>
      <c r="H1610">
        <v>81.06</v>
      </c>
      <c r="K1610" s="9">
        <f t="shared" si="174"/>
        <v>0.44000000000000483</v>
      </c>
      <c r="L1610">
        <f t="shared" si="175"/>
        <v>0.44999999999999574</v>
      </c>
      <c r="M1610">
        <f t="shared" si="176"/>
        <v>0.66000000000000369</v>
      </c>
      <c r="N1610">
        <f t="shared" si="177"/>
        <v>-1.1099999999999994</v>
      </c>
      <c r="O1610">
        <f t="shared" si="178"/>
        <v>-0.54999999999999716</v>
      </c>
      <c r="P1610" s="10">
        <f t="shared" si="179"/>
        <v>-0.65999999999999659</v>
      </c>
    </row>
    <row r="1611" spans="1:16">
      <c r="A1611">
        <v>264.33</v>
      </c>
      <c r="B1611" s="42">
        <v>38.950000000000003</v>
      </c>
      <c r="C1611">
        <v>47.4</v>
      </c>
      <c r="D1611">
        <v>47.34</v>
      </c>
      <c r="E1611">
        <v>59.73</v>
      </c>
      <c r="F1611">
        <v>75.62</v>
      </c>
      <c r="G1611">
        <v>100.9</v>
      </c>
      <c r="H1611">
        <v>80.84</v>
      </c>
      <c r="K1611" s="9">
        <f t="shared" si="174"/>
        <v>0.38000000000000256</v>
      </c>
      <c r="L1611">
        <f t="shared" si="175"/>
        <v>0.43999999999999773</v>
      </c>
      <c r="M1611">
        <f t="shared" si="176"/>
        <v>0.72000000000000597</v>
      </c>
      <c r="N1611">
        <f t="shared" si="177"/>
        <v>-0.89000000000000057</v>
      </c>
      <c r="O1611">
        <f t="shared" si="178"/>
        <v>-0.45000000000000284</v>
      </c>
      <c r="P1611" s="10">
        <f t="shared" si="179"/>
        <v>-0.32999999999999829</v>
      </c>
    </row>
    <row r="1612" spans="1:16">
      <c r="A1612">
        <v>264.5</v>
      </c>
      <c r="B1612" s="42">
        <v>39.17</v>
      </c>
      <c r="C1612">
        <v>47.62</v>
      </c>
      <c r="D1612">
        <v>47.51</v>
      </c>
      <c r="E1612">
        <v>60.01</v>
      </c>
      <c r="F1612">
        <v>75.62</v>
      </c>
      <c r="G1612">
        <v>100.84</v>
      </c>
      <c r="H1612">
        <v>80.67</v>
      </c>
      <c r="K1612" s="9">
        <f t="shared" si="174"/>
        <v>0.16000000000000369</v>
      </c>
      <c r="L1612">
        <f t="shared" si="175"/>
        <v>0.39000000000000057</v>
      </c>
      <c r="M1612">
        <f t="shared" si="176"/>
        <v>0.60999999999999943</v>
      </c>
      <c r="N1612">
        <f t="shared" si="177"/>
        <v>-1.1099999999999994</v>
      </c>
      <c r="O1612">
        <f t="shared" si="178"/>
        <v>-0.5</v>
      </c>
      <c r="P1612" s="10">
        <f t="shared" si="179"/>
        <v>0.10999999999999943</v>
      </c>
    </row>
    <row r="1613" spans="1:16">
      <c r="A1613">
        <v>264.67</v>
      </c>
      <c r="B1613" s="42">
        <v>39.119999999999997</v>
      </c>
      <c r="C1613">
        <v>47.67</v>
      </c>
      <c r="D1613">
        <v>47.62</v>
      </c>
      <c r="E1613">
        <v>60.17</v>
      </c>
      <c r="F1613">
        <v>74.67</v>
      </c>
      <c r="G1613">
        <v>100.62</v>
      </c>
      <c r="H1613">
        <v>80.400000000000006</v>
      </c>
      <c r="K1613" s="9">
        <f t="shared" si="174"/>
        <v>0.10999999999999943</v>
      </c>
      <c r="L1613">
        <f t="shared" si="175"/>
        <v>0.28000000000000114</v>
      </c>
      <c r="M1613">
        <f t="shared" si="176"/>
        <v>0.78000000000000114</v>
      </c>
      <c r="N1613">
        <f t="shared" si="177"/>
        <v>-0.15999999999999659</v>
      </c>
      <c r="O1613">
        <f t="shared" si="178"/>
        <v>-0.39000000000000057</v>
      </c>
      <c r="P1613" s="10">
        <f t="shared" si="179"/>
        <v>-0.28000000000000114</v>
      </c>
    </row>
    <row r="1614" spans="1:16">
      <c r="A1614">
        <v>264.83</v>
      </c>
      <c r="B1614" s="42">
        <v>39.119999999999997</v>
      </c>
      <c r="C1614">
        <v>47.78</v>
      </c>
      <c r="D1614">
        <v>47.78</v>
      </c>
      <c r="E1614">
        <v>60.45</v>
      </c>
      <c r="F1614">
        <v>74.73</v>
      </c>
      <c r="G1614">
        <v>100.45</v>
      </c>
      <c r="H1614">
        <v>80.510000000000005</v>
      </c>
      <c r="K1614" s="9">
        <f t="shared" si="174"/>
        <v>0.22999999999999687</v>
      </c>
      <c r="L1614">
        <f t="shared" si="175"/>
        <v>0.22999999999999687</v>
      </c>
      <c r="M1614">
        <f t="shared" si="176"/>
        <v>0.71999999999999886</v>
      </c>
      <c r="N1614">
        <f t="shared" si="177"/>
        <v>-0.28000000000000114</v>
      </c>
      <c r="O1614">
        <f t="shared" si="178"/>
        <v>-0.32999999999999829</v>
      </c>
      <c r="P1614" s="10">
        <f t="shared" si="179"/>
        <v>0.39000000000000057</v>
      </c>
    </row>
    <row r="1615" spans="1:16">
      <c r="A1615">
        <v>265</v>
      </c>
      <c r="B1615" s="42">
        <v>39.06</v>
      </c>
      <c r="C1615">
        <v>47.78</v>
      </c>
      <c r="D1615">
        <v>47.9</v>
      </c>
      <c r="E1615">
        <v>60.62</v>
      </c>
      <c r="F1615">
        <v>74.510000000000005</v>
      </c>
      <c r="G1615">
        <v>100.34</v>
      </c>
      <c r="H1615">
        <v>80.78</v>
      </c>
      <c r="K1615" s="9">
        <f t="shared" si="174"/>
        <v>0.28000000000000114</v>
      </c>
      <c r="L1615">
        <f t="shared" si="175"/>
        <v>0.16000000000000369</v>
      </c>
      <c r="M1615">
        <f t="shared" si="176"/>
        <v>0.72000000000000597</v>
      </c>
      <c r="N1615">
        <f t="shared" si="177"/>
        <v>-0.34000000000000341</v>
      </c>
      <c r="O1615">
        <f t="shared" si="178"/>
        <v>-0.28000000000000114</v>
      </c>
      <c r="P1615" s="10">
        <f t="shared" si="179"/>
        <v>0</v>
      </c>
    </row>
    <row r="1616" spans="1:16">
      <c r="A1616">
        <v>265.17</v>
      </c>
      <c r="B1616" s="42">
        <v>39.06</v>
      </c>
      <c r="C1616">
        <v>47.78</v>
      </c>
      <c r="D1616">
        <v>47.9</v>
      </c>
      <c r="E1616">
        <v>60.95</v>
      </c>
      <c r="F1616">
        <v>74.510000000000005</v>
      </c>
      <c r="G1616">
        <v>100.23</v>
      </c>
      <c r="H1616">
        <v>80.12</v>
      </c>
      <c r="K1616" s="9">
        <f t="shared" si="174"/>
        <v>0.5</v>
      </c>
      <c r="L1616">
        <f t="shared" si="175"/>
        <v>0.27000000000000313</v>
      </c>
      <c r="M1616">
        <f t="shared" si="176"/>
        <v>0.55999999999999517</v>
      </c>
      <c r="N1616">
        <f t="shared" si="177"/>
        <v>-0.56000000000000227</v>
      </c>
      <c r="O1616">
        <f t="shared" si="178"/>
        <v>-0.21999999999999886</v>
      </c>
      <c r="P1616" s="10">
        <f t="shared" si="179"/>
        <v>1.1099999999999994</v>
      </c>
    </row>
    <row r="1617" spans="1:16">
      <c r="A1617">
        <v>265.33</v>
      </c>
      <c r="B1617" s="42">
        <v>39.4</v>
      </c>
      <c r="C1617">
        <v>48.01</v>
      </c>
      <c r="D1617">
        <v>48.01</v>
      </c>
      <c r="E1617">
        <v>61.17</v>
      </c>
      <c r="F1617">
        <v>74.45</v>
      </c>
      <c r="G1617">
        <v>100.12</v>
      </c>
      <c r="H1617">
        <v>80.900000000000006</v>
      </c>
      <c r="K1617" s="9">
        <f t="shared" si="174"/>
        <v>0.3300000000000054</v>
      </c>
      <c r="L1617">
        <f t="shared" si="175"/>
        <v>0.27000000000000313</v>
      </c>
      <c r="M1617">
        <f t="shared" si="176"/>
        <v>0.5</v>
      </c>
      <c r="N1617">
        <f t="shared" si="177"/>
        <v>-0.54999999999999716</v>
      </c>
      <c r="O1617">
        <f t="shared" si="178"/>
        <v>-0.28000000000000114</v>
      </c>
      <c r="P1617" s="10">
        <f t="shared" si="179"/>
        <v>0.71999999999999886</v>
      </c>
    </row>
    <row r="1618" spans="1:16">
      <c r="A1618">
        <v>265.5</v>
      </c>
      <c r="B1618" s="42">
        <v>39.28</v>
      </c>
      <c r="C1618">
        <v>48.06</v>
      </c>
      <c r="D1618">
        <v>48.06</v>
      </c>
      <c r="E1618">
        <v>61.34</v>
      </c>
      <c r="F1618">
        <v>74.17</v>
      </c>
      <c r="G1618">
        <v>100.06</v>
      </c>
      <c r="H1618">
        <v>80.78</v>
      </c>
      <c r="K1618" s="9">
        <f t="shared" si="174"/>
        <v>0.33999999999999631</v>
      </c>
      <c r="L1618">
        <f t="shared" si="175"/>
        <v>0.28000000000000114</v>
      </c>
      <c r="M1618">
        <f t="shared" si="176"/>
        <v>0.55999999999999517</v>
      </c>
      <c r="N1618">
        <f t="shared" si="177"/>
        <v>-0.65999999999999659</v>
      </c>
      <c r="O1618">
        <f t="shared" si="178"/>
        <v>-0.28000000000000114</v>
      </c>
      <c r="P1618" s="10">
        <f t="shared" si="179"/>
        <v>0.23000000000000398</v>
      </c>
    </row>
    <row r="1619" spans="1:16">
      <c r="A1619">
        <v>265.67</v>
      </c>
      <c r="B1619" s="42">
        <v>39.51</v>
      </c>
      <c r="C1619">
        <v>48.28</v>
      </c>
      <c r="D1619">
        <v>48.17</v>
      </c>
      <c r="E1619">
        <v>61.51</v>
      </c>
      <c r="F1619">
        <v>73.95</v>
      </c>
      <c r="G1619">
        <v>100.01</v>
      </c>
      <c r="H1619">
        <v>81.23</v>
      </c>
      <c r="K1619" s="9">
        <f t="shared" si="174"/>
        <v>0.11999999999999744</v>
      </c>
      <c r="L1619">
        <f t="shared" si="175"/>
        <v>0.22999999999999687</v>
      </c>
      <c r="M1619">
        <f t="shared" si="176"/>
        <v>0.55000000000000426</v>
      </c>
      <c r="N1619">
        <f t="shared" si="177"/>
        <v>-1.1099999999999994</v>
      </c>
      <c r="O1619">
        <f t="shared" si="178"/>
        <v>-0.39000000000000057</v>
      </c>
      <c r="P1619" s="10">
        <f t="shared" si="179"/>
        <v>-0.78000000000000114</v>
      </c>
    </row>
    <row r="1620" spans="1:16">
      <c r="A1620">
        <v>265.83</v>
      </c>
      <c r="B1620" s="42">
        <v>39.56</v>
      </c>
      <c r="C1620">
        <v>48.34</v>
      </c>
      <c r="D1620">
        <v>48.28</v>
      </c>
      <c r="E1620">
        <v>61.67</v>
      </c>
      <c r="F1620">
        <v>73.900000000000006</v>
      </c>
      <c r="G1620">
        <v>99.84</v>
      </c>
      <c r="H1620">
        <v>81.62</v>
      </c>
      <c r="K1620" s="9">
        <f t="shared" si="174"/>
        <v>0.27999999999999403</v>
      </c>
      <c r="L1620">
        <f t="shared" si="175"/>
        <v>0.22999999999999687</v>
      </c>
      <c r="M1620">
        <f t="shared" si="176"/>
        <v>0.5</v>
      </c>
      <c r="N1620">
        <f t="shared" si="177"/>
        <v>-1.1200000000000045</v>
      </c>
      <c r="O1620">
        <f t="shared" si="178"/>
        <v>-0.28000000000000114</v>
      </c>
      <c r="P1620" s="10">
        <f t="shared" si="179"/>
        <v>-1.1099999999999994</v>
      </c>
    </row>
    <row r="1621" spans="1:16">
      <c r="A1621">
        <v>266</v>
      </c>
      <c r="B1621" s="42">
        <v>39.56</v>
      </c>
      <c r="C1621">
        <v>48.4</v>
      </c>
      <c r="D1621">
        <v>48.34</v>
      </c>
      <c r="E1621">
        <v>61.9</v>
      </c>
      <c r="F1621">
        <v>73.510000000000005</v>
      </c>
      <c r="G1621">
        <v>99.78</v>
      </c>
      <c r="H1621">
        <v>81.010000000000005</v>
      </c>
      <c r="K1621" s="9">
        <f t="shared" si="174"/>
        <v>0.27000000000000313</v>
      </c>
      <c r="L1621">
        <f t="shared" si="175"/>
        <v>0.27999999999999403</v>
      </c>
      <c r="M1621">
        <f t="shared" si="176"/>
        <v>0.38000000000000256</v>
      </c>
      <c r="N1621">
        <f t="shared" si="177"/>
        <v>-0.56000000000000227</v>
      </c>
      <c r="O1621">
        <f t="shared" si="178"/>
        <v>-0.32999999999999829</v>
      </c>
      <c r="P1621" s="10">
        <f t="shared" si="179"/>
        <v>-0.34000000000000341</v>
      </c>
    </row>
    <row r="1622" spans="1:16">
      <c r="A1622">
        <v>266.17</v>
      </c>
      <c r="B1622" s="42">
        <v>39.51</v>
      </c>
      <c r="C1622">
        <v>48.4</v>
      </c>
      <c r="D1622">
        <v>48.4</v>
      </c>
      <c r="E1622">
        <v>62.06</v>
      </c>
      <c r="F1622">
        <v>72.84</v>
      </c>
      <c r="G1622">
        <v>99.62</v>
      </c>
      <c r="H1622">
        <v>80.45</v>
      </c>
      <c r="K1622" s="9">
        <f t="shared" si="174"/>
        <v>0.32999999999999829</v>
      </c>
      <c r="L1622">
        <f t="shared" si="175"/>
        <v>0.27000000000000313</v>
      </c>
      <c r="M1622">
        <f t="shared" si="176"/>
        <v>0.39000000000000057</v>
      </c>
      <c r="N1622">
        <f t="shared" si="177"/>
        <v>-0.56000000000000227</v>
      </c>
      <c r="O1622">
        <f t="shared" si="178"/>
        <v>-0.28000000000000114</v>
      </c>
      <c r="P1622" s="10">
        <f t="shared" si="179"/>
        <v>-0.93999999999999773</v>
      </c>
    </row>
    <row r="1623" spans="1:16">
      <c r="A1623">
        <v>266.33</v>
      </c>
      <c r="B1623" s="42">
        <v>39.56</v>
      </c>
      <c r="C1623">
        <v>48.62</v>
      </c>
      <c r="D1623">
        <v>48.51</v>
      </c>
      <c r="E1623">
        <v>62.17</v>
      </c>
      <c r="F1623">
        <v>72.78</v>
      </c>
      <c r="G1623">
        <v>99.56</v>
      </c>
      <c r="H1623">
        <v>80.510000000000005</v>
      </c>
      <c r="K1623" s="9">
        <f t="shared" si="174"/>
        <v>0.3300000000000054</v>
      </c>
      <c r="L1623">
        <f t="shared" si="175"/>
        <v>0.39000000000000057</v>
      </c>
      <c r="M1623">
        <f t="shared" si="176"/>
        <v>0.60999999999999943</v>
      </c>
      <c r="N1623">
        <f t="shared" si="177"/>
        <v>-0.32999999999999829</v>
      </c>
      <c r="O1623">
        <f t="shared" si="178"/>
        <v>-0.28000000000000114</v>
      </c>
      <c r="P1623" s="10">
        <f t="shared" si="179"/>
        <v>-0.28000000000000114</v>
      </c>
    </row>
    <row r="1624" spans="1:16">
      <c r="A1624">
        <v>266.5</v>
      </c>
      <c r="B1624" s="42">
        <v>39.67</v>
      </c>
      <c r="C1624">
        <v>48.67</v>
      </c>
      <c r="D1624">
        <v>48.62</v>
      </c>
      <c r="E1624">
        <v>62.28</v>
      </c>
      <c r="F1624">
        <v>72.95</v>
      </c>
      <c r="G1624">
        <v>99.45</v>
      </c>
      <c r="H1624">
        <v>80.67</v>
      </c>
      <c r="K1624" s="9">
        <f t="shared" si="174"/>
        <v>0.28000000000000114</v>
      </c>
      <c r="L1624">
        <f t="shared" si="175"/>
        <v>0.3300000000000054</v>
      </c>
      <c r="M1624">
        <f t="shared" si="176"/>
        <v>0.56000000000000227</v>
      </c>
      <c r="N1624">
        <f t="shared" si="177"/>
        <v>-0.39000000000000057</v>
      </c>
      <c r="O1624">
        <f t="shared" si="178"/>
        <v>-0.32999999999999829</v>
      </c>
      <c r="P1624" s="10">
        <f t="shared" si="179"/>
        <v>-1.2199999999999989</v>
      </c>
    </row>
    <row r="1625" spans="1:16">
      <c r="A1625">
        <v>266.67</v>
      </c>
      <c r="B1625" s="42">
        <v>39.67</v>
      </c>
      <c r="C1625">
        <v>48.73</v>
      </c>
      <c r="D1625">
        <v>48.67</v>
      </c>
      <c r="E1625">
        <v>62.45</v>
      </c>
      <c r="F1625">
        <v>72.28</v>
      </c>
      <c r="G1625">
        <v>99.34</v>
      </c>
      <c r="H1625">
        <v>79.510000000000005</v>
      </c>
      <c r="K1625" s="9">
        <f t="shared" ref="K1625:K1688" si="180">C1628-C1625</f>
        <v>0.17000000000000171</v>
      </c>
      <c r="L1625">
        <f t="shared" ref="L1625:L1688" si="181">D1628-D1625</f>
        <v>0.17000000000000171</v>
      </c>
      <c r="M1625">
        <f t="shared" ref="M1625:M1688" si="182">E1628-E1625</f>
        <v>0.5</v>
      </c>
      <c r="N1625">
        <f t="shared" ref="N1625:N1688" si="183">F1628-F1625</f>
        <v>0</v>
      </c>
      <c r="O1625">
        <f t="shared" ref="O1625:O1688" si="184">G1628-G1625</f>
        <v>-0.28000000000000114</v>
      </c>
      <c r="P1625" s="10">
        <f t="shared" ref="P1625:P1688" si="185">H1628-H1625</f>
        <v>0</v>
      </c>
    </row>
    <row r="1626" spans="1:16">
      <c r="A1626">
        <v>266.83</v>
      </c>
      <c r="B1626" s="42">
        <v>39.67</v>
      </c>
      <c r="C1626">
        <v>48.95</v>
      </c>
      <c r="D1626">
        <v>48.9</v>
      </c>
      <c r="E1626">
        <v>62.78</v>
      </c>
      <c r="F1626">
        <v>72.45</v>
      </c>
      <c r="G1626">
        <v>99.28</v>
      </c>
      <c r="H1626">
        <v>80.23</v>
      </c>
      <c r="K1626" s="9">
        <f t="shared" si="180"/>
        <v>0</v>
      </c>
      <c r="L1626">
        <f t="shared" si="181"/>
        <v>0</v>
      </c>
      <c r="M1626">
        <f t="shared" si="182"/>
        <v>0.39000000000000057</v>
      </c>
      <c r="N1626">
        <f t="shared" si="183"/>
        <v>-4.9999999999997158E-2</v>
      </c>
      <c r="O1626">
        <f t="shared" si="184"/>
        <v>-0.37999999999999545</v>
      </c>
      <c r="P1626" s="10">
        <f t="shared" si="185"/>
        <v>-1.2800000000000011</v>
      </c>
    </row>
    <row r="1627" spans="1:16">
      <c r="A1627">
        <v>267</v>
      </c>
      <c r="B1627" s="42">
        <v>39.619999999999997</v>
      </c>
      <c r="C1627">
        <v>48.95</v>
      </c>
      <c r="D1627">
        <v>48.95</v>
      </c>
      <c r="E1627">
        <v>62.84</v>
      </c>
      <c r="F1627">
        <v>72.56</v>
      </c>
      <c r="G1627">
        <v>99.12</v>
      </c>
      <c r="H1627">
        <v>79.45</v>
      </c>
      <c r="K1627" s="9">
        <f t="shared" si="180"/>
        <v>5.9999999999995168E-2</v>
      </c>
      <c r="L1627">
        <f t="shared" si="181"/>
        <v>5.9999999999995168E-2</v>
      </c>
      <c r="M1627">
        <f t="shared" si="182"/>
        <v>0.5</v>
      </c>
      <c r="N1627">
        <f t="shared" si="183"/>
        <v>-0.71999999999999886</v>
      </c>
      <c r="O1627">
        <f t="shared" si="184"/>
        <v>-0.34000000000000341</v>
      </c>
      <c r="P1627" s="10">
        <f t="shared" si="185"/>
        <v>-1.0499999999999972</v>
      </c>
    </row>
    <row r="1628" spans="1:16">
      <c r="A1628">
        <v>267.17</v>
      </c>
      <c r="B1628" s="42">
        <v>39.51</v>
      </c>
      <c r="C1628">
        <v>48.9</v>
      </c>
      <c r="D1628">
        <v>48.84</v>
      </c>
      <c r="E1628">
        <v>62.95</v>
      </c>
      <c r="F1628">
        <v>72.28</v>
      </c>
      <c r="G1628">
        <v>99.06</v>
      </c>
      <c r="H1628">
        <v>79.510000000000005</v>
      </c>
      <c r="K1628" s="9">
        <f t="shared" si="180"/>
        <v>0.16000000000000369</v>
      </c>
      <c r="L1628">
        <f t="shared" si="181"/>
        <v>0.1699999999999946</v>
      </c>
      <c r="M1628">
        <f t="shared" si="182"/>
        <v>0.44999999999999574</v>
      </c>
      <c r="N1628">
        <f t="shared" si="183"/>
        <v>-0.71999999999999886</v>
      </c>
      <c r="O1628">
        <f t="shared" si="184"/>
        <v>-0.32999999999999829</v>
      </c>
      <c r="P1628" s="10">
        <f t="shared" si="185"/>
        <v>-1.3400000000000034</v>
      </c>
    </row>
    <row r="1629" spans="1:16">
      <c r="A1629">
        <v>267.33</v>
      </c>
      <c r="B1629" s="42">
        <v>39.56</v>
      </c>
      <c r="C1629">
        <v>48.95</v>
      </c>
      <c r="D1629">
        <v>48.9</v>
      </c>
      <c r="E1629">
        <v>63.17</v>
      </c>
      <c r="F1629">
        <v>72.400000000000006</v>
      </c>
      <c r="G1629">
        <v>98.9</v>
      </c>
      <c r="H1629">
        <v>78.95</v>
      </c>
      <c r="K1629" s="9">
        <f t="shared" si="180"/>
        <v>0.10999999999999943</v>
      </c>
      <c r="L1629">
        <f t="shared" si="181"/>
        <v>0.10999999999999943</v>
      </c>
      <c r="M1629">
        <f t="shared" si="182"/>
        <v>0.39000000000000057</v>
      </c>
      <c r="N1629">
        <f t="shared" si="183"/>
        <v>-0.89000000000000057</v>
      </c>
      <c r="O1629">
        <f t="shared" si="184"/>
        <v>-0.34000000000000341</v>
      </c>
      <c r="P1629" s="10">
        <f t="shared" si="185"/>
        <v>-0.67000000000000171</v>
      </c>
    </row>
    <row r="1630" spans="1:16">
      <c r="A1630">
        <v>267.5</v>
      </c>
      <c r="B1630" s="42">
        <v>39.729999999999997</v>
      </c>
      <c r="C1630">
        <v>49.01</v>
      </c>
      <c r="D1630">
        <v>49.01</v>
      </c>
      <c r="E1630">
        <v>63.34</v>
      </c>
      <c r="F1630">
        <v>71.84</v>
      </c>
      <c r="G1630">
        <v>98.78</v>
      </c>
      <c r="H1630">
        <v>78.400000000000006</v>
      </c>
      <c r="K1630" s="9">
        <f t="shared" si="180"/>
        <v>0</v>
      </c>
      <c r="L1630">
        <f t="shared" si="181"/>
        <v>0</v>
      </c>
      <c r="M1630">
        <f t="shared" si="182"/>
        <v>0.27999999999999403</v>
      </c>
      <c r="N1630">
        <f t="shared" si="183"/>
        <v>-6.0000000000002274E-2</v>
      </c>
      <c r="O1630">
        <f t="shared" si="184"/>
        <v>-0.32999999999999829</v>
      </c>
      <c r="P1630" s="10">
        <f t="shared" si="185"/>
        <v>-0.12000000000000455</v>
      </c>
    </row>
    <row r="1631" spans="1:16">
      <c r="A1631">
        <v>267.67</v>
      </c>
      <c r="B1631" s="42">
        <v>39.729999999999997</v>
      </c>
      <c r="C1631">
        <v>49.06</v>
      </c>
      <c r="D1631">
        <v>49.01</v>
      </c>
      <c r="E1631">
        <v>63.4</v>
      </c>
      <c r="F1631">
        <v>71.56</v>
      </c>
      <c r="G1631">
        <v>98.73</v>
      </c>
      <c r="H1631">
        <v>78.17</v>
      </c>
      <c r="K1631" s="9">
        <f t="shared" si="180"/>
        <v>0.1699999999999946</v>
      </c>
      <c r="L1631">
        <f t="shared" si="181"/>
        <v>0.10999999999999943</v>
      </c>
      <c r="M1631">
        <f t="shared" si="182"/>
        <v>0.38000000000000256</v>
      </c>
      <c r="N1631">
        <f t="shared" si="183"/>
        <v>0.34000000000000341</v>
      </c>
      <c r="O1631">
        <f t="shared" si="184"/>
        <v>-0.39000000000000057</v>
      </c>
      <c r="P1631" s="10">
        <f t="shared" si="185"/>
        <v>0.28000000000000114</v>
      </c>
    </row>
    <row r="1632" spans="1:16">
      <c r="A1632">
        <v>267.83</v>
      </c>
      <c r="B1632" s="42">
        <v>39.67</v>
      </c>
      <c r="C1632">
        <v>49.06</v>
      </c>
      <c r="D1632">
        <v>49.01</v>
      </c>
      <c r="E1632">
        <v>63.56</v>
      </c>
      <c r="F1632">
        <v>71.510000000000005</v>
      </c>
      <c r="G1632">
        <v>98.56</v>
      </c>
      <c r="H1632">
        <v>78.28</v>
      </c>
      <c r="K1632" s="9">
        <f t="shared" si="180"/>
        <v>0.21999999999999886</v>
      </c>
      <c r="L1632">
        <f t="shared" si="181"/>
        <v>0.21999999999999886</v>
      </c>
      <c r="M1632">
        <f t="shared" si="182"/>
        <v>0.33999999999999631</v>
      </c>
      <c r="N1632">
        <f t="shared" si="183"/>
        <v>0.60999999999999943</v>
      </c>
      <c r="O1632">
        <f t="shared" si="184"/>
        <v>-0.28000000000000114</v>
      </c>
      <c r="P1632" s="10">
        <f t="shared" si="185"/>
        <v>0</v>
      </c>
    </row>
    <row r="1633" spans="1:16">
      <c r="A1633">
        <v>268</v>
      </c>
      <c r="B1633" s="42">
        <v>39.56</v>
      </c>
      <c r="C1633">
        <v>49.01</v>
      </c>
      <c r="D1633">
        <v>49.01</v>
      </c>
      <c r="E1633">
        <v>63.62</v>
      </c>
      <c r="F1633">
        <v>71.78</v>
      </c>
      <c r="G1633">
        <v>98.45</v>
      </c>
      <c r="H1633">
        <v>78.28</v>
      </c>
      <c r="K1633" s="9">
        <f t="shared" si="180"/>
        <v>0.39000000000000057</v>
      </c>
      <c r="L1633">
        <f t="shared" si="181"/>
        <v>0.3300000000000054</v>
      </c>
      <c r="M1633">
        <f t="shared" si="182"/>
        <v>0.44000000000000483</v>
      </c>
      <c r="N1633">
        <f t="shared" si="183"/>
        <v>0.34000000000000341</v>
      </c>
      <c r="O1633">
        <f t="shared" si="184"/>
        <v>-0.21999999999999886</v>
      </c>
      <c r="P1633" s="10">
        <f t="shared" si="185"/>
        <v>-0.54999999999999716</v>
      </c>
    </row>
    <row r="1634" spans="1:16">
      <c r="A1634">
        <v>268.17</v>
      </c>
      <c r="B1634" s="42">
        <v>39.51</v>
      </c>
      <c r="C1634">
        <v>49.23</v>
      </c>
      <c r="D1634">
        <v>49.12</v>
      </c>
      <c r="E1634">
        <v>63.78</v>
      </c>
      <c r="F1634">
        <v>71.900000000000006</v>
      </c>
      <c r="G1634">
        <v>98.34</v>
      </c>
      <c r="H1634">
        <v>78.45</v>
      </c>
      <c r="K1634" s="9">
        <f t="shared" si="180"/>
        <v>0.22000000000000597</v>
      </c>
      <c r="L1634">
        <f t="shared" si="181"/>
        <v>0.28000000000000114</v>
      </c>
      <c r="M1634">
        <f t="shared" si="182"/>
        <v>0.39000000000000057</v>
      </c>
      <c r="N1634">
        <f t="shared" si="183"/>
        <v>0.5</v>
      </c>
      <c r="O1634">
        <f t="shared" si="184"/>
        <v>-0.17000000000000171</v>
      </c>
      <c r="P1634" s="10">
        <f t="shared" si="185"/>
        <v>-0.78000000000000114</v>
      </c>
    </row>
    <row r="1635" spans="1:16">
      <c r="A1635">
        <v>268.33</v>
      </c>
      <c r="B1635" s="42">
        <v>39.51</v>
      </c>
      <c r="C1635">
        <v>49.28</v>
      </c>
      <c r="D1635">
        <v>49.23</v>
      </c>
      <c r="E1635">
        <v>63.9</v>
      </c>
      <c r="F1635">
        <v>72.12</v>
      </c>
      <c r="G1635">
        <v>98.28</v>
      </c>
      <c r="H1635">
        <v>78.28</v>
      </c>
      <c r="K1635" s="9">
        <f t="shared" si="180"/>
        <v>0.11999999999999744</v>
      </c>
      <c r="L1635">
        <f t="shared" si="181"/>
        <v>0.11000000000000654</v>
      </c>
      <c r="M1635">
        <f t="shared" si="182"/>
        <v>0.27000000000000313</v>
      </c>
      <c r="N1635">
        <f t="shared" si="183"/>
        <v>0.54999999999999716</v>
      </c>
      <c r="O1635">
        <f t="shared" si="184"/>
        <v>-0.26999999999999602</v>
      </c>
      <c r="P1635" s="10">
        <f t="shared" si="185"/>
        <v>0.39000000000000057</v>
      </c>
    </row>
    <row r="1636" spans="1:16">
      <c r="A1636">
        <v>268.5</v>
      </c>
      <c r="B1636" s="42">
        <v>39.67</v>
      </c>
      <c r="C1636">
        <v>49.4</v>
      </c>
      <c r="D1636">
        <v>49.34</v>
      </c>
      <c r="E1636">
        <v>64.06</v>
      </c>
      <c r="F1636">
        <v>72.12</v>
      </c>
      <c r="G1636">
        <v>98.23</v>
      </c>
      <c r="H1636">
        <v>77.73</v>
      </c>
      <c r="K1636" s="9">
        <f t="shared" si="180"/>
        <v>0.16000000000000369</v>
      </c>
      <c r="L1636">
        <f t="shared" si="181"/>
        <v>0.21999999999999886</v>
      </c>
      <c r="M1636">
        <f t="shared" si="182"/>
        <v>0.28000000000000114</v>
      </c>
      <c r="N1636">
        <f t="shared" si="183"/>
        <v>-6.0000000000002274E-2</v>
      </c>
      <c r="O1636">
        <f t="shared" si="184"/>
        <v>-0.28000000000000114</v>
      </c>
      <c r="P1636" s="10">
        <f t="shared" si="185"/>
        <v>1.5</v>
      </c>
    </row>
    <row r="1637" spans="1:16">
      <c r="A1637">
        <v>268.67</v>
      </c>
      <c r="B1637" s="42">
        <v>39.729999999999997</v>
      </c>
      <c r="C1637">
        <v>49.45</v>
      </c>
      <c r="D1637">
        <v>49.4</v>
      </c>
      <c r="E1637">
        <v>64.17</v>
      </c>
      <c r="F1637">
        <v>72.400000000000006</v>
      </c>
      <c r="G1637">
        <v>98.17</v>
      </c>
      <c r="H1637">
        <v>77.67</v>
      </c>
      <c r="K1637" s="9">
        <f t="shared" si="180"/>
        <v>0.10999999999999943</v>
      </c>
      <c r="L1637">
        <f t="shared" si="181"/>
        <v>0.16000000000000369</v>
      </c>
      <c r="M1637">
        <f t="shared" si="182"/>
        <v>0.23000000000000398</v>
      </c>
      <c r="N1637">
        <f t="shared" si="183"/>
        <v>-0.95000000000000284</v>
      </c>
      <c r="O1637">
        <f t="shared" si="184"/>
        <v>-0.26999999999999602</v>
      </c>
      <c r="P1637" s="10">
        <f t="shared" si="185"/>
        <v>0.56000000000000227</v>
      </c>
    </row>
    <row r="1638" spans="1:16">
      <c r="A1638">
        <v>268.83</v>
      </c>
      <c r="B1638" s="42">
        <v>39.619999999999997</v>
      </c>
      <c r="C1638">
        <v>49.4</v>
      </c>
      <c r="D1638">
        <v>49.34</v>
      </c>
      <c r="E1638">
        <v>64.17</v>
      </c>
      <c r="F1638">
        <v>72.67</v>
      </c>
      <c r="G1638">
        <v>98.01</v>
      </c>
      <c r="H1638">
        <v>78.67</v>
      </c>
      <c r="K1638" s="9">
        <f t="shared" si="180"/>
        <v>0.21999999999999886</v>
      </c>
      <c r="L1638">
        <f t="shared" si="181"/>
        <v>0.27999999999999403</v>
      </c>
      <c r="M1638">
        <f t="shared" si="182"/>
        <v>0.34000000000000341</v>
      </c>
      <c r="N1638">
        <f t="shared" si="183"/>
        <v>-1</v>
      </c>
      <c r="O1638">
        <f t="shared" si="184"/>
        <v>-0.10999999999999943</v>
      </c>
      <c r="P1638" s="10">
        <f t="shared" si="185"/>
        <v>-4.9999999999997158E-2</v>
      </c>
    </row>
    <row r="1639" spans="1:16">
      <c r="A1639">
        <v>269</v>
      </c>
      <c r="B1639" s="42">
        <v>39.729999999999997</v>
      </c>
      <c r="C1639">
        <v>49.56</v>
      </c>
      <c r="D1639">
        <v>49.56</v>
      </c>
      <c r="E1639">
        <v>64.34</v>
      </c>
      <c r="F1639">
        <v>72.06</v>
      </c>
      <c r="G1639">
        <v>97.95</v>
      </c>
      <c r="H1639">
        <v>79.23</v>
      </c>
      <c r="K1639" s="9">
        <f t="shared" si="180"/>
        <v>0.1699999999999946</v>
      </c>
      <c r="L1639">
        <f t="shared" si="181"/>
        <v>5.9999999999995168E-2</v>
      </c>
      <c r="M1639">
        <f t="shared" si="182"/>
        <v>0.28000000000000114</v>
      </c>
      <c r="N1639">
        <f t="shared" si="183"/>
        <v>-0.28000000000000114</v>
      </c>
      <c r="O1639">
        <f t="shared" si="184"/>
        <v>-0.28000000000000114</v>
      </c>
      <c r="P1639" s="10">
        <f t="shared" si="185"/>
        <v>-1.3299999999999983</v>
      </c>
    </row>
    <row r="1640" spans="1:16">
      <c r="A1640">
        <v>269.17</v>
      </c>
      <c r="B1640" s="42">
        <v>39.729999999999997</v>
      </c>
      <c r="C1640">
        <v>49.56</v>
      </c>
      <c r="D1640">
        <v>49.56</v>
      </c>
      <c r="E1640">
        <v>64.400000000000006</v>
      </c>
      <c r="F1640">
        <v>71.45</v>
      </c>
      <c r="G1640">
        <v>97.9</v>
      </c>
      <c r="H1640">
        <v>78.23</v>
      </c>
      <c r="K1640" s="9">
        <f t="shared" si="180"/>
        <v>0.33999999999999631</v>
      </c>
      <c r="L1640">
        <f t="shared" si="181"/>
        <v>0.33999999999999631</v>
      </c>
      <c r="M1640">
        <f t="shared" si="182"/>
        <v>0.32999999999999829</v>
      </c>
      <c r="N1640">
        <f t="shared" si="183"/>
        <v>-0.17000000000000171</v>
      </c>
      <c r="O1640">
        <f t="shared" si="184"/>
        <v>-0.23000000000000398</v>
      </c>
      <c r="P1640" s="10">
        <f t="shared" si="185"/>
        <v>0.60999999999999943</v>
      </c>
    </row>
    <row r="1641" spans="1:16">
      <c r="A1641">
        <v>269.33</v>
      </c>
      <c r="B1641" s="42">
        <v>39.840000000000003</v>
      </c>
      <c r="C1641">
        <v>49.62</v>
      </c>
      <c r="D1641">
        <v>49.62</v>
      </c>
      <c r="E1641">
        <v>64.510000000000005</v>
      </c>
      <c r="F1641">
        <v>71.67</v>
      </c>
      <c r="G1641">
        <v>97.9</v>
      </c>
      <c r="H1641">
        <v>78.62</v>
      </c>
      <c r="K1641" s="9">
        <f t="shared" si="180"/>
        <v>0.28000000000000114</v>
      </c>
      <c r="L1641">
        <f t="shared" si="181"/>
        <v>0.28000000000000114</v>
      </c>
      <c r="M1641">
        <f t="shared" si="182"/>
        <v>0.32999999999999829</v>
      </c>
      <c r="N1641">
        <f t="shared" si="183"/>
        <v>-0.65999999999999659</v>
      </c>
      <c r="O1641">
        <f t="shared" si="184"/>
        <v>-0.28000000000000114</v>
      </c>
      <c r="P1641" s="10">
        <f t="shared" si="185"/>
        <v>-0.60999999999999943</v>
      </c>
    </row>
    <row r="1642" spans="1:16">
      <c r="A1642">
        <v>269.5</v>
      </c>
      <c r="B1642" s="42">
        <v>39.840000000000003</v>
      </c>
      <c r="C1642">
        <v>49.73</v>
      </c>
      <c r="D1642">
        <v>49.62</v>
      </c>
      <c r="E1642">
        <v>64.62</v>
      </c>
      <c r="F1642">
        <v>71.78</v>
      </c>
      <c r="G1642">
        <v>97.67</v>
      </c>
      <c r="H1642">
        <v>77.900000000000006</v>
      </c>
      <c r="K1642" s="9">
        <f t="shared" si="180"/>
        <v>0.17000000000000171</v>
      </c>
      <c r="L1642">
        <f t="shared" si="181"/>
        <v>0.3300000000000054</v>
      </c>
      <c r="M1642">
        <f t="shared" si="182"/>
        <v>0.32999999999999829</v>
      </c>
      <c r="N1642">
        <f t="shared" si="183"/>
        <v>-1.1599999999999966</v>
      </c>
      <c r="O1642">
        <f t="shared" si="184"/>
        <v>-0.10999999999999943</v>
      </c>
      <c r="P1642" s="10">
        <f t="shared" si="185"/>
        <v>-0.62000000000000455</v>
      </c>
    </row>
    <row r="1643" spans="1:16">
      <c r="A1643">
        <v>269.67</v>
      </c>
      <c r="B1643" s="42">
        <v>40.01</v>
      </c>
      <c r="C1643">
        <v>49.9</v>
      </c>
      <c r="D1643">
        <v>49.9</v>
      </c>
      <c r="E1643">
        <v>64.73</v>
      </c>
      <c r="F1643">
        <v>71.28</v>
      </c>
      <c r="G1643">
        <v>97.67</v>
      </c>
      <c r="H1643">
        <v>78.84</v>
      </c>
      <c r="K1643" s="9">
        <f t="shared" si="180"/>
        <v>5.0000000000004263E-2</v>
      </c>
      <c r="L1643">
        <f t="shared" si="181"/>
        <v>0</v>
      </c>
      <c r="M1643">
        <f t="shared" si="182"/>
        <v>0.28000000000000114</v>
      </c>
      <c r="N1643">
        <f t="shared" si="183"/>
        <v>-0.93999999999999773</v>
      </c>
      <c r="O1643">
        <f t="shared" si="184"/>
        <v>-0.26999999999999602</v>
      </c>
      <c r="P1643" s="10">
        <f t="shared" si="185"/>
        <v>-1.4399999999999977</v>
      </c>
    </row>
    <row r="1644" spans="1:16">
      <c r="A1644">
        <v>269.83</v>
      </c>
      <c r="B1644" s="42">
        <v>40.06</v>
      </c>
      <c r="C1644">
        <v>49.9</v>
      </c>
      <c r="D1644">
        <v>49.9</v>
      </c>
      <c r="E1644">
        <v>64.84</v>
      </c>
      <c r="F1644">
        <v>71.010000000000005</v>
      </c>
      <c r="G1644">
        <v>97.62</v>
      </c>
      <c r="H1644">
        <v>78.010000000000005</v>
      </c>
      <c r="K1644" s="9">
        <f t="shared" si="180"/>
        <v>0.10999999999999943</v>
      </c>
      <c r="L1644">
        <f t="shared" si="181"/>
        <v>0.10999999999999943</v>
      </c>
      <c r="M1644">
        <f t="shared" si="182"/>
        <v>0.28000000000000114</v>
      </c>
      <c r="N1644">
        <f t="shared" si="183"/>
        <v>-0.60999999999999943</v>
      </c>
      <c r="O1644">
        <f t="shared" si="184"/>
        <v>-0.17000000000000171</v>
      </c>
      <c r="P1644" s="10">
        <f t="shared" si="185"/>
        <v>-0.67000000000000171</v>
      </c>
    </row>
    <row r="1645" spans="1:16">
      <c r="A1645">
        <v>270</v>
      </c>
      <c r="B1645" s="42">
        <v>40.06</v>
      </c>
      <c r="C1645">
        <v>49.9</v>
      </c>
      <c r="D1645">
        <v>49.95</v>
      </c>
      <c r="E1645">
        <v>64.95</v>
      </c>
      <c r="F1645">
        <v>70.62</v>
      </c>
      <c r="G1645">
        <v>97.56</v>
      </c>
      <c r="H1645">
        <v>77.28</v>
      </c>
      <c r="K1645" s="9">
        <f t="shared" si="180"/>
        <v>0.10999999999999943</v>
      </c>
      <c r="L1645">
        <f t="shared" si="181"/>
        <v>5.9999999999995168E-2</v>
      </c>
      <c r="M1645">
        <f t="shared" si="182"/>
        <v>0.28000000000000114</v>
      </c>
      <c r="N1645">
        <f t="shared" si="183"/>
        <v>-0.45000000000000284</v>
      </c>
      <c r="O1645">
        <f t="shared" si="184"/>
        <v>-0.28000000000000114</v>
      </c>
      <c r="P1645" s="10">
        <f t="shared" si="185"/>
        <v>0.12000000000000455</v>
      </c>
    </row>
    <row r="1646" spans="1:16">
      <c r="A1646">
        <v>270.17</v>
      </c>
      <c r="B1646" s="42">
        <v>40.229999999999997</v>
      </c>
      <c r="C1646">
        <v>49.95</v>
      </c>
      <c r="D1646">
        <v>49.9</v>
      </c>
      <c r="E1646">
        <v>65.010000000000005</v>
      </c>
      <c r="F1646">
        <v>70.34</v>
      </c>
      <c r="G1646">
        <v>97.4</v>
      </c>
      <c r="H1646">
        <v>77.400000000000006</v>
      </c>
      <c r="K1646" s="9">
        <f t="shared" si="180"/>
        <v>0.10999999999999943</v>
      </c>
      <c r="L1646">
        <f t="shared" si="181"/>
        <v>0.10999999999999943</v>
      </c>
      <c r="M1646">
        <f t="shared" si="182"/>
        <v>0.43999999999999773</v>
      </c>
      <c r="N1646">
        <f t="shared" si="183"/>
        <v>-0.43999999999999773</v>
      </c>
      <c r="O1646">
        <f t="shared" si="184"/>
        <v>-0.17000000000000171</v>
      </c>
      <c r="P1646" s="10">
        <f t="shared" si="185"/>
        <v>-0.12000000000000455</v>
      </c>
    </row>
    <row r="1647" spans="1:16">
      <c r="A1647">
        <v>270.33</v>
      </c>
      <c r="B1647" s="42">
        <v>40.28</v>
      </c>
      <c r="C1647">
        <v>50.01</v>
      </c>
      <c r="D1647">
        <v>50.01</v>
      </c>
      <c r="E1647">
        <v>65.12</v>
      </c>
      <c r="F1647">
        <v>70.400000000000006</v>
      </c>
      <c r="G1647">
        <v>97.45</v>
      </c>
      <c r="H1647">
        <v>77.34</v>
      </c>
      <c r="K1647" s="9">
        <f t="shared" si="180"/>
        <v>-5.9999999999995168E-2</v>
      </c>
      <c r="L1647">
        <f t="shared" si="181"/>
        <v>-5.9999999999995168E-2</v>
      </c>
      <c r="M1647">
        <f t="shared" si="182"/>
        <v>0.32999999999999829</v>
      </c>
      <c r="N1647">
        <f t="shared" si="183"/>
        <v>-0.62000000000000455</v>
      </c>
      <c r="O1647">
        <f t="shared" si="184"/>
        <v>-0.28000000000000114</v>
      </c>
      <c r="P1647" s="10">
        <f t="shared" si="185"/>
        <v>-1.3900000000000006</v>
      </c>
    </row>
    <row r="1648" spans="1:16">
      <c r="A1648">
        <v>270.5</v>
      </c>
      <c r="B1648" s="42">
        <v>40.28</v>
      </c>
      <c r="C1648">
        <v>50.01</v>
      </c>
      <c r="D1648">
        <v>50.01</v>
      </c>
      <c r="E1648">
        <v>65.23</v>
      </c>
      <c r="F1648">
        <v>70.17</v>
      </c>
      <c r="G1648">
        <v>97.28</v>
      </c>
      <c r="H1648">
        <v>77.400000000000006</v>
      </c>
      <c r="K1648" s="9">
        <f t="shared" si="180"/>
        <v>0</v>
      </c>
      <c r="L1648">
        <f t="shared" si="181"/>
        <v>0</v>
      </c>
      <c r="M1648">
        <f t="shared" si="182"/>
        <v>0.39000000000000057</v>
      </c>
      <c r="N1648">
        <f t="shared" si="183"/>
        <v>-0.21999999999999886</v>
      </c>
      <c r="O1648">
        <f t="shared" si="184"/>
        <v>-0.21999999999999886</v>
      </c>
      <c r="P1648" s="10">
        <f t="shared" si="185"/>
        <v>-1.7800000000000011</v>
      </c>
    </row>
    <row r="1649" spans="1:16">
      <c r="A1649">
        <v>270.67</v>
      </c>
      <c r="B1649" s="42">
        <v>40.229999999999997</v>
      </c>
      <c r="C1649">
        <v>50.06</v>
      </c>
      <c r="D1649">
        <v>50.01</v>
      </c>
      <c r="E1649">
        <v>65.45</v>
      </c>
      <c r="F1649">
        <v>69.900000000000006</v>
      </c>
      <c r="G1649">
        <v>97.23</v>
      </c>
      <c r="H1649">
        <v>77.28</v>
      </c>
      <c r="K1649" s="9">
        <f t="shared" si="180"/>
        <v>-5.0000000000004263E-2</v>
      </c>
      <c r="L1649">
        <f t="shared" si="181"/>
        <v>-5.9999999999995168E-2</v>
      </c>
      <c r="M1649">
        <f t="shared" si="182"/>
        <v>0.17000000000000171</v>
      </c>
      <c r="N1649">
        <f t="shared" si="183"/>
        <v>-0.28000000000000114</v>
      </c>
      <c r="O1649">
        <f t="shared" si="184"/>
        <v>-0.32999999999999829</v>
      </c>
      <c r="P1649" s="10">
        <f t="shared" si="185"/>
        <v>-1.8799999999999955</v>
      </c>
    </row>
    <row r="1650" spans="1:16">
      <c r="A1650">
        <v>270.83</v>
      </c>
      <c r="B1650" s="42">
        <v>40.229999999999997</v>
      </c>
      <c r="C1650">
        <v>49.95</v>
      </c>
      <c r="D1650">
        <v>49.95</v>
      </c>
      <c r="E1650">
        <v>65.45</v>
      </c>
      <c r="F1650">
        <v>69.78</v>
      </c>
      <c r="G1650">
        <v>97.17</v>
      </c>
      <c r="H1650">
        <v>75.95</v>
      </c>
      <c r="K1650" s="9">
        <f t="shared" si="180"/>
        <v>0</v>
      </c>
      <c r="L1650">
        <f t="shared" si="181"/>
        <v>0</v>
      </c>
      <c r="M1650">
        <f t="shared" si="182"/>
        <v>0.28000000000000114</v>
      </c>
      <c r="N1650">
        <f t="shared" si="183"/>
        <v>-0.21999999999999886</v>
      </c>
      <c r="O1650">
        <f t="shared" si="184"/>
        <v>-0.32999999999999829</v>
      </c>
      <c r="P1650" s="10">
        <f t="shared" si="185"/>
        <v>-0.54999999999999716</v>
      </c>
    </row>
    <row r="1651" spans="1:16">
      <c r="A1651">
        <v>271</v>
      </c>
      <c r="B1651" s="42">
        <v>40.340000000000003</v>
      </c>
      <c r="C1651">
        <v>50.01</v>
      </c>
      <c r="D1651">
        <v>50.01</v>
      </c>
      <c r="E1651">
        <v>65.62</v>
      </c>
      <c r="F1651">
        <v>69.95</v>
      </c>
      <c r="G1651">
        <v>97.06</v>
      </c>
      <c r="H1651">
        <v>75.62</v>
      </c>
      <c r="K1651" s="9">
        <f t="shared" si="180"/>
        <v>5.0000000000004263E-2</v>
      </c>
      <c r="L1651">
        <f t="shared" si="181"/>
        <v>0</v>
      </c>
      <c r="M1651">
        <f t="shared" si="182"/>
        <v>0.15999999999999659</v>
      </c>
      <c r="N1651">
        <f t="shared" si="183"/>
        <v>-0.5</v>
      </c>
      <c r="O1651">
        <f t="shared" si="184"/>
        <v>-0.28000000000000114</v>
      </c>
      <c r="P1651" s="10">
        <f t="shared" si="185"/>
        <v>0.54999999999999716</v>
      </c>
    </row>
    <row r="1652" spans="1:16">
      <c r="A1652">
        <v>271.17</v>
      </c>
      <c r="B1652" s="42">
        <v>40.340000000000003</v>
      </c>
      <c r="C1652">
        <v>50.01</v>
      </c>
      <c r="D1652">
        <v>49.95</v>
      </c>
      <c r="E1652">
        <v>65.62</v>
      </c>
      <c r="F1652">
        <v>69.62</v>
      </c>
      <c r="G1652">
        <v>96.9</v>
      </c>
      <c r="H1652">
        <v>75.400000000000006</v>
      </c>
      <c r="K1652" s="9">
        <f t="shared" si="180"/>
        <v>0.16000000000000369</v>
      </c>
      <c r="L1652">
        <f t="shared" si="181"/>
        <v>0.10999999999999943</v>
      </c>
      <c r="M1652">
        <f t="shared" si="182"/>
        <v>0.32999999999999829</v>
      </c>
      <c r="N1652">
        <f t="shared" si="183"/>
        <v>-0.71999999999999886</v>
      </c>
      <c r="O1652">
        <f t="shared" si="184"/>
        <v>-0.23000000000000398</v>
      </c>
      <c r="P1652" s="10">
        <f t="shared" si="185"/>
        <v>0.71999999999999886</v>
      </c>
    </row>
    <row r="1653" spans="1:16">
      <c r="A1653">
        <v>271.33</v>
      </c>
      <c r="B1653" s="42">
        <v>40.4</v>
      </c>
      <c r="C1653">
        <v>49.95</v>
      </c>
      <c r="D1653">
        <v>49.95</v>
      </c>
      <c r="E1653">
        <v>65.73</v>
      </c>
      <c r="F1653">
        <v>69.56</v>
      </c>
      <c r="G1653">
        <v>96.84</v>
      </c>
      <c r="H1653">
        <v>75.400000000000006</v>
      </c>
      <c r="K1653" s="9">
        <f t="shared" si="180"/>
        <v>0.21999999999999886</v>
      </c>
      <c r="L1653">
        <f t="shared" si="181"/>
        <v>0.1699999999999946</v>
      </c>
      <c r="M1653">
        <f t="shared" si="182"/>
        <v>0.21999999999999886</v>
      </c>
      <c r="N1653">
        <f t="shared" si="183"/>
        <v>-0.21999999999999886</v>
      </c>
      <c r="O1653">
        <f t="shared" si="184"/>
        <v>-0.17000000000000171</v>
      </c>
      <c r="P1653" s="10">
        <f t="shared" si="185"/>
        <v>0.15999999999999659</v>
      </c>
    </row>
    <row r="1654" spans="1:16">
      <c r="A1654">
        <v>271.5</v>
      </c>
      <c r="B1654" s="42">
        <v>40.4</v>
      </c>
      <c r="C1654">
        <v>50.06</v>
      </c>
      <c r="D1654">
        <v>50.01</v>
      </c>
      <c r="E1654">
        <v>65.78</v>
      </c>
      <c r="F1654">
        <v>69.45</v>
      </c>
      <c r="G1654">
        <v>96.78</v>
      </c>
      <c r="H1654">
        <v>76.17</v>
      </c>
      <c r="K1654" s="9">
        <f t="shared" si="180"/>
        <v>0.10999999999999943</v>
      </c>
      <c r="L1654">
        <f t="shared" si="181"/>
        <v>0.10999999999999943</v>
      </c>
      <c r="M1654">
        <f t="shared" si="182"/>
        <v>0.17000000000000171</v>
      </c>
      <c r="N1654">
        <f t="shared" si="183"/>
        <v>6.0000000000002274E-2</v>
      </c>
      <c r="O1654">
        <f t="shared" si="184"/>
        <v>-0.15999999999999659</v>
      </c>
      <c r="P1654" s="10">
        <f t="shared" si="185"/>
        <v>-1.0499999999999972</v>
      </c>
    </row>
    <row r="1655" spans="1:16">
      <c r="A1655">
        <v>271.67</v>
      </c>
      <c r="B1655" s="42">
        <v>40.4</v>
      </c>
      <c r="C1655">
        <v>50.17</v>
      </c>
      <c r="D1655">
        <v>50.06</v>
      </c>
      <c r="E1655">
        <v>65.95</v>
      </c>
      <c r="F1655">
        <v>68.900000000000006</v>
      </c>
      <c r="G1655">
        <v>96.67</v>
      </c>
      <c r="H1655">
        <v>76.12</v>
      </c>
      <c r="K1655" s="9">
        <f t="shared" si="180"/>
        <v>0.10999999999999943</v>
      </c>
      <c r="L1655">
        <f t="shared" si="181"/>
        <v>0.10999999999999943</v>
      </c>
      <c r="M1655">
        <f t="shared" si="182"/>
        <v>0.17000000000000171</v>
      </c>
      <c r="N1655">
        <f t="shared" si="183"/>
        <v>0.37999999999999545</v>
      </c>
      <c r="O1655">
        <f t="shared" si="184"/>
        <v>-0.15999999999999659</v>
      </c>
      <c r="P1655" s="10">
        <f t="shared" si="185"/>
        <v>-1</v>
      </c>
    </row>
    <row r="1656" spans="1:16">
      <c r="A1656">
        <v>271.83</v>
      </c>
      <c r="B1656" s="42">
        <v>40.4</v>
      </c>
      <c r="C1656">
        <v>50.17</v>
      </c>
      <c r="D1656">
        <v>50.12</v>
      </c>
      <c r="E1656">
        <v>65.95</v>
      </c>
      <c r="F1656">
        <v>69.34</v>
      </c>
      <c r="G1656">
        <v>96.67</v>
      </c>
      <c r="H1656">
        <v>75.56</v>
      </c>
      <c r="K1656" s="9">
        <f t="shared" si="180"/>
        <v>5.9999999999995168E-2</v>
      </c>
      <c r="L1656">
        <f t="shared" si="181"/>
        <v>5.0000000000004263E-2</v>
      </c>
      <c r="M1656">
        <f t="shared" si="182"/>
        <v>0.21999999999999886</v>
      </c>
      <c r="N1656">
        <f t="shared" si="183"/>
        <v>-0.39000000000000057</v>
      </c>
      <c r="O1656">
        <f t="shared" si="184"/>
        <v>-0.21999999999999886</v>
      </c>
      <c r="P1656" s="10">
        <f t="shared" si="185"/>
        <v>-0.10999999999999943</v>
      </c>
    </row>
    <row r="1657" spans="1:16">
      <c r="A1657">
        <v>272</v>
      </c>
      <c r="B1657" s="42">
        <v>40.450000000000003</v>
      </c>
      <c r="C1657">
        <v>50.17</v>
      </c>
      <c r="D1657">
        <v>50.12</v>
      </c>
      <c r="E1657">
        <v>65.95</v>
      </c>
      <c r="F1657">
        <v>69.510000000000005</v>
      </c>
      <c r="G1657">
        <v>96.62</v>
      </c>
      <c r="H1657">
        <v>75.12</v>
      </c>
      <c r="K1657" s="9">
        <f t="shared" si="180"/>
        <v>0.10999999999999943</v>
      </c>
      <c r="L1657">
        <f t="shared" si="181"/>
        <v>0.16000000000000369</v>
      </c>
      <c r="M1657">
        <f t="shared" si="182"/>
        <v>0.21999999999999886</v>
      </c>
      <c r="N1657">
        <f t="shared" si="183"/>
        <v>0</v>
      </c>
      <c r="O1657">
        <f t="shared" si="184"/>
        <v>-0.34000000000000341</v>
      </c>
      <c r="P1657" s="10">
        <f t="shared" si="185"/>
        <v>0.65999999999999659</v>
      </c>
    </row>
    <row r="1658" spans="1:16">
      <c r="A1658">
        <v>272.17</v>
      </c>
      <c r="B1658" s="42">
        <v>40.56</v>
      </c>
      <c r="C1658">
        <v>50.28</v>
      </c>
      <c r="D1658">
        <v>50.17</v>
      </c>
      <c r="E1658">
        <v>66.12</v>
      </c>
      <c r="F1658">
        <v>69.28</v>
      </c>
      <c r="G1658">
        <v>96.51</v>
      </c>
      <c r="H1658">
        <v>75.12</v>
      </c>
      <c r="K1658" s="9">
        <f t="shared" si="180"/>
        <v>0</v>
      </c>
      <c r="L1658">
        <f t="shared" si="181"/>
        <v>0.10999999999999943</v>
      </c>
      <c r="M1658">
        <f t="shared" si="182"/>
        <v>0.10999999999999943</v>
      </c>
      <c r="N1658">
        <f t="shared" si="183"/>
        <v>-0.32999999999999829</v>
      </c>
      <c r="O1658">
        <f t="shared" si="184"/>
        <v>-0.45000000000000284</v>
      </c>
      <c r="P1658" s="10">
        <f t="shared" si="185"/>
        <v>0.5</v>
      </c>
    </row>
    <row r="1659" spans="1:16">
      <c r="A1659">
        <v>272.33</v>
      </c>
      <c r="B1659" s="42">
        <v>40.56</v>
      </c>
      <c r="C1659">
        <v>50.23</v>
      </c>
      <c r="D1659">
        <v>50.17</v>
      </c>
      <c r="E1659">
        <v>66.17</v>
      </c>
      <c r="F1659">
        <v>68.95</v>
      </c>
      <c r="G1659">
        <v>96.45</v>
      </c>
      <c r="H1659">
        <v>75.45</v>
      </c>
      <c r="K1659" s="9">
        <f t="shared" si="180"/>
        <v>5.0000000000004263E-2</v>
      </c>
      <c r="L1659">
        <f t="shared" si="181"/>
        <v>5.9999999999995168E-2</v>
      </c>
      <c r="M1659">
        <f t="shared" si="182"/>
        <v>0.17000000000000171</v>
      </c>
      <c r="N1659">
        <f t="shared" si="183"/>
        <v>-0.39000000000000057</v>
      </c>
      <c r="O1659">
        <f t="shared" si="184"/>
        <v>-0.54999999999999716</v>
      </c>
      <c r="P1659" s="10">
        <f t="shared" si="185"/>
        <v>0.32999999999999829</v>
      </c>
    </row>
    <row r="1660" spans="1:16">
      <c r="A1660">
        <v>272.5</v>
      </c>
      <c r="B1660" s="42">
        <v>40.56</v>
      </c>
      <c r="C1660">
        <v>50.28</v>
      </c>
      <c r="D1660">
        <v>50.28</v>
      </c>
      <c r="E1660">
        <v>66.17</v>
      </c>
      <c r="F1660">
        <v>69.510000000000005</v>
      </c>
      <c r="G1660">
        <v>96.28</v>
      </c>
      <c r="H1660">
        <v>75.78</v>
      </c>
      <c r="K1660" s="9">
        <f t="shared" si="180"/>
        <v>0</v>
      </c>
      <c r="L1660">
        <f t="shared" si="181"/>
        <v>-5.0000000000004263E-2</v>
      </c>
      <c r="M1660">
        <f t="shared" si="182"/>
        <v>0.23000000000000398</v>
      </c>
      <c r="N1660">
        <f t="shared" si="183"/>
        <v>-1.4500000000000028</v>
      </c>
      <c r="O1660">
        <f t="shared" si="184"/>
        <v>-0.43999999999999773</v>
      </c>
      <c r="P1660" s="10">
        <f t="shared" si="185"/>
        <v>-1.1599999999999966</v>
      </c>
    </row>
    <row r="1661" spans="1:16">
      <c r="A1661">
        <v>272.67</v>
      </c>
      <c r="B1661" s="42">
        <v>40.840000000000003</v>
      </c>
      <c r="C1661">
        <v>50.28</v>
      </c>
      <c r="D1661">
        <v>50.28</v>
      </c>
      <c r="E1661">
        <v>66.23</v>
      </c>
      <c r="F1661">
        <v>68.95</v>
      </c>
      <c r="G1661">
        <v>96.06</v>
      </c>
      <c r="H1661">
        <v>75.62</v>
      </c>
      <c r="K1661" s="9">
        <f t="shared" si="180"/>
        <v>-5.0000000000004263E-2</v>
      </c>
      <c r="L1661">
        <f t="shared" si="181"/>
        <v>-0.10999999999999943</v>
      </c>
      <c r="M1661">
        <f t="shared" si="182"/>
        <v>0.28000000000000114</v>
      </c>
      <c r="N1661">
        <f t="shared" si="183"/>
        <v>-1</v>
      </c>
      <c r="O1661">
        <f t="shared" si="184"/>
        <v>-0.32999999999999829</v>
      </c>
      <c r="P1661" s="10">
        <f t="shared" si="185"/>
        <v>-0.34000000000000341</v>
      </c>
    </row>
    <row r="1662" spans="1:16">
      <c r="A1662">
        <v>272.83</v>
      </c>
      <c r="B1662" s="42">
        <v>40.78</v>
      </c>
      <c r="C1662">
        <v>50.28</v>
      </c>
      <c r="D1662">
        <v>50.23</v>
      </c>
      <c r="E1662">
        <v>66.34</v>
      </c>
      <c r="F1662">
        <v>68.56</v>
      </c>
      <c r="G1662">
        <v>95.9</v>
      </c>
      <c r="H1662">
        <v>75.78</v>
      </c>
      <c r="K1662" s="9">
        <f t="shared" si="180"/>
        <v>-0.10999999999999943</v>
      </c>
      <c r="L1662">
        <f t="shared" si="181"/>
        <v>0</v>
      </c>
      <c r="M1662">
        <f t="shared" si="182"/>
        <v>0.21999999999999886</v>
      </c>
      <c r="N1662">
        <f t="shared" si="183"/>
        <v>-0.71999999999999886</v>
      </c>
      <c r="O1662">
        <f t="shared" si="184"/>
        <v>-0.17000000000000171</v>
      </c>
      <c r="P1662" s="10">
        <f t="shared" si="185"/>
        <v>-0.15999999999999659</v>
      </c>
    </row>
    <row r="1663" spans="1:16">
      <c r="A1663">
        <v>273</v>
      </c>
      <c r="B1663" s="42">
        <v>40.78</v>
      </c>
      <c r="C1663">
        <v>50.28</v>
      </c>
      <c r="D1663">
        <v>50.23</v>
      </c>
      <c r="E1663">
        <v>66.400000000000006</v>
      </c>
      <c r="F1663">
        <v>68.06</v>
      </c>
      <c r="G1663">
        <v>95.84</v>
      </c>
      <c r="H1663">
        <v>74.62</v>
      </c>
      <c r="K1663" s="9">
        <f t="shared" si="180"/>
        <v>6.0000000000002274E-2</v>
      </c>
      <c r="L1663">
        <f t="shared" si="181"/>
        <v>0</v>
      </c>
      <c r="M1663">
        <f t="shared" si="182"/>
        <v>0.15999999999999659</v>
      </c>
      <c r="N1663">
        <f t="shared" si="183"/>
        <v>-0.43999999999999773</v>
      </c>
      <c r="O1663">
        <f t="shared" si="184"/>
        <v>-0.28000000000000114</v>
      </c>
      <c r="P1663" s="10">
        <f t="shared" si="185"/>
        <v>1.1599999999999966</v>
      </c>
    </row>
    <row r="1664" spans="1:16">
      <c r="A1664">
        <v>273.17</v>
      </c>
      <c r="B1664" s="42">
        <v>40.78</v>
      </c>
      <c r="C1664">
        <v>50.23</v>
      </c>
      <c r="D1664">
        <v>50.17</v>
      </c>
      <c r="E1664">
        <v>66.510000000000005</v>
      </c>
      <c r="F1664">
        <v>67.95</v>
      </c>
      <c r="G1664">
        <v>95.73</v>
      </c>
      <c r="H1664">
        <v>75.28</v>
      </c>
      <c r="K1664" s="9">
        <f t="shared" si="180"/>
        <v>0.17000000000000171</v>
      </c>
      <c r="L1664">
        <f t="shared" si="181"/>
        <v>0.17000000000000171</v>
      </c>
      <c r="M1664">
        <f t="shared" si="182"/>
        <v>0.10999999999999943</v>
      </c>
      <c r="N1664">
        <f t="shared" si="183"/>
        <v>-0.28000000000000114</v>
      </c>
      <c r="O1664">
        <f t="shared" si="184"/>
        <v>-0.32999999999999829</v>
      </c>
      <c r="P1664" s="10">
        <f t="shared" si="185"/>
        <v>0.95000000000000284</v>
      </c>
    </row>
    <row r="1665" spans="1:16">
      <c r="A1665">
        <v>273.33</v>
      </c>
      <c r="B1665" s="42">
        <v>40.78</v>
      </c>
      <c r="C1665">
        <v>50.17</v>
      </c>
      <c r="D1665">
        <v>50.23</v>
      </c>
      <c r="E1665">
        <v>66.56</v>
      </c>
      <c r="F1665">
        <v>67.84</v>
      </c>
      <c r="G1665">
        <v>95.73</v>
      </c>
      <c r="H1665">
        <v>75.62</v>
      </c>
      <c r="K1665" s="9">
        <f t="shared" si="180"/>
        <v>0.39000000000000057</v>
      </c>
      <c r="L1665">
        <f t="shared" si="181"/>
        <v>0.22000000000000597</v>
      </c>
      <c r="M1665">
        <f t="shared" si="182"/>
        <v>6.0000000000002274E-2</v>
      </c>
      <c r="N1665">
        <f t="shared" si="183"/>
        <v>-0.43999999999999773</v>
      </c>
      <c r="O1665">
        <f t="shared" si="184"/>
        <v>-0.32999999999999829</v>
      </c>
      <c r="P1665" s="10">
        <f t="shared" si="185"/>
        <v>0.54999999999999716</v>
      </c>
    </row>
    <row r="1666" spans="1:16">
      <c r="A1666">
        <v>273.5</v>
      </c>
      <c r="B1666" s="42">
        <v>40.729999999999997</v>
      </c>
      <c r="C1666">
        <v>50.34</v>
      </c>
      <c r="D1666">
        <v>50.23</v>
      </c>
      <c r="E1666">
        <v>66.56</v>
      </c>
      <c r="F1666">
        <v>67.62</v>
      </c>
      <c r="G1666">
        <v>95.56</v>
      </c>
      <c r="H1666">
        <v>75.78</v>
      </c>
      <c r="K1666" s="9">
        <f t="shared" si="180"/>
        <v>0.21999999999999886</v>
      </c>
      <c r="L1666">
        <f t="shared" si="181"/>
        <v>0.28000000000000114</v>
      </c>
      <c r="M1666">
        <f t="shared" si="182"/>
        <v>0.10999999999999943</v>
      </c>
      <c r="N1666">
        <f t="shared" si="183"/>
        <v>-0.17000000000000171</v>
      </c>
      <c r="O1666">
        <f t="shared" si="184"/>
        <v>-0.32999999999999829</v>
      </c>
      <c r="P1666" s="10">
        <f t="shared" si="185"/>
        <v>0.67000000000000171</v>
      </c>
    </row>
    <row r="1667" spans="1:16">
      <c r="A1667">
        <v>273.67</v>
      </c>
      <c r="B1667" s="42">
        <v>40.840000000000003</v>
      </c>
      <c r="C1667">
        <v>50.4</v>
      </c>
      <c r="D1667">
        <v>50.34</v>
      </c>
      <c r="E1667">
        <v>66.62</v>
      </c>
      <c r="F1667">
        <v>67.67</v>
      </c>
      <c r="G1667">
        <v>95.4</v>
      </c>
      <c r="H1667">
        <v>76.23</v>
      </c>
      <c r="K1667" s="9">
        <f t="shared" si="180"/>
        <v>0.27000000000000313</v>
      </c>
      <c r="L1667">
        <f t="shared" si="181"/>
        <v>0.27999999999999403</v>
      </c>
      <c r="M1667">
        <f t="shared" si="182"/>
        <v>0.10999999999999943</v>
      </c>
      <c r="N1667">
        <f t="shared" si="183"/>
        <v>-0.32999999999999829</v>
      </c>
      <c r="O1667">
        <f t="shared" si="184"/>
        <v>-0.17000000000000171</v>
      </c>
      <c r="P1667" s="10">
        <f t="shared" si="185"/>
        <v>-0.39000000000000057</v>
      </c>
    </row>
    <row r="1668" spans="1:16">
      <c r="A1668">
        <v>273.83</v>
      </c>
      <c r="B1668" s="42">
        <v>40.950000000000003</v>
      </c>
      <c r="C1668">
        <v>50.56</v>
      </c>
      <c r="D1668">
        <v>50.45</v>
      </c>
      <c r="E1668">
        <v>66.62</v>
      </c>
      <c r="F1668">
        <v>67.400000000000006</v>
      </c>
      <c r="G1668">
        <v>95.4</v>
      </c>
      <c r="H1668">
        <v>76.17</v>
      </c>
      <c r="K1668" s="9">
        <f t="shared" si="180"/>
        <v>5.9999999999995168E-2</v>
      </c>
      <c r="L1668">
        <f t="shared" si="181"/>
        <v>0.1699999999999946</v>
      </c>
      <c r="M1668">
        <f t="shared" si="182"/>
        <v>0.10999999999999943</v>
      </c>
      <c r="N1668">
        <f t="shared" si="183"/>
        <v>-0.17000000000000171</v>
      </c>
      <c r="O1668">
        <f t="shared" si="184"/>
        <v>-0.23000000000000398</v>
      </c>
      <c r="P1668" s="10">
        <f t="shared" si="185"/>
        <v>-0.39000000000000057</v>
      </c>
    </row>
    <row r="1669" spans="1:16">
      <c r="A1669">
        <v>274</v>
      </c>
      <c r="B1669" s="42">
        <v>40.78</v>
      </c>
      <c r="C1669">
        <v>50.56</v>
      </c>
      <c r="D1669">
        <v>50.51</v>
      </c>
      <c r="E1669">
        <v>66.67</v>
      </c>
      <c r="F1669">
        <v>67.45</v>
      </c>
      <c r="G1669">
        <v>95.23</v>
      </c>
      <c r="H1669">
        <v>76.45</v>
      </c>
      <c r="K1669" s="9">
        <f t="shared" si="180"/>
        <v>0.10999999999999943</v>
      </c>
      <c r="L1669">
        <f t="shared" si="181"/>
        <v>0.16000000000000369</v>
      </c>
      <c r="M1669">
        <f t="shared" si="182"/>
        <v>0.10999999999999943</v>
      </c>
      <c r="N1669">
        <f t="shared" si="183"/>
        <v>0</v>
      </c>
      <c r="O1669">
        <f t="shared" si="184"/>
        <v>-0.17000000000000171</v>
      </c>
      <c r="P1669" s="10">
        <f t="shared" si="185"/>
        <v>-1.0499999999999972</v>
      </c>
    </row>
    <row r="1670" spans="1:16">
      <c r="A1670">
        <v>274.17</v>
      </c>
      <c r="B1670" s="42">
        <v>40.729999999999997</v>
      </c>
      <c r="C1670">
        <v>50.67</v>
      </c>
      <c r="D1670">
        <v>50.62</v>
      </c>
      <c r="E1670">
        <v>66.73</v>
      </c>
      <c r="F1670">
        <v>67.34</v>
      </c>
      <c r="G1670">
        <v>95.23</v>
      </c>
      <c r="H1670">
        <v>75.84</v>
      </c>
      <c r="K1670" s="9">
        <f t="shared" si="180"/>
        <v>-5.0000000000004263E-2</v>
      </c>
      <c r="L1670">
        <f t="shared" si="181"/>
        <v>0</v>
      </c>
      <c r="M1670">
        <f t="shared" si="182"/>
        <v>4.9999999999997158E-2</v>
      </c>
      <c r="N1670">
        <f t="shared" si="183"/>
        <v>-0.43999999999999773</v>
      </c>
      <c r="O1670">
        <f t="shared" si="184"/>
        <v>-0.17000000000000171</v>
      </c>
      <c r="P1670" s="10">
        <f t="shared" si="185"/>
        <v>-0.39000000000000057</v>
      </c>
    </row>
    <row r="1671" spans="1:16">
      <c r="A1671">
        <v>274.33</v>
      </c>
      <c r="B1671" s="42">
        <v>40.67</v>
      </c>
      <c r="C1671">
        <v>50.62</v>
      </c>
      <c r="D1671">
        <v>50.62</v>
      </c>
      <c r="E1671">
        <v>66.73</v>
      </c>
      <c r="F1671">
        <v>67.23</v>
      </c>
      <c r="G1671">
        <v>95.17</v>
      </c>
      <c r="H1671">
        <v>75.78</v>
      </c>
      <c r="K1671" s="9">
        <f t="shared" si="180"/>
        <v>0.10999999999999943</v>
      </c>
      <c r="L1671">
        <f t="shared" si="181"/>
        <v>0.10999999999999943</v>
      </c>
      <c r="M1671">
        <f t="shared" si="182"/>
        <v>0.17000000000000171</v>
      </c>
      <c r="N1671">
        <f t="shared" si="183"/>
        <v>-0.28000000000000114</v>
      </c>
      <c r="O1671">
        <f t="shared" si="184"/>
        <v>-0.10999999999999943</v>
      </c>
      <c r="P1671" s="10">
        <f t="shared" si="185"/>
        <v>0.17000000000000171</v>
      </c>
    </row>
    <row r="1672" spans="1:16">
      <c r="A1672">
        <v>274.5</v>
      </c>
      <c r="B1672" s="42">
        <v>40.78</v>
      </c>
      <c r="C1672">
        <v>50.67</v>
      </c>
      <c r="D1672">
        <v>50.67</v>
      </c>
      <c r="E1672">
        <v>66.78</v>
      </c>
      <c r="F1672">
        <v>67.45</v>
      </c>
      <c r="G1672">
        <v>95.06</v>
      </c>
      <c r="H1672">
        <v>75.400000000000006</v>
      </c>
      <c r="K1672" s="9">
        <f t="shared" si="180"/>
        <v>0.17000000000000171</v>
      </c>
      <c r="L1672">
        <f t="shared" si="181"/>
        <v>0.17000000000000171</v>
      </c>
      <c r="M1672">
        <f t="shared" si="182"/>
        <v>6.0000000000002274E-2</v>
      </c>
      <c r="N1672">
        <f t="shared" si="183"/>
        <v>-0.21999999999999886</v>
      </c>
      <c r="O1672">
        <f t="shared" si="184"/>
        <v>-4.9999999999997158E-2</v>
      </c>
      <c r="P1672" s="10">
        <f t="shared" si="185"/>
        <v>1</v>
      </c>
    </row>
    <row r="1673" spans="1:16">
      <c r="A1673">
        <v>274.67</v>
      </c>
      <c r="B1673" s="42">
        <v>40.619999999999997</v>
      </c>
      <c r="C1673">
        <v>50.62</v>
      </c>
      <c r="D1673">
        <v>50.62</v>
      </c>
      <c r="E1673">
        <v>66.78</v>
      </c>
      <c r="F1673">
        <v>66.900000000000006</v>
      </c>
      <c r="G1673">
        <v>95.06</v>
      </c>
      <c r="H1673">
        <v>75.45</v>
      </c>
      <c r="K1673" s="9">
        <f t="shared" si="180"/>
        <v>0.28000000000000114</v>
      </c>
      <c r="L1673">
        <f t="shared" si="181"/>
        <v>0.28000000000000114</v>
      </c>
      <c r="M1673">
        <f t="shared" si="182"/>
        <v>0.12000000000000455</v>
      </c>
      <c r="N1673">
        <f t="shared" si="183"/>
        <v>0.21999999999999886</v>
      </c>
      <c r="O1673">
        <f t="shared" si="184"/>
        <v>-4.9999999999997158E-2</v>
      </c>
      <c r="P1673" s="10">
        <f t="shared" si="185"/>
        <v>0.95000000000000284</v>
      </c>
    </row>
    <row r="1674" spans="1:16">
      <c r="A1674">
        <v>274.83</v>
      </c>
      <c r="B1674" s="42">
        <v>40.729999999999997</v>
      </c>
      <c r="C1674">
        <v>50.73</v>
      </c>
      <c r="D1674">
        <v>50.73</v>
      </c>
      <c r="E1674">
        <v>66.900000000000006</v>
      </c>
      <c r="F1674">
        <v>66.95</v>
      </c>
      <c r="G1674">
        <v>95.06</v>
      </c>
      <c r="H1674">
        <v>75.95</v>
      </c>
      <c r="K1674" s="9">
        <f t="shared" si="180"/>
        <v>0.17000000000000171</v>
      </c>
      <c r="L1674">
        <f t="shared" si="181"/>
        <v>0.17000000000000171</v>
      </c>
      <c r="M1674">
        <f t="shared" si="182"/>
        <v>4.9999999999997158E-2</v>
      </c>
      <c r="N1674">
        <f t="shared" si="183"/>
        <v>0.28000000000000114</v>
      </c>
      <c r="O1674">
        <f t="shared" si="184"/>
        <v>-0.21999999999999886</v>
      </c>
      <c r="P1674" s="10">
        <f t="shared" si="185"/>
        <v>1.1099999999999994</v>
      </c>
    </row>
    <row r="1675" spans="1:16">
      <c r="A1675">
        <v>275</v>
      </c>
      <c r="B1675" s="42">
        <v>40.840000000000003</v>
      </c>
      <c r="C1675">
        <v>50.84</v>
      </c>
      <c r="D1675">
        <v>50.84</v>
      </c>
      <c r="E1675">
        <v>66.84</v>
      </c>
      <c r="F1675">
        <v>67.23</v>
      </c>
      <c r="G1675">
        <v>95.01</v>
      </c>
      <c r="H1675">
        <v>76.400000000000006</v>
      </c>
      <c r="K1675" s="9">
        <f t="shared" si="180"/>
        <v>0.1699999999999946</v>
      </c>
      <c r="L1675">
        <f t="shared" si="181"/>
        <v>0.10999999999999943</v>
      </c>
      <c r="M1675">
        <f t="shared" si="182"/>
        <v>0.21999999999999886</v>
      </c>
      <c r="N1675">
        <f t="shared" si="183"/>
        <v>0</v>
      </c>
      <c r="O1675">
        <f t="shared" si="184"/>
        <v>-0.17000000000000171</v>
      </c>
      <c r="P1675" s="10">
        <f t="shared" si="185"/>
        <v>1.2199999999999989</v>
      </c>
    </row>
    <row r="1676" spans="1:16">
      <c r="A1676">
        <v>275.17</v>
      </c>
      <c r="B1676" s="42">
        <v>40.78</v>
      </c>
      <c r="C1676">
        <v>50.9</v>
      </c>
      <c r="D1676">
        <v>50.9</v>
      </c>
      <c r="E1676">
        <v>66.900000000000006</v>
      </c>
      <c r="F1676">
        <v>67.12</v>
      </c>
      <c r="G1676">
        <v>95.01</v>
      </c>
      <c r="H1676">
        <v>76.400000000000006</v>
      </c>
      <c r="K1676" s="9">
        <f t="shared" si="180"/>
        <v>0.21999999999999886</v>
      </c>
      <c r="L1676">
        <f t="shared" si="181"/>
        <v>0.16000000000000369</v>
      </c>
      <c r="M1676">
        <f t="shared" si="182"/>
        <v>0.26999999999999602</v>
      </c>
      <c r="N1676">
        <f t="shared" si="183"/>
        <v>4.9999999999997158E-2</v>
      </c>
      <c r="O1676">
        <f t="shared" si="184"/>
        <v>-0.34000000000000341</v>
      </c>
      <c r="P1676" s="10">
        <f t="shared" si="185"/>
        <v>1.0499999999999972</v>
      </c>
    </row>
    <row r="1677" spans="1:16">
      <c r="A1677">
        <v>275.33</v>
      </c>
      <c r="B1677" s="42">
        <v>40.840000000000003</v>
      </c>
      <c r="C1677">
        <v>50.9</v>
      </c>
      <c r="D1677">
        <v>50.9</v>
      </c>
      <c r="E1677">
        <v>66.95</v>
      </c>
      <c r="F1677">
        <v>67.23</v>
      </c>
      <c r="G1677">
        <v>94.84</v>
      </c>
      <c r="H1677">
        <v>77.06</v>
      </c>
      <c r="K1677" s="9">
        <f t="shared" si="180"/>
        <v>0</v>
      </c>
      <c r="L1677">
        <f t="shared" si="181"/>
        <v>0.10999999999999943</v>
      </c>
      <c r="M1677">
        <f t="shared" si="182"/>
        <v>0.17000000000000171</v>
      </c>
      <c r="N1677">
        <f t="shared" si="183"/>
        <v>-0.45000000000000284</v>
      </c>
      <c r="O1677">
        <f t="shared" si="184"/>
        <v>-0.28000000000000114</v>
      </c>
      <c r="P1677" s="10">
        <f t="shared" si="185"/>
        <v>0.95000000000000284</v>
      </c>
    </row>
    <row r="1678" spans="1:16">
      <c r="A1678">
        <v>275.5</v>
      </c>
      <c r="B1678" s="42">
        <v>40.78</v>
      </c>
      <c r="C1678">
        <v>51.01</v>
      </c>
      <c r="D1678">
        <v>50.95</v>
      </c>
      <c r="E1678">
        <v>67.06</v>
      </c>
      <c r="F1678">
        <v>67.23</v>
      </c>
      <c r="G1678">
        <v>94.84</v>
      </c>
      <c r="H1678">
        <v>77.62</v>
      </c>
      <c r="K1678" s="9">
        <f t="shared" si="180"/>
        <v>-0.1699999999999946</v>
      </c>
      <c r="L1678">
        <f t="shared" si="181"/>
        <v>5.9999999999995168E-2</v>
      </c>
      <c r="M1678">
        <f t="shared" si="182"/>
        <v>6.0000000000002274E-2</v>
      </c>
      <c r="N1678">
        <f t="shared" si="183"/>
        <v>-0.67000000000000171</v>
      </c>
      <c r="O1678">
        <f t="shared" si="184"/>
        <v>-0.32999999999999829</v>
      </c>
      <c r="P1678" s="10">
        <f t="shared" si="185"/>
        <v>0.43999999999999773</v>
      </c>
    </row>
    <row r="1679" spans="1:16">
      <c r="A1679">
        <v>275.67</v>
      </c>
      <c r="B1679" s="42">
        <v>40.67</v>
      </c>
      <c r="C1679">
        <v>51.12</v>
      </c>
      <c r="D1679">
        <v>51.06</v>
      </c>
      <c r="E1679">
        <v>67.17</v>
      </c>
      <c r="F1679">
        <v>67.17</v>
      </c>
      <c r="G1679">
        <v>94.67</v>
      </c>
      <c r="H1679">
        <v>77.45</v>
      </c>
      <c r="K1679" s="9">
        <f t="shared" si="180"/>
        <v>-0.33999999999999631</v>
      </c>
      <c r="L1679">
        <f t="shared" si="181"/>
        <v>-0.16000000000000369</v>
      </c>
      <c r="M1679">
        <f t="shared" si="182"/>
        <v>-4.9999999999997158E-2</v>
      </c>
      <c r="N1679">
        <f t="shared" si="183"/>
        <v>-0.32999999999999829</v>
      </c>
      <c r="O1679">
        <f t="shared" si="184"/>
        <v>-0.21999999999999886</v>
      </c>
      <c r="P1679" s="10">
        <f t="shared" si="185"/>
        <v>0.95000000000000284</v>
      </c>
    </row>
    <row r="1680" spans="1:16">
      <c r="A1680">
        <v>275.83</v>
      </c>
      <c r="B1680" s="42">
        <v>40.619999999999997</v>
      </c>
      <c r="C1680">
        <v>50.9</v>
      </c>
      <c r="D1680">
        <v>51.01</v>
      </c>
      <c r="E1680">
        <v>67.12</v>
      </c>
      <c r="F1680">
        <v>66.78</v>
      </c>
      <c r="G1680">
        <v>94.56</v>
      </c>
      <c r="H1680">
        <v>78.010000000000005</v>
      </c>
      <c r="K1680" s="9">
        <f t="shared" si="180"/>
        <v>-0.22999999999999687</v>
      </c>
      <c r="L1680">
        <f t="shared" si="181"/>
        <v>-0.10999999999999943</v>
      </c>
      <c r="M1680">
        <f t="shared" si="182"/>
        <v>0</v>
      </c>
      <c r="N1680">
        <f t="shared" si="183"/>
        <v>0</v>
      </c>
      <c r="O1680">
        <f t="shared" si="184"/>
        <v>-0.28000000000000114</v>
      </c>
      <c r="P1680" s="10">
        <f t="shared" si="185"/>
        <v>0.60999999999999943</v>
      </c>
    </row>
    <row r="1681" spans="1:16">
      <c r="A1681">
        <v>276</v>
      </c>
      <c r="B1681" s="42">
        <v>40.67</v>
      </c>
      <c r="C1681">
        <v>50.84</v>
      </c>
      <c r="D1681">
        <v>51.01</v>
      </c>
      <c r="E1681">
        <v>67.12</v>
      </c>
      <c r="F1681">
        <v>66.56</v>
      </c>
      <c r="G1681">
        <v>94.51</v>
      </c>
      <c r="H1681">
        <v>78.06</v>
      </c>
      <c r="K1681" s="9">
        <f t="shared" si="180"/>
        <v>-0.17000000000000171</v>
      </c>
      <c r="L1681">
        <f t="shared" si="181"/>
        <v>-0.22999999999999687</v>
      </c>
      <c r="M1681">
        <f t="shared" si="182"/>
        <v>0.10999999999999943</v>
      </c>
      <c r="N1681">
        <f t="shared" si="183"/>
        <v>0.28000000000000114</v>
      </c>
      <c r="O1681">
        <f t="shared" si="184"/>
        <v>-0.23000000000000398</v>
      </c>
      <c r="P1681" s="10">
        <f t="shared" si="185"/>
        <v>0.39000000000000057</v>
      </c>
    </row>
    <row r="1682" spans="1:16">
      <c r="A1682">
        <v>276.17</v>
      </c>
      <c r="B1682" s="42">
        <v>40.619999999999997</v>
      </c>
      <c r="C1682">
        <v>50.78</v>
      </c>
      <c r="D1682">
        <v>50.9</v>
      </c>
      <c r="E1682">
        <v>67.12</v>
      </c>
      <c r="F1682">
        <v>66.84</v>
      </c>
      <c r="G1682">
        <v>94.45</v>
      </c>
      <c r="H1682">
        <v>78.400000000000006</v>
      </c>
      <c r="K1682" s="9">
        <f t="shared" si="180"/>
        <v>-0.21999999999999886</v>
      </c>
      <c r="L1682">
        <f t="shared" si="181"/>
        <v>-0.22999999999999687</v>
      </c>
      <c r="M1682">
        <f t="shared" si="182"/>
        <v>0.10999999999999943</v>
      </c>
      <c r="N1682">
        <f t="shared" si="183"/>
        <v>6.0000000000002274E-2</v>
      </c>
      <c r="O1682">
        <f t="shared" si="184"/>
        <v>-0.21999999999999886</v>
      </c>
      <c r="P1682" s="10">
        <f t="shared" si="185"/>
        <v>0.26999999999999602</v>
      </c>
    </row>
    <row r="1683" spans="1:16">
      <c r="A1683">
        <v>276.33</v>
      </c>
      <c r="B1683" s="42">
        <v>40.51</v>
      </c>
      <c r="C1683">
        <v>50.67</v>
      </c>
      <c r="D1683">
        <v>50.9</v>
      </c>
      <c r="E1683">
        <v>67.12</v>
      </c>
      <c r="F1683">
        <v>66.78</v>
      </c>
      <c r="G1683">
        <v>94.28</v>
      </c>
      <c r="H1683">
        <v>78.62</v>
      </c>
      <c r="K1683" s="9">
        <f t="shared" si="180"/>
        <v>-0.16000000000000369</v>
      </c>
      <c r="L1683">
        <f t="shared" si="181"/>
        <v>-0.28000000000000114</v>
      </c>
      <c r="M1683">
        <f t="shared" si="182"/>
        <v>0.10999999999999943</v>
      </c>
      <c r="N1683">
        <f t="shared" si="183"/>
        <v>0.28000000000000114</v>
      </c>
      <c r="O1683">
        <f t="shared" si="184"/>
        <v>-0.15999999999999659</v>
      </c>
      <c r="P1683" s="10">
        <f t="shared" si="185"/>
        <v>-0.89000000000000057</v>
      </c>
    </row>
    <row r="1684" spans="1:16">
      <c r="A1684">
        <v>276.5</v>
      </c>
      <c r="B1684" s="42">
        <v>40.4</v>
      </c>
      <c r="C1684">
        <v>50.67</v>
      </c>
      <c r="D1684">
        <v>50.78</v>
      </c>
      <c r="E1684">
        <v>67.23</v>
      </c>
      <c r="F1684">
        <v>66.84</v>
      </c>
      <c r="G1684">
        <v>94.28</v>
      </c>
      <c r="H1684">
        <v>78.45</v>
      </c>
      <c r="K1684" s="9">
        <f t="shared" si="180"/>
        <v>-0.10999999999999943</v>
      </c>
      <c r="L1684">
        <f t="shared" si="181"/>
        <v>-0.16000000000000369</v>
      </c>
      <c r="M1684">
        <f t="shared" si="182"/>
        <v>4.9999999999997158E-2</v>
      </c>
      <c r="N1684">
        <f t="shared" si="183"/>
        <v>0</v>
      </c>
      <c r="O1684">
        <f t="shared" si="184"/>
        <v>-0.21999999999999886</v>
      </c>
      <c r="P1684" s="10">
        <f t="shared" si="185"/>
        <v>-1.1700000000000017</v>
      </c>
    </row>
    <row r="1685" spans="1:16">
      <c r="A1685">
        <v>276.67</v>
      </c>
      <c r="B1685" s="42">
        <v>40.340000000000003</v>
      </c>
      <c r="C1685">
        <v>50.56</v>
      </c>
      <c r="D1685">
        <v>50.67</v>
      </c>
      <c r="E1685">
        <v>67.23</v>
      </c>
      <c r="F1685">
        <v>66.900000000000006</v>
      </c>
      <c r="G1685">
        <v>94.23</v>
      </c>
      <c r="H1685">
        <v>78.67</v>
      </c>
      <c r="K1685" s="9">
        <f t="shared" si="180"/>
        <v>0</v>
      </c>
      <c r="L1685">
        <f t="shared" si="181"/>
        <v>-5.0000000000004263E-2</v>
      </c>
      <c r="M1685">
        <f t="shared" si="182"/>
        <v>0.10999999999999943</v>
      </c>
      <c r="N1685">
        <f t="shared" si="183"/>
        <v>-6.0000000000002274E-2</v>
      </c>
      <c r="O1685">
        <f t="shared" si="184"/>
        <v>-0.21999999999999886</v>
      </c>
      <c r="P1685" s="10">
        <f t="shared" si="185"/>
        <v>-2.5499999999999972</v>
      </c>
    </row>
    <row r="1686" spans="1:16">
      <c r="A1686">
        <v>276.83</v>
      </c>
      <c r="B1686" s="42">
        <v>40.340000000000003</v>
      </c>
      <c r="C1686">
        <v>50.51</v>
      </c>
      <c r="D1686">
        <v>50.62</v>
      </c>
      <c r="E1686">
        <v>67.23</v>
      </c>
      <c r="F1686">
        <v>67.06</v>
      </c>
      <c r="G1686">
        <v>94.12</v>
      </c>
      <c r="H1686">
        <v>77.73</v>
      </c>
      <c r="K1686" s="9">
        <f t="shared" si="180"/>
        <v>-5.9999999999995168E-2</v>
      </c>
      <c r="L1686">
        <f t="shared" si="181"/>
        <v>-5.9999999999995168E-2</v>
      </c>
      <c r="M1686">
        <f t="shared" si="182"/>
        <v>0.10999999999999943</v>
      </c>
      <c r="N1686">
        <f t="shared" si="183"/>
        <v>-0.39000000000000057</v>
      </c>
      <c r="O1686">
        <f t="shared" si="184"/>
        <v>-0.28000000000000114</v>
      </c>
      <c r="P1686" s="10">
        <f t="shared" si="185"/>
        <v>-2.1099999999999994</v>
      </c>
    </row>
    <row r="1687" spans="1:16">
      <c r="A1687">
        <v>277</v>
      </c>
      <c r="B1687" s="42">
        <v>40.4</v>
      </c>
      <c r="C1687">
        <v>50.56</v>
      </c>
      <c r="D1687">
        <v>50.62</v>
      </c>
      <c r="E1687">
        <v>67.28</v>
      </c>
      <c r="F1687">
        <v>66.84</v>
      </c>
      <c r="G1687">
        <v>94.06</v>
      </c>
      <c r="H1687">
        <v>77.28</v>
      </c>
      <c r="K1687" s="9">
        <f t="shared" si="180"/>
        <v>-0.10999999999999943</v>
      </c>
      <c r="L1687">
        <f t="shared" si="181"/>
        <v>-0.10999999999999943</v>
      </c>
      <c r="M1687">
        <f t="shared" si="182"/>
        <v>0</v>
      </c>
      <c r="N1687">
        <f t="shared" si="183"/>
        <v>-0.5</v>
      </c>
      <c r="O1687">
        <f t="shared" si="184"/>
        <v>-0.5</v>
      </c>
      <c r="P1687" s="10">
        <f t="shared" si="185"/>
        <v>-1.2199999999999989</v>
      </c>
    </row>
    <row r="1688" spans="1:16">
      <c r="A1688">
        <v>277.17</v>
      </c>
      <c r="B1688" s="42">
        <v>40.4</v>
      </c>
      <c r="C1688">
        <v>50.56</v>
      </c>
      <c r="D1688">
        <v>50.62</v>
      </c>
      <c r="E1688">
        <v>67.34</v>
      </c>
      <c r="F1688">
        <v>66.84</v>
      </c>
      <c r="G1688">
        <v>94.01</v>
      </c>
      <c r="H1688">
        <v>76.12</v>
      </c>
      <c r="K1688" s="9">
        <f t="shared" si="180"/>
        <v>0</v>
      </c>
      <c r="L1688">
        <f t="shared" si="181"/>
        <v>0</v>
      </c>
      <c r="M1688">
        <f t="shared" si="182"/>
        <v>6.0000000000002274E-2</v>
      </c>
      <c r="N1688">
        <f t="shared" si="183"/>
        <v>-0.43999999999999773</v>
      </c>
      <c r="O1688">
        <f t="shared" si="184"/>
        <v>-0.45000000000000284</v>
      </c>
      <c r="P1688" s="10">
        <f t="shared" si="185"/>
        <v>0.28000000000000114</v>
      </c>
    </row>
    <row r="1689" spans="1:16">
      <c r="A1689">
        <v>277.33</v>
      </c>
      <c r="B1689" s="42">
        <v>40.119999999999997</v>
      </c>
      <c r="C1689">
        <v>50.45</v>
      </c>
      <c r="D1689">
        <v>50.56</v>
      </c>
      <c r="E1689">
        <v>67.34</v>
      </c>
      <c r="F1689">
        <v>66.67</v>
      </c>
      <c r="G1689">
        <v>93.84</v>
      </c>
      <c r="H1689">
        <v>75.62</v>
      </c>
      <c r="K1689" s="9">
        <f t="shared" ref="K1689:K1752" si="186">C1692-C1689</f>
        <v>5.9999999999995168E-2</v>
      </c>
      <c r="L1689">
        <f t="shared" ref="L1689:L1752" si="187">D1692-D1689</f>
        <v>0.10999999999999943</v>
      </c>
      <c r="M1689">
        <f t="shared" ref="M1689:M1752" si="188">E1692-E1689</f>
        <v>6.0000000000002274E-2</v>
      </c>
      <c r="N1689">
        <f t="shared" ref="N1689:N1752" si="189">F1692-F1689</f>
        <v>-0.39000000000000057</v>
      </c>
      <c r="O1689">
        <f t="shared" ref="O1689:O1752" si="190">G1692-G1689</f>
        <v>-0.28000000000000114</v>
      </c>
      <c r="P1689" s="10">
        <f t="shared" ref="P1689:P1752" si="191">H1692-H1689</f>
        <v>0.32999999999999829</v>
      </c>
    </row>
    <row r="1690" spans="1:16">
      <c r="A1690">
        <v>277.5</v>
      </c>
      <c r="B1690" s="42">
        <v>40.06</v>
      </c>
      <c r="C1690">
        <v>50.45</v>
      </c>
      <c r="D1690">
        <v>50.51</v>
      </c>
      <c r="E1690">
        <v>67.28</v>
      </c>
      <c r="F1690">
        <v>66.34</v>
      </c>
      <c r="G1690">
        <v>93.56</v>
      </c>
      <c r="H1690">
        <v>76.06</v>
      </c>
      <c r="K1690" s="9">
        <f t="shared" si="186"/>
        <v>5.9999999999995168E-2</v>
      </c>
      <c r="L1690">
        <f t="shared" si="187"/>
        <v>0.10999999999999943</v>
      </c>
      <c r="M1690">
        <f t="shared" si="188"/>
        <v>0.17000000000000171</v>
      </c>
      <c r="N1690">
        <f t="shared" si="189"/>
        <v>-0.32999999999999829</v>
      </c>
      <c r="O1690">
        <f t="shared" si="190"/>
        <v>-4.9999999999997158E-2</v>
      </c>
      <c r="P1690" s="10">
        <f t="shared" si="191"/>
        <v>-0.32999999999999829</v>
      </c>
    </row>
    <row r="1691" spans="1:16">
      <c r="A1691">
        <v>277.67</v>
      </c>
      <c r="B1691" s="42">
        <v>40.119999999999997</v>
      </c>
      <c r="C1691">
        <v>50.56</v>
      </c>
      <c r="D1691">
        <v>50.62</v>
      </c>
      <c r="E1691">
        <v>67.400000000000006</v>
      </c>
      <c r="F1691">
        <v>66.400000000000006</v>
      </c>
      <c r="G1691">
        <v>93.56</v>
      </c>
      <c r="H1691">
        <v>76.400000000000006</v>
      </c>
      <c r="K1691" s="9">
        <f t="shared" si="186"/>
        <v>-0.10999999999999943</v>
      </c>
      <c r="L1691">
        <f t="shared" si="187"/>
        <v>-5.9999999999995168E-2</v>
      </c>
      <c r="M1691">
        <f t="shared" si="188"/>
        <v>0</v>
      </c>
      <c r="N1691">
        <f t="shared" si="189"/>
        <v>-0.56000000000000227</v>
      </c>
      <c r="O1691">
        <f t="shared" si="190"/>
        <v>-0.21999999999999886</v>
      </c>
      <c r="P1691" s="10">
        <f t="shared" si="191"/>
        <v>-0.73000000000000398</v>
      </c>
    </row>
    <row r="1692" spans="1:16">
      <c r="A1692">
        <v>277.83</v>
      </c>
      <c r="B1692" s="42">
        <v>40.119999999999997</v>
      </c>
      <c r="C1692">
        <v>50.51</v>
      </c>
      <c r="D1692">
        <v>50.67</v>
      </c>
      <c r="E1692">
        <v>67.400000000000006</v>
      </c>
      <c r="F1692">
        <v>66.28</v>
      </c>
      <c r="G1692">
        <v>93.56</v>
      </c>
      <c r="H1692">
        <v>75.95</v>
      </c>
      <c r="K1692" s="9">
        <f t="shared" si="186"/>
        <v>-5.9999999999995168E-2</v>
      </c>
      <c r="L1692">
        <f t="shared" si="187"/>
        <v>-0.10999999999999943</v>
      </c>
      <c r="M1692">
        <f t="shared" si="188"/>
        <v>0</v>
      </c>
      <c r="N1692">
        <f t="shared" si="189"/>
        <v>-0.5</v>
      </c>
      <c r="O1692">
        <f t="shared" si="190"/>
        <v>-0.28000000000000114</v>
      </c>
      <c r="P1692" s="10">
        <f t="shared" si="191"/>
        <v>0.21999999999999886</v>
      </c>
    </row>
    <row r="1693" spans="1:16">
      <c r="A1693">
        <v>278</v>
      </c>
      <c r="B1693" s="42">
        <v>40.01</v>
      </c>
      <c r="C1693">
        <v>50.51</v>
      </c>
      <c r="D1693">
        <v>50.62</v>
      </c>
      <c r="E1693">
        <v>67.45</v>
      </c>
      <c r="F1693">
        <v>66.010000000000005</v>
      </c>
      <c r="G1693">
        <v>93.51</v>
      </c>
      <c r="H1693">
        <v>75.73</v>
      </c>
      <c r="K1693" s="9">
        <f t="shared" si="186"/>
        <v>-0.1699999999999946</v>
      </c>
      <c r="L1693">
        <f t="shared" si="187"/>
        <v>-0.21999999999999886</v>
      </c>
      <c r="M1693">
        <f t="shared" si="188"/>
        <v>-0.10999999999999943</v>
      </c>
      <c r="N1693">
        <f t="shared" si="189"/>
        <v>-0.17000000000000171</v>
      </c>
      <c r="O1693">
        <f t="shared" si="190"/>
        <v>-0.5</v>
      </c>
      <c r="P1693" s="10">
        <f t="shared" si="191"/>
        <v>0.21999999999999886</v>
      </c>
    </row>
    <row r="1694" spans="1:16">
      <c r="A1694">
        <v>278.17</v>
      </c>
      <c r="B1694" s="42">
        <v>39.950000000000003</v>
      </c>
      <c r="C1694">
        <v>50.45</v>
      </c>
      <c r="D1694">
        <v>50.56</v>
      </c>
      <c r="E1694">
        <v>67.400000000000006</v>
      </c>
      <c r="F1694">
        <v>65.84</v>
      </c>
      <c r="G1694">
        <v>93.34</v>
      </c>
      <c r="H1694">
        <v>75.67</v>
      </c>
      <c r="K1694" s="9">
        <f t="shared" si="186"/>
        <v>0</v>
      </c>
      <c r="L1694">
        <f t="shared" si="187"/>
        <v>-0.10999999999999943</v>
      </c>
      <c r="M1694">
        <f t="shared" si="188"/>
        <v>0</v>
      </c>
      <c r="N1694">
        <f t="shared" si="189"/>
        <v>0.17000000000000171</v>
      </c>
      <c r="O1694">
        <f t="shared" si="190"/>
        <v>-0.43999999999999773</v>
      </c>
      <c r="P1694" s="10">
        <f t="shared" si="191"/>
        <v>0.89000000000000057</v>
      </c>
    </row>
    <row r="1695" spans="1:16">
      <c r="A1695">
        <v>278.33</v>
      </c>
      <c r="B1695" s="42">
        <v>39.840000000000003</v>
      </c>
      <c r="C1695">
        <v>50.45</v>
      </c>
      <c r="D1695">
        <v>50.56</v>
      </c>
      <c r="E1695">
        <v>67.400000000000006</v>
      </c>
      <c r="F1695">
        <v>65.78</v>
      </c>
      <c r="G1695">
        <v>93.28</v>
      </c>
      <c r="H1695">
        <v>76.17</v>
      </c>
      <c r="K1695" s="9">
        <f t="shared" si="186"/>
        <v>5.9999999999995168E-2</v>
      </c>
      <c r="L1695">
        <f t="shared" si="187"/>
        <v>0</v>
      </c>
      <c r="M1695">
        <f t="shared" si="188"/>
        <v>0.15999999999999659</v>
      </c>
      <c r="N1695">
        <f t="shared" si="189"/>
        <v>0</v>
      </c>
      <c r="O1695">
        <f t="shared" si="190"/>
        <v>-0.43999999999999773</v>
      </c>
      <c r="P1695" s="10">
        <f t="shared" si="191"/>
        <v>0.45000000000000284</v>
      </c>
    </row>
    <row r="1696" spans="1:16">
      <c r="A1696">
        <v>278.5</v>
      </c>
      <c r="B1696" s="42">
        <v>39.729999999999997</v>
      </c>
      <c r="C1696">
        <v>50.34</v>
      </c>
      <c r="D1696">
        <v>50.4</v>
      </c>
      <c r="E1696">
        <v>67.34</v>
      </c>
      <c r="F1696">
        <v>65.84</v>
      </c>
      <c r="G1696">
        <v>93.01</v>
      </c>
      <c r="H1696">
        <v>75.95</v>
      </c>
      <c r="K1696" s="9">
        <f t="shared" si="186"/>
        <v>0.21999999999999886</v>
      </c>
      <c r="L1696">
        <f t="shared" si="187"/>
        <v>0.16000000000000369</v>
      </c>
      <c r="M1696">
        <f t="shared" si="188"/>
        <v>0.17000000000000171</v>
      </c>
      <c r="N1696">
        <f t="shared" si="189"/>
        <v>-0.67000000000000171</v>
      </c>
      <c r="O1696">
        <f t="shared" si="190"/>
        <v>-0.28000000000000114</v>
      </c>
      <c r="P1696" s="10">
        <f t="shared" si="191"/>
        <v>1.0600000000000023</v>
      </c>
    </row>
    <row r="1697" spans="1:16">
      <c r="A1697">
        <v>278.67</v>
      </c>
      <c r="B1697" s="42">
        <v>39.729999999999997</v>
      </c>
      <c r="C1697">
        <v>50.45</v>
      </c>
      <c r="D1697">
        <v>50.45</v>
      </c>
      <c r="E1697">
        <v>67.400000000000006</v>
      </c>
      <c r="F1697">
        <v>66.010000000000005</v>
      </c>
      <c r="G1697">
        <v>92.9</v>
      </c>
      <c r="H1697">
        <v>76.56</v>
      </c>
      <c r="K1697" s="9">
        <f t="shared" si="186"/>
        <v>0.1699999999999946</v>
      </c>
      <c r="L1697">
        <f t="shared" si="187"/>
        <v>0.1699999999999946</v>
      </c>
      <c r="M1697">
        <f t="shared" si="188"/>
        <v>0.10999999999999943</v>
      </c>
      <c r="N1697">
        <f t="shared" si="189"/>
        <v>-0.45000000000000284</v>
      </c>
      <c r="O1697">
        <f t="shared" si="190"/>
        <v>-0.45000000000000284</v>
      </c>
      <c r="P1697" s="10">
        <f t="shared" si="191"/>
        <v>0.60999999999999943</v>
      </c>
    </row>
    <row r="1698" spans="1:16">
      <c r="A1698">
        <v>278.83</v>
      </c>
      <c r="B1698" s="42">
        <v>39.729999999999997</v>
      </c>
      <c r="C1698">
        <v>50.51</v>
      </c>
      <c r="D1698">
        <v>50.56</v>
      </c>
      <c r="E1698">
        <v>67.56</v>
      </c>
      <c r="F1698">
        <v>65.78</v>
      </c>
      <c r="G1698">
        <v>92.84</v>
      </c>
      <c r="H1698">
        <v>76.62</v>
      </c>
      <c r="K1698" s="9">
        <f t="shared" si="186"/>
        <v>5.0000000000004263E-2</v>
      </c>
      <c r="L1698">
        <f t="shared" si="187"/>
        <v>5.9999999999995168E-2</v>
      </c>
      <c r="M1698">
        <f t="shared" si="188"/>
        <v>-4.9999999999997158E-2</v>
      </c>
      <c r="N1698">
        <f t="shared" si="189"/>
        <v>0.17000000000000171</v>
      </c>
      <c r="O1698">
        <f t="shared" si="190"/>
        <v>-0.56000000000000227</v>
      </c>
      <c r="P1698" s="10">
        <f t="shared" si="191"/>
        <v>0.82999999999999829</v>
      </c>
    </row>
    <row r="1699" spans="1:16">
      <c r="A1699">
        <v>279</v>
      </c>
      <c r="B1699" s="42">
        <v>39.729999999999997</v>
      </c>
      <c r="C1699">
        <v>50.56</v>
      </c>
      <c r="D1699">
        <v>50.56</v>
      </c>
      <c r="E1699">
        <v>67.510000000000005</v>
      </c>
      <c r="F1699">
        <v>65.17</v>
      </c>
      <c r="G1699">
        <v>92.73</v>
      </c>
      <c r="H1699">
        <v>77.010000000000005</v>
      </c>
      <c r="K1699" s="9">
        <f t="shared" si="186"/>
        <v>0</v>
      </c>
      <c r="L1699">
        <f t="shared" si="187"/>
        <v>5.9999999999995168E-2</v>
      </c>
      <c r="M1699">
        <f t="shared" si="188"/>
        <v>4.9999999999997158E-2</v>
      </c>
      <c r="N1699">
        <f t="shared" si="189"/>
        <v>1.1099999999999994</v>
      </c>
      <c r="O1699">
        <f t="shared" si="190"/>
        <v>-0.5</v>
      </c>
      <c r="P1699" s="10">
        <f t="shared" si="191"/>
        <v>-0.23000000000000398</v>
      </c>
    </row>
    <row r="1700" spans="1:16">
      <c r="A1700">
        <v>279.17</v>
      </c>
      <c r="B1700" s="42">
        <v>39.78</v>
      </c>
      <c r="C1700">
        <v>50.62</v>
      </c>
      <c r="D1700">
        <v>50.62</v>
      </c>
      <c r="E1700">
        <v>67.510000000000005</v>
      </c>
      <c r="F1700">
        <v>65.56</v>
      </c>
      <c r="G1700">
        <v>92.45</v>
      </c>
      <c r="H1700">
        <v>77.17</v>
      </c>
      <c r="K1700" s="9">
        <f t="shared" si="186"/>
        <v>-5.9999999999995168E-2</v>
      </c>
      <c r="L1700">
        <f t="shared" si="187"/>
        <v>0</v>
      </c>
      <c r="M1700">
        <f t="shared" si="188"/>
        <v>0.10999999999999943</v>
      </c>
      <c r="N1700">
        <f t="shared" si="189"/>
        <v>0.60999999999999943</v>
      </c>
      <c r="O1700">
        <f t="shared" si="190"/>
        <v>-0.43999999999999773</v>
      </c>
      <c r="P1700" s="10">
        <f t="shared" si="191"/>
        <v>-0.43999999999999773</v>
      </c>
    </row>
    <row r="1701" spans="1:16">
      <c r="A1701">
        <v>279.33</v>
      </c>
      <c r="B1701" s="42">
        <v>39.729999999999997</v>
      </c>
      <c r="C1701">
        <v>50.56</v>
      </c>
      <c r="D1701">
        <v>50.62</v>
      </c>
      <c r="E1701">
        <v>67.510000000000005</v>
      </c>
      <c r="F1701">
        <v>65.95</v>
      </c>
      <c r="G1701">
        <v>92.28</v>
      </c>
      <c r="H1701">
        <v>77.45</v>
      </c>
      <c r="K1701" s="9">
        <f t="shared" si="186"/>
        <v>-5.0000000000004263E-2</v>
      </c>
      <c r="L1701">
        <f t="shared" si="187"/>
        <v>0</v>
      </c>
      <c r="M1701">
        <f t="shared" si="188"/>
        <v>0.10999999999999943</v>
      </c>
      <c r="N1701">
        <f t="shared" si="189"/>
        <v>0.39000000000000057</v>
      </c>
      <c r="O1701">
        <f t="shared" si="190"/>
        <v>-0.37999999999999545</v>
      </c>
      <c r="P1701" s="10">
        <f t="shared" si="191"/>
        <v>-1.2199999999999989</v>
      </c>
    </row>
    <row r="1702" spans="1:16">
      <c r="A1702">
        <v>279.5</v>
      </c>
      <c r="B1702" s="42">
        <v>39.67</v>
      </c>
      <c r="C1702">
        <v>50.56</v>
      </c>
      <c r="D1702">
        <v>50.62</v>
      </c>
      <c r="E1702">
        <v>67.56</v>
      </c>
      <c r="F1702">
        <v>66.28</v>
      </c>
      <c r="G1702">
        <v>92.23</v>
      </c>
      <c r="H1702">
        <v>76.78</v>
      </c>
      <c r="K1702" s="9">
        <f t="shared" si="186"/>
        <v>-0.10999999999999943</v>
      </c>
      <c r="L1702">
        <f t="shared" si="187"/>
        <v>-0.1699999999999946</v>
      </c>
      <c r="M1702">
        <f t="shared" si="188"/>
        <v>-4.9999999999997158E-2</v>
      </c>
      <c r="N1702">
        <f t="shared" si="189"/>
        <v>6.0000000000002274E-2</v>
      </c>
      <c r="O1702">
        <f t="shared" si="190"/>
        <v>-0.45000000000000284</v>
      </c>
      <c r="P1702" s="10">
        <f t="shared" si="191"/>
        <v>-0.43999999999999773</v>
      </c>
    </row>
    <row r="1703" spans="1:16">
      <c r="A1703">
        <v>279.67</v>
      </c>
      <c r="B1703" s="42">
        <v>39.619999999999997</v>
      </c>
      <c r="C1703">
        <v>50.56</v>
      </c>
      <c r="D1703">
        <v>50.62</v>
      </c>
      <c r="E1703">
        <v>67.62</v>
      </c>
      <c r="F1703">
        <v>66.17</v>
      </c>
      <c r="G1703">
        <v>92.01</v>
      </c>
      <c r="H1703">
        <v>76.73</v>
      </c>
      <c r="K1703" s="9">
        <f t="shared" si="186"/>
        <v>-5.0000000000004263E-2</v>
      </c>
      <c r="L1703">
        <f t="shared" si="187"/>
        <v>-5.9999999999995168E-2</v>
      </c>
      <c r="M1703">
        <f t="shared" si="188"/>
        <v>0</v>
      </c>
      <c r="N1703">
        <f t="shared" si="189"/>
        <v>0.10999999999999943</v>
      </c>
      <c r="O1703">
        <f t="shared" si="190"/>
        <v>-0.28000000000000114</v>
      </c>
      <c r="P1703" s="10">
        <f t="shared" si="191"/>
        <v>0</v>
      </c>
    </row>
    <row r="1704" spans="1:16">
      <c r="A1704">
        <v>279.83</v>
      </c>
      <c r="B1704" s="42">
        <v>39.67</v>
      </c>
      <c r="C1704">
        <v>50.51</v>
      </c>
      <c r="D1704">
        <v>50.62</v>
      </c>
      <c r="E1704">
        <v>67.62</v>
      </c>
      <c r="F1704">
        <v>66.34</v>
      </c>
      <c r="G1704">
        <v>91.9</v>
      </c>
      <c r="H1704">
        <v>76.23</v>
      </c>
      <c r="K1704" s="9">
        <f t="shared" si="186"/>
        <v>5.0000000000004263E-2</v>
      </c>
      <c r="L1704">
        <f t="shared" si="187"/>
        <v>-5.9999999999995168E-2</v>
      </c>
      <c r="M1704">
        <f t="shared" si="188"/>
        <v>4.9999999999997158E-2</v>
      </c>
      <c r="N1704">
        <f t="shared" si="189"/>
        <v>-0.39000000000000057</v>
      </c>
      <c r="O1704">
        <f t="shared" si="190"/>
        <v>-0.17000000000000171</v>
      </c>
      <c r="P1704" s="10">
        <f t="shared" si="191"/>
        <v>0.43999999999999773</v>
      </c>
    </row>
    <row r="1705" spans="1:16">
      <c r="A1705">
        <v>280</v>
      </c>
      <c r="B1705" s="42">
        <v>39.51</v>
      </c>
      <c r="C1705">
        <v>50.45</v>
      </c>
      <c r="D1705">
        <v>50.45</v>
      </c>
      <c r="E1705">
        <v>67.510000000000005</v>
      </c>
      <c r="F1705">
        <v>66.34</v>
      </c>
      <c r="G1705">
        <v>91.78</v>
      </c>
      <c r="H1705">
        <v>76.34</v>
      </c>
      <c r="K1705" s="9">
        <f t="shared" si="186"/>
        <v>0.1699999999999946</v>
      </c>
      <c r="L1705">
        <f t="shared" si="187"/>
        <v>0.10999999999999943</v>
      </c>
      <c r="M1705">
        <f t="shared" si="188"/>
        <v>0.10999999999999943</v>
      </c>
      <c r="N1705">
        <f t="shared" si="189"/>
        <v>-0.5</v>
      </c>
      <c r="O1705">
        <f t="shared" si="190"/>
        <v>-0.15999999999999659</v>
      </c>
      <c r="P1705" s="10">
        <f t="shared" si="191"/>
        <v>0.32999999999999829</v>
      </c>
    </row>
    <row r="1706" spans="1:16">
      <c r="A1706">
        <v>280.17</v>
      </c>
      <c r="B1706" s="42">
        <v>39.450000000000003</v>
      </c>
      <c r="C1706">
        <v>50.51</v>
      </c>
      <c r="D1706">
        <v>50.56</v>
      </c>
      <c r="E1706">
        <v>67.62</v>
      </c>
      <c r="F1706">
        <v>66.28</v>
      </c>
      <c r="G1706">
        <v>91.73</v>
      </c>
      <c r="H1706">
        <v>76.73</v>
      </c>
      <c r="K1706" s="9">
        <f t="shared" si="186"/>
        <v>0</v>
      </c>
      <c r="L1706">
        <f t="shared" si="187"/>
        <v>0</v>
      </c>
      <c r="M1706">
        <f t="shared" si="188"/>
        <v>0</v>
      </c>
      <c r="N1706">
        <f t="shared" si="189"/>
        <v>-0.87999999999999545</v>
      </c>
      <c r="O1706">
        <f t="shared" si="190"/>
        <v>-0.21999999999999886</v>
      </c>
      <c r="P1706" s="10">
        <f t="shared" si="191"/>
        <v>-0.89000000000000057</v>
      </c>
    </row>
    <row r="1707" spans="1:16">
      <c r="A1707">
        <v>280.33</v>
      </c>
      <c r="B1707" s="42">
        <v>39.450000000000003</v>
      </c>
      <c r="C1707">
        <v>50.56</v>
      </c>
      <c r="D1707">
        <v>50.56</v>
      </c>
      <c r="E1707">
        <v>67.67</v>
      </c>
      <c r="F1707">
        <v>65.95</v>
      </c>
      <c r="G1707">
        <v>91.73</v>
      </c>
      <c r="H1707">
        <v>76.67</v>
      </c>
      <c r="K1707" s="9">
        <f t="shared" si="186"/>
        <v>0</v>
      </c>
      <c r="L1707">
        <f t="shared" si="187"/>
        <v>5.9999999999995168E-2</v>
      </c>
      <c r="M1707">
        <f t="shared" si="188"/>
        <v>0</v>
      </c>
      <c r="N1707">
        <f t="shared" si="189"/>
        <v>-0.17000000000000171</v>
      </c>
      <c r="O1707">
        <f t="shared" si="190"/>
        <v>-0.21999999999999886</v>
      </c>
      <c r="P1707" s="10">
        <f t="shared" si="191"/>
        <v>-0.60999999999999943</v>
      </c>
    </row>
    <row r="1708" spans="1:16">
      <c r="A1708">
        <v>280.5</v>
      </c>
      <c r="B1708" s="42">
        <v>39.340000000000003</v>
      </c>
      <c r="C1708">
        <v>50.62</v>
      </c>
      <c r="D1708">
        <v>50.56</v>
      </c>
      <c r="E1708">
        <v>67.62</v>
      </c>
      <c r="F1708">
        <v>65.84</v>
      </c>
      <c r="G1708">
        <v>91.62</v>
      </c>
      <c r="H1708">
        <v>76.67</v>
      </c>
      <c r="K1708" s="9">
        <f t="shared" si="186"/>
        <v>-0.1699999999999946</v>
      </c>
      <c r="L1708">
        <f t="shared" si="187"/>
        <v>0</v>
      </c>
      <c r="M1708">
        <f t="shared" si="188"/>
        <v>4.9999999999997158E-2</v>
      </c>
      <c r="N1708">
        <f t="shared" si="189"/>
        <v>6.0000000000002274E-2</v>
      </c>
      <c r="O1708">
        <f t="shared" si="190"/>
        <v>-0.17000000000000171</v>
      </c>
      <c r="P1708" s="10">
        <f t="shared" si="191"/>
        <v>-0.65999999999999659</v>
      </c>
    </row>
    <row r="1709" spans="1:16">
      <c r="A1709">
        <v>280.67</v>
      </c>
      <c r="B1709" s="42">
        <v>39.229999999999997</v>
      </c>
      <c r="C1709">
        <v>50.51</v>
      </c>
      <c r="D1709">
        <v>50.56</v>
      </c>
      <c r="E1709">
        <v>67.62</v>
      </c>
      <c r="F1709">
        <v>65.400000000000006</v>
      </c>
      <c r="G1709">
        <v>91.51</v>
      </c>
      <c r="H1709">
        <v>75.84</v>
      </c>
      <c r="K1709" s="9">
        <f t="shared" si="186"/>
        <v>-5.9999999999995168E-2</v>
      </c>
      <c r="L1709">
        <f t="shared" si="187"/>
        <v>0</v>
      </c>
      <c r="M1709">
        <f t="shared" si="188"/>
        <v>4.9999999999997158E-2</v>
      </c>
      <c r="N1709">
        <f t="shared" si="189"/>
        <v>0.32999999999999829</v>
      </c>
      <c r="O1709">
        <f t="shared" si="190"/>
        <v>-6.0000000000002274E-2</v>
      </c>
      <c r="P1709" s="10">
        <f t="shared" si="191"/>
        <v>0.67000000000000171</v>
      </c>
    </row>
    <row r="1710" spans="1:16">
      <c r="A1710">
        <v>280.83</v>
      </c>
      <c r="B1710" s="42">
        <v>39.229999999999997</v>
      </c>
      <c r="C1710">
        <v>50.56</v>
      </c>
      <c r="D1710">
        <v>50.62</v>
      </c>
      <c r="E1710">
        <v>67.67</v>
      </c>
      <c r="F1710">
        <v>65.78</v>
      </c>
      <c r="G1710">
        <v>91.51</v>
      </c>
      <c r="H1710">
        <v>76.06</v>
      </c>
      <c r="K1710" s="9">
        <f t="shared" si="186"/>
        <v>0</v>
      </c>
      <c r="L1710">
        <f t="shared" si="187"/>
        <v>-5.9999999999995168E-2</v>
      </c>
      <c r="M1710">
        <f t="shared" si="188"/>
        <v>0</v>
      </c>
      <c r="N1710">
        <f t="shared" si="189"/>
        <v>-4.9999999999997158E-2</v>
      </c>
      <c r="O1710">
        <f t="shared" si="190"/>
        <v>-0.23000000000000398</v>
      </c>
      <c r="P1710" s="10">
        <f t="shared" si="191"/>
        <v>-0.28000000000000114</v>
      </c>
    </row>
    <row r="1711" spans="1:16">
      <c r="A1711">
        <v>281</v>
      </c>
      <c r="B1711" s="42">
        <v>39.229999999999997</v>
      </c>
      <c r="C1711">
        <v>50.45</v>
      </c>
      <c r="D1711">
        <v>50.56</v>
      </c>
      <c r="E1711">
        <v>67.67</v>
      </c>
      <c r="F1711">
        <v>65.900000000000006</v>
      </c>
      <c r="G1711">
        <v>91.45</v>
      </c>
      <c r="H1711">
        <v>76.010000000000005</v>
      </c>
      <c r="K1711" s="9">
        <f t="shared" si="186"/>
        <v>0.1699999999999946</v>
      </c>
      <c r="L1711">
        <f t="shared" si="187"/>
        <v>5.9999999999995168E-2</v>
      </c>
      <c r="M1711">
        <f t="shared" si="188"/>
        <v>0</v>
      </c>
      <c r="N1711">
        <f t="shared" si="189"/>
        <v>-0.62000000000000455</v>
      </c>
      <c r="O1711">
        <f t="shared" si="190"/>
        <v>-0.28000000000000114</v>
      </c>
      <c r="P1711" s="10">
        <f t="shared" si="191"/>
        <v>-0.60999999999999943</v>
      </c>
    </row>
    <row r="1712" spans="1:16">
      <c r="A1712">
        <v>281.17</v>
      </c>
      <c r="B1712" s="42">
        <v>39.229999999999997</v>
      </c>
      <c r="C1712">
        <v>50.45</v>
      </c>
      <c r="D1712">
        <v>50.56</v>
      </c>
      <c r="E1712">
        <v>67.67</v>
      </c>
      <c r="F1712">
        <v>65.73</v>
      </c>
      <c r="G1712">
        <v>91.45</v>
      </c>
      <c r="H1712">
        <v>76.510000000000005</v>
      </c>
      <c r="K1712" s="9">
        <f t="shared" si="186"/>
        <v>0.10999999999999943</v>
      </c>
      <c r="L1712">
        <f t="shared" si="187"/>
        <v>0</v>
      </c>
      <c r="M1712">
        <f t="shared" si="188"/>
        <v>-4.9999999999997158E-2</v>
      </c>
      <c r="N1712">
        <f t="shared" si="189"/>
        <v>-0.60999999999999943</v>
      </c>
      <c r="O1712">
        <f t="shared" si="190"/>
        <v>-0.32999999999999829</v>
      </c>
      <c r="P1712" s="10">
        <f t="shared" si="191"/>
        <v>-1.0600000000000023</v>
      </c>
    </row>
    <row r="1713" spans="1:16">
      <c r="A1713">
        <v>281.33</v>
      </c>
      <c r="B1713" s="42">
        <v>39.229999999999997</v>
      </c>
      <c r="C1713">
        <v>50.56</v>
      </c>
      <c r="D1713">
        <v>50.56</v>
      </c>
      <c r="E1713">
        <v>67.67</v>
      </c>
      <c r="F1713">
        <v>65.73</v>
      </c>
      <c r="G1713">
        <v>91.28</v>
      </c>
      <c r="H1713">
        <v>75.78</v>
      </c>
      <c r="K1713" s="9">
        <f t="shared" si="186"/>
        <v>-0.10999999999999943</v>
      </c>
      <c r="L1713">
        <f t="shared" si="187"/>
        <v>0</v>
      </c>
      <c r="M1713">
        <f t="shared" si="188"/>
        <v>0</v>
      </c>
      <c r="N1713">
        <f t="shared" si="189"/>
        <v>-0.67000000000000171</v>
      </c>
      <c r="O1713">
        <f t="shared" si="190"/>
        <v>-0.26999999999999602</v>
      </c>
      <c r="P1713" s="10">
        <f t="shared" si="191"/>
        <v>-0.37999999999999545</v>
      </c>
    </row>
    <row r="1714" spans="1:16">
      <c r="A1714">
        <v>281.5</v>
      </c>
      <c r="B1714" s="42">
        <v>39.229999999999997</v>
      </c>
      <c r="C1714">
        <v>50.62</v>
      </c>
      <c r="D1714">
        <v>50.62</v>
      </c>
      <c r="E1714">
        <v>67.67</v>
      </c>
      <c r="F1714">
        <v>65.28</v>
      </c>
      <c r="G1714">
        <v>91.17</v>
      </c>
      <c r="H1714">
        <v>75.400000000000006</v>
      </c>
      <c r="K1714" s="9">
        <f t="shared" si="186"/>
        <v>-0.1699999999999946</v>
      </c>
      <c r="L1714">
        <f t="shared" si="187"/>
        <v>-0.10999999999999943</v>
      </c>
      <c r="M1714">
        <f t="shared" si="188"/>
        <v>0</v>
      </c>
      <c r="N1714">
        <f t="shared" si="189"/>
        <v>-0.26999999999999602</v>
      </c>
      <c r="O1714">
        <f t="shared" si="190"/>
        <v>-0.21999999999999886</v>
      </c>
      <c r="P1714" s="10">
        <f t="shared" si="191"/>
        <v>-0.89000000000000057</v>
      </c>
    </row>
    <row r="1715" spans="1:16">
      <c r="A1715">
        <v>281.67</v>
      </c>
      <c r="B1715" s="42">
        <v>39.17</v>
      </c>
      <c r="C1715">
        <v>50.56</v>
      </c>
      <c r="D1715">
        <v>50.56</v>
      </c>
      <c r="E1715">
        <v>67.62</v>
      </c>
      <c r="F1715">
        <v>65.12</v>
      </c>
      <c r="G1715">
        <v>91.12</v>
      </c>
      <c r="H1715">
        <v>75.45</v>
      </c>
      <c r="K1715" s="9">
        <f t="shared" si="186"/>
        <v>-0.10999999999999943</v>
      </c>
      <c r="L1715">
        <f t="shared" si="187"/>
        <v>-0.10999999999999943</v>
      </c>
      <c r="M1715">
        <f t="shared" si="188"/>
        <v>4.9999999999997158E-2</v>
      </c>
      <c r="N1715">
        <f t="shared" si="189"/>
        <v>-0.10999999999999943</v>
      </c>
      <c r="O1715">
        <f t="shared" si="190"/>
        <v>-0.21999999999999886</v>
      </c>
      <c r="P1715" s="10">
        <f t="shared" si="191"/>
        <v>-1.4399999999999977</v>
      </c>
    </row>
    <row r="1716" spans="1:16">
      <c r="A1716">
        <v>281.83</v>
      </c>
      <c r="B1716" s="42">
        <v>39.06</v>
      </c>
      <c r="C1716">
        <v>50.45</v>
      </c>
      <c r="D1716">
        <v>50.56</v>
      </c>
      <c r="E1716">
        <v>67.67</v>
      </c>
      <c r="F1716">
        <v>65.06</v>
      </c>
      <c r="G1716">
        <v>91.01</v>
      </c>
      <c r="H1716">
        <v>75.400000000000006</v>
      </c>
      <c r="K1716" s="9">
        <f t="shared" si="186"/>
        <v>0</v>
      </c>
      <c r="L1716">
        <f t="shared" si="187"/>
        <v>0</v>
      </c>
      <c r="M1716">
        <f t="shared" si="188"/>
        <v>6.0000000000002274E-2</v>
      </c>
      <c r="N1716">
        <f t="shared" si="189"/>
        <v>-0.15999999999999659</v>
      </c>
      <c r="O1716">
        <f t="shared" si="190"/>
        <v>-6.0000000000002274E-2</v>
      </c>
      <c r="P1716" s="10">
        <f t="shared" si="191"/>
        <v>-1.1200000000000045</v>
      </c>
    </row>
    <row r="1717" spans="1:16">
      <c r="A1717">
        <v>282</v>
      </c>
      <c r="B1717" s="42">
        <v>39.06</v>
      </c>
      <c r="C1717">
        <v>50.45</v>
      </c>
      <c r="D1717">
        <v>50.51</v>
      </c>
      <c r="E1717">
        <v>67.67</v>
      </c>
      <c r="F1717">
        <v>65.010000000000005</v>
      </c>
      <c r="G1717">
        <v>90.95</v>
      </c>
      <c r="H1717">
        <v>74.510000000000005</v>
      </c>
      <c r="K1717" s="9">
        <f t="shared" si="186"/>
        <v>0</v>
      </c>
      <c r="L1717">
        <f t="shared" si="187"/>
        <v>-5.9999999999995168E-2</v>
      </c>
      <c r="M1717">
        <f t="shared" si="188"/>
        <v>6.0000000000002274E-2</v>
      </c>
      <c r="N1717">
        <f t="shared" si="189"/>
        <v>-0.10999999999999943</v>
      </c>
      <c r="O1717">
        <f t="shared" si="190"/>
        <v>-0.17000000000000171</v>
      </c>
      <c r="P1717" s="10">
        <f t="shared" si="191"/>
        <v>-0.78000000000000114</v>
      </c>
    </row>
    <row r="1718" spans="1:16">
      <c r="A1718">
        <v>282.17</v>
      </c>
      <c r="B1718" s="42">
        <v>39.01</v>
      </c>
      <c r="C1718">
        <v>50.45</v>
      </c>
      <c r="D1718">
        <v>50.45</v>
      </c>
      <c r="E1718">
        <v>67.67</v>
      </c>
      <c r="F1718">
        <v>65.010000000000005</v>
      </c>
      <c r="G1718">
        <v>90.9</v>
      </c>
      <c r="H1718">
        <v>74.010000000000005</v>
      </c>
      <c r="K1718" s="9">
        <f t="shared" si="186"/>
        <v>0</v>
      </c>
      <c r="L1718">
        <f t="shared" si="187"/>
        <v>5.9999999999995168E-2</v>
      </c>
      <c r="M1718">
        <f t="shared" si="188"/>
        <v>6.0000000000002274E-2</v>
      </c>
      <c r="N1718">
        <f t="shared" si="189"/>
        <v>-0.10999999999999943</v>
      </c>
      <c r="O1718">
        <f t="shared" si="190"/>
        <v>-0.17000000000000171</v>
      </c>
      <c r="P1718" s="10">
        <f t="shared" si="191"/>
        <v>-1.4500000000000028</v>
      </c>
    </row>
    <row r="1719" spans="1:16">
      <c r="A1719">
        <v>282.33</v>
      </c>
      <c r="B1719" s="42">
        <v>39.06</v>
      </c>
      <c r="C1719">
        <v>50.45</v>
      </c>
      <c r="D1719">
        <v>50.56</v>
      </c>
      <c r="E1719">
        <v>67.73</v>
      </c>
      <c r="F1719">
        <v>64.900000000000006</v>
      </c>
      <c r="G1719">
        <v>90.95</v>
      </c>
      <c r="H1719">
        <v>74.28</v>
      </c>
      <c r="K1719" s="9">
        <f t="shared" si="186"/>
        <v>5.9999999999995168E-2</v>
      </c>
      <c r="L1719">
        <f t="shared" si="187"/>
        <v>0</v>
      </c>
      <c r="M1719">
        <f t="shared" si="188"/>
        <v>4.9999999999997158E-2</v>
      </c>
      <c r="N1719">
        <f t="shared" si="189"/>
        <v>0</v>
      </c>
      <c r="O1719">
        <f t="shared" si="190"/>
        <v>-0.28000000000000114</v>
      </c>
      <c r="P1719" s="10">
        <f t="shared" si="191"/>
        <v>-1.6099999999999994</v>
      </c>
    </row>
    <row r="1720" spans="1:16">
      <c r="A1720">
        <v>282.5</v>
      </c>
      <c r="B1720" s="42">
        <v>38.950000000000003</v>
      </c>
      <c r="C1720">
        <v>50.45</v>
      </c>
      <c r="D1720">
        <v>50.45</v>
      </c>
      <c r="E1720">
        <v>67.73</v>
      </c>
      <c r="F1720">
        <v>64.900000000000006</v>
      </c>
      <c r="G1720">
        <v>90.78</v>
      </c>
      <c r="H1720">
        <v>73.73</v>
      </c>
      <c r="K1720" s="9">
        <f t="shared" si="186"/>
        <v>-5.0000000000004263E-2</v>
      </c>
      <c r="L1720">
        <f t="shared" si="187"/>
        <v>5.9999999999995168E-2</v>
      </c>
      <c r="M1720">
        <f t="shared" si="188"/>
        <v>0</v>
      </c>
      <c r="N1720">
        <f t="shared" si="189"/>
        <v>-0.12000000000000455</v>
      </c>
      <c r="O1720">
        <f t="shared" si="190"/>
        <v>-0.32999999999999829</v>
      </c>
      <c r="P1720" s="10">
        <f t="shared" si="191"/>
        <v>-0.32999999999999829</v>
      </c>
    </row>
    <row r="1721" spans="1:16">
      <c r="A1721">
        <v>282.67</v>
      </c>
      <c r="B1721" s="42">
        <v>38.9</v>
      </c>
      <c r="C1721">
        <v>50.45</v>
      </c>
      <c r="D1721">
        <v>50.51</v>
      </c>
      <c r="E1721">
        <v>67.73</v>
      </c>
      <c r="F1721">
        <v>64.900000000000006</v>
      </c>
      <c r="G1721">
        <v>90.73</v>
      </c>
      <c r="H1721">
        <v>72.56</v>
      </c>
      <c r="K1721" s="9">
        <f t="shared" si="186"/>
        <v>-0.10999999999999943</v>
      </c>
      <c r="L1721">
        <f t="shared" si="187"/>
        <v>-5.9999999999995168E-2</v>
      </c>
      <c r="M1721">
        <f t="shared" si="188"/>
        <v>-6.0000000000002274E-2</v>
      </c>
      <c r="N1721">
        <f t="shared" si="189"/>
        <v>-0.5</v>
      </c>
      <c r="O1721">
        <f t="shared" si="190"/>
        <v>-0.32999999999999829</v>
      </c>
      <c r="P1721" s="10">
        <f t="shared" si="191"/>
        <v>1.7800000000000011</v>
      </c>
    </row>
    <row r="1722" spans="1:16">
      <c r="A1722">
        <v>282.83</v>
      </c>
      <c r="B1722" s="42">
        <v>38.840000000000003</v>
      </c>
      <c r="C1722">
        <v>50.51</v>
      </c>
      <c r="D1722">
        <v>50.56</v>
      </c>
      <c r="E1722">
        <v>67.78</v>
      </c>
      <c r="F1722">
        <v>64.900000000000006</v>
      </c>
      <c r="G1722">
        <v>90.67</v>
      </c>
      <c r="H1722">
        <v>72.67</v>
      </c>
      <c r="K1722" s="9">
        <f t="shared" si="186"/>
        <v>-5.9999999999995168E-2</v>
      </c>
      <c r="L1722">
        <f t="shared" si="187"/>
        <v>-0.10999999999999943</v>
      </c>
      <c r="M1722">
        <f t="shared" si="188"/>
        <v>-4.9999999999997158E-2</v>
      </c>
      <c r="N1722">
        <f t="shared" si="189"/>
        <v>-0.45000000000000284</v>
      </c>
      <c r="O1722">
        <f t="shared" si="190"/>
        <v>-0.32999999999999829</v>
      </c>
      <c r="P1722" s="10">
        <f t="shared" si="191"/>
        <v>1.6099999999999994</v>
      </c>
    </row>
    <row r="1723" spans="1:16">
      <c r="A1723">
        <v>283</v>
      </c>
      <c r="B1723" s="42">
        <v>38.78</v>
      </c>
      <c r="C1723">
        <v>50.4</v>
      </c>
      <c r="D1723">
        <v>50.51</v>
      </c>
      <c r="E1723">
        <v>67.73</v>
      </c>
      <c r="F1723">
        <v>64.78</v>
      </c>
      <c r="G1723">
        <v>90.45</v>
      </c>
      <c r="H1723">
        <v>73.400000000000006</v>
      </c>
      <c r="K1723" s="9">
        <f t="shared" si="186"/>
        <v>0.10999999999999943</v>
      </c>
      <c r="L1723">
        <f t="shared" si="187"/>
        <v>5.0000000000004263E-2</v>
      </c>
      <c r="M1723">
        <f t="shared" si="188"/>
        <v>4.9999999999997158E-2</v>
      </c>
      <c r="N1723">
        <f t="shared" si="189"/>
        <v>-0.32999999999999829</v>
      </c>
      <c r="O1723">
        <f t="shared" si="190"/>
        <v>-0.21999999999999886</v>
      </c>
      <c r="P1723" s="10">
        <f t="shared" si="191"/>
        <v>1.5499999999999972</v>
      </c>
    </row>
    <row r="1724" spans="1:16">
      <c r="A1724">
        <v>283.17</v>
      </c>
      <c r="B1724" s="42">
        <v>38.729999999999997</v>
      </c>
      <c r="C1724">
        <v>50.34</v>
      </c>
      <c r="D1724">
        <v>50.45</v>
      </c>
      <c r="E1724">
        <v>67.67</v>
      </c>
      <c r="F1724">
        <v>64.400000000000006</v>
      </c>
      <c r="G1724">
        <v>90.4</v>
      </c>
      <c r="H1724">
        <v>74.34</v>
      </c>
      <c r="K1724" s="9">
        <f t="shared" si="186"/>
        <v>0.10999999999999943</v>
      </c>
      <c r="L1724">
        <f t="shared" si="187"/>
        <v>0.1699999999999946</v>
      </c>
      <c r="M1724">
        <f t="shared" si="188"/>
        <v>0.10999999999999943</v>
      </c>
      <c r="N1724">
        <f t="shared" si="189"/>
        <v>-0.12000000000000455</v>
      </c>
      <c r="O1724">
        <f t="shared" si="190"/>
        <v>-0.23000000000000398</v>
      </c>
      <c r="P1724" s="10">
        <f t="shared" si="191"/>
        <v>0.43999999999999773</v>
      </c>
    </row>
    <row r="1725" spans="1:16">
      <c r="A1725">
        <v>283.33</v>
      </c>
      <c r="B1725" s="42">
        <v>38.729999999999997</v>
      </c>
      <c r="C1725">
        <v>50.45</v>
      </c>
      <c r="D1725">
        <v>50.45</v>
      </c>
      <c r="E1725">
        <v>67.73</v>
      </c>
      <c r="F1725">
        <v>64.45</v>
      </c>
      <c r="G1725">
        <v>90.34</v>
      </c>
      <c r="H1725">
        <v>74.28</v>
      </c>
      <c r="K1725" s="9">
        <f t="shared" si="186"/>
        <v>0.10999999999999943</v>
      </c>
      <c r="L1725">
        <f t="shared" si="187"/>
        <v>0.10999999999999943</v>
      </c>
      <c r="M1725">
        <f t="shared" si="188"/>
        <v>4.9999999999997158E-2</v>
      </c>
      <c r="N1725">
        <f t="shared" si="189"/>
        <v>-0.32999999999999829</v>
      </c>
      <c r="O1725">
        <f t="shared" si="190"/>
        <v>-0.21999999999999886</v>
      </c>
      <c r="P1725" s="10">
        <f t="shared" si="191"/>
        <v>0.95000000000000284</v>
      </c>
    </row>
    <row r="1726" spans="1:16">
      <c r="A1726">
        <v>283.5</v>
      </c>
      <c r="B1726" s="42">
        <v>38.78</v>
      </c>
      <c r="C1726">
        <v>50.51</v>
      </c>
      <c r="D1726">
        <v>50.56</v>
      </c>
      <c r="E1726">
        <v>67.78</v>
      </c>
      <c r="F1726">
        <v>64.45</v>
      </c>
      <c r="G1726">
        <v>90.23</v>
      </c>
      <c r="H1726">
        <v>74.95</v>
      </c>
      <c r="K1726" s="9">
        <f t="shared" si="186"/>
        <v>5.0000000000004263E-2</v>
      </c>
      <c r="L1726">
        <f t="shared" si="187"/>
        <v>0</v>
      </c>
      <c r="M1726">
        <f t="shared" si="188"/>
        <v>-4.9999999999997158E-2</v>
      </c>
      <c r="N1726">
        <f t="shared" si="189"/>
        <v>-0.5</v>
      </c>
      <c r="O1726">
        <f t="shared" si="190"/>
        <v>-0.28000000000000114</v>
      </c>
      <c r="P1726" s="10">
        <f t="shared" si="191"/>
        <v>-0.43999999999999773</v>
      </c>
    </row>
    <row r="1727" spans="1:16">
      <c r="A1727">
        <v>283.67</v>
      </c>
      <c r="B1727" s="42">
        <v>38.67</v>
      </c>
      <c r="C1727">
        <v>50.45</v>
      </c>
      <c r="D1727">
        <v>50.62</v>
      </c>
      <c r="E1727">
        <v>67.78</v>
      </c>
      <c r="F1727">
        <v>64.28</v>
      </c>
      <c r="G1727">
        <v>90.17</v>
      </c>
      <c r="H1727">
        <v>74.78</v>
      </c>
      <c r="K1727" s="9">
        <f t="shared" si="186"/>
        <v>0.10999999999999943</v>
      </c>
      <c r="L1727">
        <f t="shared" si="187"/>
        <v>-5.9999999999995168E-2</v>
      </c>
      <c r="M1727">
        <f t="shared" si="188"/>
        <v>0</v>
      </c>
      <c r="N1727">
        <f t="shared" si="189"/>
        <v>-0.66000000000000369</v>
      </c>
      <c r="O1727">
        <f t="shared" si="190"/>
        <v>-0.21999999999999886</v>
      </c>
      <c r="P1727" s="10">
        <f t="shared" si="191"/>
        <v>-0.32999999999999829</v>
      </c>
    </row>
    <row r="1728" spans="1:16">
      <c r="A1728">
        <v>283.83</v>
      </c>
      <c r="B1728" s="42">
        <v>38.78</v>
      </c>
      <c r="C1728">
        <v>50.56</v>
      </c>
      <c r="D1728">
        <v>50.56</v>
      </c>
      <c r="E1728">
        <v>67.78</v>
      </c>
      <c r="F1728">
        <v>64.12</v>
      </c>
      <c r="G1728">
        <v>90.12</v>
      </c>
      <c r="H1728">
        <v>75.23</v>
      </c>
      <c r="K1728" s="9">
        <f t="shared" si="186"/>
        <v>-0.10999999999999943</v>
      </c>
      <c r="L1728">
        <f t="shared" si="187"/>
        <v>0</v>
      </c>
      <c r="M1728">
        <f t="shared" si="188"/>
        <v>0</v>
      </c>
      <c r="N1728">
        <f t="shared" si="189"/>
        <v>-0.45000000000000284</v>
      </c>
      <c r="O1728">
        <f t="shared" si="190"/>
        <v>-0.21999999999999886</v>
      </c>
      <c r="P1728" s="10">
        <f t="shared" si="191"/>
        <v>-0.95000000000000284</v>
      </c>
    </row>
    <row r="1729" spans="1:16">
      <c r="A1729">
        <v>284</v>
      </c>
      <c r="B1729" s="42">
        <v>38.619999999999997</v>
      </c>
      <c r="C1729">
        <v>50.56</v>
      </c>
      <c r="D1729">
        <v>50.56</v>
      </c>
      <c r="E1729">
        <v>67.73</v>
      </c>
      <c r="F1729">
        <v>63.95</v>
      </c>
      <c r="G1729">
        <v>89.95</v>
      </c>
      <c r="H1729">
        <v>74.510000000000005</v>
      </c>
      <c r="K1729" s="9">
        <f t="shared" si="186"/>
        <v>-0.21999999999999886</v>
      </c>
      <c r="L1729">
        <f t="shared" si="187"/>
        <v>-0.10999999999999943</v>
      </c>
      <c r="M1729">
        <f t="shared" si="188"/>
        <v>4.9999999999997158E-2</v>
      </c>
      <c r="N1729">
        <f t="shared" si="189"/>
        <v>-0.22000000000000597</v>
      </c>
      <c r="O1729">
        <f t="shared" si="190"/>
        <v>-0.28000000000000114</v>
      </c>
      <c r="P1729" s="10">
        <f t="shared" si="191"/>
        <v>-0.23000000000000398</v>
      </c>
    </row>
    <row r="1730" spans="1:16">
      <c r="A1730">
        <v>284.17</v>
      </c>
      <c r="B1730" s="42">
        <v>38.619999999999997</v>
      </c>
      <c r="C1730">
        <v>50.56</v>
      </c>
      <c r="D1730">
        <v>50.56</v>
      </c>
      <c r="E1730">
        <v>67.78</v>
      </c>
      <c r="F1730">
        <v>63.62</v>
      </c>
      <c r="G1730">
        <v>89.95</v>
      </c>
      <c r="H1730">
        <v>74.45</v>
      </c>
      <c r="K1730" s="9">
        <f t="shared" si="186"/>
        <v>-0.21999999999999886</v>
      </c>
      <c r="L1730">
        <f t="shared" si="187"/>
        <v>-0.10999999999999943</v>
      </c>
      <c r="M1730">
        <f t="shared" si="188"/>
        <v>0</v>
      </c>
      <c r="N1730">
        <f t="shared" si="189"/>
        <v>-0.21999999999999886</v>
      </c>
      <c r="O1730">
        <f t="shared" si="190"/>
        <v>-0.28000000000000114</v>
      </c>
      <c r="P1730" s="10">
        <f t="shared" si="191"/>
        <v>0.32999999999999829</v>
      </c>
    </row>
    <row r="1731" spans="1:16">
      <c r="A1731">
        <v>284.33</v>
      </c>
      <c r="B1731" s="42">
        <v>38.619999999999997</v>
      </c>
      <c r="C1731">
        <v>50.45</v>
      </c>
      <c r="D1731">
        <v>50.56</v>
      </c>
      <c r="E1731">
        <v>67.78</v>
      </c>
      <c r="F1731">
        <v>63.67</v>
      </c>
      <c r="G1731">
        <v>89.9</v>
      </c>
      <c r="H1731">
        <v>74.28</v>
      </c>
      <c r="K1731" s="9">
        <f t="shared" si="186"/>
        <v>-0.10999999999999943</v>
      </c>
      <c r="L1731">
        <f t="shared" si="187"/>
        <v>-0.10999999999999943</v>
      </c>
      <c r="M1731">
        <f t="shared" si="188"/>
        <v>0</v>
      </c>
      <c r="N1731">
        <f t="shared" si="189"/>
        <v>-0.55000000000000426</v>
      </c>
      <c r="O1731">
        <f t="shared" si="190"/>
        <v>-0.23000000000000398</v>
      </c>
      <c r="P1731" s="10">
        <f t="shared" si="191"/>
        <v>-4.9999999999997158E-2</v>
      </c>
    </row>
    <row r="1732" spans="1:16">
      <c r="A1732">
        <v>284.5</v>
      </c>
      <c r="B1732" s="42">
        <v>38.56</v>
      </c>
      <c r="C1732">
        <v>50.34</v>
      </c>
      <c r="D1732">
        <v>50.45</v>
      </c>
      <c r="E1732">
        <v>67.78</v>
      </c>
      <c r="F1732">
        <v>63.73</v>
      </c>
      <c r="G1732">
        <v>89.67</v>
      </c>
      <c r="H1732">
        <v>74.28</v>
      </c>
      <c r="K1732" s="9">
        <f t="shared" si="186"/>
        <v>-0.22000000000000597</v>
      </c>
      <c r="L1732">
        <f t="shared" si="187"/>
        <v>-0.17000000000000171</v>
      </c>
      <c r="M1732">
        <f t="shared" si="188"/>
        <v>-4.9999999999997158E-2</v>
      </c>
      <c r="N1732">
        <f t="shared" si="189"/>
        <v>-0.38999999999999346</v>
      </c>
      <c r="O1732">
        <f t="shared" si="190"/>
        <v>-0.10999999999999943</v>
      </c>
      <c r="P1732" s="10">
        <f t="shared" si="191"/>
        <v>-0.65999999999999659</v>
      </c>
    </row>
    <row r="1733" spans="1:16">
      <c r="A1733">
        <v>284.67</v>
      </c>
      <c r="B1733" s="42">
        <v>38.56</v>
      </c>
      <c r="C1733">
        <v>50.34</v>
      </c>
      <c r="D1733">
        <v>50.45</v>
      </c>
      <c r="E1733">
        <v>67.78</v>
      </c>
      <c r="F1733">
        <v>63.4</v>
      </c>
      <c r="G1733">
        <v>89.67</v>
      </c>
      <c r="H1733">
        <v>74.78</v>
      </c>
      <c r="K1733" s="9">
        <f t="shared" si="186"/>
        <v>-0.28000000000000114</v>
      </c>
      <c r="L1733">
        <f t="shared" si="187"/>
        <v>-0.28000000000000114</v>
      </c>
      <c r="M1733">
        <f t="shared" si="188"/>
        <v>0</v>
      </c>
      <c r="N1733">
        <f t="shared" si="189"/>
        <v>-0.17000000000000171</v>
      </c>
      <c r="O1733">
        <f t="shared" si="190"/>
        <v>-0.10999999999999943</v>
      </c>
      <c r="P1733" s="10">
        <f t="shared" si="191"/>
        <v>-1.0499999999999972</v>
      </c>
    </row>
    <row r="1734" spans="1:16">
      <c r="A1734">
        <v>284.83</v>
      </c>
      <c r="B1734" s="42">
        <v>38.450000000000003</v>
      </c>
      <c r="C1734">
        <v>50.34</v>
      </c>
      <c r="D1734">
        <v>50.45</v>
      </c>
      <c r="E1734">
        <v>67.78</v>
      </c>
      <c r="F1734">
        <v>63.12</v>
      </c>
      <c r="G1734">
        <v>89.67</v>
      </c>
      <c r="H1734">
        <v>74.23</v>
      </c>
      <c r="K1734" s="9">
        <f t="shared" si="186"/>
        <v>-0.22000000000000597</v>
      </c>
      <c r="L1734">
        <f t="shared" si="187"/>
        <v>-0.3300000000000054</v>
      </c>
      <c r="M1734">
        <f t="shared" si="188"/>
        <v>6.0000000000002274E-2</v>
      </c>
      <c r="N1734">
        <f t="shared" si="189"/>
        <v>5.0000000000004263E-2</v>
      </c>
      <c r="O1734">
        <f t="shared" si="190"/>
        <v>-4.9999999999997158E-2</v>
      </c>
      <c r="P1734" s="10">
        <f t="shared" si="191"/>
        <v>-1</v>
      </c>
    </row>
    <row r="1735" spans="1:16">
      <c r="A1735">
        <v>285</v>
      </c>
      <c r="B1735" s="42">
        <v>38.340000000000003</v>
      </c>
      <c r="C1735">
        <v>50.12</v>
      </c>
      <c r="D1735">
        <v>50.28</v>
      </c>
      <c r="E1735">
        <v>67.73</v>
      </c>
      <c r="F1735">
        <v>63.34</v>
      </c>
      <c r="G1735">
        <v>89.56</v>
      </c>
      <c r="H1735">
        <v>73.62</v>
      </c>
      <c r="K1735" s="9">
        <f t="shared" si="186"/>
        <v>-0.10999999999999943</v>
      </c>
      <c r="L1735">
        <f t="shared" si="187"/>
        <v>-0.27000000000000313</v>
      </c>
      <c r="M1735">
        <f t="shared" si="188"/>
        <v>-6.0000000000002274E-2</v>
      </c>
      <c r="N1735">
        <f t="shared" si="189"/>
        <v>-0.94000000000000483</v>
      </c>
      <c r="O1735">
        <f t="shared" si="190"/>
        <v>-0.10999999999999943</v>
      </c>
      <c r="P1735" s="10">
        <f t="shared" si="191"/>
        <v>-0.34000000000000341</v>
      </c>
    </row>
    <row r="1736" spans="1:16">
      <c r="A1736">
        <v>285.17</v>
      </c>
      <c r="B1736" s="42">
        <v>38.340000000000003</v>
      </c>
      <c r="C1736">
        <v>50.06</v>
      </c>
      <c r="D1736">
        <v>50.17</v>
      </c>
      <c r="E1736">
        <v>67.78</v>
      </c>
      <c r="F1736">
        <v>63.23</v>
      </c>
      <c r="G1736">
        <v>89.56</v>
      </c>
      <c r="H1736">
        <v>73.73</v>
      </c>
      <c r="K1736" s="9">
        <f t="shared" si="186"/>
        <v>0</v>
      </c>
      <c r="L1736">
        <f t="shared" si="187"/>
        <v>-0.10999999999999943</v>
      </c>
      <c r="M1736">
        <f t="shared" si="188"/>
        <v>-4.9999999999997158E-2</v>
      </c>
      <c r="N1736">
        <f t="shared" si="189"/>
        <v>-0.6699999999999946</v>
      </c>
      <c r="O1736">
        <f t="shared" si="190"/>
        <v>-0.28000000000000114</v>
      </c>
      <c r="P1736" s="10">
        <f t="shared" si="191"/>
        <v>0.21999999999999886</v>
      </c>
    </row>
    <row r="1737" spans="1:16">
      <c r="A1737">
        <v>285.33</v>
      </c>
      <c r="B1737" s="42">
        <v>38.4</v>
      </c>
      <c r="C1737">
        <v>50.12</v>
      </c>
      <c r="D1737">
        <v>50.12</v>
      </c>
      <c r="E1737">
        <v>67.84</v>
      </c>
      <c r="F1737">
        <v>63.17</v>
      </c>
      <c r="G1737">
        <v>89.62</v>
      </c>
      <c r="H1737">
        <v>73.23</v>
      </c>
      <c r="K1737" s="9">
        <f t="shared" si="186"/>
        <v>0</v>
      </c>
      <c r="L1737">
        <f t="shared" si="187"/>
        <v>0</v>
      </c>
      <c r="M1737">
        <f t="shared" si="188"/>
        <v>0</v>
      </c>
      <c r="N1737">
        <f t="shared" si="189"/>
        <v>-0.77000000000000313</v>
      </c>
      <c r="O1737">
        <f t="shared" si="190"/>
        <v>-0.34000000000000341</v>
      </c>
      <c r="P1737" s="10">
        <f t="shared" si="191"/>
        <v>0</v>
      </c>
    </row>
    <row r="1738" spans="1:16">
      <c r="A1738">
        <v>285.5</v>
      </c>
      <c r="B1738" s="42">
        <v>38.340000000000003</v>
      </c>
      <c r="C1738">
        <v>50.01</v>
      </c>
      <c r="D1738">
        <v>50.01</v>
      </c>
      <c r="E1738">
        <v>67.67</v>
      </c>
      <c r="F1738">
        <v>62.4</v>
      </c>
      <c r="G1738">
        <v>89.45</v>
      </c>
      <c r="H1738">
        <v>73.28</v>
      </c>
      <c r="K1738" s="9">
        <f t="shared" si="186"/>
        <v>0.10999999999999943</v>
      </c>
      <c r="L1738">
        <f t="shared" si="187"/>
        <v>0.10999999999999943</v>
      </c>
      <c r="M1738">
        <f t="shared" si="188"/>
        <v>0.17000000000000171</v>
      </c>
      <c r="N1738">
        <f t="shared" si="189"/>
        <v>-0.28000000000000114</v>
      </c>
      <c r="O1738">
        <f t="shared" si="190"/>
        <v>-0.28000000000000114</v>
      </c>
      <c r="P1738" s="10">
        <f t="shared" si="191"/>
        <v>0.17000000000000171</v>
      </c>
    </row>
    <row r="1739" spans="1:16">
      <c r="A1739">
        <v>285.67</v>
      </c>
      <c r="B1739" s="42">
        <v>38.340000000000003</v>
      </c>
      <c r="C1739">
        <v>50.06</v>
      </c>
      <c r="D1739">
        <v>50.06</v>
      </c>
      <c r="E1739">
        <v>67.73</v>
      </c>
      <c r="F1739">
        <v>62.56</v>
      </c>
      <c r="G1739">
        <v>89.28</v>
      </c>
      <c r="H1739">
        <v>73.95</v>
      </c>
      <c r="K1739" s="9">
        <f t="shared" si="186"/>
        <v>5.9999999999995168E-2</v>
      </c>
      <c r="L1739">
        <f t="shared" si="187"/>
        <v>5.9999999999995168E-2</v>
      </c>
      <c r="M1739">
        <f t="shared" si="188"/>
        <v>4.9999999999997158E-2</v>
      </c>
      <c r="N1739">
        <f t="shared" si="189"/>
        <v>-0.60999999999999943</v>
      </c>
      <c r="O1739">
        <f t="shared" si="190"/>
        <v>-0.21999999999999886</v>
      </c>
      <c r="P1739" s="10">
        <f t="shared" si="191"/>
        <v>-1.1700000000000017</v>
      </c>
    </row>
    <row r="1740" spans="1:16">
      <c r="A1740">
        <v>285.83</v>
      </c>
      <c r="B1740" s="42">
        <v>38.4</v>
      </c>
      <c r="C1740">
        <v>50.12</v>
      </c>
      <c r="D1740">
        <v>50.12</v>
      </c>
      <c r="E1740">
        <v>67.84</v>
      </c>
      <c r="F1740">
        <v>62.4</v>
      </c>
      <c r="G1740">
        <v>89.28</v>
      </c>
      <c r="H1740">
        <v>73.23</v>
      </c>
      <c r="K1740" s="9">
        <f t="shared" si="186"/>
        <v>0</v>
      </c>
      <c r="L1740">
        <f t="shared" si="187"/>
        <v>0</v>
      </c>
      <c r="M1740">
        <f t="shared" si="188"/>
        <v>-6.0000000000002274E-2</v>
      </c>
      <c r="N1740">
        <f t="shared" si="189"/>
        <v>0</v>
      </c>
      <c r="O1740">
        <f t="shared" si="190"/>
        <v>-0.26999999999999602</v>
      </c>
      <c r="P1740" s="10">
        <f t="shared" si="191"/>
        <v>-0.56000000000000227</v>
      </c>
    </row>
    <row r="1741" spans="1:16">
      <c r="A1741">
        <v>286</v>
      </c>
      <c r="B1741" s="42">
        <v>38.4</v>
      </c>
      <c r="C1741">
        <v>50.12</v>
      </c>
      <c r="D1741">
        <v>50.12</v>
      </c>
      <c r="E1741">
        <v>67.84</v>
      </c>
      <c r="F1741">
        <v>62.12</v>
      </c>
      <c r="G1741">
        <v>89.17</v>
      </c>
      <c r="H1741">
        <v>73.45</v>
      </c>
      <c r="K1741" s="9">
        <f t="shared" si="186"/>
        <v>-5.9999999999995168E-2</v>
      </c>
      <c r="L1741">
        <f t="shared" si="187"/>
        <v>0</v>
      </c>
      <c r="M1741">
        <f t="shared" si="188"/>
        <v>-6.0000000000002274E-2</v>
      </c>
      <c r="N1741">
        <f t="shared" si="189"/>
        <v>0.55000000000000426</v>
      </c>
      <c r="O1741">
        <f t="shared" si="190"/>
        <v>-0.21999999999999886</v>
      </c>
      <c r="P1741" s="10">
        <f t="shared" si="191"/>
        <v>-0.54999999999999716</v>
      </c>
    </row>
    <row r="1742" spans="1:16">
      <c r="A1742">
        <v>286.17</v>
      </c>
      <c r="B1742" s="42">
        <v>38.340000000000003</v>
      </c>
      <c r="C1742">
        <v>50.12</v>
      </c>
      <c r="D1742">
        <v>50.12</v>
      </c>
      <c r="E1742">
        <v>67.78</v>
      </c>
      <c r="F1742">
        <v>61.95</v>
      </c>
      <c r="G1742">
        <v>89.06</v>
      </c>
      <c r="H1742">
        <v>72.78</v>
      </c>
      <c r="K1742" s="9">
        <f t="shared" si="186"/>
        <v>-0.10999999999999943</v>
      </c>
      <c r="L1742">
        <f t="shared" si="187"/>
        <v>-5.9999999999995168E-2</v>
      </c>
      <c r="M1742">
        <f t="shared" si="188"/>
        <v>0</v>
      </c>
      <c r="N1742">
        <f t="shared" si="189"/>
        <v>0.71999999999999886</v>
      </c>
      <c r="O1742">
        <f t="shared" si="190"/>
        <v>-0.10999999999999943</v>
      </c>
      <c r="P1742" s="10">
        <f t="shared" si="191"/>
        <v>6.0000000000002274E-2</v>
      </c>
    </row>
    <row r="1743" spans="1:16">
      <c r="A1743">
        <v>286.33</v>
      </c>
      <c r="B1743" s="42">
        <v>38.340000000000003</v>
      </c>
      <c r="C1743">
        <v>50.12</v>
      </c>
      <c r="D1743">
        <v>50.12</v>
      </c>
      <c r="E1743">
        <v>67.78</v>
      </c>
      <c r="F1743">
        <v>62.4</v>
      </c>
      <c r="G1743">
        <v>89.01</v>
      </c>
      <c r="H1743">
        <v>72.67</v>
      </c>
      <c r="K1743" s="9">
        <f t="shared" si="186"/>
        <v>5.0000000000004263E-2</v>
      </c>
      <c r="L1743">
        <f t="shared" si="187"/>
        <v>5.0000000000004263E-2</v>
      </c>
      <c r="M1743">
        <f t="shared" si="188"/>
        <v>0</v>
      </c>
      <c r="N1743">
        <f t="shared" si="189"/>
        <v>0.16000000000000369</v>
      </c>
      <c r="O1743">
        <f t="shared" si="190"/>
        <v>-6.0000000000002274E-2</v>
      </c>
      <c r="P1743" s="10">
        <f t="shared" si="191"/>
        <v>0.28000000000000114</v>
      </c>
    </row>
    <row r="1744" spans="1:16">
      <c r="A1744">
        <v>286.5</v>
      </c>
      <c r="B1744" s="42">
        <v>38.28</v>
      </c>
      <c r="C1744">
        <v>50.06</v>
      </c>
      <c r="D1744">
        <v>50.12</v>
      </c>
      <c r="E1744">
        <v>67.78</v>
      </c>
      <c r="F1744">
        <v>62.67</v>
      </c>
      <c r="G1744">
        <v>88.95</v>
      </c>
      <c r="H1744">
        <v>72.900000000000006</v>
      </c>
      <c r="K1744" s="9">
        <f t="shared" si="186"/>
        <v>0</v>
      </c>
      <c r="L1744">
        <f t="shared" si="187"/>
        <v>0</v>
      </c>
      <c r="M1744">
        <f t="shared" si="188"/>
        <v>0</v>
      </c>
      <c r="N1744">
        <f t="shared" si="189"/>
        <v>-5.0000000000004263E-2</v>
      </c>
      <c r="O1744">
        <f t="shared" si="190"/>
        <v>-0.10999999999999943</v>
      </c>
      <c r="P1744" s="10">
        <f t="shared" si="191"/>
        <v>-0.28000000000000114</v>
      </c>
    </row>
    <row r="1745" spans="1:16">
      <c r="A1745">
        <v>286.67</v>
      </c>
      <c r="B1745" s="42">
        <v>38.17</v>
      </c>
      <c r="C1745">
        <v>50.01</v>
      </c>
      <c r="D1745">
        <v>50.06</v>
      </c>
      <c r="E1745">
        <v>67.78</v>
      </c>
      <c r="F1745">
        <v>62.67</v>
      </c>
      <c r="G1745">
        <v>88.95</v>
      </c>
      <c r="H1745">
        <v>72.84</v>
      </c>
      <c r="K1745" s="9">
        <f t="shared" si="186"/>
        <v>5.0000000000004263E-2</v>
      </c>
      <c r="L1745">
        <f t="shared" si="187"/>
        <v>5.9999999999995168E-2</v>
      </c>
      <c r="M1745">
        <f t="shared" si="188"/>
        <v>0</v>
      </c>
      <c r="N1745">
        <f t="shared" si="189"/>
        <v>0.10999999999999943</v>
      </c>
      <c r="O1745">
        <f t="shared" si="190"/>
        <v>-0.21999999999999886</v>
      </c>
      <c r="P1745" s="10">
        <f t="shared" si="191"/>
        <v>0.10999999999999943</v>
      </c>
    </row>
    <row r="1746" spans="1:16">
      <c r="A1746">
        <v>286.83</v>
      </c>
      <c r="B1746" s="42">
        <v>38.340000000000003</v>
      </c>
      <c r="C1746">
        <v>50.17</v>
      </c>
      <c r="D1746">
        <v>50.17</v>
      </c>
      <c r="E1746">
        <v>67.78</v>
      </c>
      <c r="F1746">
        <v>62.56</v>
      </c>
      <c r="G1746">
        <v>88.95</v>
      </c>
      <c r="H1746">
        <v>72.95</v>
      </c>
      <c r="K1746" s="9">
        <f t="shared" si="186"/>
        <v>-5.0000000000004263E-2</v>
      </c>
      <c r="L1746">
        <f t="shared" si="187"/>
        <v>-5.0000000000004263E-2</v>
      </c>
      <c r="M1746">
        <f t="shared" si="188"/>
        <v>0</v>
      </c>
      <c r="N1746">
        <f t="shared" si="189"/>
        <v>0.10999999999999943</v>
      </c>
      <c r="O1746">
        <f t="shared" si="190"/>
        <v>-0.39000000000000057</v>
      </c>
      <c r="P1746" s="10">
        <f t="shared" si="191"/>
        <v>0.78000000000000114</v>
      </c>
    </row>
    <row r="1747" spans="1:16">
      <c r="A1747">
        <v>287</v>
      </c>
      <c r="B1747" s="42">
        <v>38.340000000000003</v>
      </c>
      <c r="C1747">
        <v>50.06</v>
      </c>
      <c r="D1747">
        <v>50.12</v>
      </c>
      <c r="E1747">
        <v>67.78</v>
      </c>
      <c r="F1747">
        <v>62.62</v>
      </c>
      <c r="G1747">
        <v>88.84</v>
      </c>
      <c r="H1747">
        <v>72.62</v>
      </c>
      <c r="K1747" s="9">
        <f t="shared" si="186"/>
        <v>0.10999999999999943</v>
      </c>
      <c r="L1747">
        <f t="shared" si="187"/>
        <v>5.0000000000004263E-2</v>
      </c>
      <c r="M1747">
        <f t="shared" si="188"/>
        <v>6.0000000000002274E-2</v>
      </c>
      <c r="N1747">
        <f t="shared" si="189"/>
        <v>0</v>
      </c>
      <c r="O1747">
        <f t="shared" si="190"/>
        <v>-0.43999999999999773</v>
      </c>
      <c r="P1747" s="10">
        <f t="shared" si="191"/>
        <v>0.93999999999999773</v>
      </c>
    </row>
    <row r="1748" spans="1:16">
      <c r="A1748">
        <v>287.17</v>
      </c>
      <c r="B1748" s="42">
        <v>38.28</v>
      </c>
      <c r="C1748">
        <v>50.06</v>
      </c>
      <c r="D1748">
        <v>50.12</v>
      </c>
      <c r="E1748">
        <v>67.78</v>
      </c>
      <c r="F1748">
        <v>62.78</v>
      </c>
      <c r="G1748">
        <v>88.73</v>
      </c>
      <c r="H1748">
        <v>72.95</v>
      </c>
      <c r="K1748" s="9">
        <f t="shared" si="186"/>
        <v>-5.0000000000004263E-2</v>
      </c>
      <c r="L1748">
        <f t="shared" si="187"/>
        <v>0</v>
      </c>
      <c r="M1748">
        <f t="shared" si="188"/>
        <v>-0.10999999999999943</v>
      </c>
      <c r="N1748">
        <f t="shared" si="189"/>
        <v>-5.0000000000004263E-2</v>
      </c>
      <c r="O1748">
        <f t="shared" si="190"/>
        <v>-0.39000000000000057</v>
      </c>
      <c r="P1748" s="10">
        <f t="shared" si="191"/>
        <v>0.32999999999999829</v>
      </c>
    </row>
    <row r="1749" spans="1:16">
      <c r="A1749">
        <v>287.33</v>
      </c>
      <c r="B1749" s="42">
        <v>38.340000000000003</v>
      </c>
      <c r="C1749">
        <v>50.12</v>
      </c>
      <c r="D1749">
        <v>50.12</v>
      </c>
      <c r="E1749">
        <v>67.78</v>
      </c>
      <c r="F1749">
        <v>62.67</v>
      </c>
      <c r="G1749">
        <v>88.56</v>
      </c>
      <c r="H1749">
        <v>73.73</v>
      </c>
      <c r="K1749" s="9">
        <f t="shared" si="186"/>
        <v>-0.10999999999999943</v>
      </c>
      <c r="L1749">
        <f t="shared" si="187"/>
        <v>-0.10999999999999943</v>
      </c>
      <c r="M1749">
        <f t="shared" si="188"/>
        <v>-0.10999999999999943</v>
      </c>
      <c r="N1749">
        <f t="shared" si="189"/>
        <v>-5.0000000000004263E-2</v>
      </c>
      <c r="O1749">
        <f t="shared" si="190"/>
        <v>-0.32999999999999829</v>
      </c>
      <c r="P1749" s="10">
        <f t="shared" si="191"/>
        <v>-0.95000000000000284</v>
      </c>
    </row>
    <row r="1750" spans="1:16">
      <c r="A1750">
        <v>287.5</v>
      </c>
      <c r="B1750" s="42">
        <v>38.28</v>
      </c>
      <c r="C1750">
        <v>50.17</v>
      </c>
      <c r="D1750">
        <v>50.17</v>
      </c>
      <c r="E1750">
        <v>67.84</v>
      </c>
      <c r="F1750">
        <v>62.62</v>
      </c>
      <c r="G1750">
        <v>88.4</v>
      </c>
      <c r="H1750">
        <v>73.56</v>
      </c>
      <c r="K1750" s="9">
        <f t="shared" si="186"/>
        <v>-0.10999999999999943</v>
      </c>
      <c r="L1750">
        <f t="shared" si="187"/>
        <v>-5.0000000000004263E-2</v>
      </c>
      <c r="M1750">
        <f t="shared" si="188"/>
        <v>0</v>
      </c>
      <c r="N1750">
        <f t="shared" si="189"/>
        <v>0</v>
      </c>
      <c r="O1750">
        <f t="shared" si="190"/>
        <v>-0.17000000000000171</v>
      </c>
      <c r="P1750" s="10">
        <f t="shared" si="191"/>
        <v>-1.2199999999999989</v>
      </c>
    </row>
    <row r="1751" spans="1:16">
      <c r="A1751">
        <v>287.67</v>
      </c>
      <c r="B1751" s="42">
        <v>38.17</v>
      </c>
      <c r="C1751">
        <v>50.01</v>
      </c>
      <c r="D1751">
        <v>50.12</v>
      </c>
      <c r="E1751">
        <v>67.67</v>
      </c>
      <c r="F1751">
        <v>62.73</v>
      </c>
      <c r="G1751">
        <v>88.34</v>
      </c>
      <c r="H1751">
        <v>73.28</v>
      </c>
      <c r="K1751" s="9">
        <f t="shared" si="186"/>
        <v>0</v>
      </c>
      <c r="L1751">
        <f t="shared" si="187"/>
        <v>0</v>
      </c>
      <c r="M1751">
        <f t="shared" si="188"/>
        <v>0.10999999999999943</v>
      </c>
      <c r="N1751">
        <f t="shared" si="189"/>
        <v>-0.27999999999999403</v>
      </c>
      <c r="O1751">
        <f t="shared" si="190"/>
        <v>-0.17000000000000171</v>
      </c>
      <c r="P1751" s="10">
        <f t="shared" si="191"/>
        <v>-1</v>
      </c>
    </row>
    <row r="1752" spans="1:16">
      <c r="A1752">
        <v>287.83</v>
      </c>
      <c r="B1752" s="42">
        <v>38.229999999999997</v>
      </c>
      <c r="C1752">
        <v>50.01</v>
      </c>
      <c r="D1752">
        <v>50.01</v>
      </c>
      <c r="E1752">
        <v>67.67</v>
      </c>
      <c r="F1752">
        <v>62.62</v>
      </c>
      <c r="G1752">
        <v>88.23</v>
      </c>
      <c r="H1752">
        <v>72.78</v>
      </c>
      <c r="K1752" s="9">
        <f t="shared" si="186"/>
        <v>-0.10999999999999943</v>
      </c>
      <c r="L1752">
        <f t="shared" si="187"/>
        <v>-0.10999999999999943</v>
      </c>
      <c r="M1752">
        <f t="shared" si="188"/>
        <v>6.0000000000002274E-2</v>
      </c>
      <c r="N1752">
        <f t="shared" si="189"/>
        <v>-0.10999999999999943</v>
      </c>
      <c r="O1752">
        <f t="shared" si="190"/>
        <v>-0.10999999999999943</v>
      </c>
      <c r="P1752" s="10">
        <f t="shared" si="191"/>
        <v>0</v>
      </c>
    </row>
    <row r="1753" spans="1:16">
      <c r="A1753">
        <v>288</v>
      </c>
      <c r="B1753" s="42">
        <v>38.28</v>
      </c>
      <c r="C1753">
        <v>50.06</v>
      </c>
      <c r="D1753">
        <v>50.12</v>
      </c>
      <c r="E1753">
        <v>67.84</v>
      </c>
      <c r="F1753">
        <v>62.62</v>
      </c>
      <c r="G1753">
        <v>88.23</v>
      </c>
      <c r="H1753">
        <v>72.34</v>
      </c>
      <c r="K1753" s="9">
        <f t="shared" ref="K1753:K1816" si="192">C1756-C1753</f>
        <v>-0.16000000000000369</v>
      </c>
      <c r="L1753">
        <f t="shared" ref="L1753:L1816" si="193">D1756-D1753</f>
        <v>-0.1699999999999946</v>
      </c>
      <c r="M1753">
        <f t="shared" ref="M1753:M1816" si="194">E1756-E1753</f>
        <v>-0.10999999999999943</v>
      </c>
      <c r="N1753">
        <f t="shared" ref="N1753:N1816" si="195">F1756-F1753</f>
        <v>0</v>
      </c>
      <c r="O1753">
        <f t="shared" ref="O1753:O1816" si="196">G1756-G1753</f>
        <v>-0.28000000000000114</v>
      </c>
      <c r="P1753" s="10">
        <f t="shared" ref="P1753:P1816" si="197">H1756-H1753</f>
        <v>0.71999999999999886</v>
      </c>
    </row>
    <row r="1754" spans="1:16">
      <c r="A1754">
        <v>288.17</v>
      </c>
      <c r="B1754" s="42">
        <v>38.17</v>
      </c>
      <c r="C1754">
        <v>50.01</v>
      </c>
      <c r="D1754">
        <v>50.12</v>
      </c>
      <c r="E1754">
        <v>67.78</v>
      </c>
      <c r="F1754">
        <v>62.45</v>
      </c>
      <c r="G1754">
        <v>88.17</v>
      </c>
      <c r="H1754">
        <v>72.28</v>
      </c>
      <c r="K1754" s="9">
        <f t="shared" si="192"/>
        <v>-0.10999999999999943</v>
      </c>
      <c r="L1754">
        <f t="shared" si="193"/>
        <v>-0.21999999999999886</v>
      </c>
      <c r="M1754">
        <f t="shared" si="194"/>
        <v>-4.9999999999997158E-2</v>
      </c>
      <c r="N1754">
        <f t="shared" si="195"/>
        <v>-5.0000000000004263E-2</v>
      </c>
      <c r="O1754">
        <f t="shared" si="196"/>
        <v>-0.32999999999999829</v>
      </c>
      <c r="P1754" s="10">
        <f t="shared" si="197"/>
        <v>0.67000000000000171</v>
      </c>
    </row>
    <row r="1755" spans="1:16">
      <c r="A1755">
        <v>288.33</v>
      </c>
      <c r="B1755" s="42">
        <v>38.119999999999997</v>
      </c>
      <c r="C1755">
        <v>49.9</v>
      </c>
      <c r="D1755">
        <v>49.9</v>
      </c>
      <c r="E1755">
        <v>67.73</v>
      </c>
      <c r="F1755">
        <v>62.51</v>
      </c>
      <c r="G1755">
        <v>88.12</v>
      </c>
      <c r="H1755">
        <v>72.78</v>
      </c>
      <c r="K1755" s="9">
        <f t="shared" si="192"/>
        <v>0</v>
      </c>
      <c r="L1755">
        <f t="shared" si="193"/>
        <v>0</v>
      </c>
      <c r="M1755">
        <f t="shared" si="194"/>
        <v>0</v>
      </c>
      <c r="N1755">
        <f t="shared" si="195"/>
        <v>-0.33999999999999631</v>
      </c>
      <c r="O1755">
        <f t="shared" si="196"/>
        <v>-0.28000000000000114</v>
      </c>
      <c r="P1755" s="10">
        <f t="shared" si="197"/>
        <v>-0.10999999999999943</v>
      </c>
    </row>
    <row r="1756" spans="1:16">
      <c r="A1756">
        <v>288.5</v>
      </c>
      <c r="B1756" s="42">
        <v>38.119999999999997</v>
      </c>
      <c r="C1756">
        <v>49.9</v>
      </c>
      <c r="D1756">
        <v>49.95</v>
      </c>
      <c r="E1756">
        <v>67.73</v>
      </c>
      <c r="F1756">
        <v>62.62</v>
      </c>
      <c r="G1756">
        <v>87.95</v>
      </c>
      <c r="H1756">
        <v>73.06</v>
      </c>
      <c r="K1756" s="9">
        <f t="shared" si="192"/>
        <v>5.0000000000004263E-2</v>
      </c>
      <c r="L1756">
        <f t="shared" si="193"/>
        <v>5.9999999999995168E-2</v>
      </c>
      <c r="M1756">
        <f t="shared" si="194"/>
        <v>0</v>
      </c>
      <c r="N1756">
        <f t="shared" si="195"/>
        <v>-0.55999999999999517</v>
      </c>
      <c r="O1756">
        <f t="shared" si="196"/>
        <v>-0.10999999999999943</v>
      </c>
      <c r="P1756" s="10">
        <f t="shared" si="197"/>
        <v>0.39000000000000057</v>
      </c>
    </row>
    <row r="1757" spans="1:16">
      <c r="A1757">
        <v>288.67</v>
      </c>
      <c r="B1757" s="42">
        <v>38.119999999999997</v>
      </c>
      <c r="C1757">
        <v>49.9</v>
      </c>
      <c r="D1757">
        <v>49.9</v>
      </c>
      <c r="E1757">
        <v>67.73</v>
      </c>
      <c r="F1757">
        <v>62.4</v>
      </c>
      <c r="G1757">
        <v>87.84</v>
      </c>
      <c r="H1757">
        <v>72.95</v>
      </c>
      <c r="K1757" s="9">
        <f t="shared" si="192"/>
        <v>0</v>
      </c>
      <c r="L1757">
        <f t="shared" si="193"/>
        <v>0</v>
      </c>
      <c r="M1757">
        <f t="shared" si="194"/>
        <v>-6.0000000000002274E-2</v>
      </c>
      <c r="N1757">
        <f t="shared" si="195"/>
        <v>-0.28000000000000114</v>
      </c>
      <c r="O1757">
        <f t="shared" si="196"/>
        <v>-0.21999999999999886</v>
      </c>
      <c r="P1757" s="10">
        <f t="shared" si="197"/>
        <v>0.67000000000000171</v>
      </c>
    </row>
    <row r="1758" spans="1:16">
      <c r="A1758">
        <v>288.83</v>
      </c>
      <c r="B1758" s="42">
        <v>38.01</v>
      </c>
      <c r="C1758">
        <v>49.9</v>
      </c>
      <c r="D1758">
        <v>49.9</v>
      </c>
      <c r="E1758">
        <v>67.73</v>
      </c>
      <c r="F1758">
        <v>62.17</v>
      </c>
      <c r="G1758">
        <v>87.84</v>
      </c>
      <c r="H1758">
        <v>72.67</v>
      </c>
      <c r="K1758" s="9">
        <f t="shared" si="192"/>
        <v>0</v>
      </c>
      <c r="L1758">
        <f t="shared" si="193"/>
        <v>0</v>
      </c>
      <c r="M1758">
        <f t="shared" si="194"/>
        <v>0</v>
      </c>
      <c r="N1758">
        <f t="shared" si="195"/>
        <v>-0.10999999999999943</v>
      </c>
      <c r="O1758">
        <f t="shared" si="196"/>
        <v>-0.17000000000000171</v>
      </c>
      <c r="P1758" s="10">
        <f t="shared" si="197"/>
        <v>1.230000000000004</v>
      </c>
    </row>
    <row r="1759" spans="1:16">
      <c r="A1759">
        <v>289</v>
      </c>
      <c r="B1759" s="42">
        <v>38.06</v>
      </c>
      <c r="C1759">
        <v>49.95</v>
      </c>
      <c r="D1759">
        <v>50.01</v>
      </c>
      <c r="E1759">
        <v>67.73</v>
      </c>
      <c r="F1759">
        <v>62.06</v>
      </c>
      <c r="G1759">
        <v>87.84</v>
      </c>
      <c r="H1759">
        <v>73.45</v>
      </c>
      <c r="K1759" s="9">
        <f t="shared" si="192"/>
        <v>-0.10999999999999943</v>
      </c>
      <c r="L1759">
        <f t="shared" si="193"/>
        <v>-0.1699999999999946</v>
      </c>
      <c r="M1759">
        <f t="shared" si="194"/>
        <v>0</v>
      </c>
      <c r="N1759">
        <f t="shared" si="195"/>
        <v>0.1699999999999946</v>
      </c>
      <c r="O1759">
        <f t="shared" si="196"/>
        <v>-0.28000000000000114</v>
      </c>
      <c r="P1759" s="10">
        <f t="shared" si="197"/>
        <v>0.60999999999999943</v>
      </c>
    </row>
    <row r="1760" spans="1:16">
      <c r="A1760">
        <v>289.17</v>
      </c>
      <c r="B1760" s="42">
        <v>37.950000000000003</v>
      </c>
      <c r="C1760">
        <v>49.9</v>
      </c>
      <c r="D1760">
        <v>49.9</v>
      </c>
      <c r="E1760">
        <v>67.67</v>
      </c>
      <c r="F1760">
        <v>62.12</v>
      </c>
      <c r="G1760">
        <v>87.62</v>
      </c>
      <c r="H1760">
        <v>73.62</v>
      </c>
      <c r="K1760" s="9">
        <f t="shared" si="192"/>
        <v>0</v>
      </c>
      <c r="L1760">
        <f t="shared" si="193"/>
        <v>0</v>
      </c>
      <c r="M1760">
        <f t="shared" si="194"/>
        <v>0</v>
      </c>
      <c r="N1760">
        <f t="shared" si="195"/>
        <v>-0.21999999999999886</v>
      </c>
      <c r="O1760">
        <f t="shared" si="196"/>
        <v>-6.0000000000002274E-2</v>
      </c>
      <c r="P1760" s="10">
        <f t="shared" si="197"/>
        <v>4.9999999999997158E-2</v>
      </c>
    </row>
    <row r="1761" spans="1:16">
      <c r="A1761">
        <v>289.33</v>
      </c>
      <c r="B1761" s="42">
        <v>37.950000000000003</v>
      </c>
      <c r="C1761">
        <v>49.9</v>
      </c>
      <c r="D1761">
        <v>49.9</v>
      </c>
      <c r="E1761">
        <v>67.73</v>
      </c>
      <c r="F1761">
        <v>62.06</v>
      </c>
      <c r="G1761">
        <v>87.67</v>
      </c>
      <c r="H1761">
        <v>73.900000000000006</v>
      </c>
      <c r="K1761" s="9">
        <f t="shared" si="192"/>
        <v>-0.17000000000000171</v>
      </c>
      <c r="L1761">
        <f t="shared" si="193"/>
        <v>0</v>
      </c>
      <c r="M1761">
        <f t="shared" si="194"/>
        <v>-6.0000000000002274E-2</v>
      </c>
      <c r="N1761">
        <f t="shared" si="195"/>
        <v>-0.21999999999999886</v>
      </c>
      <c r="O1761">
        <f t="shared" si="196"/>
        <v>-0.26999999999999602</v>
      </c>
      <c r="P1761" s="10">
        <f t="shared" si="197"/>
        <v>-0.12000000000000455</v>
      </c>
    </row>
    <row r="1762" spans="1:16">
      <c r="A1762">
        <v>289.5</v>
      </c>
      <c r="B1762" s="42">
        <v>38.01</v>
      </c>
      <c r="C1762">
        <v>49.84</v>
      </c>
      <c r="D1762">
        <v>49.84</v>
      </c>
      <c r="E1762">
        <v>67.73</v>
      </c>
      <c r="F1762">
        <v>62.23</v>
      </c>
      <c r="G1762">
        <v>87.56</v>
      </c>
      <c r="H1762">
        <v>74.06</v>
      </c>
      <c r="K1762" s="9">
        <f t="shared" si="192"/>
        <v>-6.0000000000002274E-2</v>
      </c>
      <c r="L1762">
        <f t="shared" si="193"/>
        <v>0</v>
      </c>
      <c r="M1762">
        <f t="shared" si="194"/>
        <v>0</v>
      </c>
      <c r="N1762">
        <f t="shared" si="195"/>
        <v>-0.71999999999999886</v>
      </c>
      <c r="O1762">
        <f t="shared" si="196"/>
        <v>-0.28000000000000114</v>
      </c>
      <c r="P1762" s="10">
        <f t="shared" si="197"/>
        <v>-1.2199999999999989</v>
      </c>
    </row>
    <row r="1763" spans="1:16">
      <c r="A1763">
        <v>289.67</v>
      </c>
      <c r="B1763" s="42">
        <v>38.01</v>
      </c>
      <c r="C1763">
        <v>49.9</v>
      </c>
      <c r="D1763">
        <v>49.9</v>
      </c>
      <c r="E1763">
        <v>67.67</v>
      </c>
      <c r="F1763">
        <v>61.9</v>
      </c>
      <c r="G1763">
        <v>87.56</v>
      </c>
      <c r="H1763">
        <v>73.67</v>
      </c>
      <c r="K1763" s="9">
        <f t="shared" si="192"/>
        <v>-0.17000000000000171</v>
      </c>
      <c r="L1763">
        <f t="shared" si="193"/>
        <v>-0.11999999999999744</v>
      </c>
      <c r="M1763">
        <f t="shared" si="194"/>
        <v>0.10999999999999943</v>
      </c>
      <c r="N1763">
        <f t="shared" si="195"/>
        <v>-0.5</v>
      </c>
      <c r="O1763">
        <f t="shared" si="196"/>
        <v>-0.15999999999999659</v>
      </c>
      <c r="P1763" s="10">
        <f t="shared" si="197"/>
        <v>-1.269999999999996</v>
      </c>
    </row>
    <row r="1764" spans="1:16">
      <c r="A1764">
        <v>289.83</v>
      </c>
      <c r="B1764" s="42">
        <v>37.9</v>
      </c>
      <c r="C1764">
        <v>49.73</v>
      </c>
      <c r="D1764">
        <v>49.9</v>
      </c>
      <c r="E1764">
        <v>67.67</v>
      </c>
      <c r="F1764">
        <v>61.84</v>
      </c>
      <c r="G1764">
        <v>87.4</v>
      </c>
      <c r="H1764">
        <v>73.78</v>
      </c>
      <c r="K1764" s="9">
        <f t="shared" si="192"/>
        <v>5.0000000000004263E-2</v>
      </c>
      <c r="L1764">
        <f t="shared" si="193"/>
        <v>-5.9999999999995168E-2</v>
      </c>
      <c r="M1764">
        <f t="shared" si="194"/>
        <v>0.10999999999999943</v>
      </c>
      <c r="N1764">
        <f t="shared" si="195"/>
        <v>-0.8300000000000054</v>
      </c>
      <c r="O1764">
        <f t="shared" si="196"/>
        <v>-0.12000000000000455</v>
      </c>
      <c r="P1764" s="10">
        <f t="shared" si="197"/>
        <v>-1.8799999999999955</v>
      </c>
    </row>
    <row r="1765" spans="1:16">
      <c r="A1765">
        <v>290</v>
      </c>
      <c r="B1765" s="42">
        <v>37.950000000000003</v>
      </c>
      <c r="C1765">
        <v>49.78</v>
      </c>
      <c r="D1765">
        <v>49.84</v>
      </c>
      <c r="E1765">
        <v>67.73</v>
      </c>
      <c r="F1765">
        <v>61.51</v>
      </c>
      <c r="G1765">
        <v>87.28</v>
      </c>
      <c r="H1765">
        <v>72.84</v>
      </c>
      <c r="K1765" s="9">
        <f t="shared" si="192"/>
        <v>0</v>
      </c>
      <c r="L1765">
        <f t="shared" si="193"/>
        <v>-6.0000000000002274E-2</v>
      </c>
      <c r="M1765">
        <f t="shared" si="194"/>
        <v>4.9999999999997158E-2</v>
      </c>
      <c r="N1765">
        <f t="shared" si="195"/>
        <v>-0.22999999999999687</v>
      </c>
      <c r="O1765">
        <f t="shared" si="196"/>
        <v>-4.9999999999997158E-2</v>
      </c>
      <c r="P1765" s="10">
        <f t="shared" si="197"/>
        <v>-1</v>
      </c>
    </row>
    <row r="1766" spans="1:16">
      <c r="A1766">
        <v>290.17</v>
      </c>
      <c r="B1766" s="42">
        <v>37.9</v>
      </c>
      <c r="C1766">
        <v>49.73</v>
      </c>
      <c r="D1766">
        <v>49.78</v>
      </c>
      <c r="E1766">
        <v>67.78</v>
      </c>
      <c r="F1766">
        <v>61.4</v>
      </c>
      <c r="G1766">
        <v>87.4</v>
      </c>
      <c r="H1766">
        <v>72.400000000000006</v>
      </c>
      <c r="K1766" s="9">
        <f t="shared" si="192"/>
        <v>5.0000000000004263E-2</v>
      </c>
      <c r="L1766">
        <f t="shared" si="193"/>
        <v>0</v>
      </c>
      <c r="M1766">
        <f t="shared" si="194"/>
        <v>0</v>
      </c>
      <c r="N1766">
        <f t="shared" si="195"/>
        <v>-0.33999999999999631</v>
      </c>
      <c r="O1766">
        <f t="shared" si="196"/>
        <v>-0.28000000000000114</v>
      </c>
      <c r="P1766" s="10">
        <f t="shared" si="197"/>
        <v>-1.230000000000004</v>
      </c>
    </row>
    <row r="1767" spans="1:16">
      <c r="A1767">
        <v>290.33</v>
      </c>
      <c r="B1767" s="42">
        <v>37.950000000000003</v>
      </c>
      <c r="C1767">
        <v>49.78</v>
      </c>
      <c r="D1767">
        <v>49.84</v>
      </c>
      <c r="E1767">
        <v>67.78</v>
      </c>
      <c r="F1767">
        <v>61.01</v>
      </c>
      <c r="G1767">
        <v>87.28</v>
      </c>
      <c r="H1767">
        <v>71.900000000000006</v>
      </c>
      <c r="K1767" s="9">
        <f t="shared" si="192"/>
        <v>0</v>
      </c>
      <c r="L1767">
        <f t="shared" si="193"/>
        <v>0</v>
      </c>
      <c r="M1767">
        <f t="shared" si="194"/>
        <v>-4.9999999999997158E-2</v>
      </c>
      <c r="N1767">
        <f t="shared" si="195"/>
        <v>-5.9999999999995168E-2</v>
      </c>
      <c r="O1767">
        <f t="shared" si="196"/>
        <v>-0.15999999999999659</v>
      </c>
      <c r="P1767" s="10">
        <f t="shared" si="197"/>
        <v>-0.56000000000000227</v>
      </c>
    </row>
    <row r="1768" spans="1:16">
      <c r="A1768">
        <v>290.5</v>
      </c>
      <c r="B1768" s="42">
        <v>38.01</v>
      </c>
      <c r="C1768">
        <v>49.78</v>
      </c>
      <c r="D1768">
        <v>49.78</v>
      </c>
      <c r="E1768">
        <v>67.78</v>
      </c>
      <c r="F1768">
        <v>61.28</v>
      </c>
      <c r="G1768">
        <v>87.23</v>
      </c>
      <c r="H1768">
        <v>71.84</v>
      </c>
      <c r="K1768" s="9">
        <f t="shared" si="192"/>
        <v>0</v>
      </c>
      <c r="L1768">
        <f t="shared" si="193"/>
        <v>0</v>
      </c>
      <c r="M1768">
        <f t="shared" si="194"/>
        <v>-4.9999999999997158E-2</v>
      </c>
      <c r="N1768">
        <f t="shared" si="195"/>
        <v>-0.5</v>
      </c>
      <c r="O1768">
        <f t="shared" si="196"/>
        <v>-0.17000000000000171</v>
      </c>
      <c r="P1768" s="10">
        <f t="shared" si="197"/>
        <v>6.0000000000002274E-2</v>
      </c>
    </row>
    <row r="1769" spans="1:16">
      <c r="A1769">
        <v>290.67</v>
      </c>
      <c r="B1769" s="42">
        <v>37.950000000000003</v>
      </c>
      <c r="C1769">
        <v>49.78</v>
      </c>
      <c r="D1769">
        <v>49.78</v>
      </c>
      <c r="E1769">
        <v>67.78</v>
      </c>
      <c r="F1769">
        <v>61.06</v>
      </c>
      <c r="G1769">
        <v>87.12</v>
      </c>
      <c r="H1769">
        <v>71.17</v>
      </c>
      <c r="K1769" s="9">
        <f t="shared" si="192"/>
        <v>6.0000000000002274E-2</v>
      </c>
      <c r="L1769">
        <f t="shared" si="193"/>
        <v>0</v>
      </c>
      <c r="M1769">
        <f t="shared" si="194"/>
        <v>0</v>
      </c>
      <c r="N1769">
        <f t="shared" si="195"/>
        <v>-0.28000000000000114</v>
      </c>
      <c r="O1769">
        <f t="shared" si="196"/>
        <v>-0.10999999999999943</v>
      </c>
      <c r="P1769" s="10">
        <f t="shared" si="197"/>
        <v>1.0600000000000023</v>
      </c>
    </row>
    <row r="1770" spans="1:16">
      <c r="A1770">
        <v>290.83</v>
      </c>
      <c r="B1770" s="42">
        <v>37.950000000000003</v>
      </c>
      <c r="C1770">
        <v>49.78</v>
      </c>
      <c r="D1770">
        <v>49.84</v>
      </c>
      <c r="E1770">
        <v>67.73</v>
      </c>
      <c r="F1770">
        <v>60.95</v>
      </c>
      <c r="G1770">
        <v>87.12</v>
      </c>
      <c r="H1770">
        <v>71.34</v>
      </c>
      <c r="K1770" s="9">
        <f t="shared" si="192"/>
        <v>0</v>
      </c>
      <c r="L1770">
        <f t="shared" si="193"/>
        <v>-6.0000000000002274E-2</v>
      </c>
      <c r="M1770">
        <f t="shared" si="194"/>
        <v>-6.0000000000002274E-2</v>
      </c>
      <c r="N1770">
        <f t="shared" si="195"/>
        <v>-0.22000000000000597</v>
      </c>
      <c r="O1770">
        <f t="shared" si="196"/>
        <v>-0.28000000000000114</v>
      </c>
      <c r="P1770" s="10">
        <f t="shared" si="197"/>
        <v>1.2800000000000011</v>
      </c>
    </row>
    <row r="1771" spans="1:16">
      <c r="A1771">
        <v>291</v>
      </c>
      <c r="B1771" s="42">
        <v>37.950000000000003</v>
      </c>
      <c r="C1771">
        <v>49.78</v>
      </c>
      <c r="D1771">
        <v>49.78</v>
      </c>
      <c r="E1771">
        <v>67.73</v>
      </c>
      <c r="F1771">
        <v>60.78</v>
      </c>
      <c r="G1771">
        <v>87.06</v>
      </c>
      <c r="H1771">
        <v>71.900000000000006</v>
      </c>
      <c r="K1771" s="9">
        <f t="shared" si="192"/>
        <v>-5.0000000000004263E-2</v>
      </c>
      <c r="L1771">
        <f t="shared" si="193"/>
        <v>0</v>
      </c>
      <c r="M1771">
        <f t="shared" si="194"/>
        <v>4.9999999999997158E-2</v>
      </c>
      <c r="N1771">
        <f t="shared" si="195"/>
        <v>0</v>
      </c>
      <c r="O1771">
        <f t="shared" si="196"/>
        <v>-0.39000000000000057</v>
      </c>
      <c r="P1771" s="10">
        <f t="shared" si="197"/>
        <v>1.6099999999999994</v>
      </c>
    </row>
    <row r="1772" spans="1:16">
      <c r="A1772">
        <v>291.17</v>
      </c>
      <c r="B1772" s="42">
        <v>37.950000000000003</v>
      </c>
      <c r="C1772">
        <v>49.84</v>
      </c>
      <c r="D1772">
        <v>49.78</v>
      </c>
      <c r="E1772">
        <v>67.78</v>
      </c>
      <c r="F1772">
        <v>60.78</v>
      </c>
      <c r="G1772">
        <v>87.01</v>
      </c>
      <c r="H1772">
        <v>72.23</v>
      </c>
      <c r="K1772" s="9">
        <f t="shared" si="192"/>
        <v>-0.11000000000000654</v>
      </c>
      <c r="L1772">
        <f t="shared" si="193"/>
        <v>0</v>
      </c>
      <c r="M1772">
        <f t="shared" si="194"/>
        <v>-4.9999999999997158E-2</v>
      </c>
      <c r="N1772">
        <f t="shared" si="195"/>
        <v>-0.21999999999999886</v>
      </c>
      <c r="O1772">
        <f t="shared" si="196"/>
        <v>-0.39000000000000057</v>
      </c>
      <c r="P1772" s="10">
        <f t="shared" si="197"/>
        <v>1.5</v>
      </c>
    </row>
    <row r="1773" spans="1:16">
      <c r="A1773">
        <v>291.33</v>
      </c>
      <c r="B1773" s="42">
        <v>37.9</v>
      </c>
      <c r="C1773">
        <v>49.78</v>
      </c>
      <c r="D1773">
        <v>49.78</v>
      </c>
      <c r="E1773">
        <v>67.67</v>
      </c>
      <c r="F1773">
        <v>60.73</v>
      </c>
      <c r="G1773">
        <v>86.84</v>
      </c>
      <c r="H1773">
        <v>72.62</v>
      </c>
      <c r="K1773" s="9">
        <f t="shared" si="192"/>
        <v>-5.0000000000004263E-2</v>
      </c>
      <c r="L1773">
        <f t="shared" si="193"/>
        <v>0</v>
      </c>
      <c r="M1773">
        <f t="shared" si="194"/>
        <v>0</v>
      </c>
      <c r="N1773">
        <f t="shared" si="195"/>
        <v>-0.44999999999999574</v>
      </c>
      <c r="O1773">
        <f t="shared" si="196"/>
        <v>-0.28000000000000114</v>
      </c>
      <c r="P1773" s="10">
        <f t="shared" si="197"/>
        <v>1</v>
      </c>
    </row>
    <row r="1774" spans="1:16">
      <c r="A1774">
        <v>291.5</v>
      </c>
      <c r="B1774" s="42">
        <v>37.78</v>
      </c>
      <c r="C1774">
        <v>49.73</v>
      </c>
      <c r="D1774">
        <v>49.78</v>
      </c>
      <c r="E1774">
        <v>67.78</v>
      </c>
      <c r="F1774">
        <v>60.78</v>
      </c>
      <c r="G1774">
        <v>86.67</v>
      </c>
      <c r="H1774">
        <v>73.510000000000005</v>
      </c>
      <c r="K1774" s="9">
        <f t="shared" si="192"/>
        <v>-5.9999999999995168E-2</v>
      </c>
      <c r="L1774">
        <f t="shared" si="193"/>
        <v>-0.10999999999999943</v>
      </c>
      <c r="M1774">
        <f t="shared" si="194"/>
        <v>-0.10999999999999943</v>
      </c>
      <c r="N1774">
        <f t="shared" si="195"/>
        <v>-0.5</v>
      </c>
      <c r="O1774">
        <f t="shared" si="196"/>
        <v>-0.10999999999999943</v>
      </c>
      <c r="P1774" s="10">
        <f t="shared" si="197"/>
        <v>-0.73000000000000398</v>
      </c>
    </row>
    <row r="1775" spans="1:16">
      <c r="A1775">
        <v>291.67</v>
      </c>
      <c r="B1775" s="42">
        <v>37.729999999999997</v>
      </c>
      <c r="C1775">
        <v>49.73</v>
      </c>
      <c r="D1775">
        <v>49.78</v>
      </c>
      <c r="E1775">
        <v>67.73</v>
      </c>
      <c r="F1775">
        <v>60.56</v>
      </c>
      <c r="G1775">
        <v>86.62</v>
      </c>
      <c r="H1775">
        <v>73.73</v>
      </c>
      <c r="K1775" s="9">
        <f t="shared" si="192"/>
        <v>5.0000000000004263E-2</v>
      </c>
      <c r="L1775">
        <f t="shared" si="193"/>
        <v>0</v>
      </c>
      <c r="M1775">
        <f t="shared" si="194"/>
        <v>4.9999999999997158E-2</v>
      </c>
      <c r="N1775">
        <f t="shared" si="195"/>
        <v>-0.28000000000000114</v>
      </c>
      <c r="O1775">
        <f t="shared" si="196"/>
        <v>0</v>
      </c>
      <c r="P1775" s="10">
        <f t="shared" si="197"/>
        <v>-0.89000000000000057</v>
      </c>
    </row>
    <row r="1776" spans="1:16">
      <c r="A1776">
        <v>291.83</v>
      </c>
      <c r="B1776" s="42">
        <v>37.67</v>
      </c>
      <c r="C1776">
        <v>49.73</v>
      </c>
      <c r="D1776">
        <v>49.78</v>
      </c>
      <c r="E1776">
        <v>67.67</v>
      </c>
      <c r="F1776">
        <v>60.28</v>
      </c>
      <c r="G1776">
        <v>86.56</v>
      </c>
      <c r="H1776">
        <v>73.62</v>
      </c>
      <c r="K1776" s="9">
        <f t="shared" si="192"/>
        <v>5.0000000000004263E-2</v>
      </c>
      <c r="L1776">
        <f t="shared" si="193"/>
        <v>0</v>
      </c>
      <c r="M1776">
        <f t="shared" si="194"/>
        <v>0</v>
      </c>
      <c r="N1776">
        <f t="shared" si="195"/>
        <v>-0.38000000000000256</v>
      </c>
      <c r="O1776">
        <f t="shared" si="196"/>
        <v>6.0000000000002274E-2</v>
      </c>
      <c r="P1776" s="10">
        <f t="shared" si="197"/>
        <v>-1.1700000000000017</v>
      </c>
    </row>
    <row r="1777" spans="1:16">
      <c r="A1777">
        <v>292</v>
      </c>
      <c r="B1777" s="42">
        <v>37.67</v>
      </c>
      <c r="C1777">
        <v>49.67</v>
      </c>
      <c r="D1777">
        <v>49.67</v>
      </c>
      <c r="E1777">
        <v>67.67</v>
      </c>
      <c r="F1777">
        <v>60.28</v>
      </c>
      <c r="G1777">
        <v>86.56</v>
      </c>
      <c r="H1777">
        <v>72.78</v>
      </c>
      <c r="K1777" s="9">
        <f t="shared" si="192"/>
        <v>0.22999999999999687</v>
      </c>
      <c r="L1777">
        <f t="shared" si="193"/>
        <v>0.10999999999999943</v>
      </c>
      <c r="M1777">
        <f t="shared" si="194"/>
        <v>0</v>
      </c>
      <c r="N1777">
        <f t="shared" si="195"/>
        <v>-0.43999999999999773</v>
      </c>
      <c r="O1777">
        <f t="shared" si="196"/>
        <v>6.0000000000002274E-2</v>
      </c>
      <c r="P1777" s="10">
        <f t="shared" si="197"/>
        <v>-0.93999999999999773</v>
      </c>
    </row>
    <row r="1778" spans="1:16">
      <c r="A1778">
        <v>292.17</v>
      </c>
      <c r="B1778" s="42">
        <v>37.729999999999997</v>
      </c>
      <c r="C1778">
        <v>49.78</v>
      </c>
      <c r="D1778">
        <v>49.78</v>
      </c>
      <c r="E1778">
        <v>67.78</v>
      </c>
      <c r="F1778">
        <v>60.28</v>
      </c>
      <c r="G1778">
        <v>86.62</v>
      </c>
      <c r="H1778">
        <v>72.84</v>
      </c>
      <c r="K1778" s="9">
        <f t="shared" si="192"/>
        <v>0.11999999999999744</v>
      </c>
      <c r="L1778">
        <f t="shared" si="193"/>
        <v>0.11999999999999744</v>
      </c>
      <c r="M1778">
        <f t="shared" si="194"/>
        <v>-0.15999999999999659</v>
      </c>
      <c r="N1778">
        <f t="shared" si="195"/>
        <v>-0.43999999999999773</v>
      </c>
      <c r="O1778">
        <f t="shared" si="196"/>
        <v>-0.10999999999999943</v>
      </c>
      <c r="P1778" s="10">
        <f t="shared" si="197"/>
        <v>-1.3299999999999983</v>
      </c>
    </row>
    <row r="1779" spans="1:16">
      <c r="A1779">
        <v>292.33</v>
      </c>
      <c r="B1779" s="42">
        <v>37.729999999999997</v>
      </c>
      <c r="C1779">
        <v>49.78</v>
      </c>
      <c r="D1779">
        <v>49.78</v>
      </c>
      <c r="E1779">
        <v>67.67</v>
      </c>
      <c r="F1779">
        <v>59.9</v>
      </c>
      <c r="G1779">
        <v>86.62</v>
      </c>
      <c r="H1779">
        <v>72.45</v>
      </c>
      <c r="K1779" s="9">
        <f t="shared" si="192"/>
        <v>0.11999999999999744</v>
      </c>
      <c r="L1779">
        <f t="shared" si="193"/>
        <v>0.11999999999999744</v>
      </c>
      <c r="M1779">
        <f t="shared" si="194"/>
        <v>-4.9999999999997158E-2</v>
      </c>
      <c r="N1779">
        <f t="shared" si="195"/>
        <v>0.10999999999999943</v>
      </c>
      <c r="O1779">
        <f t="shared" si="196"/>
        <v>-0.10999999999999943</v>
      </c>
      <c r="P1779" s="10">
        <f t="shared" si="197"/>
        <v>-1.1099999999999994</v>
      </c>
    </row>
    <row r="1780" spans="1:16">
      <c r="A1780">
        <v>292.5</v>
      </c>
      <c r="B1780" s="42">
        <v>37.67</v>
      </c>
      <c r="C1780">
        <v>49.9</v>
      </c>
      <c r="D1780">
        <v>49.78</v>
      </c>
      <c r="E1780">
        <v>67.67</v>
      </c>
      <c r="F1780">
        <v>59.84</v>
      </c>
      <c r="G1780">
        <v>86.62</v>
      </c>
      <c r="H1780">
        <v>71.84</v>
      </c>
      <c r="K1780" s="9">
        <f t="shared" si="192"/>
        <v>-5.9999999999995168E-2</v>
      </c>
      <c r="L1780">
        <f t="shared" si="193"/>
        <v>0.11999999999999744</v>
      </c>
      <c r="M1780">
        <f t="shared" si="194"/>
        <v>-4.9999999999997158E-2</v>
      </c>
      <c r="N1780">
        <f t="shared" si="195"/>
        <v>-0.17000000000000171</v>
      </c>
      <c r="O1780">
        <f t="shared" si="196"/>
        <v>-0.10999999999999943</v>
      </c>
      <c r="P1780" s="10">
        <f t="shared" si="197"/>
        <v>6.0000000000002274E-2</v>
      </c>
    </row>
    <row r="1781" spans="1:16">
      <c r="A1781">
        <v>292.67</v>
      </c>
      <c r="B1781" s="42">
        <v>37.67</v>
      </c>
      <c r="C1781">
        <v>49.9</v>
      </c>
      <c r="D1781">
        <v>49.9</v>
      </c>
      <c r="E1781">
        <v>67.62</v>
      </c>
      <c r="F1781">
        <v>59.84</v>
      </c>
      <c r="G1781">
        <v>86.51</v>
      </c>
      <c r="H1781">
        <v>71.510000000000005</v>
      </c>
      <c r="K1781" s="9">
        <f t="shared" si="192"/>
        <v>-5.9999999999995168E-2</v>
      </c>
      <c r="L1781">
        <f t="shared" si="193"/>
        <v>0</v>
      </c>
      <c r="M1781">
        <f t="shared" si="194"/>
        <v>0</v>
      </c>
      <c r="N1781">
        <f t="shared" si="195"/>
        <v>-0.28000000000000114</v>
      </c>
      <c r="O1781">
        <f t="shared" si="196"/>
        <v>-6.0000000000002274E-2</v>
      </c>
      <c r="P1781" s="10">
        <f t="shared" si="197"/>
        <v>0</v>
      </c>
    </row>
    <row r="1782" spans="1:16">
      <c r="A1782">
        <v>292.83</v>
      </c>
      <c r="B1782" s="42">
        <v>37.619999999999997</v>
      </c>
      <c r="C1782">
        <v>49.9</v>
      </c>
      <c r="D1782">
        <v>49.9</v>
      </c>
      <c r="E1782">
        <v>67.62</v>
      </c>
      <c r="F1782">
        <v>60.01</v>
      </c>
      <c r="G1782">
        <v>86.51</v>
      </c>
      <c r="H1782">
        <v>71.34</v>
      </c>
      <c r="K1782" s="9">
        <f t="shared" si="192"/>
        <v>-0.11999999999999744</v>
      </c>
      <c r="L1782">
        <f t="shared" si="193"/>
        <v>-0.11999999999999744</v>
      </c>
      <c r="M1782">
        <f t="shared" si="194"/>
        <v>-6.0000000000002274E-2</v>
      </c>
      <c r="N1782">
        <f t="shared" si="195"/>
        <v>-0.55999999999999517</v>
      </c>
      <c r="O1782">
        <f t="shared" si="196"/>
        <v>-0.23000000000000398</v>
      </c>
      <c r="P1782" s="10">
        <f t="shared" si="197"/>
        <v>0.71999999999999886</v>
      </c>
    </row>
    <row r="1783" spans="1:16">
      <c r="A1783">
        <v>293</v>
      </c>
      <c r="B1783" s="42">
        <v>37.619999999999997</v>
      </c>
      <c r="C1783">
        <v>49.84</v>
      </c>
      <c r="D1783">
        <v>49.9</v>
      </c>
      <c r="E1783">
        <v>67.62</v>
      </c>
      <c r="F1783">
        <v>59.67</v>
      </c>
      <c r="G1783">
        <v>86.51</v>
      </c>
      <c r="H1783">
        <v>71.900000000000006</v>
      </c>
      <c r="K1783" s="9">
        <f t="shared" si="192"/>
        <v>0.1699999999999946</v>
      </c>
      <c r="L1783">
        <f t="shared" si="193"/>
        <v>5.0000000000004263E-2</v>
      </c>
      <c r="M1783">
        <f t="shared" si="194"/>
        <v>0</v>
      </c>
      <c r="N1783">
        <f t="shared" si="195"/>
        <v>-0.27000000000000313</v>
      </c>
      <c r="O1783">
        <f t="shared" si="196"/>
        <v>-0.23000000000000398</v>
      </c>
      <c r="P1783" s="10">
        <f t="shared" si="197"/>
        <v>4.9999999999997158E-2</v>
      </c>
    </row>
    <row r="1784" spans="1:16">
      <c r="A1784">
        <v>293.17</v>
      </c>
      <c r="B1784" s="42">
        <v>37.619999999999997</v>
      </c>
      <c r="C1784">
        <v>49.84</v>
      </c>
      <c r="D1784">
        <v>49.9</v>
      </c>
      <c r="E1784">
        <v>67.62</v>
      </c>
      <c r="F1784">
        <v>59.56</v>
      </c>
      <c r="G1784">
        <v>86.45</v>
      </c>
      <c r="H1784">
        <v>71.510000000000005</v>
      </c>
      <c r="K1784" s="9">
        <f t="shared" si="192"/>
        <v>0.1699999999999946</v>
      </c>
      <c r="L1784">
        <f t="shared" si="193"/>
        <v>0.16000000000000369</v>
      </c>
      <c r="M1784">
        <f t="shared" si="194"/>
        <v>0</v>
      </c>
      <c r="N1784">
        <f t="shared" si="195"/>
        <v>-0.10999999999999943</v>
      </c>
      <c r="O1784">
        <f t="shared" si="196"/>
        <v>-0.32999999999999829</v>
      </c>
      <c r="P1784" s="10">
        <f t="shared" si="197"/>
        <v>0</v>
      </c>
    </row>
    <row r="1785" spans="1:16">
      <c r="A1785">
        <v>293.33</v>
      </c>
      <c r="B1785" s="42">
        <v>37.51</v>
      </c>
      <c r="C1785">
        <v>49.78</v>
      </c>
      <c r="D1785">
        <v>49.78</v>
      </c>
      <c r="E1785">
        <v>67.56</v>
      </c>
      <c r="F1785">
        <v>59.45</v>
      </c>
      <c r="G1785">
        <v>86.28</v>
      </c>
      <c r="H1785">
        <v>72.06</v>
      </c>
      <c r="K1785" s="9">
        <f t="shared" si="192"/>
        <v>0.22999999999999687</v>
      </c>
      <c r="L1785">
        <f t="shared" si="193"/>
        <v>0.22999999999999687</v>
      </c>
      <c r="M1785">
        <f t="shared" si="194"/>
        <v>0.10999999999999943</v>
      </c>
      <c r="N1785">
        <f t="shared" si="195"/>
        <v>5.9999999999995168E-2</v>
      </c>
      <c r="O1785">
        <f t="shared" si="196"/>
        <v>-0.21999999999999886</v>
      </c>
      <c r="P1785" s="10">
        <f t="shared" si="197"/>
        <v>-0.89000000000000057</v>
      </c>
    </row>
    <row r="1786" spans="1:16">
      <c r="A1786">
        <v>293.5</v>
      </c>
      <c r="B1786" s="42">
        <v>37.619999999999997</v>
      </c>
      <c r="C1786">
        <v>50.01</v>
      </c>
      <c r="D1786">
        <v>49.95</v>
      </c>
      <c r="E1786">
        <v>67.62</v>
      </c>
      <c r="F1786">
        <v>59.4</v>
      </c>
      <c r="G1786">
        <v>86.28</v>
      </c>
      <c r="H1786">
        <v>71.95</v>
      </c>
      <c r="K1786" s="9">
        <f t="shared" si="192"/>
        <v>5.0000000000004263E-2</v>
      </c>
      <c r="L1786">
        <f t="shared" si="193"/>
        <v>0.1699999999999946</v>
      </c>
      <c r="M1786">
        <f t="shared" si="194"/>
        <v>0</v>
      </c>
      <c r="N1786">
        <f t="shared" si="195"/>
        <v>0.44000000000000483</v>
      </c>
      <c r="O1786">
        <f t="shared" si="196"/>
        <v>-0.37999999999999545</v>
      </c>
      <c r="P1786" s="10">
        <f t="shared" si="197"/>
        <v>-0.60999999999999943</v>
      </c>
    </row>
    <row r="1787" spans="1:16">
      <c r="A1787">
        <v>293.67</v>
      </c>
      <c r="B1787" s="42">
        <v>37.619999999999997</v>
      </c>
      <c r="C1787">
        <v>50.01</v>
      </c>
      <c r="D1787">
        <v>50.06</v>
      </c>
      <c r="E1787">
        <v>67.62</v>
      </c>
      <c r="F1787">
        <v>59.45</v>
      </c>
      <c r="G1787">
        <v>86.12</v>
      </c>
      <c r="H1787">
        <v>71.510000000000005</v>
      </c>
      <c r="K1787" s="9">
        <f t="shared" si="192"/>
        <v>0</v>
      </c>
      <c r="L1787">
        <f t="shared" si="193"/>
        <v>0</v>
      </c>
      <c r="M1787">
        <f t="shared" si="194"/>
        <v>4.9999999999997158E-2</v>
      </c>
      <c r="N1787">
        <f t="shared" si="195"/>
        <v>0</v>
      </c>
      <c r="O1787">
        <f t="shared" si="196"/>
        <v>-0.17000000000000171</v>
      </c>
      <c r="P1787" s="10">
        <f t="shared" si="197"/>
        <v>-0.39000000000000057</v>
      </c>
    </row>
    <row r="1788" spans="1:16">
      <c r="A1788">
        <v>293.83</v>
      </c>
      <c r="B1788" s="42">
        <v>37.67</v>
      </c>
      <c r="C1788">
        <v>50.01</v>
      </c>
      <c r="D1788">
        <v>50.01</v>
      </c>
      <c r="E1788">
        <v>67.67</v>
      </c>
      <c r="F1788">
        <v>59.51</v>
      </c>
      <c r="G1788">
        <v>86.06</v>
      </c>
      <c r="H1788">
        <v>71.17</v>
      </c>
      <c r="K1788" s="9">
        <f t="shared" si="192"/>
        <v>0</v>
      </c>
      <c r="L1788">
        <f t="shared" si="193"/>
        <v>5.0000000000004263E-2</v>
      </c>
      <c r="M1788">
        <f t="shared" si="194"/>
        <v>-4.9999999999997158E-2</v>
      </c>
      <c r="N1788">
        <f t="shared" si="195"/>
        <v>-0.1699999999999946</v>
      </c>
      <c r="O1788">
        <f t="shared" si="196"/>
        <v>-0.21999999999999886</v>
      </c>
      <c r="P1788" s="10">
        <f t="shared" si="197"/>
        <v>-0.21999999999999886</v>
      </c>
    </row>
    <row r="1789" spans="1:16">
      <c r="A1789">
        <v>294</v>
      </c>
      <c r="B1789" s="42">
        <v>37.67</v>
      </c>
      <c r="C1789">
        <v>50.06</v>
      </c>
      <c r="D1789">
        <v>50.12</v>
      </c>
      <c r="E1789">
        <v>67.62</v>
      </c>
      <c r="F1789">
        <v>59.84</v>
      </c>
      <c r="G1789">
        <v>85.9</v>
      </c>
      <c r="H1789">
        <v>71.34</v>
      </c>
      <c r="K1789" s="9">
        <f t="shared" si="192"/>
        <v>-0.16000000000000369</v>
      </c>
      <c r="L1789">
        <f t="shared" si="193"/>
        <v>-0.10999999999999943</v>
      </c>
      <c r="M1789">
        <f t="shared" si="194"/>
        <v>4.9999999999997158E-2</v>
      </c>
      <c r="N1789">
        <f t="shared" si="195"/>
        <v>-0.5</v>
      </c>
      <c r="O1789">
        <f t="shared" si="196"/>
        <v>-0.12000000000000455</v>
      </c>
      <c r="P1789" s="10">
        <f t="shared" si="197"/>
        <v>-1.1099999999999994</v>
      </c>
    </row>
    <row r="1790" spans="1:16">
      <c r="A1790">
        <v>294.17</v>
      </c>
      <c r="B1790" s="42">
        <v>37.56</v>
      </c>
      <c r="C1790">
        <v>50.01</v>
      </c>
      <c r="D1790">
        <v>50.06</v>
      </c>
      <c r="E1790">
        <v>67.67</v>
      </c>
      <c r="F1790">
        <v>59.45</v>
      </c>
      <c r="G1790">
        <v>85.95</v>
      </c>
      <c r="H1790">
        <v>71.12</v>
      </c>
      <c r="K1790" s="9">
        <f t="shared" si="192"/>
        <v>-0.10999999999999943</v>
      </c>
      <c r="L1790">
        <f t="shared" si="193"/>
        <v>-5.0000000000004263E-2</v>
      </c>
      <c r="M1790">
        <f t="shared" si="194"/>
        <v>0</v>
      </c>
      <c r="N1790">
        <f t="shared" si="195"/>
        <v>-0.10999999999999943</v>
      </c>
      <c r="O1790">
        <f t="shared" si="196"/>
        <v>-0.32999999999999829</v>
      </c>
      <c r="P1790" s="10">
        <f t="shared" si="197"/>
        <v>-0.89000000000000057</v>
      </c>
    </row>
    <row r="1791" spans="1:16">
      <c r="A1791">
        <v>294.33</v>
      </c>
      <c r="B1791" s="42">
        <v>37.840000000000003</v>
      </c>
      <c r="C1791">
        <v>50.01</v>
      </c>
      <c r="D1791">
        <v>50.06</v>
      </c>
      <c r="E1791">
        <v>67.62</v>
      </c>
      <c r="F1791">
        <v>59.34</v>
      </c>
      <c r="G1791">
        <v>85.84</v>
      </c>
      <c r="H1791">
        <v>70.95</v>
      </c>
      <c r="K1791" s="9">
        <f t="shared" si="192"/>
        <v>-0.10999999999999943</v>
      </c>
      <c r="L1791">
        <f t="shared" si="193"/>
        <v>-5.0000000000004263E-2</v>
      </c>
      <c r="M1791">
        <f t="shared" si="194"/>
        <v>0</v>
      </c>
      <c r="N1791">
        <f t="shared" si="195"/>
        <v>0</v>
      </c>
      <c r="O1791">
        <f t="shared" si="196"/>
        <v>-0.32999999999999829</v>
      </c>
      <c r="P1791" s="10">
        <f t="shared" si="197"/>
        <v>-0.5</v>
      </c>
    </row>
    <row r="1792" spans="1:16">
      <c r="A1792">
        <v>294.5</v>
      </c>
      <c r="B1792" s="42">
        <v>37.9</v>
      </c>
      <c r="C1792">
        <v>49.9</v>
      </c>
      <c r="D1792">
        <v>50.01</v>
      </c>
      <c r="E1792">
        <v>67.67</v>
      </c>
      <c r="F1792">
        <v>59.34</v>
      </c>
      <c r="G1792">
        <v>85.78</v>
      </c>
      <c r="H1792">
        <v>70.23</v>
      </c>
      <c r="K1792" s="9">
        <f t="shared" si="192"/>
        <v>5.0000000000004263E-2</v>
      </c>
      <c r="L1792">
        <f t="shared" si="193"/>
        <v>-0.10999999999999943</v>
      </c>
      <c r="M1792">
        <f t="shared" si="194"/>
        <v>-4.9999999999997158E-2</v>
      </c>
      <c r="N1792">
        <f t="shared" si="195"/>
        <v>5.9999999999995168E-2</v>
      </c>
      <c r="O1792">
        <f t="shared" si="196"/>
        <v>-0.32999999999999829</v>
      </c>
      <c r="P1792" s="10">
        <f t="shared" si="197"/>
        <v>0.17000000000000171</v>
      </c>
    </row>
    <row r="1793" spans="1:16">
      <c r="A1793">
        <v>294.67</v>
      </c>
      <c r="B1793" s="42">
        <v>37.729999999999997</v>
      </c>
      <c r="C1793">
        <v>49.9</v>
      </c>
      <c r="D1793">
        <v>50.01</v>
      </c>
      <c r="E1793">
        <v>67.67</v>
      </c>
      <c r="F1793">
        <v>59.34</v>
      </c>
      <c r="G1793">
        <v>85.62</v>
      </c>
      <c r="H1793">
        <v>70.23</v>
      </c>
      <c r="K1793" s="9">
        <f t="shared" si="192"/>
        <v>0</v>
      </c>
      <c r="L1793">
        <f t="shared" si="193"/>
        <v>0</v>
      </c>
      <c r="M1793">
        <f t="shared" si="194"/>
        <v>-4.9999999999997158E-2</v>
      </c>
      <c r="N1793">
        <f t="shared" si="195"/>
        <v>0.1699999999999946</v>
      </c>
      <c r="O1793">
        <f t="shared" si="196"/>
        <v>-0.10999999999999943</v>
      </c>
      <c r="P1793" s="10">
        <f t="shared" si="197"/>
        <v>-0.82999999999999829</v>
      </c>
    </row>
    <row r="1794" spans="1:16">
      <c r="A1794">
        <v>294.83</v>
      </c>
      <c r="B1794" s="42">
        <v>37.729999999999997</v>
      </c>
      <c r="C1794">
        <v>49.9</v>
      </c>
      <c r="D1794">
        <v>50.01</v>
      </c>
      <c r="E1794">
        <v>67.62</v>
      </c>
      <c r="F1794">
        <v>59.34</v>
      </c>
      <c r="G1794">
        <v>85.51</v>
      </c>
      <c r="H1794">
        <v>70.45</v>
      </c>
      <c r="K1794" s="9">
        <f t="shared" si="192"/>
        <v>-0.11999999999999744</v>
      </c>
      <c r="L1794">
        <f t="shared" si="193"/>
        <v>-0.10999999999999943</v>
      </c>
      <c r="M1794">
        <f t="shared" si="194"/>
        <v>-6.0000000000002274E-2</v>
      </c>
      <c r="N1794">
        <f t="shared" si="195"/>
        <v>0.10999999999999943</v>
      </c>
      <c r="O1794">
        <f t="shared" si="196"/>
        <v>-0.10999999999999943</v>
      </c>
      <c r="P1794" s="10">
        <f t="shared" si="197"/>
        <v>-1.9399999999999977</v>
      </c>
    </row>
    <row r="1795" spans="1:16">
      <c r="A1795">
        <v>295</v>
      </c>
      <c r="B1795" s="42">
        <v>37.9</v>
      </c>
      <c r="C1795">
        <v>49.95</v>
      </c>
      <c r="D1795">
        <v>49.9</v>
      </c>
      <c r="E1795">
        <v>67.62</v>
      </c>
      <c r="F1795">
        <v>59.4</v>
      </c>
      <c r="G1795">
        <v>85.45</v>
      </c>
      <c r="H1795">
        <v>70.400000000000006</v>
      </c>
      <c r="K1795" s="9">
        <f t="shared" si="192"/>
        <v>-0.17000000000000171</v>
      </c>
      <c r="L1795">
        <f t="shared" si="193"/>
        <v>-5.9999999999995168E-2</v>
      </c>
      <c r="M1795">
        <f t="shared" si="194"/>
        <v>0</v>
      </c>
      <c r="N1795">
        <f t="shared" si="195"/>
        <v>-0.22999999999999687</v>
      </c>
      <c r="O1795">
        <f t="shared" si="196"/>
        <v>-0.10999999999999943</v>
      </c>
      <c r="P1795" s="10">
        <f t="shared" si="197"/>
        <v>-1.730000000000004</v>
      </c>
    </row>
    <row r="1796" spans="1:16">
      <c r="A1796">
        <v>295.17</v>
      </c>
      <c r="B1796" s="42">
        <v>37.9</v>
      </c>
      <c r="C1796">
        <v>49.9</v>
      </c>
      <c r="D1796">
        <v>50.01</v>
      </c>
      <c r="E1796">
        <v>67.62</v>
      </c>
      <c r="F1796">
        <v>59.51</v>
      </c>
      <c r="G1796">
        <v>85.51</v>
      </c>
      <c r="H1796">
        <v>69.400000000000006</v>
      </c>
      <c r="K1796" s="9">
        <f t="shared" si="192"/>
        <v>-0.11999999999999744</v>
      </c>
      <c r="L1796">
        <f t="shared" si="193"/>
        <v>-0.10999999999999943</v>
      </c>
      <c r="M1796">
        <f t="shared" si="194"/>
        <v>-6.0000000000002274E-2</v>
      </c>
      <c r="N1796">
        <f t="shared" si="195"/>
        <v>-0.55999999999999517</v>
      </c>
      <c r="O1796">
        <f t="shared" si="196"/>
        <v>-0.23000000000000398</v>
      </c>
      <c r="P1796" s="10">
        <f t="shared" si="197"/>
        <v>-0.67000000000000171</v>
      </c>
    </row>
    <row r="1797" spans="1:16">
      <c r="A1797">
        <v>295.33</v>
      </c>
      <c r="B1797" s="42">
        <v>37.840000000000003</v>
      </c>
      <c r="C1797">
        <v>49.78</v>
      </c>
      <c r="D1797">
        <v>49.9</v>
      </c>
      <c r="E1797">
        <v>67.56</v>
      </c>
      <c r="F1797">
        <v>59.45</v>
      </c>
      <c r="G1797">
        <v>85.4</v>
      </c>
      <c r="H1797">
        <v>68.510000000000005</v>
      </c>
      <c r="K1797" s="9">
        <f t="shared" si="192"/>
        <v>0</v>
      </c>
      <c r="L1797">
        <f t="shared" si="193"/>
        <v>-5.9999999999995168E-2</v>
      </c>
      <c r="M1797">
        <f t="shared" si="194"/>
        <v>-4.9999999999997158E-2</v>
      </c>
      <c r="N1797">
        <f t="shared" si="195"/>
        <v>-0.94000000000000483</v>
      </c>
      <c r="O1797">
        <f t="shared" si="196"/>
        <v>-0.17000000000000171</v>
      </c>
      <c r="P1797" s="10">
        <f t="shared" si="197"/>
        <v>0.76999999999999602</v>
      </c>
    </row>
    <row r="1798" spans="1:16">
      <c r="A1798">
        <v>295.5</v>
      </c>
      <c r="B1798" s="42">
        <v>37.78</v>
      </c>
      <c r="C1798">
        <v>49.78</v>
      </c>
      <c r="D1798">
        <v>49.84</v>
      </c>
      <c r="E1798">
        <v>67.62</v>
      </c>
      <c r="F1798">
        <v>59.17</v>
      </c>
      <c r="G1798">
        <v>85.34</v>
      </c>
      <c r="H1798">
        <v>68.67</v>
      </c>
      <c r="K1798" s="9">
        <f t="shared" si="192"/>
        <v>0</v>
      </c>
      <c r="L1798">
        <f t="shared" si="193"/>
        <v>0</v>
      </c>
      <c r="M1798">
        <f t="shared" si="194"/>
        <v>-0.17000000000000171</v>
      </c>
      <c r="N1798">
        <f t="shared" si="195"/>
        <v>-0.77000000000000313</v>
      </c>
      <c r="O1798">
        <f t="shared" si="196"/>
        <v>-0.28000000000000114</v>
      </c>
      <c r="P1798" s="10">
        <f t="shared" si="197"/>
        <v>0.23000000000000398</v>
      </c>
    </row>
    <row r="1799" spans="1:16">
      <c r="A1799">
        <v>295.67</v>
      </c>
      <c r="B1799" s="42">
        <v>37.9</v>
      </c>
      <c r="C1799">
        <v>49.78</v>
      </c>
      <c r="D1799">
        <v>49.9</v>
      </c>
      <c r="E1799">
        <v>67.56</v>
      </c>
      <c r="F1799">
        <v>58.95</v>
      </c>
      <c r="G1799">
        <v>85.28</v>
      </c>
      <c r="H1799">
        <v>68.73</v>
      </c>
      <c r="K1799" s="9">
        <f t="shared" si="192"/>
        <v>0</v>
      </c>
      <c r="L1799">
        <f t="shared" si="193"/>
        <v>-0.11999999999999744</v>
      </c>
      <c r="M1799">
        <f t="shared" si="194"/>
        <v>-0.10999999999999943</v>
      </c>
      <c r="N1799">
        <f t="shared" si="195"/>
        <v>-0.55000000000000426</v>
      </c>
      <c r="O1799">
        <f t="shared" si="196"/>
        <v>-0.26999999999999602</v>
      </c>
      <c r="P1799" s="10">
        <f t="shared" si="197"/>
        <v>-0.5</v>
      </c>
    </row>
    <row r="1800" spans="1:16">
      <c r="A1800">
        <v>295.83</v>
      </c>
      <c r="B1800" s="42">
        <v>37.9</v>
      </c>
      <c r="C1800">
        <v>49.78</v>
      </c>
      <c r="D1800">
        <v>49.84</v>
      </c>
      <c r="E1800">
        <v>67.510000000000005</v>
      </c>
      <c r="F1800">
        <v>58.51</v>
      </c>
      <c r="G1800">
        <v>85.23</v>
      </c>
      <c r="H1800">
        <v>69.28</v>
      </c>
      <c r="K1800" s="9">
        <f t="shared" si="192"/>
        <v>0</v>
      </c>
      <c r="L1800">
        <f t="shared" si="193"/>
        <v>5.9999999999995168E-2</v>
      </c>
      <c r="M1800">
        <f t="shared" si="194"/>
        <v>-6.0000000000002274E-2</v>
      </c>
      <c r="N1800">
        <f t="shared" si="195"/>
        <v>0</v>
      </c>
      <c r="O1800">
        <f t="shared" si="196"/>
        <v>-0.28000000000000114</v>
      </c>
      <c r="P1800" s="10">
        <f t="shared" si="197"/>
        <v>-1.3299999999999983</v>
      </c>
    </row>
    <row r="1801" spans="1:16">
      <c r="A1801">
        <v>296</v>
      </c>
      <c r="B1801" s="42">
        <v>37.9</v>
      </c>
      <c r="C1801">
        <v>49.78</v>
      </c>
      <c r="D1801">
        <v>49.84</v>
      </c>
      <c r="E1801">
        <v>67.45</v>
      </c>
      <c r="F1801">
        <v>58.4</v>
      </c>
      <c r="G1801">
        <v>85.06</v>
      </c>
      <c r="H1801">
        <v>68.900000000000006</v>
      </c>
      <c r="K1801" s="9">
        <f t="shared" si="192"/>
        <v>0</v>
      </c>
      <c r="L1801">
        <f t="shared" si="193"/>
        <v>-6.0000000000002274E-2</v>
      </c>
      <c r="M1801">
        <f t="shared" si="194"/>
        <v>0</v>
      </c>
      <c r="N1801">
        <f t="shared" si="195"/>
        <v>-0.11999999999999744</v>
      </c>
      <c r="O1801">
        <f t="shared" si="196"/>
        <v>-0.10999999999999943</v>
      </c>
      <c r="P1801" s="10">
        <f t="shared" si="197"/>
        <v>-0.39000000000000057</v>
      </c>
    </row>
    <row r="1802" spans="1:16">
      <c r="A1802">
        <v>296.17</v>
      </c>
      <c r="B1802" s="42">
        <v>37.9</v>
      </c>
      <c r="C1802">
        <v>49.78</v>
      </c>
      <c r="D1802">
        <v>49.78</v>
      </c>
      <c r="E1802">
        <v>67.45</v>
      </c>
      <c r="F1802">
        <v>58.4</v>
      </c>
      <c r="G1802">
        <v>85.01</v>
      </c>
      <c r="H1802">
        <v>68.23</v>
      </c>
      <c r="K1802" s="9">
        <f t="shared" si="192"/>
        <v>0</v>
      </c>
      <c r="L1802">
        <f t="shared" si="193"/>
        <v>0</v>
      </c>
      <c r="M1802">
        <f t="shared" si="194"/>
        <v>-4.9999999999997158E-2</v>
      </c>
      <c r="N1802">
        <f t="shared" si="195"/>
        <v>-0.72999999999999687</v>
      </c>
      <c r="O1802">
        <f t="shared" si="196"/>
        <v>-0.23000000000000398</v>
      </c>
      <c r="P1802" s="10">
        <f t="shared" si="197"/>
        <v>0</v>
      </c>
    </row>
    <row r="1803" spans="1:16">
      <c r="A1803">
        <v>296.33</v>
      </c>
      <c r="B1803" s="42">
        <v>37.9</v>
      </c>
      <c r="C1803">
        <v>49.78</v>
      </c>
      <c r="D1803">
        <v>49.9</v>
      </c>
      <c r="E1803">
        <v>67.45</v>
      </c>
      <c r="F1803">
        <v>58.51</v>
      </c>
      <c r="G1803">
        <v>84.95</v>
      </c>
      <c r="H1803">
        <v>67.95</v>
      </c>
      <c r="K1803" s="9">
        <f t="shared" si="192"/>
        <v>0.11999999999999744</v>
      </c>
      <c r="L1803">
        <f t="shared" si="193"/>
        <v>0</v>
      </c>
      <c r="M1803">
        <f t="shared" si="194"/>
        <v>0.10999999999999943</v>
      </c>
      <c r="N1803">
        <f t="shared" si="195"/>
        <v>-0.44999999999999574</v>
      </c>
      <c r="O1803">
        <f t="shared" si="196"/>
        <v>-4.9999999999997158E-2</v>
      </c>
      <c r="P1803" s="10">
        <f t="shared" si="197"/>
        <v>0.78000000000000114</v>
      </c>
    </row>
    <row r="1804" spans="1:16">
      <c r="A1804">
        <v>296.5</v>
      </c>
      <c r="B1804" s="42">
        <v>37.9</v>
      </c>
      <c r="C1804">
        <v>49.78</v>
      </c>
      <c r="D1804">
        <v>49.78</v>
      </c>
      <c r="E1804">
        <v>67.45</v>
      </c>
      <c r="F1804">
        <v>58.28</v>
      </c>
      <c r="G1804">
        <v>84.95</v>
      </c>
      <c r="H1804">
        <v>68.510000000000005</v>
      </c>
      <c r="K1804" s="9">
        <f t="shared" si="192"/>
        <v>0</v>
      </c>
      <c r="L1804">
        <f t="shared" si="193"/>
        <v>0.11999999999999744</v>
      </c>
      <c r="M1804">
        <f t="shared" si="194"/>
        <v>-4.9999999999997158E-2</v>
      </c>
      <c r="N1804">
        <f t="shared" si="195"/>
        <v>-0.43999999999999773</v>
      </c>
      <c r="O1804">
        <f t="shared" si="196"/>
        <v>-0.21999999999999886</v>
      </c>
      <c r="P1804" s="10">
        <f t="shared" si="197"/>
        <v>0.60999999999999943</v>
      </c>
    </row>
    <row r="1805" spans="1:16">
      <c r="A1805">
        <v>296.67</v>
      </c>
      <c r="B1805" s="42">
        <v>37.729999999999997</v>
      </c>
      <c r="C1805">
        <v>49.78</v>
      </c>
      <c r="D1805">
        <v>49.78</v>
      </c>
      <c r="E1805">
        <v>67.400000000000006</v>
      </c>
      <c r="F1805">
        <v>57.67</v>
      </c>
      <c r="G1805">
        <v>84.78</v>
      </c>
      <c r="H1805">
        <v>68.23</v>
      </c>
      <c r="K1805" s="9">
        <f t="shared" si="192"/>
        <v>0.17000000000000171</v>
      </c>
      <c r="L1805">
        <f t="shared" si="193"/>
        <v>0.22999999999999687</v>
      </c>
      <c r="M1805">
        <f t="shared" si="194"/>
        <v>4.9999999999997158E-2</v>
      </c>
      <c r="N1805">
        <f t="shared" si="195"/>
        <v>0.28000000000000114</v>
      </c>
      <c r="O1805">
        <f t="shared" si="196"/>
        <v>-4.9999999999997158E-2</v>
      </c>
      <c r="P1805" s="10">
        <f t="shared" si="197"/>
        <v>1.0499999999999972</v>
      </c>
    </row>
    <row r="1806" spans="1:16">
      <c r="A1806">
        <v>296.83</v>
      </c>
      <c r="B1806" s="42">
        <v>38.01</v>
      </c>
      <c r="C1806">
        <v>49.9</v>
      </c>
      <c r="D1806">
        <v>49.9</v>
      </c>
      <c r="E1806">
        <v>67.56</v>
      </c>
      <c r="F1806">
        <v>58.06</v>
      </c>
      <c r="G1806">
        <v>84.9</v>
      </c>
      <c r="H1806">
        <v>68.73</v>
      </c>
      <c r="K1806" s="9">
        <f t="shared" si="192"/>
        <v>5.0000000000004263E-2</v>
      </c>
      <c r="L1806">
        <f t="shared" si="193"/>
        <v>0.16000000000000369</v>
      </c>
      <c r="M1806">
        <f t="shared" si="194"/>
        <v>-0.10999999999999943</v>
      </c>
      <c r="N1806">
        <f t="shared" si="195"/>
        <v>-0.28000000000000114</v>
      </c>
      <c r="O1806">
        <f t="shared" si="196"/>
        <v>-0.34000000000000341</v>
      </c>
      <c r="P1806" s="10">
        <f t="shared" si="197"/>
        <v>1.1099999999999994</v>
      </c>
    </row>
    <row r="1807" spans="1:16">
      <c r="A1807">
        <v>297</v>
      </c>
      <c r="B1807" s="42">
        <v>37.9</v>
      </c>
      <c r="C1807">
        <v>49.78</v>
      </c>
      <c r="D1807">
        <v>49.9</v>
      </c>
      <c r="E1807">
        <v>67.400000000000006</v>
      </c>
      <c r="F1807">
        <v>57.84</v>
      </c>
      <c r="G1807">
        <v>84.73</v>
      </c>
      <c r="H1807">
        <v>69.12</v>
      </c>
      <c r="K1807" s="9">
        <f t="shared" si="192"/>
        <v>0.28000000000000114</v>
      </c>
      <c r="L1807">
        <f t="shared" si="193"/>
        <v>0.21999999999999886</v>
      </c>
      <c r="M1807">
        <f t="shared" si="194"/>
        <v>4.9999999999997158E-2</v>
      </c>
      <c r="N1807">
        <f t="shared" si="195"/>
        <v>-6.0000000000002274E-2</v>
      </c>
      <c r="O1807">
        <f t="shared" si="196"/>
        <v>-0.10999999999999943</v>
      </c>
      <c r="P1807" s="10">
        <f t="shared" si="197"/>
        <v>-0.21999999999999886</v>
      </c>
    </row>
    <row r="1808" spans="1:16">
      <c r="A1808">
        <v>297.17</v>
      </c>
      <c r="B1808" s="42">
        <v>38.06</v>
      </c>
      <c r="C1808">
        <v>49.95</v>
      </c>
      <c r="D1808">
        <v>50.01</v>
      </c>
      <c r="E1808">
        <v>67.45</v>
      </c>
      <c r="F1808">
        <v>57.95</v>
      </c>
      <c r="G1808">
        <v>84.73</v>
      </c>
      <c r="H1808">
        <v>69.28</v>
      </c>
      <c r="K1808" s="9">
        <f t="shared" si="192"/>
        <v>5.9999999999995168E-2</v>
      </c>
      <c r="L1808">
        <f t="shared" si="193"/>
        <v>5.0000000000004263E-2</v>
      </c>
      <c r="M1808">
        <f t="shared" si="194"/>
        <v>0</v>
      </c>
      <c r="N1808">
        <f t="shared" si="195"/>
        <v>0.27999999999999403</v>
      </c>
      <c r="O1808">
        <f t="shared" si="196"/>
        <v>-0.28000000000000114</v>
      </c>
      <c r="P1808" s="10">
        <f t="shared" si="197"/>
        <v>-0.87999999999999545</v>
      </c>
    </row>
    <row r="1809" spans="1:16">
      <c r="A1809">
        <v>297.33</v>
      </c>
      <c r="B1809" s="42">
        <v>38.01</v>
      </c>
      <c r="C1809">
        <v>49.95</v>
      </c>
      <c r="D1809">
        <v>50.06</v>
      </c>
      <c r="E1809">
        <v>67.45</v>
      </c>
      <c r="F1809">
        <v>57.78</v>
      </c>
      <c r="G1809">
        <v>84.56</v>
      </c>
      <c r="H1809">
        <v>69.84</v>
      </c>
      <c r="K1809" s="9">
        <f t="shared" si="192"/>
        <v>5.9999999999995168E-2</v>
      </c>
      <c r="L1809">
        <f t="shared" si="193"/>
        <v>5.9999999999995168E-2</v>
      </c>
      <c r="M1809">
        <f t="shared" si="194"/>
        <v>0</v>
      </c>
      <c r="N1809">
        <f t="shared" si="195"/>
        <v>0.61999999999999744</v>
      </c>
      <c r="O1809">
        <f t="shared" si="196"/>
        <v>-0.15999999999999659</v>
      </c>
      <c r="P1809" s="10">
        <f t="shared" si="197"/>
        <v>-1.8900000000000006</v>
      </c>
    </row>
    <row r="1810" spans="1:16">
      <c r="A1810">
        <v>297.5</v>
      </c>
      <c r="B1810" s="42">
        <v>38.06</v>
      </c>
      <c r="C1810">
        <v>50.06</v>
      </c>
      <c r="D1810">
        <v>50.12</v>
      </c>
      <c r="E1810">
        <v>67.45</v>
      </c>
      <c r="F1810">
        <v>57.78</v>
      </c>
      <c r="G1810">
        <v>84.62</v>
      </c>
      <c r="H1810">
        <v>68.900000000000006</v>
      </c>
      <c r="K1810" s="9">
        <f t="shared" si="192"/>
        <v>-5.0000000000004263E-2</v>
      </c>
      <c r="L1810">
        <f t="shared" si="193"/>
        <v>0</v>
      </c>
      <c r="M1810">
        <f t="shared" si="194"/>
        <v>-4.9999999999997158E-2</v>
      </c>
      <c r="N1810">
        <f t="shared" si="195"/>
        <v>0.39000000000000057</v>
      </c>
      <c r="O1810">
        <f t="shared" si="196"/>
        <v>-0.28000000000000114</v>
      </c>
      <c r="P1810" s="10">
        <f t="shared" si="197"/>
        <v>-1.1700000000000017</v>
      </c>
    </row>
    <row r="1811" spans="1:16">
      <c r="A1811">
        <v>297.67</v>
      </c>
      <c r="B1811" s="42">
        <v>38.01</v>
      </c>
      <c r="C1811">
        <v>50.01</v>
      </c>
      <c r="D1811">
        <v>50.06</v>
      </c>
      <c r="E1811">
        <v>67.45</v>
      </c>
      <c r="F1811">
        <v>58.23</v>
      </c>
      <c r="G1811">
        <v>84.45</v>
      </c>
      <c r="H1811">
        <v>68.400000000000006</v>
      </c>
      <c r="K1811" s="9">
        <f t="shared" si="192"/>
        <v>5.0000000000004263E-2</v>
      </c>
      <c r="L1811">
        <f t="shared" si="193"/>
        <v>0.10999999999999943</v>
      </c>
      <c r="M1811">
        <f t="shared" si="194"/>
        <v>-0.10999999999999943</v>
      </c>
      <c r="N1811">
        <f t="shared" si="195"/>
        <v>-5.9999999999995168E-2</v>
      </c>
      <c r="O1811">
        <f t="shared" si="196"/>
        <v>-0.21999999999999886</v>
      </c>
      <c r="P1811" s="10">
        <f t="shared" si="197"/>
        <v>-1.3400000000000034</v>
      </c>
    </row>
    <row r="1812" spans="1:16">
      <c r="A1812">
        <v>297.83</v>
      </c>
      <c r="B1812" s="42">
        <v>38.119999999999997</v>
      </c>
      <c r="C1812">
        <v>50.01</v>
      </c>
      <c r="D1812">
        <v>50.12</v>
      </c>
      <c r="E1812">
        <v>67.45</v>
      </c>
      <c r="F1812">
        <v>58.4</v>
      </c>
      <c r="G1812">
        <v>84.4</v>
      </c>
      <c r="H1812">
        <v>67.95</v>
      </c>
      <c r="K1812" s="9">
        <f t="shared" si="192"/>
        <v>0.10999999999999943</v>
      </c>
      <c r="L1812">
        <f t="shared" si="193"/>
        <v>0</v>
      </c>
      <c r="M1812">
        <f t="shared" si="194"/>
        <v>-4.9999999999997158E-2</v>
      </c>
      <c r="N1812">
        <f t="shared" si="195"/>
        <v>0</v>
      </c>
      <c r="O1812">
        <f t="shared" si="196"/>
        <v>-0.23000000000000398</v>
      </c>
      <c r="P1812" s="10">
        <f t="shared" si="197"/>
        <v>-0.54999999999999716</v>
      </c>
    </row>
    <row r="1813" spans="1:16">
      <c r="A1813">
        <v>298</v>
      </c>
      <c r="B1813" s="42">
        <v>37.950000000000003</v>
      </c>
      <c r="C1813">
        <v>50.01</v>
      </c>
      <c r="D1813">
        <v>50.12</v>
      </c>
      <c r="E1813">
        <v>67.400000000000006</v>
      </c>
      <c r="F1813">
        <v>58.17</v>
      </c>
      <c r="G1813">
        <v>84.34</v>
      </c>
      <c r="H1813">
        <v>67.73</v>
      </c>
      <c r="K1813" s="9">
        <f t="shared" si="192"/>
        <v>0</v>
      </c>
      <c r="L1813">
        <f t="shared" si="193"/>
        <v>0</v>
      </c>
      <c r="M1813">
        <f t="shared" si="194"/>
        <v>0</v>
      </c>
      <c r="N1813">
        <f t="shared" si="195"/>
        <v>0.33999999999999631</v>
      </c>
      <c r="O1813">
        <f t="shared" si="196"/>
        <v>-0.17000000000000171</v>
      </c>
      <c r="P1813" s="10">
        <f t="shared" si="197"/>
        <v>4.9999999999997158E-2</v>
      </c>
    </row>
    <row r="1814" spans="1:16">
      <c r="A1814">
        <v>298.17</v>
      </c>
      <c r="B1814" s="42">
        <v>38.06</v>
      </c>
      <c r="C1814">
        <v>50.06</v>
      </c>
      <c r="D1814">
        <v>50.17</v>
      </c>
      <c r="E1814">
        <v>67.34</v>
      </c>
      <c r="F1814">
        <v>58.17</v>
      </c>
      <c r="G1814">
        <v>84.23</v>
      </c>
      <c r="H1814">
        <v>67.06</v>
      </c>
      <c r="K1814" s="9">
        <f t="shared" si="192"/>
        <v>-0.16000000000000369</v>
      </c>
      <c r="L1814">
        <f t="shared" si="193"/>
        <v>-0.21999999999999886</v>
      </c>
      <c r="M1814">
        <f t="shared" si="194"/>
        <v>0</v>
      </c>
      <c r="N1814">
        <f t="shared" si="195"/>
        <v>0.22999999999999687</v>
      </c>
      <c r="O1814">
        <f t="shared" si="196"/>
        <v>-0.21999999999999886</v>
      </c>
      <c r="P1814" s="10">
        <f t="shared" si="197"/>
        <v>0.89000000000000057</v>
      </c>
    </row>
    <row r="1815" spans="1:16">
      <c r="A1815">
        <v>298.33</v>
      </c>
      <c r="B1815" s="42">
        <v>38.17</v>
      </c>
      <c r="C1815">
        <v>50.12</v>
      </c>
      <c r="D1815">
        <v>50.12</v>
      </c>
      <c r="E1815">
        <v>67.400000000000006</v>
      </c>
      <c r="F1815">
        <v>58.4</v>
      </c>
      <c r="G1815">
        <v>84.17</v>
      </c>
      <c r="H1815">
        <v>67.400000000000006</v>
      </c>
      <c r="K1815" s="9">
        <f t="shared" si="192"/>
        <v>-0.27999999999999403</v>
      </c>
      <c r="L1815">
        <f t="shared" si="193"/>
        <v>-0.1699999999999946</v>
      </c>
      <c r="M1815">
        <f t="shared" si="194"/>
        <v>-0.12000000000000455</v>
      </c>
      <c r="N1815">
        <f t="shared" si="195"/>
        <v>-0.22999999999999687</v>
      </c>
      <c r="O1815">
        <f t="shared" si="196"/>
        <v>-0.15999999999999659</v>
      </c>
      <c r="P1815" s="10">
        <f t="shared" si="197"/>
        <v>1.1099999999999994</v>
      </c>
    </row>
    <row r="1816" spans="1:16">
      <c r="A1816">
        <v>298.5</v>
      </c>
      <c r="B1816" s="42">
        <v>38.06</v>
      </c>
      <c r="C1816">
        <v>50.01</v>
      </c>
      <c r="D1816">
        <v>50.12</v>
      </c>
      <c r="E1816">
        <v>67.400000000000006</v>
      </c>
      <c r="F1816">
        <v>58.51</v>
      </c>
      <c r="G1816">
        <v>84.17</v>
      </c>
      <c r="H1816">
        <v>67.78</v>
      </c>
      <c r="K1816" s="9">
        <f t="shared" si="192"/>
        <v>-0.10999999999999943</v>
      </c>
      <c r="L1816">
        <f t="shared" si="193"/>
        <v>-0.10999999999999943</v>
      </c>
      <c r="M1816">
        <f t="shared" si="194"/>
        <v>-0.12000000000000455</v>
      </c>
      <c r="N1816">
        <f t="shared" si="195"/>
        <v>-0.44999999999999574</v>
      </c>
      <c r="O1816">
        <f t="shared" si="196"/>
        <v>-0.15999999999999659</v>
      </c>
      <c r="P1816" s="10">
        <f t="shared" si="197"/>
        <v>0.73000000000000398</v>
      </c>
    </row>
    <row r="1817" spans="1:16">
      <c r="A1817">
        <v>298.67</v>
      </c>
      <c r="B1817" s="42">
        <v>37.950000000000003</v>
      </c>
      <c r="C1817">
        <v>49.9</v>
      </c>
      <c r="D1817">
        <v>49.95</v>
      </c>
      <c r="E1817">
        <v>67.34</v>
      </c>
      <c r="F1817">
        <v>58.4</v>
      </c>
      <c r="G1817">
        <v>84.01</v>
      </c>
      <c r="H1817">
        <v>67.95</v>
      </c>
      <c r="K1817" s="9">
        <f t="shared" ref="K1817:K1880" si="198">C1820-C1817</f>
        <v>0</v>
      </c>
      <c r="L1817">
        <f t="shared" ref="L1817:L1880" si="199">D1820-D1817</f>
        <v>-5.0000000000004263E-2</v>
      </c>
      <c r="M1817">
        <f t="shared" ref="M1817:M1880" si="200">E1820-E1817</f>
        <v>-0.10999999999999943</v>
      </c>
      <c r="N1817">
        <f t="shared" ref="N1817:N1880" si="201">F1820-F1817</f>
        <v>-0.44999999999999574</v>
      </c>
      <c r="O1817">
        <f t="shared" ref="O1817:O1880" si="202">G1820-G1817</f>
        <v>0</v>
      </c>
      <c r="P1817" s="10">
        <f t="shared" ref="P1817:P1880" si="203">H1820-H1817</f>
        <v>0.17000000000000171</v>
      </c>
    </row>
    <row r="1818" spans="1:16">
      <c r="A1818">
        <v>298.83</v>
      </c>
      <c r="B1818" s="42">
        <v>37.950000000000003</v>
      </c>
      <c r="C1818">
        <v>49.84</v>
      </c>
      <c r="D1818">
        <v>49.95</v>
      </c>
      <c r="E1818">
        <v>67.28</v>
      </c>
      <c r="F1818">
        <v>58.17</v>
      </c>
      <c r="G1818">
        <v>84.01</v>
      </c>
      <c r="H1818">
        <v>68.510000000000005</v>
      </c>
      <c r="K1818" s="9">
        <f t="shared" si="198"/>
        <v>0.1699999999999946</v>
      </c>
      <c r="L1818">
        <f t="shared" si="199"/>
        <v>-5.0000000000004263E-2</v>
      </c>
      <c r="M1818">
        <f t="shared" si="200"/>
        <v>-4.9999999999997158E-2</v>
      </c>
      <c r="N1818">
        <f t="shared" si="201"/>
        <v>-0.32999999999999829</v>
      </c>
      <c r="O1818">
        <f t="shared" si="202"/>
        <v>-0.17000000000000171</v>
      </c>
      <c r="P1818" s="10">
        <f t="shared" si="203"/>
        <v>-0.89000000000000057</v>
      </c>
    </row>
    <row r="1819" spans="1:16">
      <c r="A1819">
        <v>299</v>
      </c>
      <c r="B1819" s="42">
        <v>38.01</v>
      </c>
      <c r="C1819">
        <v>49.9</v>
      </c>
      <c r="D1819">
        <v>50.01</v>
      </c>
      <c r="E1819">
        <v>67.28</v>
      </c>
      <c r="F1819">
        <v>58.06</v>
      </c>
      <c r="G1819">
        <v>84.01</v>
      </c>
      <c r="H1819">
        <v>68.510000000000005</v>
      </c>
      <c r="K1819" s="9">
        <f t="shared" si="198"/>
        <v>0.10999999999999943</v>
      </c>
      <c r="L1819">
        <f t="shared" si="199"/>
        <v>5.0000000000004263E-2</v>
      </c>
      <c r="M1819">
        <f t="shared" si="200"/>
        <v>-4.9999999999997158E-2</v>
      </c>
      <c r="N1819">
        <f t="shared" si="201"/>
        <v>-0.21999999999999886</v>
      </c>
      <c r="O1819">
        <f t="shared" si="202"/>
        <v>-0.17000000000000171</v>
      </c>
      <c r="P1819" s="10">
        <f t="shared" si="203"/>
        <v>-1.2800000000000011</v>
      </c>
    </row>
    <row r="1820" spans="1:16">
      <c r="A1820">
        <v>299.17</v>
      </c>
      <c r="B1820" s="42">
        <v>37.9</v>
      </c>
      <c r="C1820">
        <v>49.9</v>
      </c>
      <c r="D1820">
        <v>49.9</v>
      </c>
      <c r="E1820">
        <v>67.23</v>
      </c>
      <c r="F1820">
        <v>57.95</v>
      </c>
      <c r="G1820">
        <v>84.01</v>
      </c>
      <c r="H1820">
        <v>68.12</v>
      </c>
      <c r="K1820" s="9">
        <f t="shared" si="198"/>
        <v>0.10999999999999943</v>
      </c>
      <c r="L1820">
        <f t="shared" si="199"/>
        <v>0.10999999999999943</v>
      </c>
      <c r="M1820">
        <f t="shared" si="200"/>
        <v>0</v>
      </c>
      <c r="N1820">
        <f t="shared" si="201"/>
        <v>-0.17000000000000171</v>
      </c>
      <c r="O1820">
        <f t="shared" si="202"/>
        <v>-0.28000000000000114</v>
      </c>
      <c r="P1820" s="10">
        <f t="shared" si="203"/>
        <v>-0.89000000000000057</v>
      </c>
    </row>
    <row r="1821" spans="1:16">
      <c r="A1821">
        <v>299.33</v>
      </c>
      <c r="B1821" s="42">
        <v>37.9</v>
      </c>
      <c r="C1821">
        <v>50.01</v>
      </c>
      <c r="D1821">
        <v>49.9</v>
      </c>
      <c r="E1821">
        <v>67.23</v>
      </c>
      <c r="F1821">
        <v>57.84</v>
      </c>
      <c r="G1821">
        <v>83.84</v>
      </c>
      <c r="H1821">
        <v>67.62</v>
      </c>
      <c r="K1821" s="9">
        <f t="shared" si="198"/>
        <v>0</v>
      </c>
      <c r="L1821">
        <f t="shared" si="199"/>
        <v>0.10999999999999943</v>
      </c>
      <c r="M1821">
        <f t="shared" si="200"/>
        <v>0</v>
      </c>
      <c r="N1821">
        <f t="shared" si="201"/>
        <v>0</v>
      </c>
      <c r="O1821">
        <f t="shared" si="202"/>
        <v>-0.21999999999999886</v>
      </c>
      <c r="P1821" s="10">
        <f t="shared" si="203"/>
        <v>-0.17000000000000171</v>
      </c>
    </row>
    <row r="1822" spans="1:16">
      <c r="A1822">
        <v>299.5</v>
      </c>
      <c r="B1822" s="42">
        <v>38.01</v>
      </c>
      <c r="C1822">
        <v>50.01</v>
      </c>
      <c r="D1822">
        <v>50.06</v>
      </c>
      <c r="E1822">
        <v>67.23</v>
      </c>
      <c r="F1822">
        <v>57.84</v>
      </c>
      <c r="G1822">
        <v>83.84</v>
      </c>
      <c r="H1822">
        <v>67.23</v>
      </c>
      <c r="K1822" s="9">
        <f t="shared" si="198"/>
        <v>-0.10999999999999943</v>
      </c>
      <c r="L1822">
        <f t="shared" si="199"/>
        <v>-5.0000000000004263E-2</v>
      </c>
      <c r="M1822">
        <f t="shared" si="200"/>
        <v>0</v>
      </c>
      <c r="N1822">
        <f t="shared" si="201"/>
        <v>0.21999999999999886</v>
      </c>
      <c r="O1822">
        <f t="shared" si="202"/>
        <v>-0.28000000000000114</v>
      </c>
      <c r="P1822" s="10">
        <f t="shared" si="203"/>
        <v>-0.32999999999999829</v>
      </c>
    </row>
    <row r="1823" spans="1:16">
      <c r="A1823">
        <v>299.67</v>
      </c>
      <c r="B1823" s="42">
        <v>37.9</v>
      </c>
      <c r="C1823">
        <v>50.01</v>
      </c>
      <c r="D1823">
        <v>50.01</v>
      </c>
      <c r="E1823">
        <v>67.23</v>
      </c>
      <c r="F1823">
        <v>57.78</v>
      </c>
      <c r="G1823">
        <v>83.73</v>
      </c>
      <c r="H1823">
        <v>67.23</v>
      </c>
      <c r="K1823" s="9">
        <f t="shared" si="198"/>
        <v>-0.1699999999999946</v>
      </c>
      <c r="L1823">
        <f t="shared" si="199"/>
        <v>-0.10999999999999943</v>
      </c>
      <c r="M1823">
        <f t="shared" si="200"/>
        <v>0</v>
      </c>
      <c r="N1823">
        <f t="shared" si="201"/>
        <v>0</v>
      </c>
      <c r="O1823">
        <f t="shared" si="202"/>
        <v>-0.28000000000000114</v>
      </c>
      <c r="P1823" s="10">
        <f t="shared" si="203"/>
        <v>-0.67000000000000171</v>
      </c>
    </row>
    <row r="1824" spans="1:16">
      <c r="A1824">
        <v>299.83</v>
      </c>
      <c r="B1824" s="42">
        <v>37.9</v>
      </c>
      <c r="C1824">
        <v>50.01</v>
      </c>
      <c r="D1824">
        <v>50.01</v>
      </c>
      <c r="E1824">
        <v>67.23</v>
      </c>
      <c r="F1824">
        <v>57.84</v>
      </c>
      <c r="G1824">
        <v>83.62</v>
      </c>
      <c r="H1824">
        <v>67.45</v>
      </c>
      <c r="K1824" s="9">
        <f t="shared" si="198"/>
        <v>-0.1699999999999946</v>
      </c>
      <c r="L1824">
        <f t="shared" si="199"/>
        <v>-0.10999999999999943</v>
      </c>
      <c r="M1824">
        <f t="shared" si="200"/>
        <v>0</v>
      </c>
      <c r="N1824">
        <f t="shared" si="201"/>
        <v>-0.17000000000000171</v>
      </c>
      <c r="O1824">
        <f t="shared" si="202"/>
        <v>-0.10999999999999943</v>
      </c>
      <c r="P1824" s="10">
        <f t="shared" si="203"/>
        <v>-1.1099999999999994</v>
      </c>
    </row>
    <row r="1825" spans="1:16">
      <c r="A1825">
        <v>300</v>
      </c>
      <c r="B1825" s="42">
        <v>37.78</v>
      </c>
      <c r="C1825">
        <v>49.9</v>
      </c>
      <c r="D1825">
        <v>50.01</v>
      </c>
      <c r="E1825">
        <v>67.23</v>
      </c>
      <c r="F1825">
        <v>58.06</v>
      </c>
      <c r="G1825">
        <v>83.56</v>
      </c>
      <c r="H1825">
        <v>66.900000000000006</v>
      </c>
      <c r="K1825" s="9">
        <f t="shared" si="198"/>
        <v>-5.9999999999995168E-2</v>
      </c>
      <c r="L1825">
        <f t="shared" si="199"/>
        <v>-0.22999999999999687</v>
      </c>
      <c r="M1825">
        <f t="shared" si="200"/>
        <v>0</v>
      </c>
      <c r="N1825">
        <f t="shared" si="201"/>
        <v>-0.39000000000000057</v>
      </c>
      <c r="O1825">
        <f t="shared" si="202"/>
        <v>-4.9999999999997158E-2</v>
      </c>
      <c r="P1825" s="10">
        <f t="shared" si="203"/>
        <v>-0.56000000000000227</v>
      </c>
    </row>
    <row r="1826" spans="1:16">
      <c r="A1826">
        <v>300.17</v>
      </c>
      <c r="B1826" s="42">
        <v>37.67</v>
      </c>
      <c r="C1826">
        <v>49.84</v>
      </c>
      <c r="D1826">
        <v>49.9</v>
      </c>
      <c r="E1826">
        <v>67.23</v>
      </c>
      <c r="F1826">
        <v>57.78</v>
      </c>
      <c r="G1826">
        <v>83.45</v>
      </c>
      <c r="H1826">
        <v>66.56</v>
      </c>
      <c r="K1826" s="9">
        <f t="shared" si="198"/>
        <v>0</v>
      </c>
      <c r="L1826">
        <f t="shared" si="199"/>
        <v>-0.11999999999999744</v>
      </c>
      <c r="M1826">
        <f t="shared" si="200"/>
        <v>-0.10999999999999943</v>
      </c>
      <c r="N1826">
        <f t="shared" si="201"/>
        <v>-0.10999999999999943</v>
      </c>
      <c r="O1826">
        <f t="shared" si="202"/>
        <v>-0.17000000000000171</v>
      </c>
      <c r="P1826" s="10">
        <f t="shared" si="203"/>
        <v>-1.1099999999999994</v>
      </c>
    </row>
    <row r="1827" spans="1:16">
      <c r="A1827">
        <v>300.33</v>
      </c>
      <c r="B1827" s="42">
        <v>37.67</v>
      </c>
      <c r="C1827">
        <v>49.84</v>
      </c>
      <c r="D1827">
        <v>49.9</v>
      </c>
      <c r="E1827">
        <v>67.23</v>
      </c>
      <c r="F1827">
        <v>57.67</v>
      </c>
      <c r="G1827">
        <v>83.51</v>
      </c>
      <c r="H1827">
        <v>66.34</v>
      </c>
      <c r="K1827" s="9">
        <f t="shared" si="198"/>
        <v>0</v>
      </c>
      <c r="L1827">
        <f t="shared" si="199"/>
        <v>0</v>
      </c>
      <c r="M1827">
        <f t="shared" si="200"/>
        <v>-6.0000000000002274E-2</v>
      </c>
      <c r="N1827">
        <f t="shared" si="201"/>
        <v>-5.0000000000004263E-2</v>
      </c>
      <c r="O1827">
        <f t="shared" si="202"/>
        <v>-0.17000000000000171</v>
      </c>
      <c r="P1827" s="10">
        <f t="shared" si="203"/>
        <v>-0.71999999999999886</v>
      </c>
    </row>
    <row r="1828" spans="1:16">
      <c r="A1828">
        <v>300.5</v>
      </c>
      <c r="B1828" s="42">
        <v>37.78</v>
      </c>
      <c r="C1828">
        <v>49.84</v>
      </c>
      <c r="D1828">
        <v>49.78</v>
      </c>
      <c r="E1828">
        <v>67.23</v>
      </c>
      <c r="F1828">
        <v>57.67</v>
      </c>
      <c r="G1828">
        <v>83.51</v>
      </c>
      <c r="H1828">
        <v>66.34</v>
      </c>
      <c r="K1828" s="9">
        <f t="shared" si="198"/>
        <v>-6.0000000000002274E-2</v>
      </c>
      <c r="L1828">
        <f t="shared" si="199"/>
        <v>0.11999999999999744</v>
      </c>
      <c r="M1828">
        <f t="shared" si="200"/>
        <v>-0.17000000000000171</v>
      </c>
      <c r="N1828">
        <f t="shared" si="201"/>
        <v>-5.0000000000004263E-2</v>
      </c>
      <c r="O1828">
        <f t="shared" si="202"/>
        <v>-0.34000000000000341</v>
      </c>
      <c r="P1828" s="10">
        <f t="shared" si="203"/>
        <v>-0.56000000000000227</v>
      </c>
    </row>
    <row r="1829" spans="1:16">
      <c r="A1829">
        <v>300.67</v>
      </c>
      <c r="B1829" s="42">
        <v>37.67</v>
      </c>
      <c r="C1829">
        <v>49.84</v>
      </c>
      <c r="D1829">
        <v>49.78</v>
      </c>
      <c r="E1829">
        <v>67.12</v>
      </c>
      <c r="F1829">
        <v>57.67</v>
      </c>
      <c r="G1829">
        <v>83.28</v>
      </c>
      <c r="H1829">
        <v>65.45</v>
      </c>
      <c r="K1829" s="9">
        <f t="shared" si="198"/>
        <v>0.10999999999999943</v>
      </c>
      <c r="L1829">
        <f t="shared" si="199"/>
        <v>0.11999999999999744</v>
      </c>
      <c r="M1829">
        <f t="shared" si="200"/>
        <v>0</v>
      </c>
      <c r="N1829">
        <f t="shared" si="201"/>
        <v>-5.0000000000004263E-2</v>
      </c>
      <c r="O1829">
        <f t="shared" si="202"/>
        <v>-0.21999999999999886</v>
      </c>
      <c r="P1829" s="10">
        <f t="shared" si="203"/>
        <v>1.1099999999999994</v>
      </c>
    </row>
    <row r="1830" spans="1:16">
      <c r="A1830">
        <v>300.83</v>
      </c>
      <c r="B1830" s="42">
        <v>37.67</v>
      </c>
      <c r="C1830">
        <v>49.84</v>
      </c>
      <c r="D1830">
        <v>49.9</v>
      </c>
      <c r="E1830">
        <v>67.17</v>
      </c>
      <c r="F1830">
        <v>57.62</v>
      </c>
      <c r="G1830">
        <v>83.34</v>
      </c>
      <c r="H1830">
        <v>65.62</v>
      </c>
      <c r="K1830" s="9">
        <f t="shared" si="198"/>
        <v>5.9999999999995168E-2</v>
      </c>
      <c r="L1830">
        <f t="shared" si="199"/>
        <v>0</v>
      </c>
      <c r="M1830">
        <f t="shared" si="200"/>
        <v>-4.9999999999997158E-2</v>
      </c>
      <c r="N1830">
        <f t="shared" si="201"/>
        <v>-0.10999999999999943</v>
      </c>
      <c r="O1830">
        <f t="shared" si="202"/>
        <v>-0.39000000000000057</v>
      </c>
      <c r="P1830" s="10">
        <f t="shared" si="203"/>
        <v>1.2199999999999989</v>
      </c>
    </row>
    <row r="1831" spans="1:16">
      <c r="A1831">
        <v>301</v>
      </c>
      <c r="B1831" s="42">
        <v>37.67</v>
      </c>
      <c r="C1831">
        <v>49.78</v>
      </c>
      <c r="D1831">
        <v>49.9</v>
      </c>
      <c r="E1831">
        <v>67.06</v>
      </c>
      <c r="F1831">
        <v>57.62</v>
      </c>
      <c r="G1831">
        <v>83.17</v>
      </c>
      <c r="H1831">
        <v>65.78</v>
      </c>
      <c r="K1831" s="9">
        <f t="shared" si="198"/>
        <v>-5.0000000000004263E-2</v>
      </c>
      <c r="L1831">
        <f t="shared" si="199"/>
        <v>-0.11999999999999744</v>
      </c>
      <c r="M1831">
        <f t="shared" si="200"/>
        <v>0</v>
      </c>
      <c r="N1831">
        <f t="shared" si="201"/>
        <v>-0.55999999999999517</v>
      </c>
      <c r="O1831">
        <f t="shared" si="202"/>
        <v>-0.32999999999999829</v>
      </c>
      <c r="P1831" s="10">
        <f t="shared" si="203"/>
        <v>1.5</v>
      </c>
    </row>
    <row r="1832" spans="1:16">
      <c r="A1832">
        <v>301.17</v>
      </c>
      <c r="B1832" s="42">
        <v>37.840000000000003</v>
      </c>
      <c r="C1832">
        <v>49.95</v>
      </c>
      <c r="D1832">
        <v>49.9</v>
      </c>
      <c r="E1832">
        <v>67.12</v>
      </c>
      <c r="F1832">
        <v>57.62</v>
      </c>
      <c r="G1832">
        <v>83.06</v>
      </c>
      <c r="H1832">
        <v>66.56</v>
      </c>
      <c r="K1832" s="9">
        <f t="shared" si="198"/>
        <v>-0.17000000000000171</v>
      </c>
      <c r="L1832">
        <f t="shared" si="199"/>
        <v>-5.9999999999995168E-2</v>
      </c>
      <c r="M1832">
        <f t="shared" si="200"/>
        <v>-6.0000000000002274E-2</v>
      </c>
      <c r="N1832">
        <f t="shared" si="201"/>
        <v>-0.21999999999999886</v>
      </c>
      <c r="O1832">
        <f t="shared" si="202"/>
        <v>-0.28000000000000114</v>
      </c>
      <c r="P1832" s="10">
        <f t="shared" si="203"/>
        <v>1</v>
      </c>
    </row>
    <row r="1833" spans="1:16">
      <c r="A1833">
        <v>301.33</v>
      </c>
      <c r="B1833" s="42">
        <v>37.840000000000003</v>
      </c>
      <c r="C1833">
        <v>49.9</v>
      </c>
      <c r="D1833">
        <v>49.9</v>
      </c>
      <c r="E1833">
        <v>67.12</v>
      </c>
      <c r="F1833">
        <v>57.51</v>
      </c>
      <c r="G1833">
        <v>82.95</v>
      </c>
      <c r="H1833">
        <v>66.84</v>
      </c>
      <c r="K1833" s="9">
        <f t="shared" si="198"/>
        <v>-0.11999999999999744</v>
      </c>
      <c r="L1833">
        <f t="shared" si="199"/>
        <v>0</v>
      </c>
      <c r="M1833">
        <f t="shared" si="200"/>
        <v>-6.0000000000002274E-2</v>
      </c>
      <c r="N1833">
        <f t="shared" si="201"/>
        <v>-0.10999999999999943</v>
      </c>
      <c r="O1833">
        <f t="shared" si="202"/>
        <v>-0.21999999999999886</v>
      </c>
      <c r="P1833" s="10">
        <f t="shared" si="203"/>
        <v>1.0600000000000023</v>
      </c>
    </row>
    <row r="1834" spans="1:16">
      <c r="A1834">
        <v>301.5</v>
      </c>
      <c r="B1834" s="42">
        <v>37.56</v>
      </c>
      <c r="C1834">
        <v>49.73</v>
      </c>
      <c r="D1834">
        <v>49.78</v>
      </c>
      <c r="E1834">
        <v>67.06</v>
      </c>
      <c r="F1834">
        <v>57.06</v>
      </c>
      <c r="G1834">
        <v>82.84</v>
      </c>
      <c r="H1834">
        <v>67.28</v>
      </c>
      <c r="K1834" s="9">
        <f t="shared" si="198"/>
        <v>0.17000000000000171</v>
      </c>
      <c r="L1834">
        <f t="shared" si="199"/>
        <v>0</v>
      </c>
      <c r="M1834">
        <f t="shared" si="200"/>
        <v>0</v>
      </c>
      <c r="N1834">
        <f t="shared" si="201"/>
        <v>5.9999999999995168E-2</v>
      </c>
      <c r="O1834">
        <f t="shared" si="202"/>
        <v>-0.21999999999999886</v>
      </c>
      <c r="P1834" s="10">
        <f t="shared" si="203"/>
        <v>0</v>
      </c>
    </row>
    <row r="1835" spans="1:16">
      <c r="A1835">
        <v>301.67</v>
      </c>
      <c r="B1835" s="42">
        <v>37.67</v>
      </c>
      <c r="C1835">
        <v>49.78</v>
      </c>
      <c r="D1835">
        <v>49.84</v>
      </c>
      <c r="E1835">
        <v>67.06</v>
      </c>
      <c r="F1835">
        <v>57.4</v>
      </c>
      <c r="G1835">
        <v>82.78</v>
      </c>
      <c r="H1835">
        <v>67.56</v>
      </c>
      <c r="K1835" s="9">
        <f t="shared" si="198"/>
        <v>0</v>
      </c>
      <c r="L1835">
        <f t="shared" si="199"/>
        <v>5.9999999999995168E-2</v>
      </c>
      <c r="M1835">
        <f t="shared" si="200"/>
        <v>0</v>
      </c>
      <c r="N1835">
        <f t="shared" si="201"/>
        <v>-0.11999999999999744</v>
      </c>
      <c r="O1835">
        <f t="shared" si="202"/>
        <v>-0.21999999999999886</v>
      </c>
      <c r="P1835" s="10">
        <f t="shared" si="203"/>
        <v>-0.32999999999999829</v>
      </c>
    </row>
    <row r="1836" spans="1:16">
      <c r="A1836">
        <v>301.83</v>
      </c>
      <c r="B1836" s="42">
        <v>37.729999999999997</v>
      </c>
      <c r="C1836">
        <v>49.78</v>
      </c>
      <c r="D1836">
        <v>49.9</v>
      </c>
      <c r="E1836">
        <v>67.06</v>
      </c>
      <c r="F1836">
        <v>57.4</v>
      </c>
      <c r="G1836">
        <v>82.73</v>
      </c>
      <c r="H1836">
        <v>67.900000000000006</v>
      </c>
      <c r="K1836" s="9">
        <f t="shared" si="198"/>
        <v>0</v>
      </c>
      <c r="L1836">
        <f t="shared" si="199"/>
        <v>-0.11999999999999744</v>
      </c>
      <c r="M1836">
        <f t="shared" si="200"/>
        <v>0</v>
      </c>
      <c r="N1836">
        <f t="shared" si="201"/>
        <v>-0.17000000000000171</v>
      </c>
      <c r="O1836">
        <f t="shared" si="202"/>
        <v>-0.10999999999999943</v>
      </c>
      <c r="P1836" s="10">
        <f t="shared" si="203"/>
        <v>-1.5</v>
      </c>
    </row>
    <row r="1837" spans="1:16">
      <c r="A1837">
        <v>302</v>
      </c>
      <c r="B1837" s="42">
        <v>37.67</v>
      </c>
      <c r="C1837">
        <v>49.9</v>
      </c>
      <c r="D1837">
        <v>49.78</v>
      </c>
      <c r="E1837">
        <v>67.06</v>
      </c>
      <c r="F1837">
        <v>57.12</v>
      </c>
      <c r="G1837">
        <v>82.62</v>
      </c>
      <c r="H1837">
        <v>67.28</v>
      </c>
      <c r="K1837" s="9">
        <f t="shared" si="198"/>
        <v>-0.17000000000000171</v>
      </c>
      <c r="L1837">
        <f t="shared" si="199"/>
        <v>-5.0000000000004263E-2</v>
      </c>
      <c r="M1837">
        <f t="shared" si="200"/>
        <v>-0.10999999999999943</v>
      </c>
      <c r="N1837">
        <f t="shared" si="201"/>
        <v>-0.33999999999999631</v>
      </c>
      <c r="O1837">
        <f t="shared" si="202"/>
        <v>-0.10999999999999943</v>
      </c>
      <c r="P1837" s="10">
        <f t="shared" si="203"/>
        <v>-1.1599999999999966</v>
      </c>
    </row>
    <row r="1838" spans="1:16">
      <c r="A1838">
        <v>302.17</v>
      </c>
      <c r="B1838" s="42">
        <v>37.729999999999997</v>
      </c>
      <c r="C1838">
        <v>49.78</v>
      </c>
      <c r="D1838">
        <v>49.9</v>
      </c>
      <c r="E1838">
        <v>67.06</v>
      </c>
      <c r="F1838">
        <v>57.28</v>
      </c>
      <c r="G1838">
        <v>82.56</v>
      </c>
      <c r="H1838">
        <v>67.23</v>
      </c>
      <c r="K1838" s="9">
        <f t="shared" si="198"/>
        <v>-5.0000000000004263E-2</v>
      </c>
      <c r="L1838">
        <f t="shared" si="199"/>
        <v>-0.11999999999999744</v>
      </c>
      <c r="M1838">
        <f t="shared" si="200"/>
        <v>0</v>
      </c>
      <c r="N1838">
        <f t="shared" si="201"/>
        <v>-0.5</v>
      </c>
      <c r="O1838">
        <f t="shared" si="202"/>
        <v>-0.10999999999999943</v>
      </c>
      <c r="P1838" s="10">
        <f t="shared" si="203"/>
        <v>-0.32999999999999829</v>
      </c>
    </row>
    <row r="1839" spans="1:16">
      <c r="A1839">
        <v>302.33</v>
      </c>
      <c r="B1839" s="42">
        <v>37.56</v>
      </c>
      <c r="C1839">
        <v>49.78</v>
      </c>
      <c r="D1839">
        <v>49.78</v>
      </c>
      <c r="E1839">
        <v>67.06</v>
      </c>
      <c r="F1839">
        <v>57.23</v>
      </c>
      <c r="G1839">
        <v>82.62</v>
      </c>
      <c r="H1839">
        <v>66.400000000000006</v>
      </c>
      <c r="K1839" s="9">
        <f t="shared" si="198"/>
        <v>0</v>
      </c>
      <c r="L1839">
        <f t="shared" si="199"/>
        <v>0</v>
      </c>
      <c r="M1839">
        <f t="shared" si="200"/>
        <v>-0.10999999999999943</v>
      </c>
      <c r="N1839">
        <f t="shared" si="201"/>
        <v>-0.5</v>
      </c>
      <c r="O1839">
        <f t="shared" si="202"/>
        <v>-0.17000000000000171</v>
      </c>
      <c r="P1839" s="10">
        <f t="shared" si="203"/>
        <v>0.10999999999999943</v>
      </c>
    </row>
    <row r="1840" spans="1:16">
      <c r="A1840">
        <v>302.5</v>
      </c>
      <c r="B1840" s="42">
        <v>37.51</v>
      </c>
      <c r="C1840">
        <v>49.73</v>
      </c>
      <c r="D1840">
        <v>49.73</v>
      </c>
      <c r="E1840">
        <v>66.95</v>
      </c>
      <c r="F1840">
        <v>56.78</v>
      </c>
      <c r="G1840">
        <v>82.51</v>
      </c>
      <c r="H1840">
        <v>66.12</v>
      </c>
      <c r="K1840" s="9">
        <f t="shared" si="198"/>
        <v>0.17000000000000171</v>
      </c>
      <c r="L1840">
        <f t="shared" si="199"/>
        <v>0.22000000000000597</v>
      </c>
      <c r="M1840">
        <f t="shared" si="200"/>
        <v>0.10999999999999943</v>
      </c>
      <c r="N1840">
        <f t="shared" si="201"/>
        <v>-0.10999999999999943</v>
      </c>
      <c r="O1840">
        <f t="shared" si="202"/>
        <v>-0.17000000000000171</v>
      </c>
      <c r="P1840" s="10">
        <f t="shared" si="203"/>
        <v>0.15999999999999659</v>
      </c>
    </row>
    <row r="1841" spans="1:16">
      <c r="A1841">
        <v>302.67</v>
      </c>
      <c r="B1841" s="42">
        <v>37.56</v>
      </c>
      <c r="C1841">
        <v>49.73</v>
      </c>
      <c r="D1841">
        <v>49.78</v>
      </c>
      <c r="E1841">
        <v>67.06</v>
      </c>
      <c r="F1841">
        <v>56.78</v>
      </c>
      <c r="G1841">
        <v>82.45</v>
      </c>
      <c r="H1841">
        <v>66.900000000000006</v>
      </c>
      <c r="K1841" s="9">
        <f t="shared" si="198"/>
        <v>0.28000000000000114</v>
      </c>
      <c r="L1841">
        <f t="shared" si="199"/>
        <v>0.22999999999999687</v>
      </c>
      <c r="M1841">
        <f t="shared" si="200"/>
        <v>0</v>
      </c>
      <c r="N1841">
        <f t="shared" si="201"/>
        <v>6.0000000000002274E-2</v>
      </c>
      <c r="O1841">
        <f t="shared" si="202"/>
        <v>-0.10999999999999943</v>
      </c>
      <c r="P1841" s="10">
        <f t="shared" si="203"/>
        <v>0.37999999999999545</v>
      </c>
    </row>
    <row r="1842" spans="1:16">
      <c r="A1842">
        <v>302.83</v>
      </c>
      <c r="B1842" s="42">
        <v>37.67</v>
      </c>
      <c r="C1842">
        <v>49.78</v>
      </c>
      <c r="D1842">
        <v>49.78</v>
      </c>
      <c r="E1842">
        <v>66.95</v>
      </c>
      <c r="F1842">
        <v>56.73</v>
      </c>
      <c r="G1842">
        <v>82.45</v>
      </c>
      <c r="H1842">
        <v>66.510000000000005</v>
      </c>
      <c r="K1842" s="9">
        <f t="shared" si="198"/>
        <v>0.22999999999999687</v>
      </c>
      <c r="L1842">
        <f t="shared" si="199"/>
        <v>0.28000000000000114</v>
      </c>
      <c r="M1842">
        <f t="shared" si="200"/>
        <v>6.0000000000002274E-2</v>
      </c>
      <c r="N1842">
        <f t="shared" si="201"/>
        <v>0.11000000000000654</v>
      </c>
      <c r="O1842">
        <f t="shared" si="202"/>
        <v>-0.21999999999999886</v>
      </c>
      <c r="P1842" s="10">
        <f t="shared" si="203"/>
        <v>0.89000000000000057</v>
      </c>
    </row>
    <row r="1843" spans="1:16">
      <c r="A1843">
        <v>303</v>
      </c>
      <c r="B1843" s="42">
        <v>37.67</v>
      </c>
      <c r="C1843">
        <v>49.9</v>
      </c>
      <c r="D1843">
        <v>49.95</v>
      </c>
      <c r="E1843">
        <v>67.06</v>
      </c>
      <c r="F1843">
        <v>56.67</v>
      </c>
      <c r="G1843">
        <v>82.34</v>
      </c>
      <c r="H1843">
        <v>66.28</v>
      </c>
      <c r="K1843" s="9">
        <f t="shared" si="198"/>
        <v>0.21999999999999886</v>
      </c>
      <c r="L1843">
        <f t="shared" si="199"/>
        <v>0.21999999999999886</v>
      </c>
      <c r="M1843">
        <f t="shared" si="200"/>
        <v>-0.10999999999999943</v>
      </c>
      <c r="N1843">
        <f t="shared" si="201"/>
        <v>5.9999999999995168E-2</v>
      </c>
      <c r="O1843">
        <f t="shared" si="202"/>
        <v>-0.21999999999999886</v>
      </c>
      <c r="P1843" s="10">
        <f t="shared" si="203"/>
        <v>1.1200000000000045</v>
      </c>
    </row>
    <row r="1844" spans="1:16">
      <c r="A1844">
        <v>303.17</v>
      </c>
      <c r="B1844" s="42">
        <v>38.06</v>
      </c>
      <c r="C1844">
        <v>50.01</v>
      </c>
      <c r="D1844">
        <v>50.01</v>
      </c>
      <c r="E1844">
        <v>67.06</v>
      </c>
      <c r="F1844">
        <v>56.84</v>
      </c>
      <c r="G1844">
        <v>82.34</v>
      </c>
      <c r="H1844">
        <v>67.28</v>
      </c>
      <c r="K1844" s="9">
        <f t="shared" si="198"/>
        <v>0.16000000000000369</v>
      </c>
      <c r="L1844">
        <f t="shared" si="199"/>
        <v>0.27000000000000313</v>
      </c>
      <c r="M1844">
        <f t="shared" si="200"/>
        <v>0</v>
      </c>
      <c r="N1844">
        <f t="shared" si="201"/>
        <v>-0.17000000000000171</v>
      </c>
      <c r="O1844">
        <f t="shared" si="202"/>
        <v>-0.21999999999999886</v>
      </c>
      <c r="P1844" s="10">
        <f t="shared" si="203"/>
        <v>-0.21999999999999886</v>
      </c>
    </row>
    <row r="1845" spans="1:16">
      <c r="A1845">
        <v>303.33</v>
      </c>
      <c r="B1845" s="42">
        <v>38.119999999999997</v>
      </c>
      <c r="C1845">
        <v>50.01</v>
      </c>
      <c r="D1845">
        <v>50.06</v>
      </c>
      <c r="E1845">
        <v>67.010000000000005</v>
      </c>
      <c r="F1845">
        <v>56.84</v>
      </c>
      <c r="G1845">
        <v>82.23</v>
      </c>
      <c r="H1845">
        <v>67.400000000000006</v>
      </c>
      <c r="K1845" s="9">
        <f t="shared" si="198"/>
        <v>0.27000000000000313</v>
      </c>
      <c r="L1845">
        <f t="shared" si="199"/>
        <v>0.28000000000000114</v>
      </c>
      <c r="M1845">
        <f t="shared" si="200"/>
        <v>4.9999999999997158E-2</v>
      </c>
      <c r="N1845">
        <f t="shared" si="201"/>
        <v>-0.44000000000000483</v>
      </c>
      <c r="O1845">
        <f t="shared" si="202"/>
        <v>-0.21999999999999886</v>
      </c>
      <c r="P1845" s="10">
        <f t="shared" si="203"/>
        <v>0.15999999999999659</v>
      </c>
    </row>
    <row r="1846" spans="1:16">
      <c r="A1846">
        <v>303.5</v>
      </c>
      <c r="B1846" s="42">
        <v>38.28</v>
      </c>
      <c r="C1846">
        <v>50.12</v>
      </c>
      <c r="D1846">
        <v>50.17</v>
      </c>
      <c r="E1846">
        <v>66.95</v>
      </c>
      <c r="F1846">
        <v>56.73</v>
      </c>
      <c r="G1846">
        <v>82.12</v>
      </c>
      <c r="H1846">
        <v>67.400000000000006</v>
      </c>
      <c r="K1846" s="9">
        <f t="shared" si="198"/>
        <v>0.22000000000000597</v>
      </c>
      <c r="L1846">
        <f t="shared" si="199"/>
        <v>0.17000000000000171</v>
      </c>
      <c r="M1846">
        <f t="shared" si="200"/>
        <v>0.10999999999999943</v>
      </c>
      <c r="N1846">
        <f t="shared" si="201"/>
        <v>-0.1699999999999946</v>
      </c>
      <c r="O1846">
        <f t="shared" si="202"/>
        <v>-6.0000000000002274E-2</v>
      </c>
      <c r="P1846" s="10">
        <f t="shared" si="203"/>
        <v>0.37999999999999545</v>
      </c>
    </row>
    <row r="1847" spans="1:16">
      <c r="A1847">
        <v>303.67</v>
      </c>
      <c r="B1847" s="42">
        <v>38.450000000000003</v>
      </c>
      <c r="C1847">
        <v>50.17</v>
      </c>
      <c r="D1847">
        <v>50.28</v>
      </c>
      <c r="E1847">
        <v>67.06</v>
      </c>
      <c r="F1847">
        <v>56.67</v>
      </c>
      <c r="G1847">
        <v>82.12</v>
      </c>
      <c r="H1847">
        <v>67.06</v>
      </c>
      <c r="K1847" s="9">
        <f t="shared" si="198"/>
        <v>0.17000000000000171</v>
      </c>
      <c r="L1847">
        <f t="shared" si="199"/>
        <v>0.11999999999999744</v>
      </c>
      <c r="M1847">
        <f t="shared" si="200"/>
        <v>-0.10999999999999943</v>
      </c>
      <c r="N1847">
        <f t="shared" si="201"/>
        <v>-0.10999999999999943</v>
      </c>
      <c r="O1847">
        <f t="shared" si="202"/>
        <v>-0.17000000000000171</v>
      </c>
      <c r="P1847" s="10">
        <f t="shared" si="203"/>
        <v>1.1099999999999994</v>
      </c>
    </row>
    <row r="1848" spans="1:16">
      <c r="A1848">
        <v>303.83</v>
      </c>
      <c r="B1848" s="42">
        <v>38.619999999999997</v>
      </c>
      <c r="C1848">
        <v>50.28</v>
      </c>
      <c r="D1848">
        <v>50.34</v>
      </c>
      <c r="E1848">
        <v>67.06</v>
      </c>
      <c r="F1848">
        <v>56.4</v>
      </c>
      <c r="G1848">
        <v>82.01</v>
      </c>
      <c r="H1848">
        <v>67.56</v>
      </c>
      <c r="K1848" s="9">
        <f t="shared" si="198"/>
        <v>0.28000000000000114</v>
      </c>
      <c r="L1848">
        <f t="shared" si="199"/>
        <v>0.21999999999999886</v>
      </c>
      <c r="M1848">
        <f t="shared" si="200"/>
        <v>0</v>
      </c>
      <c r="N1848">
        <f t="shared" si="201"/>
        <v>0.16000000000000369</v>
      </c>
      <c r="O1848">
        <f t="shared" si="202"/>
        <v>-0.10999999999999943</v>
      </c>
      <c r="P1848" s="10">
        <f t="shared" si="203"/>
        <v>0.60999999999999943</v>
      </c>
    </row>
    <row r="1849" spans="1:16">
      <c r="A1849">
        <v>304</v>
      </c>
      <c r="B1849" s="42">
        <v>38.67</v>
      </c>
      <c r="C1849">
        <v>50.34</v>
      </c>
      <c r="D1849">
        <v>50.34</v>
      </c>
      <c r="E1849">
        <v>67.06</v>
      </c>
      <c r="F1849">
        <v>56.56</v>
      </c>
      <c r="G1849">
        <v>82.06</v>
      </c>
      <c r="H1849">
        <v>67.78</v>
      </c>
      <c r="K1849" s="9">
        <f t="shared" si="198"/>
        <v>0.10999999999999943</v>
      </c>
      <c r="L1849">
        <f t="shared" si="199"/>
        <v>0.21999999999999886</v>
      </c>
      <c r="M1849">
        <f t="shared" si="200"/>
        <v>-4.9999999999997158E-2</v>
      </c>
      <c r="N1849">
        <f t="shared" si="201"/>
        <v>-0.16000000000000369</v>
      </c>
      <c r="O1849">
        <f t="shared" si="202"/>
        <v>-0.15999999999999659</v>
      </c>
      <c r="P1849" s="10">
        <f t="shared" si="203"/>
        <v>0.78000000000000114</v>
      </c>
    </row>
    <row r="1850" spans="1:16">
      <c r="A1850">
        <v>304.17</v>
      </c>
      <c r="B1850" s="42">
        <v>38.729999999999997</v>
      </c>
      <c r="C1850">
        <v>50.34</v>
      </c>
      <c r="D1850">
        <v>50.4</v>
      </c>
      <c r="E1850">
        <v>66.95</v>
      </c>
      <c r="F1850">
        <v>56.56</v>
      </c>
      <c r="G1850">
        <v>81.95</v>
      </c>
      <c r="H1850">
        <v>68.17</v>
      </c>
      <c r="K1850" s="9">
        <f t="shared" si="198"/>
        <v>0.21999999999999886</v>
      </c>
      <c r="L1850">
        <f t="shared" si="199"/>
        <v>0.21999999999999886</v>
      </c>
      <c r="M1850">
        <f t="shared" si="200"/>
        <v>6.0000000000002274E-2</v>
      </c>
      <c r="N1850">
        <f t="shared" si="201"/>
        <v>-0.3300000000000054</v>
      </c>
      <c r="O1850">
        <f t="shared" si="202"/>
        <v>-0.17000000000000171</v>
      </c>
      <c r="P1850" s="10">
        <f t="shared" si="203"/>
        <v>0.39000000000000057</v>
      </c>
    </row>
    <row r="1851" spans="1:16">
      <c r="A1851">
        <v>304.33</v>
      </c>
      <c r="B1851" s="42">
        <v>38.9</v>
      </c>
      <c r="C1851">
        <v>50.56</v>
      </c>
      <c r="D1851">
        <v>50.56</v>
      </c>
      <c r="E1851">
        <v>67.06</v>
      </c>
      <c r="F1851">
        <v>56.56</v>
      </c>
      <c r="G1851">
        <v>81.900000000000006</v>
      </c>
      <c r="H1851">
        <v>68.17</v>
      </c>
      <c r="K1851" s="9">
        <f t="shared" si="198"/>
        <v>5.9999999999995168E-2</v>
      </c>
      <c r="L1851">
        <f t="shared" si="199"/>
        <v>0.10999999999999943</v>
      </c>
      <c r="M1851">
        <f t="shared" si="200"/>
        <v>-0.10999999999999943</v>
      </c>
      <c r="N1851">
        <f t="shared" si="201"/>
        <v>-0.21999999999999886</v>
      </c>
      <c r="O1851">
        <f t="shared" si="202"/>
        <v>-0.17000000000000171</v>
      </c>
      <c r="P1851" s="10">
        <f t="shared" si="203"/>
        <v>0.17000000000000171</v>
      </c>
    </row>
    <row r="1852" spans="1:16">
      <c r="A1852">
        <v>304.5</v>
      </c>
      <c r="B1852" s="42">
        <v>38.950000000000003</v>
      </c>
      <c r="C1852">
        <v>50.45</v>
      </c>
      <c r="D1852">
        <v>50.56</v>
      </c>
      <c r="E1852">
        <v>67.010000000000005</v>
      </c>
      <c r="F1852">
        <v>56.4</v>
      </c>
      <c r="G1852">
        <v>81.900000000000006</v>
      </c>
      <c r="H1852">
        <v>68.56</v>
      </c>
      <c r="K1852" s="9">
        <f t="shared" si="198"/>
        <v>0.27999999999999403</v>
      </c>
      <c r="L1852">
        <f t="shared" si="199"/>
        <v>0.28000000000000114</v>
      </c>
      <c r="M1852">
        <f t="shared" si="200"/>
        <v>-6.0000000000002274E-2</v>
      </c>
      <c r="N1852">
        <f t="shared" si="201"/>
        <v>0.27000000000000313</v>
      </c>
      <c r="O1852">
        <f t="shared" si="202"/>
        <v>-0.17000000000000171</v>
      </c>
      <c r="P1852" s="10">
        <f t="shared" si="203"/>
        <v>-0.93999999999999773</v>
      </c>
    </row>
    <row r="1853" spans="1:16">
      <c r="A1853">
        <v>304.67</v>
      </c>
      <c r="B1853" s="42">
        <v>38.950000000000003</v>
      </c>
      <c r="C1853">
        <v>50.56</v>
      </c>
      <c r="D1853">
        <v>50.62</v>
      </c>
      <c r="E1853">
        <v>67.010000000000005</v>
      </c>
      <c r="F1853">
        <v>56.23</v>
      </c>
      <c r="G1853">
        <v>81.78</v>
      </c>
      <c r="H1853">
        <v>68.56</v>
      </c>
      <c r="K1853" s="9">
        <f t="shared" si="198"/>
        <v>0.33999999999999631</v>
      </c>
      <c r="L1853">
        <f t="shared" si="199"/>
        <v>0.28000000000000114</v>
      </c>
      <c r="M1853">
        <f t="shared" si="200"/>
        <v>-0.10999999999999943</v>
      </c>
      <c r="N1853">
        <f t="shared" si="201"/>
        <v>0.5</v>
      </c>
      <c r="O1853">
        <f t="shared" si="202"/>
        <v>-0.15999999999999659</v>
      </c>
      <c r="P1853" s="10">
        <f t="shared" si="203"/>
        <v>-1.5</v>
      </c>
    </row>
    <row r="1854" spans="1:16">
      <c r="A1854">
        <v>304.83</v>
      </c>
      <c r="B1854" s="42">
        <v>38.950000000000003</v>
      </c>
      <c r="C1854">
        <v>50.62</v>
      </c>
      <c r="D1854">
        <v>50.67</v>
      </c>
      <c r="E1854">
        <v>66.95</v>
      </c>
      <c r="F1854">
        <v>56.34</v>
      </c>
      <c r="G1854">
        <v>81.73</v>
      </c>
      <c r="H1854">
        <v>68.34</v>
      </c>
      <c r="K1854" s="9">
        <f t="shared" si="198"/>
        <v>0.28000000000000114</v>
      </c>
      <c r="L1854">
        <f t="shared" si="199"/>
        <v>0.28000000000000114</v>
      </c>
      <c r="M1854">
        <f t="shared" si="200"/>
        <v>-0.10999999999999943</v>
      </c>
      <c r="N1854">
        <f t="shared" si="201"/>
        <v>0.32999999999999829</v>
      </c>
      <c r="O1854">
        <f t="shared" si="202"/>
        <v>-0.28000000000000114</v>
      </c>
      <c r="P1854" s="10">
        <f t="shared" si="203"/>
        <v>-1.8299999999999983</v>
      </c>
    </row>
    <row r="1855" spans="1:16">
      <c r="A1855">
        <v>305</v>
      </c>
      <c r="B1855" s="42">
        <v>39.01</v>
      </c>
      <c r="C1855">
        <v>50.73</v>
      </c>
      <c r="D1855">
        <v>50.84</v>
      </c>
      <c r="E1855">
        <v>66.95</v>
      </c>
      <c r="F1855">
        <v>56.67</v>
      </c>
      <c r="G1855">
        <v>81.73</v>
      </c>
      <c r="H1855">
        <v>67.62</v>
      </c>
      <c r="K1855" s="9">
        <f t="shared" si="198"/>
        <v>0.11000000000000654</v>
      </c>
      <c r="L1855">
        <f t="shared" si="199"/>
        <v>0.1699999999999946</v>
      </c>
      <c r="M1855">
        <f t="shared" si="200"/>
        <v>-4.9999999999997158E-2</v>
      </c>
      <c r="N1855">
        <f t="shared" si="201"/>
        <v>-0.10999999999999943</v>
      </c>
      <c r="O1855">
        <f t="shared" si="202"/>
        <v>-0.32999999999999829</v>
      </c>
      <c r="P1855" s="10">
        <f t="shared" si="203"/>
        <v>-0.89000000000000057</v>
      </c>
    </row>
    <row r="1856" spans="1:16">
      <c r="A1856">
        <v>305.17</v>
      </c>
      <c r="B1856" s="42">
        <v>38.950000000000003</v>
      </c>
      <c r="C1856">
        <v>50.9</v>
      </c>
      <c r="D1856">
        <v>50.9</v>
      </c>
      <c r="E1856">
        <v>66.900000000000006</v>
      </c>
      <c r="F1856">
        <v>56.73</v>
      </c>
      <c r="G1856">
        <v>81.62</v>
      </c>
      <c r="H1856">
        <v>67.06</v>
      </c>
      <c r="K1856" s="9">
        <f t="shared" si="198"/>
        <v>0</v>
      </c>
      <c r="L1856">
        <f t="shared" si="199"/>
        <v>0.10999999999999943</v>
      </c>
      <c r="M1856">
        <f t="shared" si="200"/>
        <v>0</v>
      </c>
      <c r="N1856">
        <f t="shared" si="201"/>
        <v>-0.60999999999999943</v>
      </c>
      <c r="O1856">
        <f t="shared" si="202"/>
        <v>-0.34000000000000341</v>
      </c>
      <c r="P1856" s="10">
        <f t="shared" si="203"/>
        <v>-1.2800000000000011</v>
      </c>
    </row>
    <row r="1857" spans="1:16">
      <c r="A1857">
        <v>305.33</v>
      </c>
      <c r="B1857" s="42">
        <v>38.9</v>
      </c>
      <c r="C1857">
        <v>50.9</v>
      </c>
      <c r="D1857">
        <v>50.95</v>
      </c>
      <c r="E1857">
        <v>66.84</v>
      </c>
      <c r="F1857">
        <v>56.67</v>
      </c>
      <c r="G1857">
        <v>81.45</v>
      </c>
      <c r="H1857">
        <v>66.510000000000005</v>
      </c>
      <c r="K1857" s="9">
        <f t="shared" si="198"/>
        <v>0</v>
      </c>
      <c r="L1857">
        <f t="shared" si="199"/>
        <v>5.9999999999995168E-2</v>
      </c>
      <c r="M1857">
        <f t="shared" si="200"/>
        <v>6.0000000000002274E-2</v>
      </c>
      <c r="N1857">
        <f t="shared" si="201"/>
        <v>-0.55000000000000426</v>
      </c>
      <c r="O1857">
        <f t="shared" si="202"/>
        <v>-0.28000000000000114</v>
      </c>
      <c r="P1857" s="10">
        <f t="shared" si="203"/>
        <v>-0.95000000000000284</v>
      </c>
    </row>
    <row r="1858" spans="1:16">
      <c r="A1858">
        <v>305.5</v>
      </c>
      <c r="B1858" s="42">
        <v>38.950000000000003</v>
      </c>
      <c r="C1858">
        <v>50.84</v>
      </c>
      <c r="D1858">
        <v>51.01</v>
      </c>
      <c r="E1858">
        <v>66.900000000000006</v>
      </c>
      <c r="F1858">
        <v>56.56</v>
      </c>
      <c r="G1858">
        <v>81.400000000000006</v>
      </c>
      <c r="H1858">
        <v>66.73</v>
      </c>
      <c r="K1858" s="9">
        <f t="shared" si="198"/>
        <v>5.9999999999995168E-2</v>
      </c>
      <c r="L1858">
        <f t="shared" si="199"/>
        <v>0</v>
      </c>
      <c r="M1858">
        <f t="shared" si="200"/>
        <v>0</v>
      </c>
      <c r="N1858">
        <f t="shared" si="201"/>
        <v>-0.55000000000000426</v>
      </c>
      <c r="O1858">
        <f t="shared" si="202"/>
        <v>-0.39000000000000057</v>
      </c>
      <c r="P1858" s="10">
        <f t="shared" si="203"/>
        <v>-1.3299999999999983</v>
      </c>
    </row>
    <row r="1859" spans="1:16">
      <c r="A1859">
        <v>305.67</v>
      </c>
      <c r="B1859" s="42">
        <v>39.06</v>
      </c>
      <c r="C1859">
        <v>50.9</v>
      </c>
      <c r="D1859">
        <v>51.01</v>
      </c>
      <c r="E1859">
        <v>66.900000000000006</v>
      </c>
      <c r="F1859">
        <v>56.12</v>
      </c>
      <c r="G1859">
        <v>81.28</v>
      </c>
      <c r="H1859">
        <v>65.78</v>
      </c>
      <c r="K1859" s="9">
        <f t="shared" si="198"/>
        <v>0.10999999999999943</v>
      </c>
      <c r="L1859">
        <f t="shared" si="199"/>
        <v>0.10999999999999943</v>
      </c>
      <c r="M1859">
        <f t="shared" si="200"/>
        <v>0</v>
      </c>
      <c r="N1859">
        <f t="shared" si="201"/>
        <v>-0.21999999999999886</v>
      </c>
      <c r="O1859">
        <f t="shared" si="202"/>
        <v>-0.37999999999999545</v>
      </c>
      <c r="P1859" s="10">
        <f t="shared" si="203"/>
        <v>-0.37999999999999545</v>
      </c>
    </row>
    <row r="1860" spans="1:16">
      <c r="A1860">
        <v>305.83</v>
      </c>
      <c r="B1860" s="42">
        <v>39.119999999999997</v>
      </c>
      <c r="C1860">
        <v>50.9</v>
      </c>
      <c r="D1860">
        <v>51.01</v>
      </c>
      <c r="E1860">
        <v>66.900000000000006</v>
      </c>
      <c r="F1860">
        <v>56.12</v>
      </c>
      <c r="G1860">
        <v>81.17</v>
      </c>
      <c r="H1860">
        <v>65.56</v>
      </c>
      <c r="K1860" s="9">
        <f t="shared" si="198"/>
        <v>0.10999999999999943</v>
      </c>
      <c r="L1860">
        <f t="shared" si="199"/>
        <v>0.10999999999999943</v>
      </c>
      <c r="M1860">
        <f t="shared" si="200"/>
        <v>0</v>
      </c>
      <c r="N1860">
        <f t="shared" si="201"/>
        <v>5.0000000000004263E-2</v>
      </c>
      <c r="O1860">
        <f t="shared" si="202"/>
        <v>-0.32999999999999829</v>
      </c>
      <c r="P1860" s="10">
        <f t="shared" si="203"/>
        <v>0.39000000000000057</v>
      </c>
    </row>
    <row r="1861" spans="1:16">
      <c r="A1861">
        <v>306</v>
      </c>
      <c r="B1861" s="42">
        <v>39.119999999999997</v>
      </c>
      <c r="C1861">
        <v>50.9</v>
      </c>
      <c r="D1861">
        <v>51.01</v>
      </c>
      <c r="E1861">
        <v>66.900000000000006</v>
      </c>
      <c r="F1861">
        <v>56.01</v>
      </c>
      <c r="G1861">
        <v>81.010000000000005</v>
      </c>
      <c r="H1861">
        <v>65.400000000000006</v>
      </c>
      <c r="K1861" s="9">
        <f t="shared" si="198"/>
        <v>0.21999999999999886</v>
      </c>
      <c r="L1861">
        <f t="shared" si="199"/>
        <v>0.16000000000000369</v>
      </c>
      <c r="M1861">
        <f t="shared" si="200"/>
        <v>-6.0000000000002274E-2</v>
      </c>
      <c r="N1861">
        <f t="shared" si="201"/>
        <v>0.39000000000000057</v>
      </c>
      <c r="O1861">
        <f t="shared" si="202"/>
        <v>-0.34000000000000341</v>
      </c>
      <c r="P1861" s="10">
        <f t="shared" si="203"/>
        <v>0.71999999999999886</v>
      </c>
    </row>
    <row r="1862" spans="1:16">
      <c r="A1862">
        <v>306.17</v>
      </c>
      <c r="B1862" s="42">
        <v>39.06</v>
      </c>
      <c r="C1862">
        <v>51.01</v>
      </c>
      <c r="D1862">
        <v>51.12</v>
      </c>
      <c r="E1862">
        <v>66.900000000000006</v>
      </c>
      <c r="F1862">
        <v>55.9</v>
      </c>
      <c r="G1862">
        <v>80.900000000000006</v>
      </c>
      <c r="H1862">
        <v>65.400000000000006</v>
      </c>
      <c r="K1862" s="9">
        <f t="shared" si="198"/>
        <v>0.16000000000000369</v>
      </c>
      <c r="L1862">
        <f t="shared" si="199"/>
        <v>0.16000000000000369</v>
      </c>
      <c r="M1862">
        <f t="shared" si="200"/>
        <v>0</v>
      </c>
      <c r="N1862">
        <f t="shared" si="201"/>
        <v>0.32999999999999829</v>
      </c>
      <c r="O1862">
        <f t="shared" si="202"/>
        <v>-0.23000000000000398</v>
      </c>
      <c r="P1862" s="10">
        <f t="shared" si="203"/>
        <v>0</v>
      </c>
    </row>
    <row r="1863" spans="1:16">
      <c r="A1863">
        <v>306.33</v>
      </c>
      <c r="B1863" s="42">
        <v>39.119999999999997</v>
      </c>
      <c r="C1863">
        <v>51.01</v>
      </c>
      <c r="D1863">
        <v>51.12</v>
      </c>
      <c r="E1863">
        <v>66.900000000000006</v>
      </c>
      <c r="F1863">
        <v>56.17</v>
      </c>
      <c r="G1863">
        <v>80.84</v>
      </c>
      <c r="H1863">
        <v>65.95</v>
      </c>
      <c r="K1863" s="9">
        <f t="shared" si="198"/>
        <v>0.21999999999999886</v>
      </c>
      <c r="L1863">
        <f t="shared" si="199"/>
        <v>0.22000000000000597</v>
      </c>
      <c r="M1863">
        <f t="shared" si="200"/>
        <v>-6.0000000000002274E-2</v>
      </c>
      <c r="N1863">
        <f t="shared" si="201"/>
        <v>0.22999999999999687</v>
      </c>
      <c r="O1863">
        <f t="shared" si="202"/>
        <v>-0.17000000000000171</v>
      </c>
      <c r="P1863" s="10">
        <f t="shared" si="203"/>
        <v>-0.5</v>
      </c>
    </row>
    <row r="1864" spans="1:16">
      <c r="A1864">
        <v>306.5</v>
      </c>
      <c r="B1864" s="42">
        <v>39.119999999999997</v>
      </c>
      <c r="C1864">
        <v>51.12</v>
      </c>
      <c r="D1864">
        <v>51.17</v>
      </c>
      <c r="E1864">
        <v>66.84</v>
      </c>
      <c r="F1864">
        <v>56.4</v>
      </c>
      <c r="G1864">
        <v>80.67</v>
      </c>
      <c r="H1864">
        <v>66.12</v>
      </c>
      <c r="K1864" s="9">
        <f t="shared" si="198"/>
        <v>0.66000000000000369</v>
      </c>
      <c r="L1864">
        <f t="shared" si="199"/>
        <v>0.44999999999999574</v>
      </c>
      <c r="M1864">
        <f t="shared" si="200"/>
        <v>0.60999999999999943</v>
      </c>
      <c r="N1864">
        <f t="shared" si="201"/>
        <v>-0.22999999999999687</v>
      </c>
      <c r="O1864">
        <f t="shared" si="202"/>
        <v>-0.10999999999999943</v>
      </c>
      <c r="P1864" s="10">
        <f t="shared" si="203"/>
        <v>-0.56000000000000227</v>
      </c>
    </row>
    <row r="1865" spans="1:16">
      <c r="A1865">
        <v>306.67</v>
      </c>
      <c r="B1865" s="42">
        <v>39.28</v>
      </c>
      <c r="C1865">
        <v>51.17</v>
      </c>
      <c r="D1865">
        <v>51.28</v>
      </c>
      <c r="E1865">
        <v>66.900000000000006</v>
      </c>
      <c r="F1865">
        <v>56.23</v>
      </c>
      <c r="G1865">
        <v>80.67</v>
      </c>
      <c r="H1865">
        <v>65.400000000000006</v>
      </c>
      <c r="K1865" s="9">
        <f t="shared" si="198"/>
        <v>1.6700000000000017</v>
      </c>
      <c r="L1865">
        <f t="shared" si="199"/>
        <v>1.2299999999999969</v>
      </c>
      <c r="M1865">
        <f t="shared" si="200"/>
        <v>-6.0000000000002274E-2</v>
      </c>
      <c r="N1865">
        <f t="shared" si="201"/>
        <v>5.0000000000004263E-2</v>
      </c>
      <c r="O1865">
        <f t="shared" si="202"/>
        <v>-0.26999999999999602</v>
      </c>
      <c r="P1865" s="10">
        <f t="shared" si="203"/>
        <v>0</v>
      </c>
    </row>
    <row r="1866" spans="1:16">
      <c r="A1866">
        <v>306.83</v>
      </c>
      <c r="B1866" s="42">
        <v>39.28</v>
      </c>
      <c r="C1866">
        <v>51.23</v>
      </c>
      <c r="D1866">
        <v>51.34</v>
      </c>
      <c r="E1866">
        <v>66.84</v>
      </c>
      <c r="F1866">
        <v>56.4</v>
      </c>
      <c r="G1866">
        <v>80.67</v>
      </c>
      <c r="H1866">
        <v>65.45</v>
      </c>
      <c r="K1866" s="9">
        <f t="shared" si="198"/>
        <v>1.4400000000000048</v>
      </c>
      <c r="L1866">
        <f t="shared" si="199"/>
        <v>1.3899999999999935</v>
      </c>
      <c r="M1866">
        <f t="shared" si="200"/>
        <v>-0.5</v>
      </c>
      <c r="N1866">
        <f t="shared" si="201"/>
        <v>0.21999999999999886</v>
      </c>
      <c r="O1866">
        <f t="shared" si="202"/>
        <v>-0.39000000000000057</v>
      </c>
      <c r="P1866" s="10">
        <f t="shared" si="203"/>
        <v>-0.82999999999999829</v>
      </c>
    </row>
    <row r="1867" spans="1:16">
      <c r="A1867">
        <v>307</v>
      </c>
      <c r="B1867" s="42">
        <v>39.56</v>
      </c>
      <c r="C1867">
        <v>51.78</v>
      </c>
      <c r="D1867">
        <v>51.62</v>
      </c>
      <c r="E1867">
        <v>67.45</v>
      </c>
      <c r="F1867">
        <v>56.17</v>
      </c>
      <c r="G1867">
        <v>80.56</v>
      </c>
      <c r="H1867">
        <v>65.56</v>
      </c>
      <c r="K1867" s="9">
        <f t="shared" si="198"/>
        <v>-0.5</v>
      </c>
      <c r="L1867">
        <f t="shared" si="199"/>
        <v>0.39000000000000057</v>
      </c>
      <c r="M1867">
        <f t="shared" si="200"/>
        <v>-2.7800000000000011</v>
      </c>
      <c r="N1867">
        <f t="shared" si="201"/>
        <v>0.89000000000000057</v>
      </c>
      <c r="O1867">
        <f t="shared" si="202"/>
        <v>-0.32999999999999829</v>
      </c>
      <c r="P1867" s="10">
        <f t="shared" si="203"/>
        <v>-1.5</v>
      </c>
    </row>
    <row r="1868" spans="1:16">
      <c r="A1868">
        <v>307.17</v>
      </c>
      <c r="B1868" s="42">
        <v>40.840000000000003</v>
      </c>
      <c r="C1868">
        <v>52.84</v>
      </c>
      <c r="D1868">
        <v>52.51</v>
      </c>
      <c r="E1868">
        <v>66.84</v>
      </c>
      <c r="F1868">
        <v>56.28</v>
      </c>
      <c r="G1868">
        <v>80.400000000000006</v>
      </c>
      <c r="H1868">
        <v>65.400000000000006</v>
      </c>
      <c r="K1868" s="9">
        <f t="shared" si="198"/>
        <v>-2</v>
      </c>
      <c r="L1868">
        <f t="shared" si="199"/>
        <v>-1.3399999999999963</v>
      </c>
      <c r="M1868">
        <f t="shared" si="200"/>
        <v>-3.4400000000000048</v>
      </c>
      <c r="N1868">
        <f t="shared" si="201"/>
        <v>1.3399999999999963</v>
      </c>
      <c r="O1868">
        <f t="shared" si="202"/>
        <v>-0.28000000000000114</v>
      </c>
      <c r="P1868" s="10">
        <f t="shared" si="203"/>
        <v>-1.8400000000000034</v>
      </c>
    </row>
    <row r="1869" spans="1:16">
      <c r="A1869">
        <v>307.33</v>
      </c>
      <c r="B1869" s="42">
        <v>41.67</v>
      </c>
      <c r="C1869">
        <v>52.67</v>
      </c>
      <c r="D1869">
        <v>52.73</v>
      </c>
      <c r="E1869">
        <v>66.34</v>
      </c>
      <c r="F1869">
        <v>56.62</v>
      </c>
      <c r="G1869">
        <v>80.28</v>
      </c>
      <c r="H1869">
        <v>64.62</v>
      </c>
      <c r="K1869" s="9">
        <f t="shared" si="198"/>
        <v>-1.8299999999999983</v>
      </c>
      <c r="L1869">
        <f t="shared" si="199"/>
        <v>-1.7199999999999989</v>
      </c>
      <c r="M1869">
        <f t="shared" si="200"/>
        <v>-3.5600000000000023</v>
      </c>
      <c r="N1869">
        <f t="shared" si="201"/>
        <v>1.5500000000000043</v>
      </c>
      <c r="O1869">
        <f t="shared" si="202"/>
        <v>-0.32999999999999829</v>
      </c>
      <c r="P1869" s="10">
        <f t="shared" si="203"/>
        <v>-1.6100000000000065</v>
      </c>
    </row>
    <row r="1870" spans="1:16">
      <c r="A1870">
        <v>307.5</v>
      </c>
      <c r="B1870" s="42">
        <v>43.45</v>
      </c>
      <c r="C1870">
        <v>51.28</v>
      </c>
      <c r="D1870">
        <v>52.01</v>
      </c>
      <c r="E1870">
        <v>64.67</v>
      </c>
      <c r="F1870">
        <v>57.06</v>
      </c>
      <c r="G1870">
        <v>80.23</v>
      </c>
      <c r="H1870">
        <v>64.06</v>
      </c>
      <c r="K1870" s="9">
        <f t="shared" si="198"/>
        <v>-0.43999999999999773</v>
      </c>
      <c r="L1870">
        <f t="shared" si="199"/>
        <v>-1.1699999999999946</v>
      </c>
      <c r="M1870">
        <f t="shared" si="200"/>
        <v>-3.1099999999999994</v>
      </c>
      <c r="N1870">
        <f t="shared" si="201"/>
        <v>1.5</v>
      </c>
      <c r="O1870">
        <f t="shared" si="202"/>
        <v>-0.45000000000000284</v>
      </c>
      <c r="P1870" s="10">
        <f t="shared" si="203"/>
        <v>-1.5500000000000043</v>
      </c>
    </row>
    <row r="1871" spans="1:16">
      <c r="A1871">
        <v>307.67</v>
      </c>
      <c r="B1871" s="42">
        <v>44.45</v>
      </c>
      <c r="C1871">
        <v>50.84</v>
      </c>
      <c r="D1871">
        <v>51.17</v>
      </c>
      <c r="E1871">
        <v>63.4</v>
      </c>
      <c r="F1871">
        <v>57.62</v>
      </c>
      <c r="G1871">
        <v>80.12</v>
      </c>
      <c r="H1871">
        <v>63.56</v>
      </c>
      <c r="K1871" s="9">
        <f t="shared" si="198"/>
        <v>-6.0000000000002274E-2</v>
      </c>
      <c r="L1871">
        <f t="shared" si="199"/>
        <v>-0.32999999999999829</v>
      </c>
      <c r="M1871">
        <f t="shared" si="200"/>
        <v>-3.1199999999999974</v>
      </c>
      <c r="N1871">
        <f t="shared" si="201"/>
        <v>1.720000000000006</v>
      </c>
      <c r="O1871">
        <f t="shared" si="202"/>
        <v>-0.39000000000000057</v>
      </c>
      <c r="P1871" s="10">
        <f t="shared" si="203"/>
        <v>-0.3300000000000054</v>
      </c>
    </row>
    <row r="1872" spans="1:16">
      <c r="A1872">
        <v>307.83</v>
      </c>
      <c r="B1872" s="42">
        <v>43.95</v>
      </c>
      <c r="C1872">
        <v>50.84</v>
      </c>
      <c r="D1872">
        <v>51.01</v>
      </c>
      <c r="E1872">
        <v>62.78</v>
      </c>
      <c r="F1872">
        <v>58.17</v>
      </c>
      <c r="G1872">
        <v>79.95</v>
      </c>
      <c r="H1872">
        <v>63.01</v>
      </c>
      <c r="K1872" s="9">
        <f t="shared" si="198"/>
        <v>-0.11000000000000654</v>
      </c>
      <c r="L1872">
        <f t="shared" si="199"/>
        <v>-0.28000000000000114</v>
      </c>
      <c r="M1872">
        <f t="shared" si="200"/>
        <v>-3.5</v>
      </c>
      <c r="N1872">
        <f t="shared" si="201"/>
        <v>1.6700000000000017</v>
      </c>
      <c r="O1872">
        <f t="shared" si="202"/>
        <v>-0.28000000000000114</v>
      </c>
      <c r="P1872" s="10">
        <f t="shared" si="203"/>
        <v>0.55000000000000426</v>
      </c>
    </row>
    <row r="1873" spans="1:16">
      <c r="A1873">
        <v>308</v>
      </c>
      <c r="B1873" s="42">
        <v>43.06</v>
      </c>
      <c r="C1873">
        <v>50.84</v>
      </c>
      <c r="D1873">
        <v>50.84</v>
      </c>
      <c r="E1873">
        <v>61.56</v>
      </c>
      <c r="F1873">
        <v>58.56</v>
      </c>
      <c r="G1873">
        <v>79.78</v>
      </c>
      <c r="H1873">
        <v>62.51</v>
      </c>
      <c r="K1873" s="9">
        <f t="shared" si="198"/>
        <v>-0.17000000000000171</v>
      </c>
      <c r="L1873">
        <f t="shared" si="199"/>
        <v>-0.22000000000000597</v>
      </c>
      <c r="M1873">
        <f t="shared" si="200"/>
        <v>-2.6600000000000037</v>
      </c>
      <c r="N1873">
        <f t="shared" si="201"/>
        <v>1.5</v>
      </c>
      <c r="O1873">
        <f t="shared" si="202"/>
        <v>-0.21999999999999886</v>
      </c>
      <c r="P1873" s="10">
        <f t="shared" si="203"/>
        <v>1.2700000000000031</v>
      </c>
    </row>
    <row r="1874" spans="1:16">
      <c r="A1874">
        <v>308.17</v>
      </c>
      <c r="B1874" s="42">
        <v>42.17</v>
      </c>
      <c r="C1874">
        <v>50.78</v>
      </c>
      <c r="D1874">
        <v>50.84</v>
      </c>
      <c r="E1874">
        <v>60.28</v>
      </c>
      <c r="F1874">
        <v>59.34</v>
      </c>
      <c r="G1874">
        <v>79.73</v>
      </c>
      <c r="H1874">
        <v>63.23</v>
      </c>
      <c r="K1874" s="9">
        <f t="shared" si="198"/>
        <v>-0.21999999999999886</v>
      </c>
      <c r="L1874">
        <f t="shared" si="199"/>
        <v>-0.3300000000000054</v>
      </c>
      <c r="M1874">
        <f t="shared" si="200"/>
        <v>-0.71999999999999886</v>
      </c>
      <c r="N1874">
        <f t="shared" si="201"/>
        <v>1.2199999999999989</v>
      </c>
      <c r="O1874">
        <f t="shared" si="202"/>
        <v>-0.17000000000000171</v>
      </c>
      <c r="P1874" s="10">
        <f t="shared" si="203"/>
        <v>1.0500000000000043</v>
      </c>
    </row>
    <row r="1875" spans="1:16">
      <c r="A1875">
        <v>308.33</v>
      </c>
      <c r="B1875" s="42">
        <v>42.23</v>
      </c>
      <c r="C1875">
        <v>50.73</v>
      </c>
      <c r="D1875">
        <v>50.73</v>
      </c>
      <c r="E1875">
        <v>59.28</v>
      </c>
      <c r="F1875">
        <v>59.84</v>
      </c>
      <c r="G1875">
        <v>79.67</v>
      </c>
      <c r="H1875">
        <v>63.56</v>
      </c>
      <c r="K1875" s="9">
        <f t="shared" si="198"/>
        <v>-0.38999999999999346</v>
      </c>
      <c r="L1875">
        <f t="shared" si="199"/>
        <v>-0.38999999999999346</v>
      </c>
      <c r="M1875">
        <f t="shared" si="200"/>
        <v>-0.21999999999999886</v>
      </c>
      <c r="N1875">
        <f t="shared" si="201"/>
        <v>1.1699999999999946</v>
      </c>
      <c r="O1875">
        <f t="shared" si="202"/>
        <v>-0.15999999999999659</v>
      </c>
      <c r="P1875" s="10">
        <f t="shared" si="203"/>
        <v>1.2800000000000011</v>
      </c>
    </row>
    <row r="1876" spans="1:16">
      <c r="A1876">
        <v>308.5</v>
      </c>
      <c r="B1876" s="42">
        <v>43.9</v>
      </c>
      <c r="C1876">
        <v>50.67</v>
      </c>
      <c r="D1876">
        <v>50.62</v>
      </c>
      <c r="E1876">
        <v>58.9</v>
      </c>
      <c r="F1876">
        <v>60.06</v>
      </c>
      <c r="G1876">
        <v>79.56</v>
      </c>
      <c r="H1876">
        <v>63.78</v>
      </c>
      <c r="K1876" s="9">
        <f t="shared" si="198"/>
        <v>-0.32999999999999829</v>
      </c>
      <c r="L1876">
        <f t="shared" si="199"/>
        <v>-0.39000000000000057</v>
      </c>
      <c r="M1876">
        <f t="shared" si="200"/>
        <v>-1.0599999999999952</v>
      </c>
      <c r="N1876">
        <f t="shared" si="201"/>
        <v>1.4499999999999957</v>
      </c>
      <c r="O1876">
        <f t="shared" si="202"/>
        <v>-4.9999999999997158E-2</v>
      </c>
      <c r="P1876" s="10">
        <f t="shared" si="203"/>
        <v>1.6200000000000045</v>
      </c>
    </row>
    <row r="1877" spans="1:16">
      <c r="A1877">
        <v>308.67</v>
      </c>
      <c r="B1877" s="42">
        <v>45.17</v>
      </c>
      <c r="C1877">
        <v>50.56</v>
      </c>
      <c r="D1877">
        <v>50.51</v>
      </c>
      <c r="E1877">
        <v>59.56</v>
      </c>
      <c r="F1877">
        <v>60.56</v>
      </c>
      <c r="G1877">
        <v>79.56</v>
      </c>
      <c r="H1877">
        <v>64.28</v>
      </c>
      <c r="K1877" s="9">
        <f t="shared" si="198"/>
        <v>-0.28000000000000114</v>
      </c>
      <c r="L1877">
        <f t="shared" si="199"/>
        <v>-0.28000000000000114</v>
      </c>
      <c r="M1877">
        <f t="shared" si="200"/>
        <v>-1.1600000000000037</v>
      </c>
      <c r="N1877">
        <f t="shared" si="201"/>
        <v>1.3399999999999963</v>
      </c>
      <c r="O1877">
        <f t="shared" si="202"/>
        <v>-0.10999999999999943</v>
      </c>
      <c r="P1877" s="10">
        <f t="shared" si="203"/>
        <v>1.8900000000000006</v>
      </c>
    </row>
    <row r="1878" spans="1:16">
      <c r="A1878">
        <v>308.83</v>
      </c>
      <c r="B1878" s="42">
        <v>46.06</v>
      </c>
      <c r="C1878">
        <v>50.34</v>
      </c>
      <c r="D1878">
        <v>50.34</v>
      </c>
      <c r="E1878">
        <v>59.06</v>
      </c>
      <c r="F1878">
        <v>61.01</v>
      </c>
      <c r="G1878">
        <v>79.510000000000005</v>
      </c>
      <c r="H1878">
        <v>64.84</v>
      </c>
      <c r="K1878" s="9">
        <f t="shared" si="198"/>
        <v>-0.22000000000000597</v>
      </c>
      <c r="L1878">
        <f t="shared" si="199"/>
        <v>-0.22000000000000597</v>
      </c>
      <c r="M1878">
        <f t="shared" si="200"/>
        <v>5.9999999999995168E-2</v>
      </c>
      <c r="N1878">
        <f t="shared" si="201"/>
        <v>1.3300000000000054</v>
      </c>
      <c r="O1878">
        <f t="shared" si="202"/>
        <v>-0.10999999999999943</v>
      </c>
      <c r="P1878" s="10">
        <f t="shared" si="203"/>
        <v>1.5</v>
      </c>
    </row>
    <row r="1879" spans="1:16">
      <c r="A1879">
        <v>309</v>
      </c>
      <c r="B1879" s="42">
        <v>47.23</v>
      </c>
      <c r="C1879">
        <v>50.34</v>
      </c>
      <c r="D1879">
        <v>50.23</v>
      </c>
      <c r="E1879">
        <v>57.84</v>
      </c>
      <c r="F1879">
        <v>61.51</v>
      </c>
      <c r="G1879">
        <v>79.510000000000005</v>
      </c>
      <c r="H1879">
        <v>65.400000000000006</v>
      </c>
      <c r="K1879" s="9">
        <f t="shared" si="198"/>
        <v>-0.3300000000000054</v>
      </c>
      <c r="L1879">
        <f t="shared" si="199"/>
        <v>-0.21999999999999886</v>
      </c>
      <c r="M1879">
        <f t="shared" si="200"/>
        <v>1.6699999999999946</v>
      </c>
      <c r="N1879">
        <f t="shared" si="201"/>
        <v>1.1099999999999994</v>
      </c>
      <c r="O1879">
        <f t="shared" si="202"/>
        <v>-0.23000000000000398</v>
      </c>
      <c r="P1879" s="10">
        <f t="shared" si="203"/>
        <v>1.7199999999999989</v>
      </c>
    </row>
    <row r="1880" spans="1:16">
      <c r="A1880">
        <v>309.17</v>
      </c>
      <c r="B1880" s="42">
        <v>48.67</v>
      </c>
      <c r="C1880">
        <v>50.28</v>
      </c>
      <c r="D1880">
        <v>50.23</v>
      </c>
      <c r="E1880">
        <v>58.4</v>
      </c>
      <c r="F1880">
        <v>61.9</v>
      </c>
      <c r="G1880">
        <v>79.45</v>
      </c>
      <c r="H1880">
        <v>66.17</v>
      </c>
      <c r="K1880" s="9">
        <f t="shared" si="198"/>
        <v>-0.27000000000000313</v>
      </c>
      <c r="L1880">
        <f t="shared" si="199"/>
        <v>-0.32999999999999829</v>
      </c>
      <c r="M1880">
        <f t="shared" si="200"/>
        <v>0.94000000000000483</v>
      </c>
      <c r="N1880">
        <f t="shared" si="201"/>
        <v>0.94000000000000483</v>
      </c>
      <c r="O1880">
        <f t="shared" si="202"/>
        <v>-0.17000000000000171</v>
      </c>
      <c r="P1880" s="10">
        <f t="shared" si="203"/>
        <v>1.230000000000004</v>
      </c>
    </row>
    <row r="1881" spans="1:16">
      <c r="A1881">
        <v>309.33</v>
      </c>
      <c r="B1881" s="42">
        <v>49.56</v>
      </c>
      <c r="C1881">
        <v>50.12</v>
      </c>
      <c r="D1881">
        <v>50.12</v>
      </c>
      <c r="E1881">
        <v>59.12</v>
      </c>
      <c r="F1881">
        <v>62.34</v>
      </c>
      <c r="G1881">
        <v>79.400000000000006</v>
      </c>
      <c r="H1881">
        <v>66.34</v>
      </c>
      <c r="K1881" s="9">
        <f t="shared" ref="K1881:K1944" si="204">C1884-C1881</f>
        <v>-0.10999999999999943</v>
      </c>
      <c r="L1881">
        <f t="shared" ref="L1881:L1944" si="205">D1884-D1881</f>
        <v>-0.33999999999999631</v>
      </c>
      <c r="M1881">
        <f t="shared" ref="M1881:M1944" si="206">E1884-E1881</f>
        <v>-0.1699999999999946</v>
      </c>
      <c r="N1881">
        <f t="shared" ref="N1881:N1944" si="207">F1884-F1881</f>
        <v>0.82999999999999829</v>
      </c>
      <c r="O1881">
        <f t="shared" ref="O1881:O1944" si="208">G1884-G1881</f>
        <v>-0.23000000000000398</v>
      </c>
      <c r="P1881" s="10">
        <f t="shared" ref="P1881:P1944" si="209">H1884-H1881</f>
        <v>0.89000000000000057</v>
      </c>
    </row>
    <row r="1882" spans="1:16">
      <c r="A1882">
        <v>309.5</v>
      </c>
      <c r="B1882" s="42">
        <v>50.28</v>
      </c>
      <c r="C1882">
        <v>50.01</v>
      </c>
      <c r="D1882">
        <v>50.01</v>
      </c>
      <c r="E1882">
        <v>59.51</v>
      </c>
      <c r="F1882">
        <v>62.62</v>
      </c>
      <c r="G1882">
        <v>79.28</v>
      </c>
      <c r="H1882">
        <v>67.12</v>
      </c>
      <c r="K1882" s="9">
        <f t="shared" si="204"/>
        <v>-0.22999999999999687</v>
      </c>
      <c r="L1882">
        <f t="shared" si="205"/>
        <v>-0.22999999999999687</v>
      </c>
      <c r="M1882">
        <f t="shared" si="206"/>
        <v>-1.5599999999999952</v>
      </c>
      <c r="N1882">
        <f t="shared" si="207"/>
        <v>0.55000000000000426</v>
      </c>
      <c r="O1882">
        <f t="shared" si="208"/>
        <v>-0.26999999999999602</v>
      </c>
      <c r="P1882" s="10">
        <f t="shared" si="209"/>
        <v>0.43999999999999773</v>
      </c>
    </row>
    <row r="1883" spans="1:16">
      <c r="A1883">
        <v>309.67</v>
      </c>
      <c r="B1883" s="42">
        <v>50.9</v>
      </c>
      <c r="C1883">
        <v>50.01</v>
      </c>
      <c r="D1883">
        <v>49.9</v>
      </c>
      <c r="E1883">
        <v>59.34</v>
      </c>
      <c r="F1883">
        <v>62.84</v>
      </c>
      <c r="G1883">
        <v>79.28</v>
      </c>
      <c r="H1883">
        <v>67.400000000000006</v>
      </c>
      <c r="K1883" s="9">
        <f t="shared" si="204"/>
        <v>-5.9999999999995168E-2</v>
      </c>
      <c r="L1883">
        <f t="shared" si="205"/>
        <v>0</v>
      </c>
      <c r="M1883">
        <f t="shared" si="206"/>
        <v>-1.6700000000000017</v>
      </c>
      <c r="N1883">
        <f t="shared" si="207"/>
        <v>0.32999999999999829</v>
      </c>
      <c r="O1883">
        <f t="shared" si="208"/>
        <v>-0.26999999999999602</v>
      </c>
      <c r="P1883" s="10">
        <f t="shared" si="209"/>
        <v>0.71999999999999886</v>
      </c>
    </row>
    <row r="1884" spans="1:16">
      <c r="A1884">
        <v>309.83</v>
      </c>
      <c r="B1884" s="42">
        <v>51.95</v>
      </c>
      <c r="C1884">
        <v>50.01</v>
      </c>
      <c r="D1884">
        <v>49.78</v>
      </c>
      <c r="E1884">
        <v>58.95</v>
      </c>
      <c r="F1884">
        <v>63.17</v>
      </c>
      <c r="G1884">
        <v>79.17</v>
      </c>
      <c r="H1884">
        <v>67.23</v>
      </c>
      <c r="K1884" s="9">
        <f t="shared" si="204"/>
        <v>0</v>
      </c>
      <c r="L1884">
        <f t="shared" si="205"/>
        <v>0.11999999999999744</v>
      </c>
      <c r="M1884">
        <f t="shared" si="206"/>
        <v>-1.6700000000000017</v>
      </c>
      <c r="N1884">
        <f t="shared" si="207"/>
        <v>0.33999999999999631</v>
      </c>
      <c r="O1884">
        <f t="shared" si="208"/>
        <v>-0.26999999999999602</v>
      </c>
      <c r="P1884" s="10">
        <f t="shared" si="209"/>
        <v>0.78000000000000114</v>
      </c>
    </row>
    <row r="1885" spans="1:16">
      <c r="A1885">
        <v>310</v>
      </c>
      <c r="B1885" s="42">
        <v>52.73</v>
      </c>
      <c r="C1885">
        <v>49.78</v>
      </c>
      <c r="D1885">
        <v>49.78</v>
      </c>
      <c r="E1885">
        <v>57.95</v>
      </c>
      <c r="F1885">
        <v>63.17</v>
      </c>
      <c r="G1885">
        <v>79.010000000000005</v>
      </c>
      <c r="H1885">
        <v>67.56</v>
      </c>
      <c r="K1885" s="9">
        <f t="shared" si="204"/>
        <v>0.11999999999999744</v>
      </c>
      <c r="L1885">
        <f t="shared" si="205"/>
        <v>0.11999999999999744</v>
      </c>
      <c r="M1885">
        <f t="shared" si="206"/>
        <v>-1.3300000000000054</v>
      </c>
      <c r="N1885">
        <f t="shared" si="207"/>
        <v>0.28000000000000114</v>
      </c>
      <c r="O1885">
        <f t="shared" si="208"/>
        <v>-0.17000000000000171</v>
      </c>
      <c r="P1885" s="10">
        <f t="shared" si="209"/>
        <v>0.60999999999999943</v>
      </c>
    </row>
    <row r="1886" spans="1:16">
      <c r="A1886">
        <v>310.17</v>
      </c>
      <c r="B1886" s="42">
        <v>52.84</v>
      </c>
      <c r="C1886">
        <v>49.95</v>
      </c>
      <c r="D1886">
        <v>49.9</v>
      </c>
      <c r="E1886">
        <v>57.67</v>
      </c>
      <c r="F1886">
        <v>63.17</v>
      </c>
      <c r="G1886">
        <v>79.010000000000005</v>
      </c>
      <c r="H1886">
        <v>68.12</v>
      </c>
      <c r="K1886" s="9">
        <f t="shared" si="204"/>
        <v>0.10999999999999943</v>
      </c>
      <c r="L1886">
        <f t="shared" si="205"/>
        <v>0.10999999999999943</v>
      </c>
      <c r="M1886">
        <f t="shared" si="206"/>
        <v>-1.1099999999999994</v>
      </c>
      <c r="N1886">
        <f t="shared" si="207"/>
        <v>0.44999999999999574</v>
      </c>
      <c r="O1886">
        <f t="shared" si="208"/>
        <v>-0.34000000000000341</v>
      </c>
      <c r="P1886" s="10">
        <f t="shared" si="209"/>
        <v>-0.45000000000000284</v>
      </c>
    </row>
    <row r="1887" spans="1:16">
      <c r="A1887">
        <v>310.33</v>
      </c>
      <c r="B1887" s="42">
        <v>52.78</v>
      </c>
      <c r="C1887">
        <v>50.01</v>
      </c>
      <c r="D1887">
        <v>49.9</v>
      </c>
      <c r="E1887">
        <v>57.28</v>
      </c>
      <c r="F1887">
        <v>63.51</v>
      </c>
      <c r="G1887">
        <v>78.900000000000006</v>
      </c>
      <c r="H1887">
        <v>68.010000000000005</v>
      </c>
      <c r="K1887" s="9">
        <f t="shared" si="204"/>
        <v>0.21999999999999886</v>
      </c>
      <c r="L1887">
        <f t="shared" si="205"/>
        <v>0.16000000000000369</v>
      </c>
      <c r="M1887">
        <f t="shared" si="206"/>
        <v>-1.1099999999999994</v>
      </c>
      <c r="N1887">
        <f t="shared" si="207"/>
        <v>-0.22999999999999687</v>
      </c>
      <c r="O1887">
        <f t="shared" si="208"/>
        <v>-0.34000000000000341</v>
      </c>
      <c r="P1887" s="10">
        <f t="shared" si="209"/>
        <v>-1.1700000000000017</v>
      </c>
    </row>
    <row r="1888" spans="1:16">
      <c r="A1888">
        <v>310.5</v>
      </c>
      <c r="B1888" s="42">
        <v>53.23</v>
      </c>
      <c r="C1888">
        <v>49.9</v>
      </c>
      <c r="D1888">
        <v>49.9</v>
      </c>
      <c r="E1888">
        <v>56.62</v>
      </c>
      <c r="F1888">
        <v>63.45</v>
      </c>
      <c r="G1888">
        <v>78.84</v>
      </c>
      <c r="H1888">
        <v>68.17</v>
      </c>
      <c r="K1888" s="9">
        <f t="shared" si="204"/>
        <v>0.21999999999999886</v>
      </c>
      <c r="L1888">
        <f t="shared" si="205"/>
        <v>0.16000000000000369</v>
      </c>
      <c r="M1888">
        <f t="shared" si="206"/>
        <v>-1.1099999999999994</v>
      </c>
      <c r="N1888">
        <f t="shared" si="207"/>
        <v>-0.60999999999999943</v>
      </c>
      <c r="O1888">
        <f t="shared" si="208"/>
        <v>-0.39000000000000057</v>
      </c>
      <c r="P1888" s="10">
        <f t="shared" si="209"/>
        <v>-2.0499999999999972</v>
      </c>
    </row>
    <row r="1889" spans="1:16">
      <c r="A1889">
        <v>310.67</v>
      </c>
      <c r="B1889" s="42">
        <v>53.78</v>
      </c>
      <c r="C1889">
        <v>50.06</v>
      </c>
      <c r="D1889">
        <v>50.01</v>
      </c>
      <c r="E1889">
        <v>56.56</v>
      </c>
      <c r="F1889">
        <v>63.62</v>
      </c>
      <c r="G1889">
        <v>78.67</v>
      </c>
      <c r="H1889">
        <v>67.67</v>
      </c>
      <c r="K1889" s="9">
        <f t="shared" si="204"/>
        <v>-0.60999999999999943</v>
      </c>
      <c r="L1889">
        <f t="shared" si="205"/>
        <v>-0.55999999999999517</v>
      </c>
      <c r="M1889">
        <f t="shared" si="206"/>
        <v>-2.2800000000000011</v>
      </c>
      <c r="N1889">
        <f t="shared" si="207"/>
        <v>-0.94999999999999574</v>
      </c>
      <c r="O1889">
        <f t="shared" si="208"/>
        <v>-0.39000000000000057</v>
      </c>
      <c r="P1889" s="10">
        <f t="shared" si="209"/>
        <v>-2.6599999999999966</v>
      </c>
    </row>
    <row r="1890" spans="1:16">
      <c r="A1890">
        <v>310.83</v>
      </c>
      <c r="B1890" s="42">
        <v>53.34</v>
      </c>
      <c r="C1890">
        <v>50.23</v>
      </c>
      <c r="D1890">
        <v>50.06</v>
      </c>
      <c r="E1890">
        <v>56.17</v>
      </c>
      <c r="F1890">
        <v>63.28</v>
      </c>
      <c r="G1890">
        <v>78.56</v>
      </c>
      <c r="H1890">
        <v>66.84</v>
      </c>
      <c r="K1890" s="9">
        <f t="shared" si="204"/>
        <v>-1</v>
      </c>
      <c r="L1890">
        <f t="shared" si="205"/>
        <v>-0.89000000000000057</v>
      </c>
      <c r="M1890">
        <f t="shared" si="206"/>
        <v>-2.8299999999999983</v>
      </c>
      <c r="N1890">
        <f t="shared" si="207"/>
        <v>-1.1600000000000037</v>
      </c>
      <c r="O1890">
        <f t="shared" si="208"/>
        <v>-0.39000000000000057</v>
      </c>
      <c r="P1890" s="10">
        <f t="shared" si="209"/>
        <v>-2.3900000000000006</v>
      </c>
    </row>
    <row r="1891" spans="1:16">
      <c r="A1891">
        <v>311</v>
      </c>
      <c r="B1891" s="42">
        <v>53.06</v>
      </c>
      <c r="C1891">
        <v>50.12</v>
      </c>
      <c r="D1891">
        <v>50.06</v>
      </c>
      <c r="E1891">
        <v>55.51</v>
      </c>
      <c r="F1891">
        <v>62.84</v>
      </c>
      <c r="G1891">
        <v>78.45</v>
      </c>
      <c r="H1891">
        <v>66.12</v>
      </c>
      <c r="K1891" s="9">
        <f t="shared" si="204"/>
        <v>-0.6699999999999946</v>
      </c>
      <c r="L1891">
        <f t="shared" si="205"/>
        <v>-0.8300000000000054</v>
      </c>
      <c r="M1891">
        <f t="shared" si="206"/>
        <v>-2.3900000000000006</v>
      </c>
      <c r="N1891">
        <f t="shared" si="207"/>
        <v>-1.7800000000000011</v>
      </c>
      <c r="O1891">
        <f t="shared" si="208"/>
        <v>-0.28000000000000114</v>
      </c>
      <c r="P1891" s="10">
        <f t="shared" si="209"/>
        <v>-1.4500000000000028</v>
      </c>
    </row>
    <row r="1892" spans="1:16">
      <c r="A1892">
        <v>311.17</v>
      </c>
      <c r="B1892" s="42">
        <v>52.4</v>
      </c>
      <c r="C1892">
        <v>49.45</v>
      </c>
      <c r="D1892">
        <v>49.45</v>
      </c>
      <c r="E1892">
        <v>54.28</v>
      </c>
      <c r="F1892">
        <v>62.67</v>
      </c>
      <c r="G1892">
        <v>78.28</v>
      </c>
      <c r="H1892">
        <v>65.010000000000005</v>
      </c>
      <c r="K1892" s="9">
        <f t="shared" si="204"/>
        <v>-0.28000000000000114</v>
      </c>
      <c r="L1892">
        <f t="shared" si="205"/>
        <v>-0.28000000000000114</v>
      </c>
      <c r="M1892">
        <f t="shared" si="206"/>
        <v>-1.2199999999999989</v>
      </c>
      <c r="N1892">
        <f t="shared" si="207"/>
        <v>-1.3900000000000006</v>
      </c>
      <c r="O1892">
        <f t="shared" si="208"/>
        <v>-4.9999999999997158E-2</v>
      </c>
      <c r="P1892" s="10">
        <f t="shared" si="209"/>
        <v>0.43999999999999773</v>
      </c>
    </row>
    <row r="1893" spans="1:16">
      <c r="A1893">
        <v>311.33</v>
      </c>
      <c r="B1893" s="42">
        <v>51.17</v>
      </c>
      <c r="C1893">
        <v>49.23</v>
      </c>
      <c r="D1893">
        <v>49.17</v>
      </c>
      <c r="E1893">
        <v>53.34</v>
      </c>
      <c r="F1893">
        <v>62.12</v>
      </c>
      <c r="G1893">
        <v>78.17</v>
      </c>
      <c r="H1893">
        <v>64.45</v>
      </c>
      <c r="K1893" s="9">
        <f t="shared" si="204"/>
        <v>-0.38999999999999346</v>
      </c>
      <c r="L1893">
        <f t="shared" si="205"/>
        <v>-0.27000000000000313</v>
      </c>
      <c r="M1893">
        <f t="shared" si="206"/>
        <v>-0.89000000000000057</v>
      </c>
      <c r="N1893">
        <f t="shared" si="207"/>
        <v>-0.44999999999999574</v>
      </c>
      <c r="O1893">
        <f t="shared" si="208"/>
        <v>0</v>
      </c>
      <c r="P1893" s="10">
        <f t="shared" si="209"/>
        <v>1.7199999999999989</v>
      </c>
    </row>
    <row r="1894" spans="1:16">
      <c r="A1894">
        <v>311.5</v>
      </c>
      <c r="B1894" s="42">
        <v>50.28</v>
      </c>
      <c r="C1894">
        <v>49.45</v>
      </c>
      <c r="D1894">
        <v>49.23</v>
      </c>
      <c r="E1894">
        <v>53.12</v>
      </c>
      <c r="F1894">
        <v>61.06</v>
      </c>
      <c r="G1894">
        <v>78.17</v>
      </c>
      <c r="H1894">
        <v>64.67</v>
      </c>
      <c r="K1894" s="9">
        <f t="shared" si="204"/>
        <v>-1.1099999999999994</v>
      </c>
      <c r="L1894">
        <f t="shared" si="205"/>
        <v>-0.88999999999999346</v>
      </c>
      <c r="M1894">
        <f t="shared" si="206"/>
        <v>-1.3900000000000006</v>
      </c>
      <c r="N1894">
        <f t="shared" si="207"/>
        <v>1.1099999999999994</v>
      </c>
      <c r="O1894">
        <f t="shared" si="208"/>
        <v>6.0000000000002274E-2</v>
      </c>
      <c r="P1894" s="10">
        <f t="shared" si="209"/>
        <v>2.0600000000000023</v>
      </c>
    </row>
    <row r="1895" spans="1:16">
      <c r="A1895">
        <v>311.67</v>
      </c>
      <c r="B1895" s="42">
        <v>49.51</v>
      </c>
      <c r="C1895">
        <v>49.17</v>
      </c>
      <c r="D1895">
        <v>49.17</v>
      </c>
      <c r="E1895">
        <v>53.06</v>
      </c>
      <c r="F1895">
        <v>61.28</v>
      </c>
      <c r="G1895">
        <v>78.23</v>
      </c>
      <c r="H1895">
        <v>65.45</v>
      </c>
      <c r="K1895" s="9">
        <f t="shared" si="204"/>
        <v>-1.3299999999999983</v>
      </c>
      <c r="L1895">
        <f t="shared" si="205"/>
        <v>-1.3299999999999983</v>
      </c>
      <c r="M1895">
        <f t="shared" si="206"/>
        <v>-1.6600000000000037</v>
      </c>
      <c r="N1895">
        <f t="shared" si="207"/>
        <v>1.3399999999999963</v>
      </c>
      <c r="O1895">
        <f t="shared" si="208"/>
        <v>0</v>
      </c>
      <c r="P1895" s="10">
        <f t="shared" si="209"/>
        <v>2.1099999999999994</v>
      </c>
    </row>
    <row r="1896" spans="1:16">
      <c r="A1896">
        <v>311.83</v>
      </c>
      <c r="B1896" s="42">
        <v>48.23</v>
      </c>
      <c r="C1896">
        <v>48.84</v>
      </c>
      <c r="D1896">
        <v>48.9</v>
      </c>
      <c r="E1896">
        <v>52.45</v>
      </c>
      <c r="F1896">
        <v>61.67</v>
      </c>
      <c r="G1896">
        <v>78.17</v>
      </c>
      <c r="H1896">
        <v>66.17</v>
      </c>
      <c r="K1896" s="9">
        <f t="shared" si="204"/>
        <v>-1.3900000000000006</v>
      </c>
      <c r="L1896">
        <f t="shared" si="205"/>
        <v>-1.3900000000000006</v>
      </c>
      <c r="M1896">
        <f t="shared" si="206"/>
        <v>-1.8300000000000054</v>
      </c>
      <c r="N1896">
        <f t="shared" si="207"/>
        <v>1.2299999999999969</v>
      </c>
      <c r="O1896">
        <f t="shared" si="208"/>
        <v>0.10999999999999943</v>
      </c>
      <c r="P1896" s="10">
        <f t="shared" si="209"/>
        <v>2.3400000000000034</v>
      </c>
    </row>
    <row r="1897" spans="1:16">
      <c r="A1897">
        <v>312</v>
      </c>
      <c r="B1897" s="42">
        <v>47.17</v>
      </c>
      <c r="C1897">
        <v>48.34</v>
      </c>
      <c r="D1897">
        <v>48.34</v>
      </c>
      <c r="E1897">
        <v>51.73</v>
      </c>
      <c r="F1897">
        <v>62.17</v>
      </c>
      <c r="G1897">
        <v>78.23</v>
      </c>
      <c r="H1897">
        <v>66.73</v>
      </c>
      <c r="K1897" s="9">
        <f t="shared" si="204"/>
        <v>-1.1100000000000065</v>
      </c>
      <c r="L1897">
        <f t="shared" si="205"/>
        <v>-1.1700000000000017</v>
      </c>
      <c r="M1897">
        <f t="shared" si="206"/>
        <v>-2</v>
      </c>
      <c r="N1897">
        <f t="shared" si="207"/>
        <v>1.2299999999999969</v>
      </c>
      <c r="O1897">
        <f t="shared" si="208"/>
        <v>0.17000000000000171</v>
      </c>
      <c r="P1897" s="10">
        <f t="shared" si="209"/>
        <v>2.2800000000000011</v>
      </c>
    </row>
    <row r="1898" spans="1:16">
      <c r="A1898">
        <v>312.17</v>
      </c>
      <c r="B1898" s="42">
        <v>45.45</v>
      </c>
      <c r="C1898">
        <v>47.84</v>
      </c>
      <c r="D1898">
        <v>47.84</v>
      </c>
      <c r="E1898">
        <v>51.4</v>
      </c>
      <c r="F1898">
        <v>62.62</v>
      </c>
      <c r="G1898">
        <v>78.23</v>
      </c>
      <c r="H1898">
        <v>67.56</v>
      </c>
      <c r="K1898" s="9">
        <f t="shared" si="204"/>
        <v>-0.89000000000000057</v>
      </c>
      <c r="L1898">
        <f t="shared" si="205"/>
        <v>-0.89000000000000057</v>
      </c>
      <c r="M1898">
        <f t="shared" si="206"/>
        <v>-2.5</v>
      </c>
      <c r="N1898">
        <f t="shared" si="207"/>
        <v>0.94000000000000483</v>
      </c>
      <c r="O1898">
        <f t="shared" si="208"/>
        <v>0.17000000000000171</v>
      </c>
      <c r="P1898" s="10">
        <f t="shared" si="209"/>
        <v>2.4500000000000028</v>
      </c>
    </row>
    <row r="1899" spans="1:16">
      <c r="A1899">
        <v>312.33</v>
      </c>
      <c r="B1899" s="42">
        <v>44.06</v>
      </c>
      <c r="C1899">
        <v>47.45</v>
      </c>
      <c r="D1899">
        <v>47.51</v>
      </c>
      <c r="E1899">
        <v>50.62</v>
      </c>
      <c r="F1899">
        <v>62.9</v>
      </c>
      <c r="G1899">
        <v>78.28</v>
      </c>
      <c r="H1899">
        <v>68.510000000000005</v>
      </c>
      <c r="K1899" s="9">
        <f t="shared" si="204"/>
        <v>-0.94000000000000483</v>
      </c>
      <c r="L1899">
        <f t="shared" si="205"/>
        <v>-0.89000000000000057</v>
      </c>
      <c r="M1899">
        <f t="shared" si="206"/>
        <v>-2.3900000000000006</v>
      </c>
      <c r="N1899">
        <f t="shared" si="207"/>
        <v>1.1600000000000037</v>
      </c>
      <c r="O1899">
        <f t="shared" si="208"/>
        <v>0.34000000000000341</v>
      </c>
      <c r="P1899" s="10">
        <f t="shared" si="209"/>
        <v>2.1099999999999994</v>
      </c>
    </row>
    <row r="1900" spans="1:16">
      <c r="A1900">
        <v>312.5</v>
      </c>
      <c r="B1900" s="42">
        <v>42.67</v>
      </c>
      <c r="C1900">
        <v>47.23</v>
      </c>
      <c r="D1900">
        <v>47.17</v>
      </c>
      <c r="E1900">
        <v>49.73</v>
      </c>
      <c r="F1900">
        <v>63.4</v>
      </c>
      <c r="G1900">
        <v>78.400000000000006</v>
      </c>
      <c r="H1900">
        <v>69.010000000000005</v>
      </c>
      <c r="K1900" s="9">
        <f t="shared" si="204"/>
        <v>-1.0599999999999952</v>
      </c>
      <c r="L1900">
        <f t="shared" si="205"/>
        <v>-1</v>
      </c>
      <c r="M1900">
        <f t="shared" si="206"/>
        <v>-2.1099999999999994</v>
      </c>
      <c r="N1900">
        <f t="shared" si="207"/>
        <v>1.0500000000000043</v>
      </c>
      <c r="O1900">
        <f t="shared" si="208"/>
        <v>0.32999999999999829</v>
      </c>
      <c r="P1900" s="10">
        <f t="shared" si="209"/>
        <v>2.6099999999999994</v>
      </c>
    </row>
    <row r="1901" spans="1:16">
      <c r="A1901">
        <v>312.67</v>
      </c>
      <c r="B1901" s="42">
        <v>41.73</v>
      </c>
      <c r="C1901">
        <v>46.95</v>
      </c>
      <c r="D1901">
        <v>46.95</v>
      </c>
      <c r="E1901">
        <v>48.9</v>
      </c>
      <c r="F1901">
        <v>63.56</v>
      </c>
      <c r="G1901">
        <v>78.400000000000006</v>
      </c>
      <c r="H1901">
        <v>70.010000000000005</v>
      </c>
      <c r="K1901" s="9">
        <f t="shared" si="204"/>
        <v>-1.1700000000000017</v>
      </c>
      <c r="L1901">
        <f t="shared" si="205"/>
        <v>-1.1700000000000017</v>
      </c>
      <c r="M1901">
        <f t="shared" si="206"/>
        <v>-2</v>
      </c>
      <c r="N1901">
        <f t="shared" si="207"/>
        <v>1.1700000000000017</v>
      </c>
      <c r="O1901">
        <f t="shared" si="208"/>
        <v>0.43999999999999773</v>
      </c>
      <c r="P1901" s="10">
        <f t="shared" si="209"/>
        <v>2.269999999999996</v>
      </c>
    </row>
    <row r="1902" spans="1:16">
      <c r="A1902">
        <v>312.83</v>
      </c>
      <c r="B1902" s="42">
        <v>40.9</v>
      </c>
      <c r="C1902">
        <v>46.51</v>
      </c>
      <c r="D1902">
        <v>46.62</v>
      </c>
      <c r="E1902">
        <v>48.23</v>
      </c>
      <c r="F1902">
        <v>64.06</v>
      </c>
      <c r="G1902">
        <v>78.62</v>
      </c>
      <c r="H1902">
        <v>70.62</v>
      </c>
      <c r="K1902" s="9">
        <f t="shared" si="204"/>
        <v>-0.94999999999999574</v>
      </c>
      <c r="L1902">
        <f t="shared" si="205"/>
        <v>-1.0599999999999952</v>
      </c>
      <c r="M1902">
        <f t="shared" si="206"/>
        <v>-1.6699999999999946</v>
      </c>
      <c r="N1902">
        <f t="shared" si="207"/>
        <v>0.95000000000000284</v>
      </c>
      <c r="O1902">
        <f t="shared" si="208"/>
        <v>0.32999999999999829</v>
      </c>
      <c r="P1902" s="10">
        <f t="shared" si="209"/>
        <v>2.5499999999999972</v>
      </c>
    </row>
    <row r="1903" spans="1:16">
      <c r="A1903">
        <v>313</v>
      </c>
      <c r="B1903" s="42">
        <v>40.119999999999997</v>
      </c>
      <c r="C1903">
        <v>46.17</v>
      </c>
      <c r="D1903">
        <v>46.17</v>
      </c>
      <c r="E1903">
        <v>47.62</v>
      </c>
      <c r="F1903">
        <v>64.45</v>
      </c>
      <c r="G1903">
        <v>78.73</v>
      </c>
      <c r="H1903">
        <v>71.62</v>
      </c>
      <c r="K1903" s="9">
        <f t="shared" si="204"/>
        <v>-0.82999999999999829</v>
      </c>
      <c r="L1903">
        <f t="shared" si="205"/>
        <v>-0.77000000000000313</v>
      </c>
      <c r="M1903">
        <f t="shared" si="206"/>
        <v>-1.3399999999999963</v>
      </c>
      <c r="N1903">
        <f t="shared" si="207"/>
        <v>0.78000000000000114</v>
      </c>
      <c r="O1903">
        <f t="shared" si="208"/>
        <v>0.43999999999999773</v>
      </c>
      <c r="P1903" s="10">
        <f t="shared" si="209"/>
        <v>2.1599999999999966</v>
      </c>
    </row>
    <row r="1904" spans="1:16">
      <c r="A1904">
        <v>313.17</v>
      </c>
      <c r="B1904" s="42">
        <v>39.51</v>
      </c>
      <c r="C1904">
        <v>45.78</v>
      </c>
      <c r="D1904">
        <v>45.78</v>
      </c>
      <c r="E1904">
        <v>46.9</v>
      </c>
      <c r="F1904">
        <v>64.73</v>
      </c>
      <c r="G1904">
        <v>78.84</v>
      </c>
      <c r="H1904">
        <v>72.28</v>
      </c>
      <c r="K1904" s="9">
        <f t="shared" si="204"/>
        <v>-0.55000000000000426</v>
      </c>
      <c r="L1904">
        <f t="shared" si="205"/>
        <v>-0.60999999999999943</v>
      </c>
      <c r="M1904">
        <f t="shared" si="206"/>
        <v>-1.1199999999999974</v>
      </c>
      <c r="N1904">
        <f t="shared" si="207"/>
        <v>0.67000000000000171</v>
      </c>
      <c r="O1904">
        <f t="shared" si="208"/>
        <v>0.56000000000000227</v>
      </c>
      <c r="P1904" s="10">
        <f t="shared" si="209"/>
        <v>2.1200000000000045</v>
      </c>
    </row>
    <row r="1905" spans="1:16">
      <c r="A1905">
        <v>313.33</v>
      </c>
      <c r="B1905" s="42">
        <v>39.01</v>
      </c>
      <c r="C1905">
        <v>45.56</v>
      </c>
      <c r="D1905">
        <v>45.56</v>
      </c>
      <c r="E1905">
        <v>46.56</v>
      </c>
      <c r="F1905">
        <v>65.010000000000005</v>
      </c>
      <c r="G1905">
        <v>78.95</v>
      </c>
      <c r="H1905">
        <v>73.17</v>
      </c>
      <c r="K1905" s="9">
        <f t="shared" si="204"/>
        <v>-0.3300000000000054</v>
      </c>
      <c r="L1905">
        <f t="shared" si="205"/>
        <v>-0.39000000000000057</v>
      </c>
      <c r="M1905">
        <f t="shared" si="206"/>
        <v>-1.2800000000000011</v>
      </c>
      <c r="N1905">
        <f t="shared" si="207"/>
        <v>0.60999999999999943</v>
      </c>
      <c r="O1905">
        <f t="shared" si="208"/>
        <v>0.56000000000000227</v>
      </c>
      <c r="P1905" s="10">
        <f t="shared" si="209"/>
        <v>1.5</v>
      </c>
    </row>
    <row r="1906" spans="1:16">
      <c r="A1906">
        <v>313.5</v>
      </c>
      <c r="B1906" s="42">
        <v>38.840000000000003</v>
      </c>
      <c r="C1906">
        <v>45.34</v>
      </c>
      <c r="D1906">
        <v>45.4</v>
      </c>
      <c r="E1906">
        <v>46.28</v>
      </c>
      <c r="F1906">
        <v>65.23</v>
      </c>
      <c r="G1906">
        <v>79.17</v>
      </c>
      <c r="H1906">
        <v>73.78</v>
      </c>
      <c r="K1906" s="9">
        <f t="shared" si="204"/>
        <v>-0.17000000000000171</v>
      </c>
      <c r="L1906">
        <f t="shared" si="205"/>
        <v>-0.33999999999999631</v>
      </c>
      <c r="M1906">
        <f t="shared" si="206"/>
        <v>-1.3299999999999983</v>
      </c>
      <c r="N1906">
        <f t="shared" si="207"/>
        <v>0.54999999999999716</v>
      </c>
      <c r="O1906">
        <f t="shared" si="208"/>
        <v>0.60999999999999943</v>
      </c>
      <c r="P1906" s="10">
        <f t="shared" si="209"/>
        <v>1.6200000000000045</v>
      </c>
    </row>
    <row r="1907" spans="1:16">
      <c r="A1907">
        <v>313.67</v>
      </c>
      <c r="B1907" s="42">
        <v>38.78</v>
      </c>
      <c r="C1907">
        <v>45.23</v>
      </c>
      <c r="D1907">
        <v>45.17</v>
      </c>
      <c r="E1907">
        <v>45.78</v>
      </c>
      <c r="F1907">
        <v>65.400000000000006</v>
      </c>
      <c r="G1907">
        <v>79.400000000000006</v>
      </c>
      <c r="H1907">
        <v>74.400000000000006</v>
      </c>
      <c r="K1907" s="9">
        <f t="shared" si="204"/>
        <v>-5.9999999999995168E-2</v>
      </c>
      <c r="L1907">
        <f t="shared" si="205"/>
        <v>-5.0000000000004263E-2</v>
      </c>
      <c r="M1907">
        <f t="shared" si="206"/>
        <v>-1.1600000000000037</v>
      </c>
      <c r="N1907">
        <f t="shared" si="207"/>
        <v>0.54999999999999716</v>
      </c>
      <c r="O1907">
        <f t="shared" si="208"/>
        <v>0.43999999999999773</v>
      </c>
      <c r="P1907" s="10">
        <f t="shared" si="209"/>
        <v>1.5</v>
      </c>
    </row>
    <row r="1908" spans="1:16">
      <c r="A1908">
        <v>313.83</v>
      </c>
      <c r="B1908" s="42">
        <v>38.950000000000003</v>
      </c>
      <c r="C1908">
        <v>45.23</v>
      </c>
      <c r="D1908">
        <v>45.17</v>
      </c>
      <c r="E1908">
        <v>45.28</v>
      </c>
      <c r="F1908">
        <v>65.62</v>
      </c>
      <c r="G1908">
        <v>79.510000000000005</v>
      </c>
      <c r="H1908">
        <v>74.67</v>
      </c>
      <c r="K1908" s="9">
        <f t="shared" si="204"/>
        <v>5.0000000000004263E-2</v>
      </c>
      <c r="L1908">
        <f t="shared" si="205"/>
        <v>0</v>
      </c>
      <c r="M1908">
        <f t="shared" si="206"/>
        <v>-0.93999999999999773</v>
      </c>
      <c r="N1908">
        <f t="shared" si="207"/>
        <v>0.43999999999999773</v>
      </c>
      <c r="O1908">
        <f t="shared" si="208"/>
        <v>0.60999999999999943</v>
      </c>
      <c r="P1908" s="10">
        <f t="shared" si="209"/>
        <v>1.6700000000000017</v>
      </c>
    </row>
    <row r="1909" spans="1:16">
      <c r="A1909">
        <v>314</v>
      </c>
      <c r="B1909" s="42">
        <v>38.729999999999997</v>
      </c>
      <c r="C1909">
        <v>45.17</v>
      </c>
      <c r="D1909">
        <v>45.06</v>
      </c>
      <c r="E1909">
        <v>44.95</v>
      </c>
      <c r="F1909">
        <v>65.78</v>
      </c>
      <c r="G1909">
        <v>79.78</v>
      </c>
      <c r="H1909">
        <v>75.400000000000006</v>
      </c>
      <c r="K1909" s="9">
        <f t="shared" si="204"/>
        <v>0.17000000000000171</v>
      </c>
      <c r="L1909">
        <f t="shared" si="205"/>
        <v>0.10999999999999943</v>
      </c>
      <c r="M1909">
        <f t="shared" si="206"/>
        <v>-0.5</v>
      </c>
      <c r="N1909">
        <f t="shared" si="207"/>
        <v>0.73000000000000398</v>
      </c>
      <c r="O1909">
        <f t="shared" si="208"/>
        <v>0.5</v>
      </c>
      <c r="P1909" s="10">
        <f t="shared" si="209"/>
        <v>1.5499999999999972</v>
      </c>
    </row>
    <row r="1910" spans="1:16">
      <c r="A1910">
        <v>314.17</v>
      </c>
      <c r="B1910" s="42">
        <v>38.56</v>
      </c>
      <c r="C1910">
        <v>45.17</v>
      </c>
      <c r="D1910">
        <v>45.12</v>
      </c>
      <c r="E1910">
        <v>44.62</v>
      </c>
      <c r="F1910">
        <v>65.95</v>
      </c>
      <c r="G1910">
        <v>79.84</v>
      </c>
      <c r="H1910">
        <v>75.900000000000006</v>
      </c>
      <c r="K1910" s="9">
        <f t="shared" si="204"/>
        <v>0.17000000000000171</v>
      </c>
      <c r="L1910">
        <f t="shared" si="205"/>
        <v>0.16000000000000369</v>
      </c>
      <c r="M1910">
        <f t="shared" si="206"/>
        <v>0</v>
      </c>
      <c r="N1910">
        <f t="shared" si="207"/>
        <v>0.89000000000000057</v>
      </c>
      <c r="O1910">
        <f t="shared" si="208"/>
        <v>0.67000000000000171</v>
      </c>
      <c r="P1910" s="10">
        <f t="shared" si="209"/>
        <v>1.1099999999999994</v>
      </c>
    </row>
    <row r="1911" spans="1:16">
      <c r="A1911">
        <v>314.33</v>
      </c>
      <c r="B1911" s="42">
        <v>38.340000000000003</v>
      </c>
      <c r="C1911">
        <v>45.28</v>
      </c>
      <c r="D1911">
        <v>45.17</v>
      </c>
      <c r="E1911">
        <v>44.34</v>
      </c>
      <c r="F1911">
        <v>66.06</v>
      </c>
      <c r="G1911">
        <v>80.12</v>
      </c>
      <c r="H1911">
        <v>76.34</v>
      </c>
      <c r="K1911" s="9">
        <f t="shared" si="204"/>
        <v>-5.0000000000004263E-2</v>
      </c>
      <c r="L1911">
        <f t="shared" si="205"/>
        <v>0</v>
      </c>
      <c r="M1911">
        <f t="shared" si="206"/>
        <v>0.10999999999999943</v>
      </c>
      <c r="N1911">
        <f t="shared" si="207"/>
        <v>1</v>
      </c>
      <c r="O1911">
        <f t="shared" si="208"/>
        <v>0.54999999999999716</v>
      </c>
      <c r="P1911" s="10">
        <f t="shared" si="209"/>
        <v>1.1099999999999994</v>
      </c>
    </row>
    <row r="1912" spans="1:16">
      <c r="A1912">
        <v>314.5</v>
      </c>
      <c r="B1912" s="42">
        <v>38.119999999999997</v>
      </c>
      <c r="C1912">
        <v>45.34</v>
      </c>
      <c r="D1912">
        <v>45.17</v>
      </c>
      <c r="E1912">
        <v>44.45</v>
      </c>
      <c r="F1912">
        <v>66.510000000000005</v>
      </c>
      <c r="G1912">
        <v>80.28</v>
      </c>
      <c r="H1912">
        <v>76.95</v>
      </c>
      <c r="K1912" s="9">
        <f t="shared" si="204"/>
        <v>-0.3300000000000054</v>
      </c>
      <c r="L1912">
        <f t="shared" si="205"/>
        <v>-0.16000000000000369</v>
      </c>
      <c r="M1912">
        <f t="shared" si="206"/>
        <v>-0.17000000000000171</v>
      </c>
      <c r="N1912">
        <f t="shared" si="207"/>
        <v>0.71999999999999886</v>
      </c>
      <c r="O1912">
        <f t="shared" si="208"/>
        <v>0.62000000000000455</v>
      </c>
      <c r="P1912" s="10">
        <f t="shared" si="209"/>
        <v>0.60999999999999943</v>
      </c>
    </row>
    <row r="1913" spans="1:16">
      <c r="A1913">
        <v>314.67</v>
      </c>
      <c r="B1913" s="42">
        <v>37.950000000000003</v>
      </c>
      <c r="C1913">
        <v>45.34</v>
      </c>
      <c r="D1913">
        <v>45.28</v>
      </c>
      <c r="E1913">
        <v>44.62</v>
      </c>
      <c r="F1913">
        <v>66.84</v>
      </c>
      <c r="G1913">
        <v>80.510000000000005</v>
      </c>
      <c r="H1913">
        <v>77.010000000000005</v>
      </c>
      <c r="K1913" s="9">
        <f t="shared" si="204"/>
        <v>-0.44000000000000483</v>
      </c>
      <c r="L1913">
        <f t="shared" si="205"/>
        <v>-0.43999999999999773</v>
      </c>
      <c r="M1913">
        <f t="shared" si="206"/>
        <v>-0.71999999999999886</v>
      </c>
      <c r="N1913">
        <f t="shared" si="207"/>
        <v>0.56000000000000227</v>
      </c>
      <c r="O1913">
        <f t="shared" si="208"/>
        <v>0.54999999999999716</v>
      </c>
      <c r="P1913" s="10">
        <f t="shared" si="209"/>
        <v>0.89000000000000057</v>
      </c>
    </row>
    <row r="1914" spans="1:16">
      <c r="A1914">
        <v>314.83</v>
      </c>
      <c r="B1914" s="42">
        <v>37.840000000000003</v>
      </c>
      <c r="C1914">
        <v>45.23</v>
      </c>
      <c r="D1914">
        <v>45.17</v>
      </c>
      <c r="E1914">
        <v>44.45</v>
      </c>
      <c r="F1914">
        <v>67.06</v>
      </c>
      <c r="G1914">
        <v>80.67</v>
      </c>
      <c r="H1914">
        <v>77.45</v>
      </c>
      <c r="K1914" s="9">
        <f t="shared" si="204"/>
        <v>-0.38999999999999346</v>
      </c>
      <c r="L1914">
        <f t="shared" si="205"/>
        <v>-0.39000000000000057</v>
      </c>
      <c r="M1914">
        <f t="shared" si="206"/>
        <v>-0.8300000000000054</v>
      </c>
      <c r="N1914">
        <f t="shared" si="207"/>
        <v>0.56000000000000227</v>
      </c>
      <c r="O1914">
        <f t="shared" si="208"/>
        <v>0.56000000000000227</v>
      </c>
      <c r="P1914" s="10">
        <f t="shared" si="209"/>
        <v>1.2199999999999989</v>
      </c>
    </row>
    <row r="1915" spans="1:16">
      <c r="A1915">
        <v>315</v>
      </c>
      <c r="B1915" s="42">
        <v>37.28</v>
      </c>
      <c r="C1915">
        <v>45.01</v>
      </c>
      <c r="D1915">
        <v>45.01</v>
      </c>
      <c r="E1915">
        <v>44.28</v>
      </c>
      <c r="F1915">
        <v>67.23</v>
      </c>
      <c r="G1915">
        <v>80.900000000000006</v>
      </c>
      <c r="H1915">
        <v>77.56</v>
      </c>
      <c r="K1915" s="9">
        <f t="shared" si="204"/>
        <v>-0.1699999999999946</v>
      </c>
      <c r="L1915">
        <f t="shared" si="205"/>
        <v>-0.22999999999999687</v>
      </c>
      <c r="M1915">
        <f t="shared" si="206"/>
        <v>-0.93999999999999773</v>
      </c>
      <c r="N1915">
        <f t="shared" si="207"/>
        <v>0.71999999999999886</v>
      </c>
      <c r="O1915">
        <f t="shared" si="208"/>
        <v>0.43999999999999773</v>
      </c>
      <c r="P1915" s="10">
        <f t="shared" si="209"/>
        <v>1.2199999999999989</v>
      </c>
    </row>
    <row r="1916" spans="1:16">
      <c r="A1916">
        <v>315.17</v>
      </c>
      <c r="B1916" s="42">
        <v>36.950000000000003</v>
      </c>
      <c r="C1916">
        <v>44.9</v>
      </c>
      <c r="D1916">
        <v>44.84</v>
      </c>
      <c r="E1916">
        <v>43.9</v>
      </c>
      <c r="F1916">
        <v>67.400000000000006</v>
      </c>
      <c r="G1916">
        <v>81.06</v>
      </c>
      <c r="H1916">
        <v>77.900000000000006</v>
      </c>
      <c r="K1916" s="9">
        <f t="shared" si="204"/>
        <v>-0.11999999999999744</v>
      </c>
      <c r="L1916">
        <f t="shared" si="205"/>
        <v>-0.11000000000000654</v>
      </c>
      <c r="M1916">
        <f t="shared" si="206"/>
        <v>-0.55999999999999517</v>
      </c>
      <c r="N1916">
        <f t="shared" si="207"/>
        <v>0.76999999999999602</v>
      </c>
      <c r="O1916">
        <f t="shared" si="208"/>
        <v>0.39000000000000057</v>
      </c>
      <c r="P1916" s="10">
        <f t="shared" si="209"/>
        <v>0.71999999999999886</v>
      </c>
    </row>
    <row r="1917" spans="1:16">
      <c r="A1917">
        <v>315.33</v>
      </c>
      <c r="B1917" s="42">
        <v>36.450000000000003</v>
      </c>
      <c r="C1917">
        <v>44.84</v>
      </c>
      <c r="D1917">
        <v>44.78</v>
      </c>
      <c r="E1917">
        <v>43.62</v>
      </c>
      <c r="F1917">
        <v>67.62</v>
      </c>
      <c r="G1917">
        <v>81.23</v>
      </c>
      <c r="H1917">
        <v>78.67</v>
      </c>
      <c r="K1917" s="9">
        <f t="shared" si="204"/>
        <v>-0.17000000000000171</v>
      </c>
      <c r="L1917">
        <f t="shared" si="205"/>
        <v>-0.21999999999999886</v>
      </c>
      <c r="M1917">
        <f t="shared" si="206"/>
        <v>-0.27999999999999403</v>
      </c>
      <c r="N1917">
        <f t="shared" si="207"/>
        <v>0.78000000000000114</v>
      </c>
      <c r="O1917">
        <f t="shared" si="208"/>
        <v>0.32999999999999829</v>
      </c>
      <c r="P1917" s="10">
        <f t="shared" si="209"/>
        <v>0.10999999999999943</v>
      </c>
    </row>
    <row r="1918" spans="1:16">
      <c r="A1918">
        <v>315.5</v>
      </c>
      <c r="B1918" s="42">
        <v>36.119999999999997</v>
      </c>
      <c r="C1918">
        <v>44.84</v>
      </c>
      <c r="D1918">
        <v>44.78</v>
      </c>
      <c r="E1918">
        <v>43.34</v>
      </c>
      <c r="F1918">
        <v>67.95</v>
      </c>
      <c r="G1918">
        <v>81.34</v>
      </c>
      <c r="H1918">
        <v>78.78</v>
      </c>
      <c r="K1918" s="9">
        <f t="shared" si="204"/>
        <v>-0.28000000000000114</v>
      </c>
      <c r="L1918">
        <f t="shared" si="205"/>
        <v>-0.32999999999999829</v>
      </c>
      <c r="M1918">
        <f t="shared" si="206"/>
        <v>0.27999999999999403</v>
      </c>
      <c r="N1918">
        <f t="shared" si="207"/>
        <v>0.56000000000000227</v>
      </c>
      <c r="O1918">
        <f t="shared" si="208"/>
        <v>0.32999999999999829</v>
      </c>
      <c r="P1918" s="10">
        <f t="shared" si="209"/>
        <v>0.34000000000000341</v>
      </c>
    </row>
    <row r="1919" spans="1:16">
      <c r="A1919">
        <v>315.67</v>
      </c>
      <c r="B1919" s="42">
        <v>35.950000000000003</v>
      </c>
      <c r="C1919">
        <v>44.78</v>
      </c>
      <c r="D1919">
        <v>44.73</v>
      </c>
      <c r="E1919">
        <v>43.34</v>
      </c>
      <c r="F1919">
        <v>68.17</v>
      </c>
      <c r="G1919">
        <v>81.45</v>
      </c>
      <c r="H1919">
        <v>78.62</v>
      </c>
      <c r="K1919" s="9">
        <f t="shared" si="204"/>
        <v>-0.21999999999999886</v>
      </c>
      <c r="L1919">
        <f t="shared" si="205"/>
        <v>-0.27999999999999403</v>
      </c>
      <c r="M1919">
        <f t="shared" si="206"/>
        <v>0.55999999999999517</v>
      </c>
      <c r="N1919">
        <f t="shared" si="207"/>
        <v>0.45000000000000284</v>
      </c>
      <c r="O1919">
        <f t="shared" si="208"/>
        <v>0.32999999999999829</v>
      </c>
      <c r="P1919" s="10">
        <f t="shared" si="209"/>
        <v>0.78000000000000114</v>
      </c>
    </row>
    <row r="1920" spans="1:16">
      <c r="A1920">
        <v>315.83</v>
      </c>
      <c r="B1920" s="42">
        <v>35.9</v>
      </c>
      <c r="C1920">
        <v>44.67</v>
      </c>
      <c r="D1920">
        <v>44.56</v>
      </c>
      <c r="E1920">
        <v>43.34</v>
      </c>
      <c r="F1920">
        <v>68.400000000000006</v>
      </c>
      <c r="G1920">
        <v>81.56</v>
      </c>
      <c r="H1920">
        <v>78.78</v>
      </c>
      <c r="K1920" s="9">
        <f t="shared" si="204"/>
        <v>0.17000000000000171</v>
      </c>
      <c r="L1920">
        <f t="shared" si="205"/>
        <v>0.10999999999999943</v>
      </c>
      <c r="M1920">
        <f t="shared" si="206"/>
        <v>0.82999999999999829</v>
      </c>
      <c r="N1920">
        <f t="shared" si="207"/>
        <v>0.26999999999999602</v>
      </c>
      <c r="O1920">
        <f t="shared" si="208"/>
        <v>0.34000000000000341</v>
      </c>
      <c r="P1920" s="10">
        <f t="shared" si="209"/>
        <v>0.89000000000000057</v>
      </c>
    </row>
    <row r="1921" spans="1:16">
      <c r="A1921">
        <v>316</v>
      </c>
      <c r="B1921" s="42">
        <v>35.9</v>
      </c>
      <c r="C1921">
        <v>44.56</v>
      </c>
      <c r="D1921">
        <v>44.45</v>
      </c>
      <c r="E1921">
        <v>43.62</v>
      </c>
      <c r="F1921">
        <v>68.510000000000005</v>
      </c>
      <c r="G1921">
        <v>81.67</v>
      </c>
      <c r="H1921">
        <v>79.12</v>
      </c>
      <c r="K1921" s="9">
        <f t="shared" si="204"/>
        <v>0.78000000000000114</v>
      </c>
      <c r="L1921">
        <f t="shared" si="205"/>
        <v>0.71999999999999886</v>
      </c>
      <c r="M1921">
        <f t="shared" si="206"/>
        <v>0.78000000000000114</v>
      </c>
      <c r="N1921">
        <f t="shared" si="207"/>
        <v>0.15999999999999659</v>
      </c>
      <c r="O1921">
        <f t="shared" si="208"/>
        <v>0.23000000000000398</v>
      </c>
      <c r="P1921" s="10">
        <f t="shared" si="209"/>
        <v>0.65999999999999659</v>
      </c>
    </row>
    <row r="1922" spans="1:16">
      <c r="A1922">
        <v>316.17</v>
      </c>
      <c r="B1922" s="42">
        <v>36.06</v>
      </c>
      <c r="C1922">
        <v>44.56</v>
      </c>
      <c r="D1922">
        <v>44.45</v>
      </c>
      <c r="E1922">
        <v>43.9</v>
      </c>
      <c r="F1922">
        <v>68.62</v>
      </c>
      <c r="G1922">
        <v>81.78</v>
      </c>
      <c r="H1922">
        <v>79.400000000000006</v>
      </c>
      <c r="K1922" s="9">
        <f t="shared" si="204"/>
        <v>1</v>
      </c>
      <c r="L1922">
        <f t="shared" si="205"/>
        <v>1</v>
      </c>
      <c r="M1922">
        <f t="shared" si="206"/>
        <v>0.55000000000000426</v>
      </c>
      <c r="N1922">
        <f t="shared" si="207"/>
        <v>0.32999999999999829</v>
      </c>
      <c r="O1922">
        <f t="shared" si="208"/>
        <v>0.34000000000000341</v>
      </c>
      <c r="P1922" s="10">
        <f t="shared" si="209"/>
        <v>0.87999999999999545</v>
      </c>
    </row>
    <row r="1923" spans="1:16">
      <c r="A1923">
        <v>316.33</v>
      </c>
      <c r="B1923" s="42">
        <v>36.51</v>
      </c>
      <c r="C1923">
        <v>44.84</v>
      </c>
      <c r="D1923">
        <v>44.67</v>
      </c>
      <c r="E1923">
        <v>44.17</v>
      </c>
      <c r="F1923">
        <v>68.67</v>
      </c>
      <c r="G1923">
        <v>81.900000000000006</v>
      </c>
      <c r="H1923">
        <v>79.67</v>
      </c>
      <c r="K1923" s="9">
        <f t="shared" si="204"/>
        <v>0.71999999999999886</v>
      </c>
      <c r="L1923">
        <f t="shared" si="205"/>
        <v>0.83999999999999631</v>
      </c>
      <c r="M1923">
        <f t="shared" si="206"/>
        <v>0.72999999999999687</v>
      </c>
      <c r="N1923">
        <f t="shared" si="207"/>
        <v>0.45000000000000284</v>
      </c>
      <c r="O1923">
        <f t="shared" si="208"/>
        <v>0.26999999999999602</v>
      </c>
      <c r="P1923" s="10">
        <f t="shared" si="209"/>
        <v>0.23000000000000398</v>
      </c>
    </row>
    <row r="1924" spans="1:16">
      <c r="A1924">
        <v>316.5</v>
      </c>
      <c r="B1924" s="42">
        <v>37.119999999999997</v>
      </c>
      <c r="C1924">
        <v>45.34</v>
      </c>
      <c r="D1924">
        <v>45.17</v>
      </c>
      <c r="E1924">
        <v>44.4</v>
      </c>
      <c r="F1924">
        <v>68.67</v>
      </c>
      <c r="G1924">
        <v>81.900000000000006</v>
      </c>
      <c r="H1924">
        <v>79.78</v>
      </c>
      <c r="K1924" s="9">
        <f t="shared" si="204"/>
        <v>0.10999999999999943</v>
      </c>
      <c r="L1924">
        <f t="shared" si="205"/>
        <v>0.22999999999999687</v>
      </c>
      <c r="M1924">
        <f t="shared" si="206"/>
        <v>0.16000000000000369</v>
      </c>
      <c r="N1924">
        <f t="shared" si="207"/>
        <v>0.56000000000000227</v>
      </c>
      <c r="O1924">
        <f t="shared" si="208"/>
        <v>0.37999999999999545</v>
      </c>
      <c r="P1924" s="10">
        <f t="shared" si="209"/>
        <v>0.62000000000000455</v>
      </c>
    </row>
    <row r="1925" spans="1:16">
      <c r="A1925">
        <v>316.67</v>
      </c>
      <c r="B1925" s="42">
        <v>37.17</v>
      </c>
      <c r="C1925">
        <v>45.56</v>
      </c>
      <c r="D1925">
        <v>45.45</v>
      </c>
      <c r="E1925">
        <v>44.45</v>
      </c>
      <c r="F1925">
        <v>68.95</v>
      </c>
      <c r="G1925">
        <v>82.12</v>
      </c>
      <c r="H1925">
        <v>80.28</v>
      </c>
      <c r="K1925" s="9">
        <f t="shared" si="204"/>
        <v>-0.10999999999999943</v>
      </c>
      <c r="L1925">
        <f t="shared" si="205"/>
        <v>-0.10999999999999943</v>
      </c>
      <c r="M1925">
        <f t="shared" si="206"/>
        <v>-5.0000000000004263E-2</v>
      </c>
      <c r="N1925">
        <f t="shared" si="207"/>
        <v>0.39000000000000057</v>
      </c>
      <c r="O1925">
        <f t="shared" si="208"/>
        <v>0.32999999999999829</v>
      </c>
      <c r="P1925" s="10">
        <f t="shared" si="209"/>
        <v>0.5</v>
      </c>
    </row>
    <row r="1926" spans="1:16">
      <c r="A1926">
        <v>316.83</v>
      </c>
      <c r="B1926" s="42">
        <v>37.450000000000003</v>
      </c>
      <c r="C1926">
        <v>45.56</v>
      </c>
      <c r="D1926">
        <v>45.51</v>
      </c>
      <c r="E1926">
        <v>44.9</v>
      </c>
      <c r="F1926">
        <v>69.12</v>
      </c>
      <c r="G1926">
        <v>82.17</v>
      </c>
      <c r="H1926">
        <v>79.900000000000006</v>
      </c>
      <c r="K1926" s="9">
        <f t="shared" si="204"/>
        <v>-0.10999999999999943</v>
      </c>
      <c r="L1926">
        <f t="shared" si="205"/>
        <v>-0.1699999999999946</v>
      </c>
      <c r="M1926">
        <f t="shared" si="206"/>
        <v>-0.28000000000000114</v>
      </c>
      <c r="N1926">
        <f t="shared" si="207"/>
        <v>0.5</v>
      </c>
      <c r="O1926">
        <f t="shared" si="208"/>
        <v>0.45000000000000284</v>
      </c>
      <c r="P1926" s="10">
        <f t="shared" si="209"/>
        <v>1.4399999999999977</v>
      </c>
    </row>
    <row r="1927" spans="1:16">
      <c r="A1927">
        <v>317</v>
      </c>
      <c r="B1927" s="42">
        <v>37.619999999999997</v>
      </c>
      <c r="C1927">
        <v>45.45</v>
      </c>
      <c r="D1927">
        <v>45.4</v>
      </c>
      <c r="E1927">
        <v>44.56</v>
      </c>
      <c r="F1927">
        <v>69.23</v>
      </c>
      <c r="G1927">
        <v>82.28</v>
      </c>
      <c r="H1927">
        <v>80.400000000000006</v>
      </c>
      <c r="K1927" s="9">
        <f t="shared" si="204"/>
        <v>-0.22000000000000597</v>
      </c>
      <c r="L1927">
        <f t="shared" si="205"/>
        <v>-0.22999999999999687</v>
      </c>
      <c r="M1927">
        <f t="shared" si="206"/>
        <v>-0.10999999999999943</v>
      </c>
      <c r="N1927">
        <f t="shared" si="207"/>
        <v>0.39000000000000057</v>
      </c>
      <c r="O1927">
        <f t="shared" si="208"/>
        <v>0.45000000000000284</v>
      </c>
      <c r="P1927" s="10">
        <f t="shared" si="209"/>
        <v>1.5499999999999972</v>
      </c>
    </row>
    <row r="1928" spans="1:16">
      <c r="A1928">
        <v>317.17</v>
      </c>
      <c r="B1928" s="42">
        <v>38.01</v>
      </c>
      <c r="C1928">
        <v>45.45</v>
      </c>
      <c r="D1928">
        <v>45.34</v>
      </c>
      <c r="E1928">
        <v>44.4</v>
      </c>
      <c r="F1928">
        <v>69.34</v>
      </c>
      <c r="G1928">
        <v>82.45</v>
      </c>
      <c r="H1928">
        <v>80.78</v>
      </c>
      <c r="K1928" s="9">
        <f t="shared" si="204"/>
        <v>-0.5</v>
      </c>
      <c r="L1928">
        <f t="shared" si="205"/>
        <v>-0.3300000000000054</v>
      </c>
      <c r="M1928">
        <f t="shared" si="206"/>
        <v>-0.39000000000000057</v>
      </c>
      <c r="N1928">
        <f t="shared" si="207"/>
        <v>0.39000000000000057</v>
      </c>
      <c r="O1928">
        <f t="shared" si="208"/>
        <v>0.45000000000000284</v>
      </c>
      <c r="P1928" s="10">
        <f t="shared" si="209"/>
        <v>1.5600000000000023</v>
      </c>
    </row>
    <row r="1929" spans="1:16">
      <c r="A1929">
        <v>317.33</v>
      </c>
      <c r="B1929" s="42">
        <v>38.229999999999997</v>
      </c>
      <c r="C1929">
        <v>45.45</v>
      </c>
      <c r="D1929">
        <v>45.34</v>
      </c>
      <c r="E1929">
        <v>44.62</v>
      </c>
      <c r="F1929">
        <v>69.62</v>
      </c>
      <c r="G1929">
        <v>82.62</v>
      </c>
      <c r="H1929">
        <v>81.34</v>
      </c>
      <c r="K1929" s="9">
        <f t="shared" si="204"/>
        <v>-0.72000000000000597</v>
      </c>
      <c r="L1929">
        <f t="shared" si="205"/>
        <v>-0.56000000000000227</v>
      </c>
      <c r="M1929">
        <f t="shared" si="206"/>
        <v>-1</v>
      </c>
      <c r="N1929">
        <f t="shared" si="207"/>
        <v>0.28000000000000114</v>
      </c>
      <c r="O1929">
        <f t="shared" si="208"/>
        <v>0.39000000000000057</v>
      </c>
      <c r="P1929" s="10">
        <f t="shared" si="209"/>
        <v>1.3900000000000006</v>
      </c>
    </row>
    <row r="1930" spans="1:16">
      <c r="A1930">
        <v>317.5</v>
      </c>
      <c r="B1930" s="42">
        <v>38.450000000000003</v>
      </c>
      <c r="C1930">
        <v>45.23</v>
      </c>
      <c r="D1930">
        <v>45.17</v>
      </c>
      <c r="E1930">
        <v>44.45</v>
      </c>
      <c r="F1930">
        <v>69.62</v>
      </c>
      <c r="G1930">
        <v>82.73</v>
      </c>
      <c r="H1930">
        <v>81.95</v>
      </c>
      <c r="K1930" s="9">
        <f t="shared" si="204"/>
        <v>-0.71999999999999886</v>
      </c>
      <c r="L1930">
        <f t="shared" si="205"/>
        <v>-0.71999999999999886</v>
      </c>
      <c r="M1930">
        <f t="shared" si="206"/>
        <v>-1.3900000000000006</v>
      </c>
      <c r="N1930">
        <f t="shared" si="207"/>
        <v>0.21999999999999886</v>
      </c>
      <c r="O1930">
        <f t="shared" si="208"/>
        <v>0.32999999999999829</v>
      </c>
      <c r="P1930" s="10">
        <f t="shared" si="209"/>
        <v>1</v>
      </c>
    </row>
    <row r="1931" spans="1:16">
      <c r="A1931">
        <v>317.67</v>
      </c>
      <c r="B1931" s="42">
        <v>38.06</v>
      </c>
      <c r="C1931">
        <v>44.95</v>
      </c>
      <c r="D1931">
        <v>45.01</v>
      </c>
      <c r="E1931">
        <v>44.01</v>
      </c>
      <c r="F1931">
        <v>69.73</v>
      </c>
      <c r="G1931">
        <v>82.9</v>
      </c>
      <c r="H1931">
        <v>82.34</v>
      </c>
      <c r="K1931" s="9">
        <f t="shared" si="204"/>
        <v>-0.72000000000000597</v>
      </c>
      <c r="L1931">
        <f t="shared" si="205"/>
        <v>-0.72999999999999687</v>
      </c>
      <c r="M1931">
        <f t="shared" si="206"/>
        <v>-1.2800000000000011</v>
      </c>
      <c r="N1931">
        <f t="shared" si="207"/>
        <v>0.21999999999999886</v>
      </c>
      <c r="O1931">
        <f t="shared" si="208"/>
        <v>0.32999999999999829</v>
      </c>
      <c r="P1931" s="10">
        <f t="shared" si="209"/>
        <v>0.89000000000000057</v>
      </c>
    </row>
    <row r="1932" spans="1:16">
      <c r="A1932">
        <v>317.83</v>
      </c>
      <c r="B1932" s="42">
        <v>37.51</v>
      </c>
      <c r="C1932">
        <v>44.73</v>
      </c>
      <c r="D1932">
        <v>44.78</v>
      </c>
      <c r="E1932">
        <v>43.62</v>
      </c>
      <c r="F1932">
        <v>69.900000000000006</v>
      </c>
      <c r="G1932">
        <v>83.01</v>
      </c>
      <c r="H1932">
        <v>82.73</v>
      </c>
      <c r="K1932" s="9">
        <f t="shared" si="204"/>
        <v>-0.88999999999999346</v>
      </c>
      <c r="L1932">
        <f t="shared" si="205"/>
        <v>-0.93999999999999773</v>
      </c>
      <c r="M1932">
        <f t="shared" si="206"/>
        <v>-1.1699999999999946</v>
      </c>
      <c r="N1932">
        <f t="shared" si="207"/>
        <v>0.10999999999999943</v>
      </c>
      <c r="O1932">
        <f t="shared" si="208"/>
        <v>0.39000000000000057</v>
      </c>
      <c r="P1932" s="10">
        <f t="shared" si="209"/>
        <v>0.60999999999999943</v>
      </c>
    </row>
    <row r="1933" spans="1:16">
      <c r="A1933">
        <v>318</v>
      </c>
      <c r="B1933" s="42">
        <v>36.729999999999997</v>
      </c>
      <c r="C1933">
        <v>44.51</v>
      </c>
      <c r="D1933">
        <v>44.45</v>
      </c>
      <c r="E1933">
        <v>43.06</v>
      </c>
      <c r="F1933">
        <v>69.84</v>
      </c>
      <c r="G1933">
        <v>83.06</v>
      </c>
      <c r="H1933">
        <v>82.95</v>
      </c>
      <c r="K1933" s="9">
        <f t="shared" si="204"/>
        <v>-0.60999999999999943</v>
      </c>
      <c r="L1933">
        <f t="shared" si="205"/>
        <v>-0.72000000000000597</v>
      </c>
      <c r="M1933">
        <f t="shared" si="206"/>
        <v>0.1699999999999946</v>
      </c>
      <c r="N1933">
        <f t="shared" si="207"/>
        <v>0.32999999999999829</v>
      </c>
      <c r="O1933">
        <f t="shared" si="208"/>
        <v>0.39000000000000057</v>
      </c>
      <c r="P1933" s="10">
        <f t="shared" si="209"/>
        <v>0.45000000000000284</v>
      </c>
    </row>
    <row r="1934" spans="1:16">
      <c r="A1934">
        <v>318.17</v>
      </c>
      <c r="B1934" s="42">
        <v>36.56</v>
      </c>
      <c r="C1934">
        <v>44.23</v>
      </c>
      <c r="D1934">
        <v>44.28</v>
      </c>
      <c r="E1934">
        <v>42.73</v>
      </c>
      <c r="F1934">
        <v>69.95</v>
      </c>
      <c r="G1934">
        <v>83.23</v>
      </c>
      <c r="H1934">
        <v>83.23</v>
      </c>
      <c r="K1934" s="9">
        <f t="shared" si="204"/>
        <v>-0.38999999999999346</v>
      </c>
      <c r="L1934">
        <f t="shared" si="205"/>
        <v>-0.60999999999999943</v>
      </c>
      <c r="M1934">
        <f t="shared" si="206"/>
        <v>0.61000000000000654</v>
      </c>
      <c r="N1934">
        <f t="shared" si="207"/>
        <v>0.45000000000000284</v>
      </c>
      <c r="O1934">
        <f t="shared" si="208"/>
        <v>0.32999999999999829</v>
      </c>
      <c r="P1934" s="10">
        <f t="shared" si="209"/>
        <v>0.39000000000000057</v>
      </c>
    </row>
    <row r="1935" spans="1:16">
      <c r="A1935">
        <v>318.33</v>
      </c>
      <c r="B1935" s="42">
        <v>36.229999999999997</v>
      </c>
      <c r="C1935">
        <v>43.84</v>
      </c>
      <c r="D1935">
        <v>43.84</v>
      </c>
      <c r="E1935">
        <v>42.45</v>
      </c>
      <c r="F1935">
        <v>70.010000000000005</v>
      </c>
      <c r="G1935">
        <v>83.4</v>
      </c>
      <c r="H1935">
        <v>83.34</v>
      </c>
      <c r="K1935" s="9">
        <f t="shared" si="204"/>
        <v>-6.0000000000002274E-2</v>
      </c>
      <c r="L1935">
        <f t="shared" si="205"/>
        <v>-0.28000000000000114</v>
      </c>
      <c r="M1935">
        <f t="shared" si="206"/>
        <v>1</v>
      </c>
      <c r="N1935">
        <f t="shared" si="207"/>
        <v>0.5</v>
      </c>
      <c r="O1935">
        <f t="shared" si="208"/>
        <v>0.21999999999999886</v>
      </c>
      <c r="P1935" s="10">
        <f t="shared" si="209"/>
        <v>6.0000000000002274E-2</v>
      </c>
    </row>
    <row r="1936" spans="1:16">
      <c r="A1936">
        <v>318.5</v>
      </c>
      <c r="B1936" s="42">
        <v>36.229999999999997</v>
      </c>
      <c r="C1936">
        <v>43.9</v>
      </c>
      <c r="D1936">
        <v>43.73</v>
      </c>
      <c r="E1936">
        <v>43.23</v>
      </c>
      <c r="F1936">
        <v>70.17</v>
      </c>
      <c r="G1936">
        <v>83.45</v>
      </c>
      <c r="H1936">
        <v>83.4</v>
      </c>
      <c r="K1936" s="9">
        <f t="shared" si="204"/>
        <v>0.77000000000000313</v>
      </c>
      <c r="L1936">
        <f t="shared" si="205"/>
        <v>0.61000000000000654</v>
      </c>
      <c r="M1936">
        <f t="shared" si="206"/>
        <v>0.55000000000000426</v>
      </c>
      <c r="N1936">
        <f t="shared" si="207"/>
        <v>0.56000000000000227</v>
      </c>
      <c r="O1936">
        <f t="shared" si="208"/>
        <v>0.39000000000000057</v>
      </c>
      <c r="P1936" s="10">
        <f t="shared" si="209"/>
        <v>0.15999999999999659</v>
      </c>
    </row>
    <row r="1937" spans="1:16">
      <c r="A1937">
        <v>318.67</v>
      </c>
      <c r="B1937" s="42">
        <v>36.840000000000003</v>
      </c>
      <c r="C1937">
        <v>43.84</v>
      </c>
      <c r="D1937">
        <v>43.67</v>
      </c>
      <c r="E1937">
        <v>43.34</v>
      </c>
      <c r="F1937">
        <v>70.400000000000006</v>
      </c>
      <c r="G1937">
        <v>83.56</v>
      </c>
      <c r="H1937">
        <v>83.62</v>
      </c>
      <c r="K1937" s="9">
        <f t="shared" si="204"/>
        <v>0.93999999999999773</v>
      </c>
      <c r="L1937">
        <f t="shared" si="205"/>
        <v>0.94999999999999574</v>
      </c>
      <c r="M1937">
        <f t="shared" si="206"/>
        <v>0.82999999999999829</v>
      </c>
      <c r="N1937">
        <f t="shared" si="207"/>
        <v>0.5</v>
      </c>
      <c r="O1937">
        <f t="shared" si="208"/>
        <v>0.34000000000000341</v>
      </c>
      <c r="P1937" s="10">
        <f t="shared" si="209"/>
        <v>0.21999999999999886</v>
      </c>
    </row>
    <row r="1938" spans="1:16">
      <c r="A1938">
        <v>318.83</v>
      </c>
      <c r="B1938" s="42">
        <v>37.51</v>
      </c>
      <c r="C1938">
        <v>43.78</v>
      </c>
      <c r="D1938">
        <v>43.56</v>
      </c>
      <c r="E1938">
        <v>43.45</v>
      </c>
      <c r="F1938">
        <v>70.510000000000005</v>
      </c>
      <c r="G1938">
        <v>83.62</v>
      </c>
      <c r="H1938">
        <v>83.4</v>
      </c>
      <c r="K1938" s="9">
        <f t="shared" si="204"/>
        <v>0.67000000000000171</v>
      </c>
      <c r="L1938">
        <f t="shared" si="205"/>
        <v>0.83999999999999631</v>
      </c>
      <c r="M1938">
        <f t="shared" si="206"/>
        <v>0.89000000000000057</v>
      </c>
      <c r="N1938">
        <f t="shared" si="207"/>
        <v>0.43999999999999773</v>
      </c>
      <c r="O1938">
        <f t="shared" si="208"/>
        <v>0.39000000000000057</v>
      </c>
      <c r="P1938" s="10">
        <f t="shared" si="209"/>
        <v>0.60999999999999943</v>
      </c>
    </row>
    <row r="1939" spans="1:16">
      <c r="A1939">
        <v>319</v>
      </c>
      <c r="B1939" s="42">
        <v>38.01</v>
      </c>
      <c r="C1939">
        <v>44.67</v>
      </c>
      <c r="D1939">
        <v>44.34</v>
      </c>
      <c r="E1939">
        <v>43.78</v>
      </c>
      <c r="F1939">
        <v>70.73</v>
      </c>
      <c r="G1939">
        <v>83.84</v>
      </c>
      <c r="H1939">
        <v>83.56</v>
      </c>
      <c r="K1939" s="9">
        <f t="shared" si="204"/>
        <v>0.22999999999999687</v>
      </c>
      <c r="L1939">
        <f t="shared" si="205"/>
        <v>0.38999999999999346</v>
      </c>
      <c r="M1939">
        <f t="shared" si="206"/>
        <v>1.2800000000000011</v>
      </c>
      <c r="N1939">
        <f t="shared" si="207"/>
        <v>0.39000000000000057</v>
      </c>
      <c r="O1939">
        <f t="shared" si="208"/>
        <v>0.32999999999999829</v>
      </c>
      <c r="P1939" s="10">
        <f t="shared" si="209"/>
        <v>0.78000000000000114</v>
      </c>
    </row>
    <row r="1940" spans="1:16">
      <c r="A1940">
        <v>319.17</v>
      </c>
      <c r="B1940" s="42">
        <v>37.9</v>
      </c>
      <c r="C1940">
        <v>44.78</v>
      </c>
      <c r="D1940">
        <v>44.62</v>
      </c>
      <c r="E1940">
        <v>44.17</v>
      </c>
      <c r="F1940">
        <v>70.900000000000006</v>
      </c>
      <c r="G1940">
        <v>83.9</v>
      </c>
      <c r="H1940">
        <v>83.84</v>
      </c>
      <c r="K1940" s="9">
        <f t="shared" si="204"/>
        <v>-0.38000000000000256</v>
      </c>
      <c r="L1940">
        <f t="shared" si="205"/>
        <v>-0.1699999999999946</v>
      </c>
      <c r="M1940">
        <f t="shared" si="206"/>
        <v>1.2800000000000011</v>
      </c>
      <c r="N1940">
        <f t="shared" si="207"/>
        <v>0.37999999999999545</v>
      </c>
      <c r="O1940">
        <f t="shared" si="208"/>
        <v>0.32999999999999829</v>
      </c>
      <c r="P1940" s="10">
        <f t="shared" si="209"/>
        <v>0.60999999999999943</v>
      </c>
    </row>
    <row r="1941" spans="1:16">
      <c r="A1941">
        <v>319.33</v>
      </c>
      <c r="B1941" s="42">
        <v>37.229999999999997</v>
      </c>
      <c r="C1941">
        <v>44.45</v>
      </c>
      <c r="D1941">
        <v>44.4</v>
      </c>
      <c r="E1941">
        <v>44.34</v>
      </c>
      <c r="F1941">
        <v>70.95</v>
      </c>
      <c r="G1941">
        <v>84.01</v>
      </c>
      <c r="H1941">
        <v>84.01</v>
      </c>
      <c r="K1941" s="9">
        <f t="shared" si="204"/>
        <v>-0.17000000000000171</v>
      </c>
      <c r="L1941">
        <f t="shared" si="205"/>
        <v>-0.17000000000000171</v>
      </c>
      <c r="M1941">
        <f t="shared" si="206"/>
        <v>0.82999999999999829</v>
      </c>
      <c r="N1941">
        <f t="shared" si="207"/>
        <v>0.56000000000000227</v>
      </c>
      <c r="O1941">
        <f t="shared" si="208"/>
        <v>0.39000000000000057</v>
      </c>
      <c r="P1941" s="10">
        <f t="shared" si="209"/>
        <v>0.93999999999999773</v>
      </c>
    </row>
    <row r="1942" spans="1:16">
      <c r="A1942">
        <v>319.5</v>
      </c>
      <c r="B1942" s="42">
        <v>38.01</v>
      </c>
      <c r="C1942">
        <v>44.9</v>
      </c>
      <c r="D1942">
        <v>44.73</v>
      </c>
      <c r="E1942">
        <v>45.06</v>
      </c>
      <c r="F1942">
        <v>71.12</v>
      </c>
      <c r="G1942">
        <v>84.17</v>
      </c>
      <c r="H1942">
        <v>84.34</v>
      </c>
      <c r="K1942" s="9">
        <f t="shared" si="204"/>
        <v>-0.94999999999999574</v>
      </c>
      <c r="L1942">
        <f t="shared" si="205"/>
        <v>-0.77999999999999403</v>
      </c>
      <c r="M1942">
        <f t="shared" si="206"/>
        <v>0.21999999999999886</v>
      </c>
      <c r="N1942">
        <f t="shared" si="207"/>
        <v>0.43999999999999773</v>
      </c>
      <c r="O1942">
        <f t="shared" si="208"/>
        <v>0.39000000000000057</v>
      </c>
      <c r="P1942" s="10">
        <f t="shared" si="209"/>
        <v>1.0600000000000023</v>
      </c>
    </row>
    <row r="1943" spans="1:16">
      <c r="A1943">
        <v>319.67</v>
      </c>
      <c r="B1943" s="42">
        <v>38.17</v>
      </c>
      <c r="C1943">
        <v>44.4</v>
      </c>
      <c r="D1943">
        <v>44.45</v>
      </c>
      <c r="E1943">
        <v>45.45</v>
      </c>
      <c r="F1943">
        <v>71.28</v>
      </c>
      <c r="G1943">
        <v>84.23</v>
      </c>
      <c r="H1943">
        <v>84.45</v>
      </c>
      <c r="K1943" s="9">
        <f t="shared" si="204"/>
        <v>-0.94999999999999574</v>
      </c>
      <c r="L1943">
        <f t="shared" si="205"/>
        <v>-1</v>
      </c>
      <c r="M1943">
        <f t="shared" si="206"/>
        <v>-0.5</v>
      </c>
      <c r="N1943">
        <f t="shared" si="207"/>
        <v>0.12000000000000455</v>
      </c>
      <c r="O1943">
        <f t="shared" si="208"/>
        <v>0.32999999999999829</v>
      </c>
      <c r="P1943" s="10">
        <f t="shared" si="209"/>
        <v>1.2199999999999989</v>
      </c>
    </row>
    <row r="1944" spans="1:16">
      <c r="A1944">
        <v>319.83</v>
      </c>
      <c r="B1944" s="42">
        <v>38.17</v>
      </c>
      <c r="C1944">
        <v>44.28</v>
      </c>
      <c r="D1944">
        <v>44.23</v>
      </c>
      <c r="E1944">
        <v>45.17</v>
      </c>
      <c r="F1944">
        <v>71.510000000000005</v>
      </c>
      <c r="G1944">
        <v>84.4</v>
      </c>
      <c r="H1944">
        <v>84.95</v>
      </c>
      <c r="K1944" s="9">
        <f t="shared" si="204"/>
        <v>-1.1600000000000037</v>
      </c>
      <c r="L1944">
        <f t="shared" si="205"/>
        <v>-1</v>
      </c>
      <c r="M1944">
        <f t="shared" si="206"/>
        <v>-0.60999999999999943</v>
      </c>
      <c r="N1944">
        <f t="shared" si="207"/>
        <v>-6.0000000000002274E-2</v>
      </c>
      <c r="O1944">
        <f t="shared" si="208"/>
        <v>0.26999999999999602</v>
      </c>
      <c r="P1944" s="10">
        <f t="shared" si="209"/>
        <v>0.45000000000000284</v>
      </c>
    </row>
    <row r="1945" spans="1:16">
      <c r="A1945">
        <v>320</v>
      </c>
      <c r="B1945" s="42">
        <v>37.78</v>
      </c>
      <c r="C1945">
        <v>43.95</v>
      </c>
      <c r="D1945">
        <v>43.95</v>
      </c>
      <c r="E1945">
        <v>45.28</v>
      </c>
      <c r="F1945">
        <v>71.56</v>
      </c>
      <c r="G1945">
        <v>84.56</v>
      </c>
      <c r="H1945">
        <v>85.4</v>
      </c>
      <c r="K1945" s="9">
        <f t="shared" ref="K1945:K2008" si="210">C1948-C1945</f>
        <v>-1.4400000000000048</v>
      </c>
      <c r="L1945">
        <f t="shared" ref="L1945:L2008" si="211">D1948-D1945</f>
        <v>-1.3300000000000054</v>
      </c>
      <c r="M1945">
        <f t="shared" ref="M1945:M2008" si="212">E1948-E1945</f>
        <v>-1.1600000000000037</v>
      </c>
      <c r="N1945">
        <f t="shared" ref="N1945:N2008" si="213">F1948-F1945</f>
        <v>0</v>
      </c>
      <c r="O1945">
        <f t="shared" ref="O1945:O2008" si="214">G1948-G1945</f>
        <v>0.17000000000000171</v>
      </c>
      <c r="P1945" s="10">
        <f t="shared" ref="P1945:P2008" si="215">H1948-H1945</f>
        <v>0.10999999999999943</v>
      </c>
    </row>
    <row r="1946" spans="1:16">
      <c r="A1946">
        <v>320.17</v>
      </c>
      <c r="B1946" s="42">
        <v>37.450000000000003</v>
      </c>
      <c r="C1946">
        <v>43.45</v>
      </c>
      <c r="D1946">
        <v>43.45</v>
      </c>
      <c r="E1946">
        <v>44.95</v>
      </c>
      <c r="F1946">
        <v>71.400000000000006</v>
      </c>
      <c r="G1946">
        <v>84.56</v>
      </c>
      <c r="H1946">
        <v>85.67</v>
      </c>
      <c r="K1946" s="9">
        <f t="shared" si="210"/>
        <v>-1.1700000000000017</v>
      </c>
      <c r="L1946">
        <f t="shared" si="211"/>
        <v>-1.220000000000006</v>
      </c>
      <c r="M1946">
        <f t="shared" si="212"/>
        <v>-1.1700000000000017</v>
      </c>
      <c r="N1946">
        <f t="shared" si="213"/>
        <v>0.32999999999999829</v>
      </c>
      <c r="O1946">
        <f t="shared" si="214"/>
        <v>0.21999999999999886</v>
      </c>
      <c r="P1946" s="10">
        <f t="shared" si="215"/>
        <v>6.0000000000002274E-2</v>
      </c>
    </row>
    <row r="1947" spans="1:16">
      <c r="A1947">
        <v>320.33</v>
      </c>
      <c r="B1947" s="42">
        <v>36.4</v>
      </c>
      <c r="C1947">
        <v>43.12</v>
      </c>
      <c r="D1947">
        <v>43.23</v>
      </c>
      <c r="E1947">
        <v>44.56</v>
      </c>
      <c r="F1947">
        <v>71.45</v>
      </c>
      <c r="G1947">
        <v>84.67</v>
      </c>
      <c r="H1947">
        <v>85.4</v>
      </c>
      <c r="K1947" s="9">
        <f t="shared" si="210"/>
        <v>-0.77999999999999403</v>
      </c>
      <c r="L1947">
        <f t="shared" si="211"/>
        <v>-1</v>
      </c>
      <c r="M1947">
        <f t="shared" si="212"/>
        <v>-1.1600000000000037</v>
      </c>
      <c r="N1947">
        <f t="shared" si="213"/>
        <v>0.28000000000000114</v>
      </c>
      <c r="O1947">
        <f t="shared" si="214"/>
        <v>0.23000000000000398</v>
      </c>
      <c r="P1947" s="10">
        <f t="shared" si="215"/>
        <v>0.5</v>
      </c>
    </row>
    <row r="1948" spans="1:16">
      <c r="A1948">
        <v>320.5</v>
      </c>
      <c r="B1948" s="42">
        <v>35.78</v>
      </c>
      <c r="C1948">
        <v>42.51</v>
      </c>
      <c r="D1948">
        <v>42.62</v>
      </c>
      <c r="E1948">
        <v>44.12</v>
      </c>
      <c r="F1948">
        <v>71.56</v>
      </c>
      <c r="G1948">
        <v>84.73</v>
      </c>
      <c r="H1948">
        <v>85.51</v>
      </c>
      <c r="K1948" s="9">
        <f t="shared" si="210"/>
        <v>-0.33999999999999631</v>
      </c>
      <c r="L1948">
        <f t="shared" si="211"/>
        <v>-0.5</v>
      </c>
      <c r="M1948">
        <f t="shared" si="212"/>
        <v>-1.2199999999999989</v>
      </c>
      <c r="N1948">
        <f t="shared" si="213"/>
        <v>0.39000000000000057</v>
      </c>
      <c r="O1948">
        <f t="shared" si="214"/>
        <v>0.17000000000000171</v>
      </c>
      <c r="P1948" s="10">
        <f t="shared" si="215"/>
        <v>0.39000000000000057</v>
      </c>
    </row>
    <row r="1949" spans="1:16">
      <c r="A1949">
        <v>320.67</v>
      </c>
      <c r="B1949" s="42">
        <v>35.51</v>
      </c>
      <c r="C1949">
        <v>42.28</v>
      </c>
      <c r="D1949">
        <v>42.23</v>
      </c>
      <c r="E1949">
        <v>43.78</v>
      </c>
      <c r="F1949">
        <v>71.73</v>
      </c>
      <c r="G1949">
        <v>84.78</v>
      </c>
      <c r="H1949">
        <v>85.73</v>
      </c>
      <c r="K1949" s="9">
        <f t="shared" si="210"/>
        <v>-0.32999999999999829</v>
      </c>
      <c r="L1949">
        <f t="shared" si="211"/>
        <v>-0.27999999999999403</v>
      </c>
      <c r="M1949">
        <f t="shared" si="212"/>
        <v>-1.1099999999999994</v>
      </c>
      <c r="N1949">
        <f t="shared" si="213"/>
        <v>0.5</v>
      </c>
      <c r="O1949">
        <f t="shared" si="214"/>
        <v>6.0000000000002274E-2</v>
      </c>
      <c r="P1949" s="10">
        <f t="shared" si="215"/>
        <v>0.21999999999999886</v>
      </c>
    </row>
    <row r="1950" spans="1:16">
      <c r="A1950">
        <v>320.83</v>
      </c>
      <c r="B1950" s="42">
        <v>35.06</v>
      </c>
      <c r="C1950">
        <v>42.34</v>
      </c>
      <c r="D1950">
        <v>42.23</v>
      </c>
      <c r="E1950">
        <v>43.4</v>
      </c>
      <c r="F1950">
        <v>71.73</v>
      </c>
      <c r="G1950">
        <v>84.9</v>
      </c>
      <c r="H1950">
        <v>85.9</v>
      </c>
      <c r="K1950" s="9">
        <f t="shared" si="210"/>
        <v>-0.61000000000000654</v>
      </c>
      <c r="L1950">
        <f t="shared" si="211"/>
        <v>-0.60999999999999943</v>
      </c>
      <c r="M1950">
        <f t="shared" si="212"/>
        <v>-1.2299999999999969</v>
      </c>
      <c r="N1950">
        <f t="shared" si="213"/>
        <v>0.43999999999999773</v>
      </c>
      <c r="O1950">
        <f t="shared" si="214"/>
        <v>-0.12000000000000455</v>
      </c>
      <c r="P1950" s="10">
        <f t="shared" si="215"/>
        <v>0.10999999999999943</v>
      </c>
    </row>
    <row r="1951" spans="1:16">
      <c r="A1951">
        <v>321</v>
      </c>
      <c r="B1951" s="42">
        <v>34.56</v>
      </c>
      <c r="C1951">
        <v>42.17</v>
      </c>
      <c r="D1951">
        <v>42.12</v>
      </c>
      <c r="E1951">
        <v>42.9</v>
      </c>
      <c r="F1951">
        <v>71.95</v>
      </c>
      <c r="G1951">
        <v>84.9</v>
      </c>
      <c r="H1951">
        <v>85.9</v>
      </c>
      <c r="K1951" s="9">
        <f t="shared" si="210"/>
        <v>-0.55000000000000426</v>
      </c>
      <c r="L1951">
        <f t="shared" si="211"/>
        <v>-0.6699999999999946</v>
      </c>
      <c r="M1951">
        <f t="shared" si="212"/>
        <v>-1</v>
      </c>
      <c r="N1951">
        <f t="shared" si="213"/>
        <v>0.45000000000000284</v>
      </c>
      <c r="O1951">
        <f t="shared" si="214"/>
        <v>-0.12000000000000455</v>
      </c>
      <c r="P1951" s="10">
        <f t="shared" si="215"/>
        <v>0.21999999999999886</v>
      </c>
    </row>
    <row r="1952" spans="1:16">
      <c r="A1952">
        <v>321.17</v>
      </c>
      <c r="B1952" s="42">
        <v>34.229999999999997</v>
      </c>
      <c r="C1952">
        <v>41.95</v>
      </c>
      <c r="D1952">
        <v>41.95</v>
      </c>
      <c r="E1952">
        <v>42.67</v>
      </c>
      <c r="F1952">
        <v>72.23</v>
      </c>
      <c r="G1952">
        <v>84.84</v>
      </c>
      <c r="H1952">
        <v>85.95</v>
      </c>
      <c r="K1952" s="9">
        <f t="shared" si="210"/>
        <v>-0.5</v>
      </c>
      <c r="L1952">
        <f t="shared" si="211"/>
        <v>-0.60999999999999943</v>
      </c>
      <c r="M1952">
        <f t="shared" si="212"/>
        <v>-0.94000000000000483</v>
      </c>
      <c r="N1952">
        <f t="shared" si="213"/>
        <v>0.43999999999999773</v>
      </c>
      <c r="O1952">
        <f t="shared" si="214"/>
        <v>-6.0000000000002274E-2</v>
      </c>
      <c r="P1952" s="10">
        <f t="shared" si="215"/>
        <v>0.39000000000000057</v>
      </c>
    </row>
    <row r="1953" spans="1:16">
      <c r="A1953">
        <v>321.33</v>
      </c>
      <c r="B1953" s="42">
        <v>33.950000000000003</v>
      </c>
      <c r="C1953">
        <v>41.73</v>
      </c>
      <c r="D1953">
        <v>41.62</v>
      </c>
      <c r="E1953">
        <v>42.17</v>
      </c>
      <c r="F1953">
        <v>72.17</v>
      </c>
      <c r="G1953">
        <v>84.78</v>
      </c>
      <c r="H1953">
        <v>86.01</v>
      </c>
      <c r="K1953" s="9">
        <f t="shared" si="210"/>
        <v>-0.55999999999999517</v>
      </c>
      <c r="L1953">
        <f t="shared" si="211"/>
        <v>-0.55999999999999517</v>
      </c>
      <c r="M1953">
        <f t="shared" si="212"/>
        <v>-1</v>
      </c>
      <c r="N1953">
        <f t="shared" si="213"/>
        <v>0.5</v>
      </c>
      <c r="O1953">
        <f t="shared" si="214"/>
        <v>-0.15999999999999659</v>
      </c>
      <c r="P1953" s="10">
        <f t="shared" si="215"/>
        <v>0.43999999999999773</v>
      </c>
    </row>
    <row r="1954" spans="1:16">
      <c r="A1954">
        <v>321.5</v>
      </c>
      <c r="B1954" s="42">
        <v>33.78</v>
      </c>
      <c r="C1954">
        <v>41.62</v>
      </c>
      <c r="D1954">
        <v>41.45</v>
      </c>
      <c r="E1954">
        <v>41.9</v>
      </c>
      <c r="F1954">
        <v>72.400000000000006</v>
      </c>
      <c r="G1954">
        <v>84.78</v>
      </c>
      <c r="H1954">
        <v>86.12</v>
      </c>
      <c r="K1954" s="9">
        <f t="shared" si="210"/>
        <v>-0.71999999999999886</v>
      </c>
      <c r="L1954">
        <f t="shared" si="211"/>
        <v>-0.60999999999999943</v>
      </c>
      <c r="M1954">
        <f t="shared" si="212"/>
        <v>-1.0599999999999952</v>
      </c>
      <c r="N1954">
        <f t="shared" si="213"/>
        <v>0.26999999999999602</v>
      </c>
      <c r="O1954">
        <f t="shared" si="214"/>
        <v>-0.10999999999999943</v>
      </c>
      <c r="P1954" s="10">
        <f t="shared" si="215"/>
        <v>0.39000000000000057</v>
      </c>
    </row>
    <row r="1955" spans="1:16">
      <c r="A1955">
        <v>321.67</v>
      </c>
      <c r="B1955" s="42">
        <v>33.619999999999997</v>
      </c>
      <c r="C1955">
        <v>41.45</v>
      </c>
      <c r="D1955">
        <v>41.34</v>
      </c>
      <c r="E1955">
        <v>41.73</v>
      </c>
      <c r="F1955">
        <v>72.67</v>
      </c>
      <c r="G1955">
        <v>84.78</v>
      </c>
      <c r="H1955">
        <v>86.34</v>
      </c>
      <c r="K1955" s="9">
        <f t="shared" si="210"/>
        <v>-0.67000000000000171</v>
      </c>
      <c r="L1955">
        <f t="shared" si="211"/>
        <v>-0.78000000000000114</v>
      </c>
      <c r="M1955">
        <f t="shared" si="212"/>
        <v>-1</v>
      </c>
      <c r="N1955">
        <f t="shared" si="213"/>
        <v>6.0000000000002274E-2</v>
      </c>
      <c r="O1955">
        <f t="shared" si="214"/>
        <v>-0.21999999999999886</v>
      </c>
      <c r="P1955" s="10">
        <f t="shared" si="215"/>
        <v>0.56000000000000227</v>
      </c>
    </row>
    <row r="1956" spans="1:16">
      <c r="A1956">
        <v>321.83</v>
      </c>
      <c r="B1956" s="42">
        <v>33.229999999999997</v>
      </c>
      <c r="C1956">
        <v>41.17</v>
      </c>
      <c r="D1956">
        <v>41.06</v>
      </c>
      <c r="E1956">
        <v>41.17</v>
      </c>
      <c r="F1956">
        <v>72.67</v>
      </c>
      <c r="G1956">
        <v>84.62</v>
      </c>
      <c r="H1956">
        <v>86.45</v>
      </c>
      <c r="K1956" s="9">
        <f t="shared" si="210"/>
        <v>-0.5</v>
      </c>
      <c r="L1956">
        <f t="shared" si="211"/>
        <v>-0.55000000000000426</v>
      </c>
      <c r="M1956">
        <f t="shared" si="212"/>
        <v>-0.32999999999999829</v>
      </c>
      <c r="N1956">
        <f t="shared" si="213"/>
        <v>0</v>
      </c>
      <c r="O1956">
        <f t="shared" si="214"/>
        <v>-6.0000000000002274E-2</v>
      </c>
      <c r="P1956" s="10">
        <f t="shared" si="215"/>
        <v>0.78000000000000114</v>
      </c>
    </row>
    <row r="1957" spans="1:16">
      <c r="A1957">
        <v>322</v>
      </c>
      <c r="B1957" s="42">
        <v>33.01</v>
      </c>
      <c r="C1957">
        <v>40.9</v>
      </c>
      <c r="D1957">
        <v>40.840000000000003</v>
      </c>
      <c r="E1957">
        <v>40.840000000000003</v>
      </c>
      <c r="F1957">
        <v>72.67</v>
      </c>
      <c r="G1957">
        <v>84.67</v>
      </c>
      <c r="H1957">
        <v>86.51</v>
      </c>
      <c r="K1957" s="9">
        <f t="shared" si="210"/>
        <v>-0.33999999999999631</v>
      </c>
      <c r="L1957">
        <f t="shared" si="211"/>
        <v>-0.39000000000000057</v>
      </c>
      <c r="M1957">
        <f t="shared" si="212"/>
        <v>0.1699999999999946</v>
      </c>
      <c r="N1957">
        <f t="shared" si="213"/>
        <v>0</v>
      </c>
      <c r="O1957">
        <f t="shared" si="214"/>
        <v>-0.10999999999999943</v>
      </c>
      <c r="P1957" s="10">
        <f t="shared" si="215"/>
        <v>0.71999999999999886</v>
      </c>
    </row>
    <row r="1958" spans="1:16">
      <c r="A1958">
        <v>322.17</v>
      </c>
      <c r="B1958" s="42">
        <v>32.78</v>
      </c>
      <c r="C1958">
        <v>40.78</v>
      </c>
      <c r="D1958">
        <v>40.56</v>
      </c>
      <c r="E1958">
        <v>40.729999999999997</v>
      </c>
      <c r="F1958">
        <v>72.73</v>
      </c>
      <c r="G1958">
        <v>84.56</v>
      </c>
      <c r="H1958">
        <v>86.9</v>
      </c>
      <c r="K1958" s="9">
        <f t="shared" si="210"/>
        <v>-0.27000000000000313</v>
      </c>
      <c r="L1958">
        <f t="shared" si="211"/>
        <v>-0.16000000000000369</v>
      </c>
      <c r="M1958">
        <f t="shared" si="212"/>
        <v>-0.10999999999999943</v>
      </c>
      <c r="N1958">
        <f t="shared" si="213"/>
        <v>-6.0000000000002274E-2</v>
      </c>
      <c r="O1958">
        <f t="shared" si="214"/>
        <v>0</v>
      </c>
      <c r="P1958" s="10">
        <f t="shared" si="215"/>
        <v>0.10999999999999943</v>
      </c>
    </row>
    <row r="1959" spans="1:16">
      <c r="A1959">
        <v>322.33</v>
      </c>
      <c r="B1959" s="42">
        <v>32.619999999999997</v>
      </c>
      <c r="C1959">
        <v>40.67</v>
      </c>
      <c r="D1959">
        <v>40.51</v>
      </c>
      <c r="E1959">
        <v>40.840000000000003</v>
      </c>
      <c r="F1959">
        <v>72.67</v>
      </c>
      <c r="G1959">
        <v>84.56</v>
      </c>
      <c r="H1959">
        <v>87.23</v>
      </c>
      <c r="K1959" s="9">
        <f t="shared" si="210"/>
        <v>-0.32999999999999829</v>
      </c>
      <c r="L1959">
        <f t="shared" si="211"/>
        <v>-0.1699999999999946</v>
      </c>
      <c r="M1959">
        <f t="shared" si="212"/>
        <v>-0.61000000000000654</v>
      </c>
      <c r="N1959">
        <f t="shared" si="213"/>
        <v>-4.9999999999997158E-2</v>
      </c>
      <c r="O1959">
        <f t="shared" si="214"/>
        <v>0</v>
      </c>
      <c r="P1959" s="10">
        <f t="shared" si="215"/>
        <v>-6.0000000000002274E-2</v>
      </c>
    </row>
    <row r="1960" spans="1:16">
      <c r="A1960">
        <v>322.5</v>
      </c>
      <c r="B1960" s="42">
        <v>32.340000000000003</v>
      </c>
      <c r="C1960">
        <v>40.56</v>
      </c>
      <c r="D1960">
        <v>40.450000000000003</v>
      </c>
      <c r="E1960">
        <v>41.01</v>
      </c>
      <c r="F1960">
        <v>72.67</v>
      </c>
      <c r="G1960">
        <v>84.56</v>
      </c>
      <c r="H1960">
        <v>87.23</v>
      </c>
      <c r="K1960" s="9">
        <f t="shared" si="210"/>
        <v>-0.21999999999999886</v>
      </c>
      <c r="L1960">
        <f t="shared" si="211"/>
        <v>-0.17000000000000171</v>
      </c>
      <c r="M1960">
        <f t="shared" si="212"/>
        <v>-1.1699999999999946</v>
      </c>
      <c r="N1960">
        <f t="shared" si="213"/>
        <v>-0.21999999999999886</v>
      </c>
      <c r="O1960">
        <f t="shared" si="214"/>
        <v>0</v>
      </c>
      <c r="P1960" s="10">
        <f t="shared" si="215"/>
        <v>-6.0000000000002274E-2</v>
      </c>
    </row>
    <row r="1961" spans="1:16">
      <c r="A1961">
        <v>322.67</v>
      </c>
      <c r="B1961" s="42">
        <v>32.119999999999997</v>
      </c>
      <c r="C1961">
        <v>40.51</v>
      </c>
      <c r="D1961">
        <v>40.4</v>
      </c>
      <c r="E1961">
        <v>40.619999999999997</v>
      </c>
      <c r="F1961">
        <v>72.67</v>
      </c>
      <c r="G1961">
        <v>84.56</v>
      </c>
      <c r="H1961">
        <v>87.01</v>
      </c>
      <c r="K1961" s="9">
        <f t="shared" si="210"/>
        <v>-0.1699999999999946</v>
      </c>
      <c r="L1961">
        <f t="shared" si="211"/>
        <v>-5.9999999999995168E-2</v>
      </c>
      <c r="M1961">
        <f t="shared" si="212"/>
        <v>-1.1099999999999994</v>
      </c>
      <c r="N1961">
        <f t="shared" si="213"/>
        <v>-4.9999999999997158E-2</v>
      </c>
      <c r="O1961">
        <f t="shared" si="214"/>
        <v>0</v>
      </c>
      <c r="P1961" s="10">
        <f t="shared" si="215"/>
        <v>0</v>
      </c>
    </row>
    <row r="1962" spans="1:16">
      <c r="A1962">
        <v>322.83</v>
      </c>
      <c r="B1962" s="42">
        <v>32.06</v>
      </c>
      <c r="C1962">
        <v>40.340000000000003</v>
      </c>
      <c r="D1962">
        <v>40.340000000000003</v>
      </c>
      <c r="E1962">
        <v>40.229999999999997</v>
      </c>
      <c r="F1962">
        <v>72.62</v>
      </c>
      <c r="G1962">
        <v>84.56</v>
      </c>
      <c r="H1962">
        <v>87.17</v>
      </c>
      <c r="K1962" s="9">
        <f t="shared" si="210"/>
        <v>0</v>
      </c>
      <c r="L1962">
        <f t="shared" si="211"/>
        <v>-0.11000000000000654</v>
      </c>
      <c r="M1962">
        <f t="shared" si="212"/>
        <v>-1.1699999999999946</v>
      </c>
      <c r="N1962">
        <f t="shared" si="213"/>
        <v>-6.0000000000002274E-2</v>
      </c>
      <c r="O1962">
        <f t="shared" si="214"/>
        <v>0</v>
      </c>
      <c r="P1962" s="10">
        <f t="shared" si="215"/>
        <v>-0.15999999999999659</v>
      </c>
    </row>
    <row r="1963" spans="1:16">
      <c r="A1963">
        <v>323</v>
      </c>
      <c r="B1963" s="42">
        <v>31.78</v>
      </c>
      <c r="C1963">
        <v>40.340000000000003</v>
      </c>
      <c r="D1963">
        <v>40.28</v>
      </c>
      <c r="E1963">
        <v>39.840000000000003</v>
      </c>
      <c r="F1963">
        <v>72.45</v>
      </c>
      <c r="G1963">
        <v>84.56</v>
      </c>
      <c r="H1963">
        <v>87.17</v>
      </c>
      <c r="K1963" s="9">
        <f t="shared" si="210"/>
        <v>0</v>
      </c>
      <c r="L1963">
        <f t="shared" si="211"/>
        <v>-0.10999999999999943</v>
      </c>
      <c r="M1963">
        <f t="shared" si="212"/>
        <v>-0.78000000000000114</v>
      </c>
      <c r="N1963">
        <f t="shared" si="213"/>
        <v>0</v>
      </c>
      <c r="O1963">
        <f t="shared" si="214"/>
        <v>6.0000000000002274E-2</v>
      </c>
      <c r="P1963" s="10">
        <f t="shared" si="215"/>
        <v>-0.15999999999999659</v>
      </c>
    </row>
    <row r="1964" spans="1:16">
      <c r="A1964">
        <v>323.17</v>
      </c>
      <c r="B1964" s="42">
        <v>31.62</v>
      </c>
      <c r="C1964">
        <v>40.340000000000003</v>
      </c>
      <c r="D1964">
        <v>40.340000000000003</v>
      </c>
      <c r="E1964">
        <v>39.51</v>
      </c>
      <c r="F1964">
        <v>72.62</v>
      </c>
      <c r="G1964">
        <v>84.56</v>
      </c>
      <c r="H1964">
        <v>87.01</v>
      </c>
      <c r="K1964" s="9">
        <f t="shared" si="210"/>
        <v>-0.11000000000000654</v>
      </c>
      <c r="L1964">
        <f t="shared" si="211"/>
        <v>-0.17000000000000171</v>
      </c>
      <c r="M1964">
        <f t="shared" si="212"/>
        <v>-0.6699999999999946</v>
      </c>
      <c r="N1964">
        <f t="shared" si="213"/>
        <v>-0.21999999999999886</v>
      </c>
      <c r="O1964">
        <f t="shared" si="214"/>
        <v>6.0000000000002274E-2</v>
      </c>
      <c r="P1964" s="10">
        <f t="shared" si="215"/>
        <v>0.15999999999999659</v>
      </c>
    </row>
    <row r="1965" spans="1:16">
      <c r="A1965">
        <v>323.33</v>
      </c>
      <c r="B1965" s="42">
        <v>31.34</v>
      </c>
      <c r="C1965">
        <v>40.340000000000003</v>
      </c>
      <c r="D1965">
        <v>40.229999999999997</v>
      </c>
      <c r="E1965">
        <v>39.06</v>
      </c>
      <c r="F1965">
        <v>72.56</v>
      </c>
      <c r="G1965">
        <v>84.56</v>
      </c>
      <c r="H1965">
        <v>87.01</v>
      </c>
      <c r="K1965" s="9">
        <f t="shared" si="210"/>
        <v>5.9999999999995168E-2</v>
      </c>
      <c r="L1965">
        <f t="shared" si="211"/>
        <v>0.11000000000000654</v>
      </c>
      <c r="M1965">
        <f t="shared" si="212"/>
        <v>-0.10999999999999943</v>
      </c>
      <c r="N1965">
        <f t="shared" si="213"/>
        <v>-0.15999999999999659</v>
      </c>
      <c r="O1965">
        <f t="shared" si="214"/>
        <v>6.0000000000002274E-2</v>
      </c>
      <c r="P1965" s="10">
        <f t="shared" si="215"/>
        <v>0.39000000000000057</v>
      </c>
    </row>
    <row r="1966" spans="1:16">
      <c r="A1966">
        <v>323.5</v>
      </c>
      <c r="B1966" s="42">
        <v>31.12</v>
      </c>
      <c r="C1966">
        <v>40.340000000000003</v>
      </c>
      <c r="D1966">
        <v>40.17</v>
      </c>
      <c r="E1966">
        <v>39.06</v>
      </c>
      <c r="F1966">
        <v>72.45</v>
      </c>
      <c r="G1966">
        <v>84.62</v>
      </c>
      <c r="H1966">
        <v>87.01</v>
      </c>
      <c r="K1966" s="9">
        <f t="shared" si="210"/>
        <v>0.21999999999999886</v>
      </c>
      <c r="L1966">
        <f t="shared" si="211"/>
        <v>0.28000000000000114</v>
      </c>
      <c r="M1966">
        <f t="shared" si="212"/>
        <v>-0.21999999999999886</v>
      </c>
      <c r="N1966">
        <f t="shared" si="213"/>
        <v>-0.17000000000000171</v>
      </c>
      <c r="O1966">
        <f t="shared" si="214"/>
        <v>0.10999999999999943</v>
      </c>
      <c r="P1966" s="10">
        <f t="shared" si="215"/>
        <v>0.5</v>
      </c>
    </row>
    <row r="1967" spans="1:16">
      <c r="A1967">
        <v>323.67</v>
      </c>
      <c r="B1967" s="42">
        <v>31.12</v>
      </c>
      <c r="C1967">
        <v>40.229999999999997</v>
      </c>
      <c r="D1967">
        <v>40.17</v>
      </c>
      <c r="E1967">
        <v>38.840000000000003</v>
      </c>
      <c r="F1967">
        <v>72.400000000000006</v>
      </c>
      <c r="G1967">
        <v>84.62</v>
      </c>
      <c r="H1967">
        <v>87.17</v>
      </c>
      <c r="K1967" s="9">
        <f t="shared" si="210"/>
        <v>0.44000000000000483</v>
      </c>
      <c r="L1967">
        <f t="shared" si="211"/>
        <v>0.44999999999999574</v>
      </c>
      <c r="M1967">
        <f t="shared" si="212"/>
        <v>-0.3300000000000054</v>
      </c>
      <c r="N1967">
        <f t="shared" si="213"/>
        <v>-0.17000000000000171</v>
      </c>
      <c r="O1967">
        <f t="shared" si="214"/>
        <v>0</v>
      </c>
      <c r="P1967" s="10">
        <f t="shared" si="215"/>
        <v>0.39000000000000057</v>
      </c>
    </row>
    <row r="1968" spans="1:16">
      <c r="A1968">
        <v>323.83</v>
      </c>
      <c r="B1968" s="42">
        <v>30.9</v>
      </c>
      <c r="C1968">
        <v>40.4</v>
      </c>
      <c r="D1968">
        <v>40.340000000000003</v>
      </c>
      <c r="E1968">
        <v>38.950000000000003</v>
      </c>
      <c r="F1968">
        <v>72.400000000000006</v>
      </c>
      <c r="G1968">
        <v>84.62</v>
      </c>
      <c r="H1968">
        <v>87.4</v>
      </c>
      <c r="K1968" s="9">
        <f t="shared" si="210"/>
        <v>0.66000000000000369</v>
      </c>
      <c r="L1968">
        <f t="shared" si="211"/>
        <v>0.55999999999999517</v>
      </c>
      <c r="M1968">
        <f t="shared" si="212"/>
        <v>-0.72000000000000597</v>
      </c>
      <c r="N1968">
        <f t="shared" si="213"/>
        <v>-0.28000000000000114</v>
      </c>
      <c r="O1968">
        <f t="shared" si="214"/>
        <v>0.10999999999999943</v>
      </c>
      <c r="P1968" s="10">
        <f t="shared" si="215"/>
        <v>4.9999999999997158E-2</v>
      </c>
    </row>
    <row r="1969" spans="1:16">
      <c r="A1969">
        <v>324</v>
      </c>
      <c r="B1969" s="42">
        <v>30.9</v>
      </c>
      <c r="C1969">
        <v>40.56</v>
      </c>
      <c r="D1969">
        <v>40.450000000000003</v>
      </c>
      <c r="E1969">
        <v>38.840000000000003</v>
      </c>
      <c r="F1969">
        <v>72.28</v>
      </c>
      <c r="G1969">
        <v>84.73</v>
      </c>
      <c r="H1969">
        <v>87.51</v>
      </c>
      <c r="K1969" s="9">
        <f t="shared" si="210"/>
        <v>0.60999999999999943</v>
      </c>
      <c r="L1969">
        <f t="shared" si="211"/>
        <v>0.60999999999999943</v>
      </c>
      <c r="M1969">
        <f t="shared" si="212"/>
        <v>-0.67000000000000171</v>
      </c>
      <c r="N1969">
        <f t="shared" si="213"/>
        <v>-0.21999999999999886</v>
      </c>
      <c r="O1969">
        <f t="shared" si="214"/>
        <v>0</v>
      </c>
      <c r="P1969" s="10">
        <f t="shared" si="215"/>
        <v>-0.39000000000000057</v>
      </c>
    </row>
    <row r="1970" spans="1:16">
      <c r="A1970">
        <v>324.17</v>
      </c>
      <c r="B1970" s="42">
        <v>30.73</v>
      </c>
      <c r="C1970">
        <v>40.67</v>
      </c>
      <c r="D1970">
        <v>40.619999999999997</v>
      </c>
      <c r="E1970">
        <v>38.51</v>
      </c>
      <c r="F1970">
        <v>72.23</v>
      </c>
      <c r="G1970">
        <v>84.62</v>
      </c>
      <c r="H1970">
        <v>87.56</v>
      </c>
      <c r="K1970" s="9">
        <f t="shared" si="210"/>
        <v>0.44999999999999574</v>
      </c>
      <c r="L1970">
        <f t="shared" si="211"/>
        <v>0.39000000000000057</v>
      </c>
      <c r="M1970">
        <f t="shared" si="212"/>
        <v>-0.10999999999999943</v>
      </c>
      <c r="N1970">
        <f t="shared" si="213"/>
        <v>4.9999999999997158E-2</v>
      </c>
      <c r="O1970">
        <f t="shared" si="214"/>
        <v>0.10999999999999943</v>
      </c>
      <c r="P1970" s="10">
        <f t="shared" si="215"/>
        <v>-4.9999999999997158E-2</v>
      </c>
    </row>
    <row r="1971" spans="1:16">
      <c r="A1971">
        <v>324.33</v>
      </c>
      <c r="B1971" s="42">
        <v>30.56</v>
      </c>
      <c r="C1971">
        <v>41.06</v>
      </c>
      <c r="D1971">
        <v>40.9</v>
      </c>
      <c r="E1971">
        <v>38.229999999999997</v>
      </c>
      <c r="F1971">
        <v>72.12</v>
      </c>
      <c r="G1971">
        <v>84.73</v>
      </c>
      <c r="H1971">
        <v>87.45</v>
      </c>
      <c r="K1971" s="9">
        <f t="shared" si="210"/>
        <v>5.9999999999995168E-2</v>
      </c>
      <c r="L1971">
        <f t="shared" si="211"/>
        <v>0.16000000000000369</v>
      </c>
      <c r="M1971">
        <f t="shared" si="212"/>
        <v>-0.10999999999999943</v>
      </c>
      <c r="N1971">
        <f t="shared" si="213"/>
        <v>0.15999999999999659</v>
      </c>
      <c r="O1971">
        <f t="shared" si="214"/>
        <v>4.9999999999997158E-2</v>
      </c>
      <c r="P1971" s="10">
        <f t="shared" si="215"/>
        <v>0.10999999999999943</v>
      </c>
    </row>
    <row r="1972" spans="1:16">
      <c r="A1972">
        <v>324.5</v>
      </c>
      <c r="B1972" s="42">
        <v>30.34</v>
      </c>
      <c r="C1972">
        <v>41.17</v>
      </c>
      <c r="D1972">
        <v>41.06</v>
      </c>
      <c r="E1972">
        <v>38.17</v>
      </c>
      <c r="F1972">
        <v>72.06</v>
      </c>
      <c r="G1972">
        <v>84.73</v>
      </c>
      <c r="H1972">
        <v>87.12</v>
      </c>
      <c r="K1972" s="9">
        <f t="shared" si="210"/>
        <v>-0.21999999999999886</v>
      </c>
      <c r="L1972">
        <f t="shared" si="211"/>
        <v>-0.21999999999999886</v>
      </c>
      <c r="M1972">
        <f t="shared" si="212"/>
        <v>-0.39000000000000057</v>
      </c>
      <c r="N1972">
        <f t="shared" si="213"/>
        <v>0.34000000000000341</v>
      </c>
      <c r="O1972">
        <f t="shared" si="214"/>
        <v>4.9999999999997158E-2</v>
      </c>
      <c r="P1972" s="10">
        <f t="shared" si="215"/>
        <v>0.54999999999999716</v>
      </c>
    </row>
    <row r="1973" spans="1:16">
      <c r="A1973">
        <v>324.67</v>
      </c>
      <c r="B1973" s="42">
        <v>30.51</v>
      </c>
      <c r="C1973">
        <v>41.12</v>
      </c>
      <c r="D1973">
        <v>41.01</v>
      </c>
      <c r="E1973">
        <v>38.4</v>
      </c>
      <c r="F1973">
        <v>72.28</v>
      </c>
      <c r="G1973">
        <v>84.73</v>
      </c>
      <c r="H1973">
        <v>87.51</v>
      </c>
      <c r="K1973" s="9">
        <f t="shared" si="210"/>
        <v>-0.33999999999999631</v>
      </c>
      <c r="L1973">
        <f t="shared" si="211"/>
        <v>-0.33999999999999631</v>
      </c>
      <c r="M1973">
        <f t="shared" si="212"/>
        <v>-0.67000000000000171</v>
      </c>
      <c r="N1973">
        <f t="shared" si="213"/>
        <v>0.12000000000000455</v>
      </c>
      <c r="O1973">
        <f t="shared" si="214"/>
        <v>4.9999999999997158E-2</v>
      </c>
      <c r="P1973" s="10">
        <f t="shared" si="215"/>
        <v>0.10999999999999943</v>
      </c>
    </row>
    <row r="1974" spans="1:16">
      <c r="A1974">
        <v>324.83</v>
      </c>
      <c r="B1974" s="42">
        <v>30.34</v>
      </c>
      <c r="C1974">
        <v>41.12</v>
      </c>
      <c r="D1974">
        <v>41.06</v>
      </c>
      <c r="E1974">
        <v>38.119999999999997</v>
      </c>
      <c r="F1974">
        <v>72.28</v>
      </c>
      <c r="G1974">
        <v>84.78</v>
      </c>
      <c r="H1974">
        <v>87.56</v>
      </c>
      <c r="K1974" s="9">
        <f t="shared" si="210"/>
        <v>-0.5</v>
      </c>
      <c r="L1974">
        <f t="shared" si="211"/>
        <v>-0.44000000000000483</v>
      </c>
      <c r="M1974">
        <f t="shared" si="212"/>
        <v>-0.44999999999999574</v>
      </c>
      <c r="N1974">
        <f t="shared" si="213"/>
        <v>0</v>
      </c>
      <c r="O1974">
        <f t="shared" si="214"/>
        <v>0</v>
      </c>
      <c r="P1974" s="10">
        <f t="shared" si="215"/>
        <v>-4.9999999999997158E-2</v>
      </c>
    </row>
    <row r="1975" spans="1:16">
      <c r="A1975">
        <v>325</v>
      </c>
      <c r="B1975" s="42">
        <v>30.28</v>
      </c>
      <c r="C1975">
        <v>40.950000000000003</v>
      </c>
      <c r="D1975">
        <v>40.840000000000003</v>
      </c>
      <c r="E1975">
        <v>37.78</v>
      </c>
      <c r="F1975">
        <v>72.400000000000006</v>
      </c>
      <c r="G1975">
        <v>84.78</v>
      </c>
      <c r="H1975">
        <v>87.67</v>
      </c>
      <c r="K1975" s="9">
        <f t="shared" si="210"/>
        <v>-0.28000000000000114</v>
      </c>
      <c r="L1975">
        <f t="shared" si="211"/>
        <v>-0.17000000000000171</v>
      </c>
      <c r="M1975">
        <f t="shared" si="212"/>
        <v>-0.21999999999999886</v>
      </c>
      <c r="N1975">
        <f t="shared" si="213"/>
        <v>0</v>
      </c>
      <c r="O1975">
        <f t="shared" si="214"/>
        <v>0</v>
      </c>
      <c r="P1975" s="10">
        <f t="shared" si="215"/>
        <v>-4.9999999999997158E-2</v>
      </c>
    </row>
    <row r="1976" spans="1:16">
      <c r="A1976">
        <v>325.17</v>
      </c>
      <c r="B1976" s="42">
        <v>30.06</v>
      </c>
      <c r="C1976">
        <v>40.78</v>
      </c>
      <c r="D1976">
        <v>40.67</v>
      </c>
      <c r="E1976">
        <v>37.729999999999997</v>
      </c>
      <c r="F1976">
        <v>72.400000000000006</v>
      </c>
      <c r="G1976">
        <v>84.78</v>
      </c>
      <c r="H1976">
        <v>87.62</v>
      </c>
      <c r="K1976" s="9">
        <f t="shared" si="210"/>
        <v>6.0000000000002274E-2</v>
      </c>
      <c r="L1976">
        <f t="shared" si="211"/>
        <v>5.9999999999995168E-2</v>
      </c>
      <c r="M1976">
        <f t="shared" si="212"/>
        <v>-0.10999999999999943</v>
      </c>
      <c r="N1976">
        <f t="shared" si="213"/>
        <v>0.15999999999999659</v>
      </c>
      <c r="O1976">
        <f t="shared" si="214"/>
        <v>0.12000000000000455</v>
      </c>
      <c r="P1976" s="10">
        <f t="shared" si="215"/>
        <v>0.39000000000000057</v>
      </c>
    </row>
    <row r="1977" spans="1:16">
      <c r="A1977">
        <v>325.33</v>
      </c>
      <c r="B1977" s="42">
        <v>29.95</v>
      </c>
      <c r="C1977">
        <v>40.619999999999997</v>
      </c>
      <c r="D1977">
        <v>40.619999999999997</v>
      </c>
      <c r="E1977">
        <v>37.67</v>
      </c>
      <c r="F1977">
        <v>72.28</v>
      </c>
      <c r="G1977">
        <v>84.78</v>
      </c>
      <c r="H1977">
        <v>87.51</v>
      </c>
      <c r="K1977" s="9">
        <f t="shared" si="210"/>
        <v>0.10999999999999943</v>
      </c>
      <c r="L1977">
        <f t="shared" si="211"/>
        <v>5.0000000000004263E-2</v>
      </c>
      <c r="M1977">
        <f t="shared" si="212"/>
        <v>-0.10999999999999943</v>
      </c>
      <c r="N1977">
        <f t="shared" si="213"/>
        <v>0.45000000000000284</v>
      </c>
      <c r="O1977">
        <f t="shared" si="214"/>
        <v>0.12000000000000455</v>
      </c>
      <c r="P1977" s="10">
        <f t="shared" si="215"/>
        <v>0.54999999999999716</v>
      </c>
    </row>
    <row r="1978" spans="1:16">
      <c r="A1978">
        <v>325.5</v>
      </c>
      <c r="B1978" s="42">
        <v>29.78</v>
      </c>
      <c r="C1978">
        <v>40.67</v>
      </c>
      <c r="D1978">
        <v>40.67</v>
      </c>
      <c r="E1978">
        <v>37.56</v>
      </c>
      <c r="F1978">
        <v>72.400000000000006</v>
      </c>
      <c r="G1978">
        <v>84.78</v>
      </c>
      <c r="H1978">
        <v>87.62</v>
      </c>
      <c r="K1978" s="9">
        <f t="shared" si="210"/>
        <v>-5.0000000000004263E-2</v>
      </c>
      <c r="L1978">
        <f t="shared" si="211"/>
        <v>-0.16000000000000369</v>
      </c>
      <c r="M1978">
        <f t="shared" si="212"/>
        <v>-0.39000000000000057</v>
      </c>
      <c r="N1978">
        <f t="shared" si="213"/>
        <v>0.43999999999999773</v>
      </c>
      <c r="O1978">
        <f t="shared" si="214"/>
        <v>0.17000000000000171</v>
      </c>
      <c r="P1978" s="10">
        <f t="shared" si="215"/>
        <v>0.54999999999999716</v>
      </c>
    </row>
    <row r="1979" spans="1:16">
      <c r="A1979">
        <v>325.67</v>
      </c>
      <c r="B1979" s="42">
        <v>29.84</v>
      </c>
      <c r="C1979">
        <v>40.840000000000003</v>
      </c>
      <c r="D1979">
        <v>40.729999999999997</v>
      </c>
      <c r="E1979">
        <v>37.619999999999997</v>
      </c>
      <c r="F1979">
        <v>72.56</v>
      </c>
      <c r="G1979">
        <v>84.9</v>
      </c>
      <c r="H1979">
        <v>88.01</v>
      </c>
      <c r="K1979" s="9">
        <f t="shared" si="210"/>
        <v>-0.44000000000000483</v>
      </c>
      <c r="L1979">
        <f t="shared" si="211"/>
        <v>-0.5</v>
      </c>
      <c r="M1979">
        <f t="shared" si="212"/>
        <v>-0.94999999999999574</v>
      </c>
      <c r="N1979">
        <f t="shared" si="213"/>
        <v>0.28000000000000114</v>
      </c>
      <c r="O1979">
        <f t="shared" si="214"/>
        <v>4.9999999999997158E-2</v>
      </c>
      <c r="P1979" s="10">
        <f t="shared" si="215"/>
        <v>0.10999999999999943</v>
      </c>
    </row>
    <row r="1980" spans="1:16">
      <c r="A1980">
        <v>325.83</v>
      </c>
      <c r="B1980" s="42">
        <v>29.62</v>
      </c>
      <c r="C1980">
        <v>40.729999999999997</v>
      </c>
      <c r="D1980">
        <v>40.67</v>
      </c>
      <c r="E1980">
        <v>37.56</v>
      </c>
      <c r="F1980">
        <v>72.73</v>
      </c>
      <c r="G1980">
        <v>84.9</v>
      </c>
      <c r="H1980">
        <v>88.06</v>
      </c>
      <c r="K1980" s="9">
        <f t="shared" si="210"/>
        <v>-0.60999999999999943</v>
      </c>
      <c r="L1980">
        <f t="shared" si="211"/>
        <v>-0.77000000000000313</v>
      </c>
      <c r="M1980">
        <f t="shared" si="212"/>
        <v>-1.1600000000000037</v>
      </c>
      <c r="N1980">
        <f t="shared" si="213"/>
        <v>0.10999999999999943</v>
      </c>
      <c r="O1980">
        <f t="shared" si="214"/>
        <v>0.15999999999999659</v>
      </c>
      <c r="P1980" s="10">
        <f t="shared" si="215"/>
        <v>0.10999999999999943</v>
      </c>
    </row>
    <row r="1981" spans="1:16">
      <c r="A1981">
        <v>326</v>
      </c>
      <c r="B1981" s="42">
        <v>29.62</v>
      </c>
      <c r="C1981">
        <v>40.619999999999997</v>
      </c>
      <c r="D1981">
        <v>40.51</v>
      </c>
      <c r="E1981">
        <v>37.17</v>
      </c>
      <c r="F1981">
        <v>72.84</v>
      </c>
      <c r="G1981">
        <v>84.95</v>
      </c>
      <c r="H1981">
        <v>88.17</v>
      </c>
      <c r="K1981" s="9">
        <f t="shared" si="210"/>
        <v>-0.77999999999999403</v>
      </c>
      <c r="L1981">
        <f t="shared" si="211"/>
        <v>-0.78000000000000114</v>
      </c>
      <c r="M1981">
        <f t="shared" si="212"/>
        <v>-1.0500000000000043</v>
      </c>
      <c r="N1981">
        <f t="shared" si="213"/>
        <v>0.10999999999999943</v>
      </c>
      <c r="O1981">
        <f t="shared" si="214"/>
        <v>0.10999999999999943</v>
      </c>
      <c r="P1981" s="10">
        <f t="shared" si="215"/>
        <v>0.23000000000000398</v>
      </c>
    </row>
    <row r="1982" spans="1:16">
      <c r="A1982">
        <v>326.17</v>
      </c>
      <c r="B1982" s="42">
        <v>29.56</v>
      </c>
      <c r="C1982">
        <v>40.4</v>
      </c>
      <c r="D1982">
        <v>40.229999999999997</v>
      </c>
      <c r="E1982">
        <v>36.67</v>
      </c>
      <c r="F1982">
        <v>72.84</v>
      </c>
      <c r="G1982">
        <v>84.95</v>
      </c>
      <c r="H1982">
        <v>88.12</v>
      </c>
      <c r="K1982" s="9">
        <f t="shared" si="210"/>
        <v>-0.72999999999999687</v>
      </c>
      <c r="L1982">
        <f t="shared" si="211"/>
        <v>-0.71999999999999886</v>
      </c>
      <c r="M1982">
        <f t="shared" si="212"/>
        <v>-0.66000000000000369</v>
      </c>
      <c r="N1982">
        <f t="shared" si="213"/>
        <v>0</v>
      </c>
      <c r="O1982">
        <f t="shared" si="214"/>
        <v>0.21999999999999886</v>
      </c>
      <c r="P1982" s="10">
        <f t="shared" si="215"/>
        <v>0.21999999999999886</v>
      </c>
    </row>
    <row r="1983" spans="1:16">
      <c r="A1983">
        <v>326.33</v>
      </c>
      <c r="B1983" s="42">
        <v>29.45</v>
      </c>
      <c r="C1983">
        <v>40.119999999999997</v>
      </c>
      <c r="D1983">
        <v>39.9</v>
      </c>
      <c r="E1983">
        <v>36.4</v>
      </c>
      <c r="F1983">
        <v>72.84</v>
      </c>
      <c r="G1983">
        <v>85.06</v>
      </c>
      <c r="H1983">
        <v>88.17</v>
      </c>
      <c r="K1983" s="9">
        <f t="shared" si="210"/>
        <v>-0.6699999999999946</v>
      </c>
      <c r="L1983">
        <f t="shared" si="211"/>
        <v>-0.5</v>
      </c>
      <c r="M1983">
        <f t="shared" si="212"/>
        <v>-0.5</v>
      </c>
      <c r="N1983">
        <f t="shared" si="213"/>
        <v>6.0000000000002274E-2</v>
      </c>
      <c r="O1983">
        <f t="shared" si="214"/>
        <v>0.10999999999999943</v>
      </c>
      <c r="P1983" s="10">
        <f t="shared" si="215"/>
        <v>0.10999999999999943</v>
      </c>
    </row>
    <row r="1984" spans="1:16">
      <c r="A1984">
        <v>326.5</v>
      </c>
      <c r="B1984" s="42">
        <v>29.34</v>
      </c>
      <c r="C1984">
        <v>39.840000000000003</v>
      </c>
      <c r="D1984">
        <v>39.729999999999997</v>
      </c>
      <c r="E1984">
        <v>36.119999999999997</v>
      </c>
      <c r="F1984">
        <v>72.95</v>
      </c>
      <c r="G1984">
        <v>85.06</v>
      </c>
      <c r="H1984">
        <v>88.4</v>
      </c>
      <c r="K1984" s="9">
        <f t="shared" si="210"/>
        <v>-0.56000000000000227</v>
      </c>
      <c r="L1984">
        <f t="shared" si="211"/>
        <v>-0.5</v>
      </c>
      <c r="M1984">
        <f t="shared" si="212"/>
        <v>-0.33999999999999631</v>
      </c>
      <c r="N1984">
        <f t="shared" si="213"/>
        <v>-0.10999999999999943</v>
      </c>
      <c r="O1984">
        <f t="shared" si="214"/>
        <v>0.10999999999999943</v>
      </c>
      <c r="P1984" s="10">
        <f t="shared" si="215"/>
        <v>-0.17000000000000171</v>
      </c>
    </row>
    <row r="1985" spans="1:16">
      <c r="A1985">
        <v>326.67</v>
      </c>
      <c r="B1985" s="42">
        <v>29.17</v>
      </c>
      <c r="C1985">
        <v>39.67</v>
      </c>
      <c r="D1985">
        <v>39.51</v>
      </c>
      <c r="E1985">
        <v>36.01</v>
      </c>
      <c r="F1985">
        <v>72.84</v>
      </c>
      <c r="G1985">
        <v>85.17</v>
      </c>
      <c r="H1985">
        <v>88.34</v>
      </c>
      <c r="K1985" s="9">
        <f t="shared" si="210"/>
        <v>-0.44000000000000483</v>
      </c>
      <c r="L1985">
        <f t="shared" si="211"/>
        <v>-0.39000000000000057</v>
      </c>
      <c r="M1985">
        <f t="shared" si="212"/>
        <v>-0.33999999999999631</v>
      </c>
      <c r="N1985">
        <f t="shared" si="213"/>
        <v>0</v>
      </c>
      <c r="O1985">
        <f t="shared" si="214"/>
        <v>-4.9999999999997158E-2</v>
      </c>
      <c r="P1985" s="10">
        <f t="shared" si="215"/>
        <v>6.0000000000002274E-2</v>
      </c>
    </row>
    <row r="1986" spans="1:16">
      <c r="A1986">
        <v>326.83</v>
      </c>
      <c r="B1986" s="42">
        <v>29.12</v>
      </c>
      <c r="C1986">
        <v>39.450000000000003</v>
      </c>
      <c r="D1986">
        <v>39.4</v>
      </c>
      <c r="E1986">
        <v>35.9</v>
      </c>
      <c r="F1986">
        <v>72.900000000000006</v>
      </c>
      <c r="G1986">
        <v>85.17</v>
      </c>
      <c r="H1986">
        <v>88.28</v>
      </c>
      <c r="K1986" s="9">
        <f t="shared" si="210"/>
        <v>-0.39000000000000057</v>
      </c>
      <c r="L1986">
        <f t="shared" si="211"/>
        <v>-0.33999999999999631</v>
      </c>
      <c r="M1986">
        <f t="shared" si="212"/>
        <v>-0.44999999999999574</v>
      </c>
      <c r="N1986">
        <f t="shared" si="213"/>
        <v>-0.23000000000000398</v>
      </c>
      <c r="O1986">
        <f t="shared" si="214"/>
        <v>-0.21999999999999886</v>
      </c>
      <c r="P1986" s="10">
        <f t="shared" si="215"/>
        <v>0.28000000000000114</v>
      </c>
    </row>
    <row r="1987" spans="1:16">
      <c r="A1987">
        <v>327</v>
      </c>
      <c r="B1987" s="42">
        <v>29.17</v>
      </c>
      <c r="C1987">
        <v>39.28</v>
      </c>
      <c r="D1987">
        <v>39.229999999999997</v>
      </c>
      <c r="E1987">
        <v>35.78</v>
      </c>
      <c r="F1987">
        <v>72.84</v>
      </c>
      <c r="G1987">
        <v>85.17</v>
      </c>
      <c r="H1987">
        <v>88.23</v>
      </c>
      <c r="K1987" s="9">
        <f t="shared" si="210"/>
        <v>-5.0000000000004263E-2</v>
      </c>
      <c r="L1987">
        <f t="shared" si="211"/>
        <v>-0.10999999999999943</v>
      </c>
      <c r="M1987">
        <f t="shared" si="212"/>
        <v>-0.21999999999999886</v>
      </c>
      <c r="N1987">
        <f t="shared" si="213"/>
        <v>-0.10999999999999943</v>
      </c>
      <c r="O1987">
        <f t="shared" si="214"/>
        <v>-0.21999999999999886</v>
      </c>
      <c r="P1987" s="10">
        <f t="shared" si="215"/>
        <v>0.28000000000000114</v>
      </c>
    </row>
    <row r="1988" spans="1:16">
      <c r="A1988">
        <v>327.17</v>
      </c>
      <c r="B1988" s="42">
        <v>29.23</v>
      </c>
      <c r="C1988">
        <v>39.229999999999997</v>
      </c>
      <c r="D1988">
        <v>39.119999999999997</v>
      </c>
      <c r="E1988">
        <v>35.67</v>
      </c>
      <c r="F1988">
        <v>72.84</v>
      </c>
      <c r="G1988">
        <v>85.12</v>
      </c>
      <c r="H1988">
        <v>88.4</v>
      </c>
      <c r="K1988" s="9">
        <f t="shared" si="210"/>
        <v>0.11000000000000654</v>
      </c>
      <c r="L1988">
        <f t="shared" si="211"/>
        <v>0.10999999999999943</v>
      </c>
      <c r="M1988">
        <f t="shared" si="212"/>
        <v>-0.21999999999999886</v>
      </c>
      <c r="N1988">
        <f t="shared" si="213"/>
        <v>0</v>
      </c>
      <c r="O1988">
        <f t="shared" si="214"/>
        <v>-0.17000000000000171</v>
      </c>
      <c r="P1988" s="10">
        <f t="shared" si="215"/>
        <v>0</v>
      </c>
    </row>
    <row r="1989" spans="1:16">
      <c r="A1989">
        <v>327.33</v>
      </c>
      <c r="B1989" s="42">
        <v>29.23</v>
      </c>
      <c r="C1989">
        <v>39.06</v>
      </c>
      <c r="D1989">
        <v>39.06</v>
      </c>
      <c r="E1989">
        <v>35.450000000000003</v>
      </c>
      <c r="F1989">
        <v>72.67</v>
      </c>
      <c r="G1989">
        <v>84.95</v>
      </c>
      <c r="H1989">
        <v>88.56</v>
      </c>
      <c r="K1989" s="9">
        <f t="shared" si="210"/>
        <v>5.9999999999995168E-2</v>
      </c>
      <c r="L1989">
        <f t="shared" si="211"/>
        <v>5.9999999999995168E-2</v>
      </c>
      <c r="M1989">
        <f t="shared" si="212"/>
        <v>-0.28000000000000114</v>
      </c>
      <c r="N1989">
        <f t="shared" si="213"/>
        <v>0.17000000000000171</v>
      </c>
      <c r="O1989">
        <f t="shared" si="214"/>
        <v>-0.17000000000000171</v>
      </c>
      <c r="P1989" s="10">
        <f t="shared" si="215"/>
        <v>-0.78000000000000114</v>
      </c>
    </row>
    <row r="1990" spans="1:16">
      <c r="A1990">
        <v>327.5</v>
      </c>
      <c r="B1990" s="42">
        <v>29.17</v>
      </c>
      <c r="C1990">
        <v>39.229999999999997</v>
      </c>
      <c r="D1990">
        <v>39.119999999999997</v>
      </c>
      <c r="E1990">
        <v>35.56</v>
      </c>
      <c r="F1990">
        <v>72.73</v>
      </c>
      <c r="G1990">
        <v>84.95</v>
      </c>
      <c r="H1990">
        <v>88.51</v>
      </c>
      <c r="K1990" s="9">
        <f t="shared" si="210"/>
        <v>-5.9999999999995168E-2</v>
      </c>
      <c r="L1990">
        <f t="shared" si="211"/>
        <v>0.10999999999999943</v>
      </c>
      <c r="M1990">
        <f t="shared" si="212"/>
        <v>-0.55000000000000426</v>
      </c>
      <c r="N1990">
        <f t="shared" si="213"/>
        <v>0.10999999999999943</v>
      </c>
      <c r="O1990">
        <f t="shared" si="214"/>
        <v>-0.17000000000000171</v>
      </c>
      <c r="P1990" s="10">
        <f t="shared" si="215"/>
        <v>-0.60999999999999943</v>
      </c>
    </row>
    <row r="1991" spans="1:16">
      <c r="A1991">
        <v>327.67</v>
      </c>
      <c r="B1991" s="42">
        <v>29.23</v>
      </c>
      <c r="C1991">
        <v>39.340000000000003</v>
      </c>
      <c r="D1991">
        <v>39.229999999999997</v>
      </c>
      <c r="E1991">
        <v>35.450000000000003</v>
      </c>
      <c r="F1991">
        <v>72.84</v>
      </c>
      <c r="G1991">
        <v>84.95</v>
      </c>
      <c r="H1991">
        <v>88.4</v>
      </c>
      <c r="K1991" s="9">
        <f t="shared" si="210"/>
        <v>-0.28000000000000114</v>
      </c>
      <c r="L1991">
        <f t="shared" si="211"/>
        <v>-0.1699999999999946</v>
      </c>
      <c r="M1991">
        <f t="shared" si="212"/>
        <v>-0.44000000000000483</v>
      </c>
      <c r="N1991">
        <f t="shared" si="213"/>
        <v>-0.10999999999999943</v>
      </c>
      <c r="O1991">
        <f t="shared" si="214"/>
        <v>-0.17000000000000171</v>
      </c>
      <c r="P1991" s="10">
        <f t="shared" si="215"/>
        <v>-0.28000000000000114</v>
      </c>
    </row>
    <row r="1992" spans="1:16">
      <c r="A1992">
        <v>327.83</v>
      </c>
      <c r="B1992" s="42">
        <v>29.28</v>
      </c>
      <c r="C1992">
        <v>39.119999999999997</v>
      </c>
      <c r="D1992">
        <v>39.119999999999997</v>
      </c>
      <c r="E1992">
        <v>35.17</v>
      </c>
      <c r="F1992">
        <v>72.84</v>
      </c>
      <c r="G1992">
        <v>84.78</v>
      </c>
      <c r="H1992">
        <v>87.78</v>
      </c>
      <c r="K1992" s="9">
        <f t="shared" si="210"/>
        <v>-0.10999999999999943</v>
      </c>
      <c r="L1992">
        <f t="shared" si="211"/>
        <v>-0.1699999999999946</v>
      </c>
      <c r="M1992">
        <f t="shared" si="212"/>
        <v>-0.16000000000000369</v>
      </c>
      <c r="N1992">
        <f t="shared" si="213"/>
        <v>0.10999999999999943</v>
      </c>
      <c r="O1992">
        <f t="shared" si="214"/>
        <v>-4.9999999999997158E-2</v>
      </c>
      <c r="P1992" s="10">
        <f t="shared" si="215"/>
        <v>0.17000000000000171</v>
      </c>
    </row>
    <row r="1993" spans="1:16">
      <c r="A1993">
        <v>328</v>
      </c>
      <c r="B1993" s="42">
        <v>29.23</v>
      </c>
      <c r="C1993">
        <v>39.17</v>
      </c>
      <c r="D1993">
        <v>39.229999999999997</v>
      </c>
      <c r="E1993">
        <v>35.01</v>
      </c>
      <c r="F1993">
        <v>72.84</v>
      </c>
      <c r="G1993">
        <v>84.78</v>
      </c>
      <c r="H1993">
        <v>87.9</v>
      </c>
      <c r="K1993" s="9">
        <f t="shared" si="210"/>
        <v>-0.21999999999999886</v>
      </c>
      <c r="L1993">
        <f t="shared" si="211"/>
        <v>-0.27999999999999403</v>
      </c>
      <c r="M1993">
        <f t="shared" si="212"/>
        <v>-0.28000000000000114</v>
      </c>
      <c r="N1993">
        <f t="shared" si="213"/>
        <v>0.10999999999999943</v>
      </c>
      <c r="O1993">
        <f t="shared" si="214"/>
        <v>-4.9999999999997158E-2</v>
      </c>
      <c r="P1993" s="10">
        <f t="shared" si="215"/>
        <v>0.26999999999999602</v>
      </c>
    </row>
    <row r="1994" spans="1:16">
      <c r="A1994">
        <v>328.17</v>
      </c>
      <c r="B1994" s="42">
        <v>29.01</v>
      </c>
      <c r="C1994">
        <v>39.06</v>
      </c>
      <c r="D1994">
        <v>39.06</v>
      </c>
      <c r="E1994">
        <v>35.01</v>
      </c>
      <c r="F1994">
        <v>72.73</v>
      </c>
      <c r="G1994">
        <v>84.78</v>
      </c>
      <c r="H1994">
        <v>88.12</v>
      </c>
      <c r="K1994" s="9">
        <f t="shared" si="210"/>
        <v>-0.16000000000000369</v>
      </c>
      <c r="L1994">
        <f t="shared" si="211"/>
        <v>-0.28000000000000114</v>
      </c>
      <c r="M1994">
        <f t="shared" si="212"/>
        <v>-0.44999999999999574</v>
      </c>
      <c r="N1994">
        <f t="shared" si="213"/>
        <v>0.28000000000000114</v>
      </c>
      <c r="O1994">
        <f t="shared" si="214"/>
        <v>-4.9999999999997158E-2</v>
      </c>
      <c r="P1994" s="10">
        <f t="shared" si="215"/>
        <v>4.9999999999997158E-2</v>
      </c>
    </row>
    <row r="1995" spans="1:16">
      <c r="A1995">
        <v>328.33</v>
      </c>
      <c r="B1995" s="42">
        <v>29.01</v>
      </c>
      <c r="C1995">
        <v>39.01</v>
      </c>
      <c r="D1995">
        <v>38.950000000000003</v>
      </c>
      <c r="E1995">
        <v>35.01</v>
      </c>
      <c r="F1995">
        <v>72.95</v>
      </c>
      <c r="G1995">
        <v>84.73</v>
      </c>
      <c r="H1995">
        <v>87.95</v>
      </c>
      <c r="K1995" s="9">
        <f t="shared" si="210"/>
        <v>-0.28000000000000114</v>
      </c>
      <c r="L1995">
        <f t="shared" si="211"/>
        <v>-0.39000000000000057</v>
      </c>
      <c r="M1995">
        <f t="shared" si="212"/>
        <v>-0.72999999999999687</v>
      </c>
      <c r="N1995">
        <f t="shared" si="213"/>
        <v>6.0000000000002274E-2</v>
      </c>
      <c r="O1995">
        <f t="shared" si="214"/>
        <v>0</v>
      </c>
      <c r="P1995" s="10">
        <f t="shared" si="215"/>
        <v>0.10999999999999943</v>
      </c>
    </row>
    <row r="1996" spans="1:16">
      <c r="A1996">
        <v>328.5</v>
      </c>
      <c r="B1996" s="42">
        <v>28.95</v>
      </c>
      <c r="C1996">
        <v>38.950000000000003</v>
      </c>
      <c r="D1996">
        <v>38.950000000000003</v>
      </c>
      <c r="E1996">
        <v>34.729999999999997</v>
      </c>
      <c r="F1996">
        <v>72.95</v>
      </c>
      <c r="G1996">
        <v>84.73</v>
      </c>
      <c r="H1996">
        <v>88.17</v>
      </c>
      <c r="K1996" s="9">
        <f t="shared" si="210"/>
        <v>-0.44000000000000483</v>
      </c>
      <c r="L1996">
        <f t="shared" si="211"/>
        <v>-0.44000000000000483</v>
      </c>
      <c r="M1996">
        <f t="shared" si="212"/>
        <v>-0.60999999999999943</v>
      </c>
      <c r="N1996">
        <f t="shared" si="213"/>
        <v>0.17000000000000171</v>
      </c>
      <c r="O1996">
        <f t="shared" si="214"/>
        <v>4.9999999999997158E-2</v>
      </c>
      <c r="P1996" s="10">
        <f t="shared" si="215"/>
        <v>-4.9999999999997158E-2</v>
      </c>
    </row>
    <row r="1997" spans="1:16">
      <c r="A1997">
        <v>328.67</v>
      </c>
      <c r="B1997" s="42">
        <v>28.9</v>
      </c>
      <c r="C1997">
        <v>38.9</v>
      </c>
      <c r="D1997">
        <v>38.78</v>
      </c>
      <c r="E1997">
        <v>34.56</v>
      </c>
      <c r="F1997">
        <v>73.010000000000005</v>
      </c>
      <c r="G1997">
        <v>84.73</v>
      </c>
      <c r="H1997">
        <v>88.17</v>
      </c>
      <c r="K1997" s="9">
        <f t="shared" si="210"/>
        <v>-0.61999999999999744</v>
      </c>
      <c r="L1997">
        <f t="shared" si="211"/>
        <v>-0.5</v>
      </c>
      <c r="M1997">
        <f t="shared" si="212"/>
        <v>-0.60999999999999943</v>
      </c>
      <c r="N1997">
        <f t="shared" si="213"/>
        <v>-0.23000000000000398</v>
      </c>
      <c r="O1997">
        <f t="shared" si="214"/>
        <v>4.9999999999997158E-2</v>
      </c>
      <c r="P1997" s="10">
        <f t="shared" si="215"/>
        <v>0.10999999999999943</v>
      </c>
    </row>
    <row r="1998" spans="1:16">
      <c r="A1998">
        <v>328.83</v>
      </c>
      <c r="B1998" s="42">
        <v>28.67</v>
      </c>
      <c r="C1998">
        <v>38.729999999999997</v>
      </c>
      <c r="D1998">
        <v>38.56</v>
      </c>
      <c r="E1998">
        <v>34.28</v>
      </c>
      <c r="F1998">
        <v>73.010000000000005</v>
      </c>
      <c r="G1998">
        <v>84.73</v>
      </c>
      <c r="H1998">
        <v>88.06</v>
      </c>
      <c r="K1998" s="9">
        <f t="shared" si="210"/>
        <v>-0.1699999999999946</v>
      </c>
      <c r="L1998">
        <f t="shared" si="211"/>
        <v>-0.10999999999999943</v>
      </c>
      <c r="M1998">
        <f t="shared" si="212"/>
        <v>-0.16000000000000369</v>
      </c>
      <c r="N1998">
        <f t="shared" si="213"/>
        <v>0</v>
      </c>
      <c r="O1998">
        <f t="shared" si="214"/>
        <v>0.17000000000000171</v>
      </c>
      <c r="P1998" s="10">
        <f t="shared" si="215"/>
        <v>-0.28000000000000114</v>
      </c>
    </row>
    <row r="1999" spans="1:16">
      <c r="A1999">
        <v>329</v>
      </c>
      <c r="B1999" s="42">
        <v>28.62</v>
      </c>
      <c r="C1999">
        <v>38.51</v>
      </c>
      <c r="D1999">
        <v>38.51</v>
      </c>
      <c r="E1999">
        <v>34.119999999999997</v>
      </c>
      <c r="F1999">
        <v>73.12</v>
      </c>
      <c r="G1999">
        <v>84.78</v>
      </c>
      <c r="H1999">
        <v>88.12</v>
      </c>
      <c r="K1999" s="9">
        <f t="shared" si="210"/>
        <v>5.0000000000004263E-2</v>
      </c>
      <c r="L1999">
        <f t="shared" si="211"/>
        <v>-5.9999999999995168E-2</v>
      </c>
      <c r="M1999">
        <f t="shared" si="212"/>
        <v>0.10999999999999943</v>
      </c>
      <c r="N1999">
        <f t="shared" si="213"/>
        <v>-0.10999999999999943</v>
      </c>
      <c r="O1999">
        <f t="shared" si="214"/>
        <v>0</v>
      </c>
      <c r="P1999" s="10">
        <f t="shared" si="215"/>
        <v>-0.21999999999999886</v>
      </c>
    </row>
    <row r="2000" spans="1:16">
      <c r="A2000">
        <v>329.17</v>
      </c>
      <c r="B2000" s="42">
        <v>28.51</v>
      </c>
      <c r="C2000">
        <v>38.28</v>
      </c>
      <c r="D2000">
        <v>38.28</v>
      </c>
      <c r="E2000">
        <v>33.950000000000003</v>
      </c>
      <c r="F2000">
        <v>72.78</v>
      </c>
      <c r="G2000">
        <v>84.78</v>
      </c>
      <c r="H2000">
        <v>88.28</v>
      </c>
      <c r="K2000" s="9">
        <f t="shared" si="210"/>
        <v>0.5</v>
      </c>
      <c r="L2000">
        <f t="shared" si="211"/>
        <v>0.28000000000000114</v>
      </c>
      <c r="M2000">
        <f t="shared" si="212"/>
        <v>0.27999999999999403</v>
      </c>
      <c r="N2000">
        <f t="shared" si="213"/>
        <v>0.34000000000000341</v>
      </c>
      <c r="O2000">
        <f t="shared" si="214"/>
        <v>0.12000000000000455</v>
      </c>
      <c r="P2000" s="10">
        <f t="shared" si="215"/>
        <v>-0.26999999999999602</v>
      </c>
    </row>
    <row r="2001" spans="1:16">
      <c r="A2001">
        <v>329.33</v>
      </c>
      <c r="B2001" s="42">
        <v>28.62</v>
      </c>
      <c r="C2001">
        <v>38.56</v>
      </c>
      <c r="D2001">
        <v>38.450000000000003</v>
      </c>
      <c r="E2001">
        <v>34.119999999999997</v>
      </c>
      <c r="F2001">
        <v>73.010000000000005</v>
      </c>
      <c r="G2001">
        <v>84.9</v>
      </c>
      <c r="H2001">
        <v>87.78</v>
      </c>
      <c r="K2001" s="9">
        <f t="shared" si="210"/>
        <v>0.33999999999999631</v>
      </c>
      <c r="L2001">
        <f t="shared" si="211"/>
        <v>0.32999999999999829</v>
      </c>
      <c r="M2001">
        <f t="shared" si="212"/>
        <v>-0.1699999999999946</v>
      </c>
      <c r="N2001">
        <f t="shared" si="213"/>
        <v>0.15999999999999659</v>
      </c>
      <c r="O2001">
        <f t="shared" si="214"/>
        <v>-0.12000000000000455</v>
      </c>
      <c r="P2001" s="10">
        <f t="shared" si="215"/>
        <v>0.39000000000000057</v>
      </c>
    </row>
    <row r="2002" spans="1:16">
      <c r="A2002">
        <v>329.5</v>
      </c>
      <c r="B2002" s="42">
        <v>28.62</v>
      </c>
      <c r="C2002">
        <v>38.56</v>
      </c>
      <c r="D2002">
        <v>38.450000000000003</v>
      </c>
      <c r="E2002">
        <v>34.229999999999997</v>
      </c>
      <c r="F2002">
        <v>73.010000000000005</v>
      </c>
      <c r="G2002">
        <v>84.78</v>
      </c>
      <c r="H2002">
        <v>87.9</v>
      </c>
      <c r="K2002" s="9">
        <f t="shared" si="210"/>
        <v>0.44999999999999574</v>
      </c>
      <c r="L2002">
        <f t="shared" si="211"/>
        <v>0.44999999999999574</v>
      </c>
      <c r="M2002">
        <f t="shared" si="212"/>
        <v>-0.27999999999999403</v>
      </c>
      <c r="N2002">
        <f t="shared" si="213"/>
        <v>0.26999999999999602</v>
      </c>
      <c r="O2002">
        <f t="shared" si="214"/>
        <v>6.0000000000002274E-2</v>
      </c>
      <c r="P2002" s="10">
        <f t="shared" si="215"/>
        <v>0.54999999999999716</v>
      </c>
    </row>
    <row r="2003" spans="1:16">
      <c r="A2003">
        <v>329.67</v>
      </c>
      <c r="B2003" s="42">
        <v>28.62</v>
      </c>
      <c r="C2003">
        <v>38.78</v>
      </c>
      <c r="D2003">
        <v>38.56</v>
      </c>
      <c r="E2003">
        <v>34.229999999999997</v>
      </c>
      <c r="F2003">
        <v>73.12</v>
      </c>
      <c r="G2003">
        <v>84.9</v>
      </c>
      <c r="H2003">
        <v>88.01</v>
      </c>
      <c r="K2003" s="9">
        <f t="shared" si="210"/>
        <v>0.17000000000000171</v>
      </c>
      <c r="L2003">
        <f t="shared" si="211"/>
        <v>0.39000000000000057</v>
      </c>
      <c r="M2003">
        <f t="shared" si="212"/>
        <v>-0.44999999999999574</v>
      </c>
      <c r="N2003">
        <f t="shared" si="213"/>
        <v>0.21999999999999886</v>
      </c>
      <c r="O2003">
        <f t="shared" si="214"/>
        <v>0</v>
      </c>
      <c r="P2003" s="10">
        <f t="shared" si="215"/>
        <v>0.15999999999999659</v>
      </c>
    </row>
    <row r="2004" spans="1:16">
      <c r="A2004">
        <v>329.83</v>
      </c>
      <c r="B2004" s="42">
        <v>28.62</v>
      </c>
      <c r="C2004">
        <v>38.9</v>
      </c>
      <c r="D2004">
        <v>38.78</v>
      </c>
      <c r="E2004">
        <v>33.950000000000003</v>
      </c>
      <c r="F2004">
        <v>73.17</v>
      </c>
      <c r="G2004">
        <v>84.78</v>
      </c>
      <c r="H2004">
        <v>88.17</v>
      </c>
      <c r="K2004" s="9">
        <f t="shared" si="210"/>
        <v>5.0000000000004263E-2</v>
      </c>
      <c r="L2004">
        <f t="shared" si="211"/>
        <v>6.0000000000002274E-2</v>
      </c>
      <c r="M2004">
        <f t="shared" si="212"/>
        <v>-0.28000000000000114</v>
      </c>
      <c r="N2004">
        <f t="shared" si="213"/>
        <v>0.23000000000000398</v>
      </c>
      <c r="O2004">
        <f t="shared" si="214"/>
        <v>0.17000000000000171</v>
      </c>
      <c r="P2004" s="10">
        <f t="shared" si="215"/>
        <v>6.0000000000002274E-2</v>
      </c>
    </row>
    <row r="2005" spans="1:16">
      <c r="A2005">
        <v>330</v>
      </c>
      <c r="B2005" s="42">
        <v>28.9</v>
      </c>
      <c r="C2005">
        <v>39.01</v>
      </c>
      <c r="D2005">
        <v>38.9</v>
      </c>
      <c r="E2005">
        <v>33.950000000000003</v>
      </c>
      <c r="F2005">
        <v>73.28</v>
      </c>
      <c r="G2005">
        <v>84.84</v>
      </c>
      <c r="H2005">
        <v>88.45</v>
      </c>
      <c r="K2005" s="9">
        <f t="shared" si="210"/>
        <v>0.10999999999999943</v>
      </c>
      <c r="L2005">
        <f t="shared" si="211"/>
        <v>5.0000000000004263E-2</v>
      </c>
      <c r="M2005">
        <f t="shared" si="212"/>
        <v>-0.39000000000000057</v>
      </c>
      <c r="N2005">
        <f t="shared" si="213"/>
        <v>0.12000000000000455</v>
      </c>
      <c r="O2005">
        <f t="shared" si="214"/>
        <v>0.10999999999999943</v>
      </c>
      <c r="P2005" s="10">
        <f t="shared" si="215"/>
        <v>-0.10999999999999943</v>
      </c>
    </row>
    <row r="2006" spans="1:16">
      <c r="A2006">
        <v>330.17</v>
      </c>
      <c r="B2006" s="42">
        <v>28.95</v>
      </c>
      <c r="C2006">
        <v>38.950000000000003</v>
      </c>
      <c r="D2006">
        <v>38.950000000000003</v>
      </c>
      <c r="E2006">
        <v>33.78</v>
      </c>
      <c r="F2006">
        <v>73.34</v>
      </c>
      <c r="G2006">
        <v>84.9</v>
      </c>
      <c r="H2006">
        <v>88.17</v>
      </c>
      <c r="K2006" s="9">
        <f t="shared" si="210"/>
        <v>0.1699999999999946</v>
      </c>
      <c r="L2006">
        <f t="shared" si="211"/>
        <v>0.10999999999999943</v>
      </c>
      <c r="M2006">
        <f t="shared" si="212"/>
        <v>-0.27000000000000313</v>
      </c>
      <c r="N2006">
        <f t="shared" si="213"/>
        <v>0.10999999999999943</v>
      </c>
      <c r="O2006">
        <f t="shared" si="214"/>
        <v>0.15999999999999659</v>
      </c>
      <c r="P2006" s="10">
        <f t="shared" si="215"/>
        <v>-4.9999999999997158E-2</v>
      </c>
    </row>
    <row r="2007" spans="1:16">
      <c r="A2007">
        <v>330.33</v>
      </c>
      <c r="B2007" s="42">
        <v>28.95</v>
      </c>
      <c r="C2007">
        <v>38.950000000000003</v>
      </c>
      <c r="D2007">
        <v>38.840000000000003</v>
      </c>
      <c r="E2007">
        <v>33.67</v>
      </c>
      <c r="F2007">
        <v>73.400000000000006</v>
      </c>
      <c r="G2007">
        <v>84.95</v>
      </c>
      <c r="H2007">
        <v>88.23</v>
      </c>
      <c r="K2007" s="9">
        <f t="shared" si="210"/>
        <v>0.1699999999999946</v>
      </c>
      <c r="L2007">
        <f t="shared" si="211"/>
        <v>0.1699999999999946</v>
      </c>
      <c r="M2007">
        <f t="shared" si="212"/>
        <v>-0.32999999999999829</v>
      </c>
      <c r="N2007">
        <f t="shared" si="213"/>
        <v>0.10999999999999943</v>
      </c>
      <c r="O2007">
        <f t="shared" si="214"/>
        <v>0.10999999999999943</v>
      </c>
      <c r="P2007" s="10">
        <f t="shared" si="215"/>
        <v>0</v>
      </c>
    </row>
    <row r="2008" spans="1:16">
      <c r="A2008">
        <v>330.5</v>
      </c>
      <c r="B2008" s="42">
        <v>28.95</v>
      </c>
      <c r="C2008">
        <v>39.119999999999997</v>
      </c>
      <c r="D2008">
        <v>38.950000000000003</v>
      </c>
      <c r="E2008">
        <v>33.56</v>
      </c>
      <c r="F2008">
        <v>73.400000000000006</v>
      </c>
      <c r="G2008">
        <v>84.95</v>
      </c>
      <c r="H2008">
        <v>88.34</v>
      </c>
      <c r="K2008" s="9">
        <f t="shared" si="210"/>
        <v>-0.10999999999999943</v>
      </c>
      <c r="L2008">
        <f t="shared" si="211"/>
        <v>0</v>
      </c>
      <c r="M2008">
        <f t="shared" si="212"/>
        <v>-0.3300000000000054</v>
      </c>
      <c r="N2008">
        <f t="shared" si="213"/>
        <v>0</v>
      </c>
      <c r="O2008">
        <f t="shared" si="214"/>
        <v>0.10999999999999943</v>
      </c>
      <c r="P2008" s="10">
        <f t="shared" si="215"/>
        <v>6.0000000000002274E-2</v>
      </c>
    </row>
    <row r="2009" spans="1:16">
      <c r="A2009">
        <v>330.67</v>
      </c>
      <c r="B2009" s="42">
        <v>28.84</v>
      </c>
      <c r="C2009">
        <v>39.119999999999997</v>
      </c>
      <c r="D2009">
        <v>39.06</v>
      </c>
      <c r="E2009">
        <v>33.51</v>
      </c>
      <c r="F2009">
        <v>73.45</v>
      </c>
      <c r="G2009">
        <v>85.06</v>
      </c>
      <c r="H2009">
        <v>88.12</v>
      </c>
      <c r="K2009" s="9">
        <f t="shared" ref="K2009:K2072" si="216">C2012-C2009</f>
        <v>0</v>
      </c>
      <c r="L2009">
        <f t="shared" ref="L2009:L2072" si="217">D2012-D2009</f>
        <v>-5.0000000000004263E-2</v>
      </c>
      <c r="M2009">
        <f t="shared" ref="M2009:M2072" si="218">E2012-E2009</f>
        <v>-0.5</v>
      </c>
      <c r="N2009">
        <f t="shared" ref="N2009:N2072" si="219">F2012-F2009</f>
        <v>-0.10999999999999943</v>
      </c>
      <c r="O2009">
        <f t="shared" ref="O2009:O2072" si="220">G2012-G2009</f>
        <v>-4.9999999999997158E-2</v>
      </c>
      <c r="P2009" s="10">
        <f t="shared" ref="P2009:P2072" si="221">H2012-H2009</f>
        <v>0.21999999999999886</v>
      </c>
    </row>
    <row r="2010" spans="1:16">
      <c r="A2010">
        <v>330.83</v>
      </c>
      <c r="B2010" s="42">
        <v>29.01</v>
      </c>
      <c r="C2010">
        <v>39.119999999999997</v>
      </c>
      <c r="D2010">
        <v>39.01</v>
      </c>
      <c r="E2010">
        <v>33.340000000000003</v>
      </c>
      <c r="F2010">
        <v>73.510000000000005</v>
      </c>
      <c r="G2010">
        <v>85.06</v>
      </c>
      <c r="H2010">
        <v>88.23</v>
      </c>
      <c r="K2010" s="9">
        <f t="shared" si="216"/>
        <v>-0.1699999999999946</v>
      </c>
      <c r="L2010">
        <f t="shared" si="217"/>
        <v>-0.10999999999999943</v>
      </c>
      <c r="M2010">
        <f t="shared" si="218"/>
        <v>-0.39000000000000057</v>
      </c>
      <c r="N2010">
        <f t="shared" si="219"/>
        <v>-0.10999999999999943</v>
      </c>
      <c r="O2010">
        <f t="shared" si="220"/>
        <v>-4.9999999999997158E-2</v>
      </c>
      <c r="P2010" s="10">
        <f t="shared" si="221"/>
        <v>0.10999999999999943</v>
      </c>
    </row>
    <row r="2011" spans="1:16">
      <c r="A2011">
        <v>331</v>
      </c>
      <c r="B2011" s="42">
        <v>29.01</v>
      </c>
      <c r="C2011">
        <v>39.01</v>
      </c>
      <c r="D2011">
        <v>38.950000000000003</v>
      </c>
      <c r="E2011">
        <v>33.229999999999997</v>
      </c>
      <c r="F2011">
        <v>73.400000000000006</v>
      </c>
      <c r="G2011">
        <v>85.06</v>
      </c>
      <c r="H2011">
        <v>88.4</v>
      </c>
      <c r="K2011" s="9">
        <f t="shared" si="216"/>
        <v>-0.22999999999999687</v>
      </c>
      <c r="L2011">
        <f t="shared" si="217"/>
        <v>-0.28000000000000114</v>
      </c>
      <c r="M2011">
        <f t="shared" si="218"/>
        <v>-0.38999999999999346</v>
      </c>
      <c r="N2011">
        <f t="shared" si="219"/>
        <v>-0.17000000000000171</v>
      </c>
      <c r="O2011">
        <f t="shared" si="220"/>
        <v>-4.9999999999997158E-2</v>
      </c>
      <c r="P2011" s="10">
        <f t="shared" si="221"/>
        <v>0.10999999999999943</v>
      </c>
    </row>
    <row r="2012" spans="1:16">
      <c r="A2012">
        <v>331.17</v>
      </c>
      <c r="B2012" s="42">
        <v>29.23</v>
      </c>
      <c r="C2012">
        <v>39.119999999999997</v>
      </c>
      <c r="D2012">
        <v>39.01</v>
      </c>
      <c r="E2012">
        <v>33.01</v>
      </c>
      <c r="F2012">
        <v>73.34</v>
      </c>
      <c r="G2012">
        <v>85.01</v>
      </c>
      <c r="H2012">
        <v>88.34</v>
      </c>
      <c r="K2012" s="9">
        <f t="shared" si="216"/>
        <v>-0.21999999999999886</v>
      </c>
      <c r="L2012">
        <f t="shared" si="217"/>
        <v>-0.1699999999999946</v>
      </c>
      <c r="M2012">
        <f t="shared" si="218"/>
        <v>5.0000000000004263E-2</v>
      </c>
      <c r="N2012">
        <f t="shared" si="219"/>
        <v>-0.21999999999999886</v>
      </c>
      <c r="O2012">
        <f t="shared" si="220"/>
        <v>0</v>
      </c>
      <c r="P2012" s="10">
        <f t="shared" si="221"/>
        <v>0.17000000000000171</v>
      </c>
    </row>
    <row r="2013" spans="1:16">
      <c r="A2013">
        <v>331.33</v>
      </c>
      <c r="B2013" s="42">
        <v>29.28</v>
      </c>
      <c r="C2013">
        <v>38.950000000000003</v>
      </c>
      <c r="D2013">
        <v>38.9</v>
      </c>
      <c r="E2013">
        <v>32.950000000000003</v>
      </c>
      <c r="F2013">
        <v>73.400000000000006</v>
      </c>
      <c r="G2013">
        <v>85.01</v>
      </c>
      <c r="H2013">
        <v>88.34</v>
      </c>
      <c r="K2013" s="9">
        <f t="shared" si="216"/>
        <v>0</v>
      </c>
      <c r="L2013">
        <f t="shared" si="217"/>
        <v>0</v>
      </c>
      <c r="M2013">
        <f t="shared" si="218"/>
        <v>0.32999999999999829</v>
      </c>
      <c r="N2013">
        <f t="shared" si="219"/>
        <v>-0.45000000000000284</v>
      </c>
      <c r="O2013">
        <f t="shared" si="220"/>
        <v>-6.0000000000002274E-2</v>
      </c>
      <c r="P2013" s="10">
        <f t="shared" si="221"/>
        <v>0.10999999999999943</v>
      </c>
    </row>
    <row r="2014" spans="1:16">
      <c r="A2014">
        <v>331.5</v>
      </c>
      <c r="B2014" s="42">
        <v>29.12</v>
      </c>
      <c r="C2014">
        <v>38.78</v>
      </c>
      <c r="D2014">
        <v>38.67</v>
      </c>
      <c r="E2014">
        <v>32.840000000000003</v>
      </c>
      <c r="F2014">
        <v>73.23</v>
      </c>
      <c r="G2014">
        <v>85.01</v>
      </c>
      <c r="H2014">
        <v>88.51</v>
      </c>
      <c r="K2014" s="9">
        <f t="shared" si="216"/>
        <v>-0.10999999999999943</v>
      </c>
      <c r="L2014">
        <f t="shared" si="217"/>
        <v>0</v>
      </c>
      <c r="M2014">
        <f t="shared" si="218"/>
        <v>0.5</v>
      </c>
      <c r="N2014">
        <f t="shared" si="219"/>
        <v>-0.32999999999999829</v>
      </c>
      <c r="O2014">
        <f t="shared" si="220"/>
        <v>-6.0000000000002274E-2</v>
      </c>
      <c r="P2014" s="10">
        <f t="shared" si="221"/>
        <v>4.9999999999997158E-2</v>
      </c>
    </row>
    <row r="2015" spans="1:16">
      <c r="A2015">
        <v>331.67</v>
      </c>
      <c r="B2015" s="42">
        <v>29.23</v>
      </c>
      <c r="C2015">
        <v>38.9</v>
      </c>
      <c r="D2015">
        <v>38.840000000000003</v>
      </c>
      <c r="E2015">
        <v>33.06</v>
      </c>
      <c r="F2015">
        <v>73.12</v>
      </c>
      <c r="G2015">
        <v>85.01</v>
      </c>
      <c r="H2015">
        <v>88.51</v>
      </c>
      <c r="K2015" s="9">
        <f t="shared" si="216"/>
        <v>-0.28000000000000114</v>
      </c>
      <c r="L2015">
        <f t="shared" si="217"/>
        <v>-0.28000000000000114</v>
      </c>
      <c r="M2015">
        <f t="shared" si="218"/>
        <v>0.44999999999999574</v>
      </c>
      <c r="N2015">
        <f t="shared" si="219"/>
        <v>4.9999999999997158E-2</v>
      </c>
      <c r="O2015">
        <f t="shared" si="220"/>
        <v>0</v>
      </c>
      <c r="P2015" s="10">
        <f t="shared" si="221"/>
        <v>0.26999999999999602</v>
      </c>
    </row>
    <row r="2016" spans="1:16">
      <c r="A2016">
        <v>331.83</v>
      </c>
      <c r="B2016" s="42">
        <v>29.23</v>
      </c>
      <c r="C2016">
        <v>38.950000000000003</v>
      </c>
      <c r="D2016">
        <v>38.9</v>
      </c>
      <c r="E2016">
        <v>33.28</v>
      </c>
      <c r="F2016">
        <v>72.95</v>
      </c>
      <c r="G2016">
        <v>84.95</v>
      </c>
      <c r="H2016">
        <v>88.45</v>
      </c>
      <c r="K2016" s="9">
        <f t="shared" si="216"/>
        <v>-0.55000000000000426</v>
      </c>
      <c r="L2016">
        <f t="shared" si="217"/>
        <v>-0.67000000000000171</v>
      </c>
      <c r="M2016">
        <f t="shared" si="218"/>
        <v>-0.10999999999999943</v>
      </c>
      <c r="N2016">
        <f t="shared" si="219"/>
        <v>0.10999999999999943</v>
      </c>
      <c r="O2016">
        <f t="shared" si="220"/>
        <v>0</v>
      </c>
      <c r="P2016" s="10">
        <f t="shared" si="221"/>
        <v>0.28000000000000114</v>
      </c>
    </row>
    <row r="2017" spans="1:16">
      <c r="A2017">
        <v>332</v>
      </c>
      <c r="B2017" s="42">
        <v>29.23</v>
      </c>
      <c r="C2017">
        <v>38.67</v>
      </c>
      <c r="D2017">
        <v>38.67</v>
      </c>
      <c r="E2017">
        <v>33.340000000000003</v>
      </c>
      <c r="F2017">
        <v>72.900000000000006</v>
      </c>
      <c r="G2017">
        <v>84.95</v>
      </c>
      <c r="H2017">
        <v>88.56</v>
      </c>
      <c r="K2017" s="9">
        <f t="shared" si="216"/>
        <v>-0.55000000000000426</v>
      </c>
      <c r="L2017">
        <f t="shared" si="217"/>
        <v>-0.55000000000000426</v>
      </c>
      <c r="M2017">
        <f t="shared" si="218"/>
        <v>-0.22000000000000597</v>
      </c>
      <c r="N2017">
        <f t="shared" si="219"/>
        <v>0.21999999999999886</v>
      </c>
      <c r="O2017">
        <f t="shared" si="220"/>
        <v>0</v>
      </c>
      <c r="P2017" s="10">
        <f t="shared" si="221"/>
        <v>0.17000000000000171</v>
      </c>
    </row>
    <row r="2018" spans="1:16">
      <c r="A2018">
        <v>332.17</v>
      </c>
      <c r="B2018" s="42">
        <v>29.17</v>
      </c>
      <c r="C2018">
        <v>38.619999999999997</v>
      </c>
      <c r="D2018">
        <v>38.56</v>
      </c>
      <c r="E2018">
        <v>33.51</v>
      </c>
      <c r="F2018">
        <v>73.17</v>
      </c>
      <c r="G2018">
        <v>85.01</v>
      </c>
      <c r="H2018">
        <v>88.78</v>
      </c>
      <c r="K2018" s="9">
        <f t="shared" si="216"/>
        <v>-0.44999999999999574</v>
      </c>
      <c r="L2018">
        <f t="shared" si="217"/>
        <v>-0.5</v>
      </c>
      <c r="M2018">
        <f t="shared" si="218"/>
        <v>-0.39000000000000057</v>
      </c>
      <c r="N2018">
        <f t="shared" si="219"/>
        <v>-0.21999999999999886</v>
      </c>
      <c r="O2018">
        <f t="shared" si="220"/>
        <v>-6.0000000000002274E-2</v>
      </c>
      <c r="P2018" s="10">
        <f t="shared" si="221"/>
        <v>0</v>
      </c>
    </row>
    <row r="2019" spans="1:16">
      <c r="A2019">
        <v>332.33</v>
      </c>
      <c r="B2019" s="42">
        <v>28.95</v>
      </c>
      <c r="C2019">
        <v>38.4</v>
      </c>
      <c r="D2019">
        <v>38.229999999999997</v>
      </c>
      <c r="E2019">
        <v>33.17</v>
      </c>
      <c r="F2019">
        <v>73.06</v>
      </c>
      <c r="G2019">
        <v>84.95</v>
      </c>
      <c r="H2019">
        <v>88.73</v>
      </c>
      <c r="K2019" s="9">
        <f t="shared" si="216"/>
        <v>0</v>
      </c>
      <c r="L2019">
        <f t="shared" si="217"/>
        <v>0.11000000000000654</v>
      </c>
      <c r="M2019">
        <f t="shared" si="218"/>
        <v>-0.21999999999999886</v>
      </c>
      <c r="N2019">
        <f t="shared" si="219"/>
        <v>-0.28000000000000114</v>
      </c>
      <c r="O2019">
        <f t="shared" si="220"/>
        <v>0.10999999999999943</v>
      </c>
      <c r="P2019" s="10">
        <f t="shared" si="221"/>
        <v>0.21999999999999886</v>
      </c>
    </row>
    <row r="2020" spans="1:16">
      <c r="A2020">
        <v>332.5</v>
      </c>
      <c r="B2020" s="42">
        <v>28.73</v>
      </c>
      <c r="C2020">
        <v>38.119999999999997</v>
      </c>
      <c r="D2020">
        <v>38.119999999999997</v>
      </c>
      <c r="E2020">
        <v>33.119999999999997</v>
      </c>
      <c r="F2020">
        <v>73.12</v>
      </c>
      <c r="G2020">
        <v>84.95</v>
      </c>
      <c r="H2020">
        <v>88.73</v>
      </c>
      <c r="K2020" s="9">
        <f t="shared" si="216"/>
        <v>0.16000000000000369</v>
      </c>
      <c r="L2020">
        <f t="shared" si="217"/>
        <v>5.0000000000004263E-2</v>
      </c>
      <c r="M2020">
        <f t="shared" si="218"/>
        <v>-0.1699999999999946</v>
      </c>
      <c r="N2020">
        <f t="shared" si="219"/>
        <v>-0.5</v>
      </c>
      <c r="O2020">
        <f t="shared" si="220"/>
        <v>6.0000000000002274E-2</v>
      </c>
      <c r="P2020" s="10">
        <f t="shared" si="221"/>
        <v>0</v>
      </c>
    </row>
    <row r="2021" spans="1:16">
      <c r="A2021">
        <v>332.67</v>
      </c>
      <c r="B2021" s="42">
        <v>28.67</v>
      </c>
      <c r="C2021">
        <v>38.17</v>
      </c>
      <c r="D2021">
        <v>38.06</v>
      </c>
      <c r="E2021">
        <v>33.119999999999997</v>
      </c>
      <c r="F2021">
        <v>72.95</v>
      </c>
      <c r="G2021">
        <v>84.95</v>
      </c>
      <c r="H2021">
        <v>88.78</v>
      </c>
      <c r="K2021" s="9">
        <f t="shared" si="216"/>
        <v>0.17000000000000171</v>
      </c>
      <c r="L2021">
        <f t="shared" si="217"/>
        <v>0.21999999999999886</v>
      </c>
      <c r="M2021">
        <f t="shared" si="218"/>
        <v>-0.27999999999999403</v>
      </c>
      <c r="N2021">
        <f t="shared" si="219"/>
        <v>-0.28000000000000114</v>
      </c>
      <c r="O2021">
        <f t="shared" si="220"/>
        <v>0</v>
      </c>
      <c r="P2021" s="10">
        <f t="shared" si="221"/>
        <v>6.0000000000002274E-2</v>
      </c>
    </row>
    <row r="2022" spans="1:16">
      <c r="A2022">
        <v>332.83</v>
      </c>
      <c r="B2022" s="42">
        <v>28.51</v>
      </c>
      <c r="C2022">
        <v>38.4</v>
      </c>
      <c r="D2022">
        <v>38.340000000000003</v>
      </c>
      <c r="E2022">
        <v>32.950000000000003</v>
      </c>
      <c r="F2022">
        <v>72.78</v>
      </c>
      <c r="G2022">
        <v>85.06</v>
      </c>
      <c r="H2022">
        <v>88.95</v>
      </c>
      <c r="K2022" s="9">
        <f t="shared" si="216"/>
        <v>0</v>
      </c>
      <c r="L2022">
        <f t="shared" si="217"/>
        <v>-6.0000000000002274E-2</v>
      </c>
      <c r="M2022">
        <f t="shared" si="218"/>
        <v>-0.17000000000000171</v>
      </c>
      <c r="N2022">
        <f t="shared" si="219"/>
        <v>-0.10999999999999943</v>
      </c>
      <c r="O2022">
        <f t="shared" si="220"/>
        <v>-0.15999999999999659</v>
      </c>
      <c r="P2022" s="10">
        <f t="shared" si="221"/>
        <v>0</v>
      </c>
    </row>
    <row r="2023" spans="1:16">
      <c r="A2023">
        <v>333</v>
      </c>
      <c r="B2023" s="42">
        <v>28.62</v>
      </c>
      <c r="C2023">
        <v>38.28</v>
      </c>
      <c r="D2023">
        <v>38.17</v>
      </c>
      <c r="E2023">
        <v>32.950000000000003</v>
      </c>
      <c r="F2023">
        <v>72.62</v>
      </c>
      <c r="G2023">
        <v>85.01</v>
      </c>
      <c r="H2023">
        <v>88.73</v>
      </c>
      <c r="K2023" s="9">
        <f t="shared" si="216"/>
        <v>0.11999999999999744</v>
      </c>
      <c r="L2023">
        <f t="shared" si="217"/>
        <v>0.17000000000000171</v>
      </c>
      <c r="M2023">
        <f t="shared" si="218"/>
        <v>-0.28000000000000114</v>
      </c>
      <c r="N2023">
        <f t="shared" si="219"/>
        <v>-0.21999999999999886</v>
      </c>
      <c r="O2023">
        <f t="shared" si="220"/>
        <v>-0.10999999999999943</v>
      </c>
      <c r="P2023" s="10">
        <f t="shared" si="221"/>
        <v>-0.17000000000000171</v>
      </c>
    </row>
    <row r="2024" spans="1:16">
      <c r="A2024">
        <v>333.17</v>
      </c>
      <c r="B2024" s="42">
        <v>28.73</v>
      </c>
      <c r="C2024">
        <v>38.340000000000003</v>
      </c>
      <c r="D2024">
        <v>38.28</v>
      </c>
      <c r="E2024">
        <v>32.840000000000003</v>
      </c>
      <c r="F2024">
        <v>72.67</v>
      </c>
      <c r="G2024">
        <v>84.95</v>
      </c>
      <c r="H2024">
        <v>88.84</v>
      </c>
      <c r="K2024" s="9">
        <f t="shared" si="216"/>
        <v>-6.0000000000002274E-2</v>
      </c>
      <c r="L2024">
        <f t="shared" si="217"/>
        <v>-0.21999999999999886</v>
      </c>
      <c r="M2024">
        <f t="shared" si="218"/>
        <v>0.1699999999999946</v>
      </c>
      <c r="N2024">
        <f t="shared" si="219"/>
        <v>-0.60999999999999943</v>
      </c>
      <c r="O2024">
        <f t="shared" si="220"/>
        <v>-0.17000000000000171</v>
      </c>
      <c r="P2024" s="10">
        <f t="shared" si="221"/>
        <v>-0.39000000000000057</v>
      </c>
    </row>
    <row r="2025" spans="1:16">
      <c r="A2025">
        <v>333.33</v>
      </c>
      <c r="B2025" s="42">
        <v>28.9</v>
      </c>
      <c r="C2025">
        <v>38.4</v>
      </c>
      <c r="D2025">
        <v>38.28</v>
      </c>
      <c r="E2025">
        <v>32.78</v>
      </c>
      <c r="F2025">
        <v>72.67</v>
      </c>
      <c r="G2025">
        <v>84.9</v>
      </c>
      <c r="H2025">
        <v>88.95</v>
      </c>
      <c r="K2025" s="9">
        <f t="shared" si="216"/>
        <v>-0.17000000000000171</v>
      </c>
      <c r="L2025">
        <f t="shared" si="217"/>
        <v>-0.16000000000000369</v>
      </c>
      <c r="M2025">
        <f t="shared" si="218"/>
        <v>0.33999999999999631</v>
      </c>
      <c r="N2025">
        <f t="shared" si="219"/>
        <v>-0.76999999999999602</v>
      </c>
      <c r="O2025">
        <f t="shared" si="220"/>
        <v>-0.17000000000000171</v>
      </c>
      <c r="P2025" s="10">
        <f t="shared" si="221"/>
        <v>-0.60999999999999943</v>
      </c>
    </row>
    <row r="2026" spans="1:16">
      <c r="A2026">
        <v>333.5</v>
      </c>
      <c r="B2026" s="42">
        <v>28.95</v>
      </c>
      <c r="C2026">
        <v>38.4</v>
      </c>
      <c r="D2026">
        <v>38.340000000000003</v>
      </c>
      <c r="E2026">
        <v>32.67</v>
      </c>
      <c r="F2026">
        <v>72.400000000000006</v>
      </c>
      <c r="G2026">
        <v>84.9</v>
      </c>
      <c r="H2026">
        <v>88.56</v>
      </c>
      <c r="K2026" s="9">
        <f t="shared" si="216"/>
        <v>-0.28000000000000114</v>
      </c>
      <c r="L2026">
        <f t="shared" si="217"/>
        <v>-0.3300000000000054</v>
      </c>
      <c r="M2026">
        <f t="shared" si="218"/>
        <v>0.60999999999999943</v>
      </c>
      <c r="N2026">
        <f t="shared" si="219"/>
        <v>-0.56000000000000227</v>
      </c>
      <c r="O2026">
        <f t="shared" si="220"/>
        <v>-0.28000000000000114</v>
      </c>
      <c r="P2026" s="10">
        <f t="shared" si="221"/>
        <v>-0.54999999999999716</v>
      </c>
    </row>
    <row r="2027" spans="1:16">
      <c r="A2027">
        <v>333.67</v>
      </c>
      <c r="B2027" s="42">
        <v>28.95</v>
      </c>
      <c r="C2027">
        <v>38.28</v>
      </c>
      <c r="D2027">
        <v>38.06</v>
      </c>
      <c r="E2027">
        <v>33.01</v>
      </c>
      <c r="F2027">
        <v>72.06</v>
      </c>
      <c r="G2027">
        <v>84.78</v>
      </c>
      <c r="H2027">
        <v>88.45</v>
      </c>
      <c r="K2027" s="9">
        <f t="shared" si="216"/>
        <v>-0.27000000000000313</v>
      </c>
      <c r="L2027">
        <f t="shared" si="217"/>
        <v>-0.16000000000000369</v>
      </c>
      <c r="M2027">
        <f t="shared" si="218"/>
        <v>0.27000000000000313</v>
      </c>
      <c r="N2027">
        <f t="shared" si="219"/>
        <v>-0.15999999999999659</v>
      </c>
      <c r="O2027">
        <f t="shared" si="220"/>
        <v>-0.32999999999999829</v>
      </c>
      <c r="P2027" s="10">
        <f t="shared" si="221"/>
        <v>-0.43999999999999773</v>
      </c>
    </row>
    <row r="2028" spans="1:16">
      <c r="A2028">
        <v>333.83</v>
      </c>
      <c r="B2028" s="42">
        <v>28.84</v>
      </c>
      <c r="C2028">
        <v>38.229999999999997</v>
      </c>
      <c r="D2028">
        <v>38.119999999999997</v>
      </c>
      <c r="E2028">
        <v>33.119999999999997</v>
      </c>
      <c r="F2028">
        <v>71.900000000000006</v>
      </c>
      <c r="G2028">
        <v>84.73</v>
      </c>
      <c r="H2028">
        <v>88.34</v>
      </c>
      <c r="K2028" s="9">
        <f t="shared" si="216"/>
        <v>-0.10999999999999943</v>
      </c>
      <c r="L2028">
        <f t="shared" si="217"/>
        <v>-0.10999999999999943</v>
      </c>
      <c r="M2028">
        <f t="shared" si="218"/>
        <v>0.44000000000000483</v>
      </c>
      <c r="N2028">
        <f t="shared" si="219"/>
        <v>0.21999999999999886</v>
      </c>
      <c r="O2028">
        <f t="shared" si="220"/>
        <v>-0.32999999999999829</v>
      </c>
      <c r="P2028" s="10">
        <f t="shared" si="221"/>
        <v>-0.5</v>
      </c>
    </row>
    <row r="2029" spans="1:16">
      <c r="A2029">
        <v>334</v>
      </c>
      <c r="B2029" s="42">
        <v>28.73</v>
      </c>
      <c r="C2029">
        <v>38.119999999999997</v>
      </c>
      <c r="D2029">
        <v>38.01</v>
      </c>
      <c r="E2029">
        <v>33.28</v>
      </c>
      <c r="F2029">
        <v>71.84</v>
      </c>
      <c r="G2029">
        <v>84.62</v>
      </c>
      <c r="H2029">
        <v>88.01</v>
      </c>
      <c r="K2029" s="9">
        <f t="shared" si="216"/>
        <v>0.22000000000000597</v>
      </c>
      <c r="L2029">
        <f t="shared" si="217"/>
        <v>0.10999999999999943</v>
      </c>
      <c r="M2029">
        <f t="shared" si="218"/>
        <v>6.0000000000002274E-2</v>
      </c>
      <c r="N2029">
        <f t="shared" si="219"/>
        <v>0.32999999999999829</v>
      </c>
      <c r="O2029">
        <f t="shared" si="220"/>
        <v>-0.28000000000000114</v>
      </c>
      <c r="P2029" s="10">
        <f t="shared" si="221"/>
        <v>-6.0000000000002274E-2</v>
      </c>
    </row>
    <row r="2030" spans="1:16">
      <c r="A2030">
        <v>334.17</v>
      </c>
      <c r="B2030" s="42">
        <v>28.56</v>
      </c>
      <c r="C2030">
        <v>38.01</v>
      </c>
      <c r="D2030">
        <v>37.9</v>
      </c>
      <c r="E2030">
        <v>33.28</v>
      </c>
      <c r="F2030">
        <v>71.900000000000006</v>
      </c>
      <c r="G2030">
        <v>84.45</v>
      </c>
      <c r="H2030">
        <v>88.01</v>
      </c>
      <c r="K2030" s="9">
        <f t="shared" si="216"/>
        <v>0.55000000000000426</v>
      </c>
      <c r="L2030">
        <f t="shared" si="217"/>
        <v>0.38000000000000256</v>
      </c>
      <c r="M2030">
        <f t="shared" si="218"/>
        <v>6.0000000000002274E-2</v>
      </c>
      <c r="N2030">
        <f t="shared" si="219"/>
        <v>0.37999999999999545</v>
      </c>
      <c r="O2030">
        <f t="shared" si="220"/>
        <v>-0.10999999999999943</v>
      </c>
      <c r="P2030" s="10">
        <f t="shared" si="221"/>
        <v>0.15999999999999659</v>
      </c>
    </row>
    <row r="2031" spans="1:16">
      <c r="A2031">
        <v>334.33</v>
      </c>
      <c r="B2031" s="42">
        <v>28.78</v>
      </c>
      <c r="C2031">
        <v>38.119999999999997</v>
      </c>
      <c r="D2031">
        <v>38.01</v>
      </c>
      <c r="E2031">
        <v>33.56</v>
      </c>
      <c r="F2031">
        <v>72.12</v>
      </c>
      <c r="G2031">
        <v>84.4</v>
      </c>
      <c r="H2031">
        <v>87.84</v>
      </c>
      <c r="K2031" s="9">
        <f t="shared" si="216"/>
        <v>0.16000000000000369</v>
      </c>
      <c r="L2031">
        <f t="shared" si="217"/>
        <v>0.10999999999999943</v>
      </c>
      <c r="M2031">
        <f t="shared" si="218"/>
        <v>-0.55000000000000426</v>
      </c>
      <c r="N2031">
        <f t="shared" si="219"/>
        <v>0.15999999999999659</v>
      </c>
      <c r="O2031">
        <f t="shared" si="220"/>
        <v>-0.17000000000000171</v>
      </c>
      <c r="P2031" s="10">
        <f t="shared" si="221"/>
        <v>0.17000000000000171</v>
      </c>
    </row>
    <row r="2032" spans="1:16">
      <c r="A2032">
        <v>334.5</v>
      </c>
      <c r="B2032" s="42">
        <v>28.84</v>
      </c>
      <c r="C2032">
        <v>38.340000000000003</v>
      </c>
      <c r="D2032">
        <v>38.119999999999997</v>
      </c>
      <c r="E2032">
        <v>33.340000000000003</v>
      </c>
      <c r="F2032">
        <v>72.17</v>
      </c>
      <c r="G2032">
        <v>84.34</v>
      </c>
      <c r="H2032">
        <v>87.95</v>
      </c>
      <c r="K2032" s="9">
        <f t="shared" si="216"/>
        <v>-0.22000000000000597</v>
      </c>
      <c r="L2032">
        <f t="shared" si="217"/>
        <v>-5.9999999999995168E-2</v>
      </c>
      <c r="M2032">
        <f t="shared" si="218"/>
        <v>-0.3300000000000054</v>
      </c>
      <c r="N2032">
        <f t="shared" si="219"/>
        <v>-0.15999999999999659</v>
      </c>
      <c r="O2032">
        <f t="shared" si="220"/>
        <v>-0.10999999999999943</v>
      </c>
      <c r="P2032" s="10">
        <f t="shared" si="221"/>
        <v>0</v>
      </c>
    </row>
    <row r="2033" spans="1:16">
      <c r="A2033">
        <v>334.67</v>
      </c>
      <c r="B2033" s="42">
        <v>28.95</v>
      </c>
      <c r="C2033">
        <v>38.56</v>
      </c>
      <c r="D2033">
        <v>38.28</v>
      </c>
      <c r="E2033">
        <v>33.340000000000003</v>
      </c>
      <c r="F2033">
        <v>72.28</v>
      </c>
      <c r="G2033">
        <v>84.34</v>
      </c>
      <c r="H2033">
        <v>88.17</v>
      </c>
      <c r="K2033" s="9">
        <f t="shared" si="216"/>
        <v>-0.55000000000000426</v>
      </c>
      <c r="L2033">
        <f t="shared" si="217"/>
        <v>-0.21999999999999886</v>
      </c>
      <c r="M2033">
        <f t="shared" si="218"/>
        <v>-0.28000000000000114</v>
      </c>
      <c r="N2033">
        <f t="shared" si="219"/>
        <v>-0.43999999999999773</v>
      </c>
      <c r="O2033">
        <f t="shared" si="220"/>
        <v>-0.17000000000000171</v>
      </c>
      <c r="P2033" s="10">
        <f t="shared" si="221"/>
        <v>-0.21999999999999886</v>
      </c>
    </row>
    <row r="2034" spans="1:16">
      <c r="A2034">
        <v>334.83</v>
      </c>
      <c r="B2034" s="42">
        <v>28.78</v>
      </c>
      <c r="C2034">
        <v>38.28</v>
      </c>
      <c r="D2034">
        <v>38.119999999999997</v>
      </c>
      <c r="E2034">
        <v>33.01</v>
      </c>
      <c r="F2034">
        <v>72.28</v>
      </c>
      <c r="G2034">
        <v>84.23</v>
      </c>
      <c r="H2034">
        <v>88.01</v>
      </c>
      <c r="K2034" s="9">
        <f t="shared" si="216"/>
        <v>-0.38000000000000256</v>
      </c>
      <c r="L2034">
        <f t="shared" si="217"/>
        <v>-0.21999999999999886</v>
      </c>
      <c r="M2034">
        <f t="shared" si="218"/>
        <v>-5.9999999999995168E-2</v>
      </c>
      <c r="N2034">
        <f t="shared" si="219"/>
        <v>-0.43999999999999773</v>
      </c>
      <c r="O2034">
        <f t="shared" si="220"/>
        <v>-0.21999999999999886</v>
      </c>
      <c r="P2034" s="10">
        <f t="shared" si="221"/>
        <v>-0.45000000000000284</v>
      </c>
    </row>
    <row r="2035" spans="1:16">
      <c r="A2035">
        <v>335</v>
      </c>
      <c r="B2035" s="42">
        <v>28.67</v>
      </c>
      <c r="C2035">
        <v>38.119999999999997</v>
      </c>
      <c r="D2035">
        <v>38.06</v>
      </c>
      <c r="E2035">
        <v>33.01</v>
      </c>
      <c r="F2035">
        <v>72.010000000000005</v>
      </c>
      <c r="G2035">
        <v>84.23</v>
      </c>
      <c r="H2035">
        <v>87.95</v>
      </c>
      <c r="K2035" s="9">
        <f t="shared" si="216"/>
        <v>-0.21999999999999886</v>
      </c>
      <c r="L2035">
        <f t="shared" si="217"/>
        <v>-0.21999999999999886</v>
      </c>
      <c r="M2035">
        <f t="shared" si="218"/>
        <v>-0.33999999999999631</v>
      </c>
      <c r="N2035">
        <f t="shared" si="219"/>
        <v>-0.28000000000000114</v>
      </c>
      <c r="O2035">
        <f t="shared" si="220"/>
        <v>-0.21999999999999886</v>
      </c>
      <c r="P2035" s="10">
        <f t="shared" si="221"/>
        <v>-0.5</v>
      </c>
    </row>
    <row r="2036" spans="1:16">
      <c r="A2036">
        <v>335.17</v>
      </c>
      <c r="B2036" s="42">
        <v>28.56</v>
      </c>
      <c r="C2036">
        <v>38.01</v>
      </c>
      <c r="D2036">
        <v>38.06</v>
      </c>
      <c r="E2036">
        <v>33.06</v>
      </c>
      <c r="F2036">
        <v>71.84</v>
      </c>
      <c r="G2036">
        <v>84.17</v>
      </c>
      <c r="H2036">
        <v>87.95</v>
      </c>
      <c r="K2036" s="9">
        <f t="shared" si="216"/>
        <v>0</v>
      </c>
      <c r="L2036">
        <f t="shared" si="217"/>
        <v>-0.16000000000000369</v>
      </c>
      <c r="M2036">
        <f t="shared" si="218"/>
        <v>-0.55000000000000426</v>
      </c>
      <c r="N2036">
        <f t="shared" si="219"/>
        <v>0</v>
      </c>
      <c r="O2036">
        <f t="shared" si="220"/>
        <v>-0.26999999999999602</v>
      </c>
      <c r="P2036" s="10">
        <f t="shared" si="221"/>
        <v>-0.39000000000000057</v>
      </c>
    </row>
    <row r="2037" spans="1:16">
      <c r="A2037">
        <v>335.33</v>
      </c>
      <c r="B2037" s="42">
        <v>28.34</v>
      </c>
      <c r="C2037">
        <v>37.9</v>
      </c>
      <c r="D2037">
        <v>37.9</v>
      </c>
      <c r="E2037">
        <v>32.950000000000003</v>
      </c>
      <c r="F2037">
        <v>71.84</v>
      </c>
      <c r="G2037">
        <v>84.01</v>
      </c>
      <c r="H2037">
        <v>87.56</v>
      </c>
      <c r="K2037" s="9">
        <f t="shared" si="216"/>
        <v>0.10999999999999943</v>
      </c>
      <c r="L2037">
        <f t="shared" si="217"/>
        <v>0</v>
      </c>
      <c r="M2037">
        <f t="shared" si="218"/>
        <v>-0.60999999999999943</v>
      </c>
      <c r="N2037">
        <f t="shared" si="219"/>
        <v>0.17000000000000171</v>
      </c>
      <c r="O2037">
        <f t="shared" si="220"/>
        <v>-0.23000000000000398</v>
      </c>
      <c r="P2037" s="10">
        <f t="shared" si="221"/>
        <v>-0.21999999999999886</v>
      </c>
    </row>
    <row r="2038" spans="1:16">
      <c r="A2038">
        <v>335.5</v>
      </c>
      <c r="B2038" s="42">
        <v>28.34</v>
      </c>
      <c r="C2038">
        <v>37.9</v>
      </c>
      <c r="D2038">
        <v>37.840000000000003</v>
      </c>
      <c r="E2038">
        <v>32.67</v>
      </c>
      <c r="F2038">
        <v>71.73</v>
      </c>
      <c r="G2038">
        <v>84.01</v>
      </c>
      <c r="H2038">
        <v>87.45</v>
      </c>
      <c r="K2038" s="9">
        <f t="shared" si="216"/>
        <v>0</v>
      </c>
      <c r="L2038">
        <f t="shared" si="217"/>
        <v>0</v>
      </c>
      <c r="M2038">
        <f t="shared" si="218"/>
        <v>-0.44000000000000483</v>
      </c>
      <c r="N2038">
        <f t="shared" si="219"/>
        <v>0.10999999999999943</v>
      </c>
      <c r="O2038">
        <f t="shared" si="220"/>
        <v>-0.28000000000000114</v>
      </c>
      <c r="P2038" s="10">
        <f t="shared" si="221"/>
        <v>-0.21999999999999886</v>
      </c>
    </row>
    <row r="2039" spans="1:16">
      <c r="A2039">
        <v>335.67</v>
      </c>
      <c r="B2039" s="42">
        <v>28.23</v>
      </c>
      <c r="C2039">
        <v>38.01</v>
      </c>
      <c r="D2039">
        <v>37.9</v>
      </c>
      <c r="E2039">
        <v>32.51</v>
      </c>
      <c r="F2039">
        <v>71.84</v>
      </c>
      <c r="G2039">
        <v>83.9</v>
      </c>
      <c r="H2039">
        <v>87.56</v>
      </c>
      <c r="K2039" s="9">
        <f t="shared" si="216"/>
        <v>-0.28000000000000114</v>
      </c>
      <c r="L2039">
        <f t="shared" si="217"/>
        <v>-0.22999999999999687</v>
      </c>
      <c r="M2039">
        <f t="shared" si="218"/>
        <v>-0.1699999999999946</v>
      </c>
      <c r="N2039">
        <f t="shared" si="219"/>
        <v>-6.0000000000002274E-2</v>
      </c>
      <c r="O2039">
        <f t="shared" si="220"/>
        <v>-0.23000000000000398</v>
      </c>
      <c r="P2039" s="10">
        <f t="shared" si="221"/>
        <v>-0.5</v>
      </c>
    </row>
    <row r="2040" spans="1:16">
      <c r="A2040">
        <v>335.83</v>
      </c>
      <c r="B2040" s="42">
        <v>28.28</v>
      </c>
      <c r="C2040">
        <v>38.01</v>
      </c>
      <c r="D2040">
        <v>37.9</v>
      </c>
      <c r="E2040">
        <v>32.340000000000003</v>
      </c>
      <c r="F2040">
        <v>72.010000000000005</v>
      </c>
      <c r="G2040">
        <v>83.78</v>
      </c>
      <c r="H2040">
        <v>87.34</v>
      </c>
      <c r="K2040" s="9">
        <f t="shared" si="216"/>
        <v>-0.33999999999999631</v>
      </c>
      <c r="L2040">
        <f t="shared" si="217"/>
        <v>-0.22999999999999687</v>
      </c>
      <c r="M2040">
        <f t="shared" si="218"/>
        <v>0.32999999999999829</v>
      </c>
      <c r="N2040">
        <f t="shared" si="219"/>
        <v>-0.17000000000000171</v>
      </c>
      <c r="O2040">
        <f t="shared" si="220"/>
        <v>-0.15999999999999659</v>
      </c>
      <c r="P2040" s="10">
        <f t="shared" si="221"/>
        <v>6.0000000000002274E-2</v>
      </c>
    </row>
    <row r="2041" spans="1:16">
      <c r="A2041">
        <v>336</v>
      </c>
      <c r="B2041" s="42">
        <v>28.28</v>
      </c>
      <c r="C2041">
        <v>37.9</v>
      </c>
      <c r="D2041">
        <v>37.840000000000003</v>
      </c>
      <c r="E2041">
        <v>32.229999999999997</v>
      </c>
      <c r="F2041">
        <v>71.84</v>
      </c>
      <c r="G2041">
        <v>83.73</v>
      </c>
      <c r="H2041">
        <v>87.23</v>
      </c>
      <c r="K2041" s="9">
        <f t="shared" si="216"/>
        <v>-0.39000000000000057</v>
      </c>
      <c r="L2041">
        <f t="shared" si="217"/>
        <v>-0.28000000000000114</v>
      </c>
      <c r="M2041">
        <f t="shared" si="218"/>
        <v>0.44000000000000483</v>
      </c>
      <c r="N2041">
        <f t="shared" si="219"/>
        <v>-6.0000000000002274E-2</v>
      </c>
      <c r="O2041">
        <f t="shared" si="220"/>
        <v>-0.17000000000000171</v>
      </c>
      <c r="P2041" s="10">
        <f t="shared" si="221"/>
        <v>4.9999999999997158E-2</v>
      </c>
    </row>
    <row r="2042" spans="1:16">
      <c r="A2042">
        <v>336.17</v>
      </c>
      <c r="B2042" s="42">
        <v>28.17</v>
      </c>
      <c r="C2042">
        <v>37.729999999999997</v>
      </c>
      <c r="D2042">
        <v>37.67</v>
      </c>
      <c r="E2042">
        <v>32.340000000000003</v>
      </c>
      <c r="F2042">
        <v>71.78</v>
      </c>
      <c r="G2042">
        <v>83.67</v>
      </c>
      <c r="H2042">
        <v>87.06</v>
      </c>
      <c r="K2042" s="9">
        <f t="shared" si="216"/>
        <v>-0.32999999999999829</v>
      </c>
      <c r="L2042">
        <f t="shared" si="217"/>
        <v>-0.32999999999999829</v>
      </c>
      <c r="M2042">
        <f t="shared" si="218"/>
        <v>0.32999999999999829</v>
      </c>
      <c r="N2042">
        <f t="shared" si="219"/>
        <v>6.0000000000002274E-2</v>
      </c>
      <c r="O2042">
        <f t="shared" si="220"/>
        <v>-0.21999999999999886</v>
      </c>
      <c r="P2042" s="10">
        <f t="shared" si="221"/>
        <v>0.39000000000000057</v>
      </c>
    </row>
    <row r="2043" spans="1:16">
      <c r="A2043">
        <v>336.33</v>
      </c>
      <c r="B2043" s="42">
        <v>28.17</v>
      </c>
      <c r="C2043">
        <v>37.67</v>
      </c>
      <c r="D2043">
        <v>37.67</v>
      </c>
      <c r="E2043">
        <v>32.67</v>
      </c>
      <c r="F2043">
        <v>71.84</v>
      </c>
      <c r="G2043">
        <v>83.62</v>
      </c>
      <c r="H2043">
        <v>87.4</v>
      </c>
      <c r="K2043" s="9">
        <f t="shared" si="216"/>
        <v>-0.10999999999999943</v>
      </c>
      <c r="L2043">
        <f t="shared" si="217"/>
        <v>-0.21999999999999886</v>
      </c>
      <c r="M2043">
        <f t="shared" si="218"/>
        <v>0</v>
      </c>
      <c r="N2043">
        <f t="shared" si="219"/>
        <v>0.17000000000000171</v>
      </c>
      <c r="O2043">
        <f t="shared" si="220"/>
        <v>-6.0000000000002274E-2</v>
      </c>
      <c r="P2043" s="10">
        <f t="shared" si="221"/>
        <v>0.10999999999999943</v>
      </c>
    </row>
    <row r="2044" spans="1:16">
      <c r="A2044">
        <v>336.5</v>
      </c>
      <c r="B2044" s="42">
        <v>28.17</v>
      </c>
      <c r="C2044">
        <v>37.51</v>
      </c>
      <c r="D2044">
        <v>37.56</v>
      </c>
      <c r="E2044">
        <v>32.67</v>
      </c>
      <c r="F2044">
        <v>71.78</v>
      </c>
      <c r="G2044">
        <v>83.56</v>
      </c>
      <c r="H2044">
        <v>87.28</v>
      </c>
      <c r="K2044" s="9">
        <f t="shared" si="216"/>
        <v>0.27000000000000313</v>
      </c>
      <c r="L2044">
        <f t="shared" si="217"/>
        <v>0</v>
      </c>
      <c r="M2044">
        <f t="shared" si="218"/>
        <v>0</v>
      </c>
      <c r="N2044">
        <f t="shared" si="219"/>
        <v>0.28000000000000114</v>
      </c>
      <c r="O2044">
        <f t="shared" si="220"/>
        <v>-0.10999999999999943</v>
      </c>
      <c r="P2044" s="10">
        <f t="shared" si="221"/>
        <v>0.5</v>
      </c>
    </row>
    <row r="2045" spans="1:16">
      <c r="A2045">
        <v>336.67</v>
      </c>
      <c r="B2045" s="42">
        <v>28.34</v>
      </c>
      <c r="C2045">
        <v>37.4</v>
      </c>
      <c r="D2045">
        <v>37.340000000000003</v>
      </c>
      <c r="E2045">
        <v>32.67</v>
      </c>
      <c r="F2045">
        <v>71.84</v>
      </c>
      <c r="G2045">
        <v>83.45</v>
      </c>
      <c r="H2045">
        <v>87.45</v>
      </c>
      <c r="K2045" s="9">
        <f t="shared" si="216"/>
        <v>0.27000000000000313</v>
      </c>
      <c r="L2045">
        <f t="shared" si="217"/>
        <v>0.1699999999999946</v>
      </c>
      <c r="M2045">
        <f t="shared" si="218"/>
        <v>0.17000000000000171</v>
      </c>
      <c r="N2045">
        <f t="shared" si="219"/>
        <v>0.21999999999999886</v>
      </c>
      <c r="O2045">
        <f t="shared" si="220"/>
        <v>0</v>
      </c>
      <c r="P2045" s="10">
        <f t="shared" si="221"/>
        <v>0.67000000000000171</v>
      </c>
    </row>
    <row r="2046" spans="1:16">
      <c r="A2046">
        <v>336.83</v>
      </c>
      <c r="B2046" s="42">
        <v>28.51</v>
      </c>
      <c r="C2046">
        <v>37.56</v>
      </c>
      <c r="D2046">
        <v>37.450000000000003</v>
      </c>
      <c r="E2046">
        <v>32.67</v>
      </c>
      <c r="F2046">
        <v>72.010000000000005</v>
      </c>
      <c r="G2046">
        <v>83.56</v>
      </c>
      <c r="H2046">
        <v>87.51</v>
      </c>
      <c r="K2046" s="9">
        <f t="shared" si="216"/>
        <v>0</v>
      </c>
      <c r="L2046">
        <f t="shared" si="217"/>
        <v>-5.0000000000004263E-2</v>
      </c>
      <c r="M2046">
        <f t="shared" si="218"/>
        <v>0.10999999999999943</v>
      </c>
      <c r="N2046">
        <f t="shared" si="219"/>
        <v>0.10999999999999943</v>
      </c>
      <c r="O2046">
        <f t="shared" si="220"/>
        <v>-4.9999999999997158E-2</v>
      </c>
      <c r="P2046" s="10">
        <f t="shared" si="221"/>
        <v>0.93999999999999773</v>
      </c>
    </row>
    <row r="2047" spans="1:16">
      <c r="A2047">
        <v>337</v>
      </c>
      <c r="B2047" s="42">
        <v>28.51</v>
      </c>
      <c r="C2047">
        <v>37.78</v>
      </c>
      <c r="D2047">
        <v>37.56</v>
      </c>
      <c r="E2047">
        <v>32.67</v>
      </c>
      <c r="F2047">
        <v>72.06</v>
      </c>
      <c r="G2047">
        <v>83.45</v>
      </c>
      <c r="H2047">
        <v>87.78</v>
      </c>
      <c r="K2047" s="9">
        <f t="shared" si="216"/>
        <v>-0.32999999999999829</v>
      </c>
      <c r="L2047">
        <f t="shared" si="217"/>
        <v>-0.10999999999999943</v>
      </c>
      <c r="M2047">
        <f t="shared" si="218"/>
        <v>-0.16000000000000369</v>
      </c>
      <c r="N2047">
        <f t="shared" si="219"/>
        <v>0.10999999999999943</v>
      </c>
      <c r="O2047">
        <f t="shared" si="220"/>
        <v>0</v>
      </c>
      <c r="P2047" s="10">
        <f t="shared" si="221"/>
        <v>0.62000000000000455</v>
      </c>
    </row>
    <row r="2048" spans="1:16">
      <c r="A2048">
        <v>337.17</v>
      </c>
      <c r="B2048" s="42">
        <v>28.23</v>
      </c>
      <c r="C2048">
        <v>37.67</v>
      </c>
      <c r="D2048">
        <v>37.51</v>
      </c>
      <c r="E2048">
        <v>32.840000000000003</v>
      </c>
      <c r="F2048">
        <v>72.06</v>
      </c>
      <c r="G2048">
        <v>83.45</v>
      </c>
      <c r="H2048">
        <v>88.12</v>
      </c>
      <c r="K2048" s="9">
        <f t="shared" si="216"/>
        <v>-0.21999999999999886</v>
      </c>
      <c r="L2048">
        <f t="shared" si="217"/>
        <v>-0.1699999999999946</v>
      </c>
      <c r="M2048">
        <f t="shared" si="218"/>
        <v>-0.5</v>
      </c>
      <c r="N2048">
        <f t="shared" si="219"/>
        <v>0.10999999999999943</v>
      </c>
      <c r="O2048">
        <f t="shared" si="220"/>
        <v>0</v>
      </c>
      <c r="P2048" s="10">
        <f t="shared" si="221"/>
        <v>0.32999999999999829</v>
      </c>
    </row>
    <row r="2049" spans="1:16">
      <c r="A2049">
        <v>337.33</v>
      </c>
      <c r="B2049" s="42">
        <v>28.17</v>
      </c>
      <c r="C2049">
        <v>37.56</v>
      </c>
      <c r="D2049">
        <v>37.4</v>
      </c>
      <c r="E2049">
        <v>32.78</v>
      </c>
      <c r="F2049">
        <v>72.12</v>
      </c>
      <c r="G2049">
        <v>83.51</v>
      </c>
      <c r="H2049">
        <v>88.45</v>
      </c>
      <c r="K2049" s="9">
        <f t="shared" si="216"/>
        <v>-5.0000000000004263E-2</v>
      </c>
      <c r="L2049">
        <f t="shared" si="217"/>
        <v>5.0000000000004263E-2</v>
      </c>
      <c r="M2049">
        <f t="shared" si="218"/>
        <v>-0.60999999999999943</v>
      </c>
      <c r="N2049">
        <f t="shared" si="219"/>
        <v>4.9999999999997158E-2</v>
      </c>
      <c r="O2049">
        <f t="shared" si="220"/>
        <v>-6.0000000000002274E-2</v>
      </c>
      <c r="P2049" s="10">
        <f t="shared" si="221"/>
        <v>0.10999999999999943</v>
      </c>
    </row>
    <row r="2050" spans="1:16">
      <c r="A2050">
        <v>337.5</v>
      </c>
      <c r="B2050" s="42">
        <v>28.06</v>
      </c>
      <c r="C2050">
        <v>37.450000000000003</v>
      </c>
      <c r="D2050">
        <v>37.450000000000003</v>
      </c>
      <c r="E2050">
        <v>32.51</v>
      </c>
      <c r="F2050">
        <v>72.17</v>
      </c>
      <c r="G2050">
        <v>83.45</v>
      </c>
      <c r="H2050">
        <v>88.4</v>
      </c>
      <c r="K2050" s="9">
        <f t="shared" si="216"/>
        <v>0.44999999999999574</v>
      </c>
      <c r="L2050">
        <f t="shared" si="217"/>
        <v>0.27999999999999403</v>
      </c>
      <c r="M2050">
        <f t="shared" si="218"/>
        <v>-0.33999999999999631</v>
      </c>
      <c r="N2050">
        <f t="shared" si="219"/>
        <v>0.10999999999999943</v>
      </c>
      <c r="O2050">
        <f t="shared" si="220"/>
        <v>0.10999999999999943</v>
      </c>
      <c r="P2050" s="10">
        <f t="shared" si="221"/>
        <v>0.21999999999999886</v>
      </c>
    </row>
    <row r="2051" spans="1:16">
      <c r="A2051">
        <v>337.67</v>
      </c>
      <c r="B2051" s="42">
        <v>27.9</v>
      </c>
      <c r="C2051">
        <v>37.450000000000003</v>
      </c>
      <c r="D2051">
        <v>37.340000000000003</v>
      </c>
      <c r="E2051">
        <v>32.340000000000003</v>
      </c>
      <c r="F2051">
        <v>72.17</v>
      </c>
      <c r="G2051">
        <v>83.45</v>
      </c>
      <c r="H2051">
        <v>88.45</v>
      </c>
      <c r="K2051" s="9">
        <f t="shared" si="216"/>
        <v>0.39000000000000057</v>
      </c>
      <c r="L2051">
        <f t="shared" si="217"/>
        <v>0.38999999999999346</v>
      </c>
      <c r="M2051">
        <f t="shared" si="218"/>
        <v>-0.44000000000000483</v>
      </c>
      <c r="N2051">
        <f t="shared" si="219"/>
        <v>-0.10999999999999943</v>
      </c>
      <c r="O2051">
        <f t="shared" si="220"/>
        <v>0</v>
      </c>
      <c r="P2051" s="10">
        <f t="shared" si="221"/>
        <v>0.21999999999999886</v>
      </c>
    </row>
    <row r="2052" spans="1:16">
      <c r="A2052">
        <v>337.83</v>
      </c>
      <c r="B2052" s="42">
        <v>27.78</v>
      </c>
      <c r="C2052">
        <v>37.51</v>
      </c>
      <c r="D2052">
        <v>37.450000000000003</v>
      </c>
      <c r="E2052">
        <v>32.17</v>
      </c>
      <c r="F2052">
        <v>72.17</v>
      </c>
      <c r="G2052">
        <v>83.45</v>
      </c>
      <c r="H2052">
        <v>88.56</v>
      </c>
      <c r="K2052" s="9">
        <f t="shared" si="216"/>
        <v>0.3300000000000054</v>
      </c>
      <c r="L2052">
        <f t="shared" si="217"/>
        <v>0.21999999999999886</v>
      </c>
      <c r="M2052">
        <f t="shared" si="218"/>
        <v>-0.39000000000000057</v>
      </c>
      <c r="N2052">
        <f t="shared" si="219"/>
        <v>-0.15999999999999659</v>
      </c>
      <c r="O2052">
        <f t="shared" si="220"/>
        <v>0.10999999999999943</v>
      </c>
      <c r="P2052" s="10">
        <f t="shared" si="221"/>
        <v>6.0000000000002274E-2</v>
      </c>
    </row>
    <row r="2053" spans="1:16">
      <c r="A2053">
        <v>338</v>
      </c>
      <c r="B2053" s="42">
        <v>27.73</v>
      </c>
      <c r="C2053">
        <v>37.9</v>
      </c>
      <c r="D2053">
        <v>37.729999999999997</v>
      </c>
      <c r="E2053">
        <v>32.17</v>
      </c>
      <c r="F2053">
        <v>72.28</v>
      </c>
      <c r="G2053">
        <v>83.56</v>
      </c>
      <c r="H2053">
        <v>88.62</v>
      </c>
      <c r="K2053" s="9">
        <f t="shared" si="216"/>
        <v>0</v>
      </c>
      <c r="L2053">
        <f t="shared" si="217"/>
        <v>5.0000000000004263E-2</v>
      </c>
      <c r="M2053">
        <f t="shared" si="218"/>
        <v>-5.0000000000004263E-2</v>
      </c>
      <c r="N2053">
        <f t="shared" si="219"/>
        <v>-0.21999999999999886</v>
      </c>
      <c r="O2053">
        <f t="shared" si="220"/>
        <v>0.10999999999999943</v>
      </c>
      <c r="P2053" s="10">
        <f t="shared" si="221"/>
        <v>0.28000000000000114</v>
      </c>
    </row>
    <row r="2054" spans="1:16">
      <c r="A2054">
        <v>338.17</v>
      </c>
      <c r="B2054" s="42">
        <v>27.56</v>
      </c>
      <c r="C2054">
        <v>37.840000000000003</v>
      </c>
      <c r="D2054">
        <v>37.729999999999997</v>
      </c>
      <c r="E2054">
        <v>31.9</v>
      </c>
      <c r="F2054">
        <v>72.06</v>
      </c>
      <c r="G2054">
        <v>83.45</v>
      </c>
      <c r="H2054">
        <v>88.67</v>
      </c>
      <c r="K2054" s="9">
        <f t="shared" si="216"/>
        <v>-0.28000000000000114</v>
      </c>
      <c r="L2054">
        <f t="shared" si="217"/>
        <v>-0.10999999999999943</v>
      </c>
      <c r="M2054">
        <f t="shared" si="218"/>
        <v>-5.9999999999998721E-2</v>
      </c>
      <c r="N2054">
        <f t="shared" si="219"/>
        <v>-0.15999999999999659</v>
      </c>
      <c r="O2054">
        <f t="shared" si="220"/>
        <v>0.17000000000000171</v>
      </c>
      <c r="P2054" s="10">
        <f t="shared" si="221"/>
        <v>0.10999999999999943</v>
      </c>
    </row>
    <row r="2055" spans="1:16">
      <c r="A2055">
        <v>338.33</v>
      </c>
      <c r="B2055" s="42">
        <v>27.45</v>
      </c>
      <c r="C2055">
        <v>37.840000000000003</v>
      </c>
      <c r="D2055">
        <v>37.67</v>
      </c>
      <c r="E2055">
        <v>31.78</v>
      </c>
      <c r="F2055">
        <v>72.010000000000005</v>
      </c>
      <c r="G2055">
        <v>83.56</v>
      </c>
      <c r="H2055">
        <v>88.62</v>
      </c>
      <c r="K2055" s="9">
        <f t="shared" si="216"/>
        <v>-0.11000000000000654</v>
      </c>
      <c r="L2055">
        <f t="shared" si="217"/>
        <v>-0.10999999999999943</v>
      </c>
      <c r="M2055">
        <f t="shared" si="218"/>
        <v>0</v>
      </c>
      <c r="N2055">
        <f t="shared" si="219"/>
        <v>-0.23000000000000398</v>
      </c>
      <c r="O2055">
        <f t="shared" si="220"/>
        <v>6.0000000000002274E-2</v>
      </c>
      <c r="P2055" s="10">
        <f t="shared" si="221"/>
        <v>-6.0000000000002274E-2</v>
      </c>
    </row>
    <row r="2056" spans="1:16">
      <c r="A2056">
        <v>338.5</v>
      </c>
      <c r="B2056" s="42">
        <v>27.62</v>
      </c>
      <c r="C2056">
        <v>37.9</v>
      </c>
      <c r="D2056">
        <v>37.78</v>
      </c>
      <c r="E2056">
        <v>32.119999999999997</v>
      </c>
      <c r="F2056">
        <v>72.06</v>
      </c>
      <c r="G2056">
        <v>83.67</v>
      </c>
      <c r="H2056">
        <v>88.9</v>
      </c>
      <c r="K2056" s="9">
        <f t="shared" si="216"/>
        <v>-0.17000000000000171</v>
      </c>
      <c r="L2056">
        <f t="shared" si="217"/>
        <v>-0.10999999999999943</v>
      </c>
      <c r="M2056">
        <f t="shared" si="218"/>
        <v>-0.21999999999999886</v>
      </c>
      <c r="N2056">
        <f t="shared" si="219"/>
        <v>-0.32999999999999829</v>
      </c>
      <c r="O2056">
        <f t="shared" si="220"/>
        <v>0.10999999999999943</v>
      </c>
      <c r="P2056" s="10">
        <f t="shared" si="221"/>
        <v>-0.73000000000000398</v>
      </c>
    </row>
    <row r="2057" spans="1:16">
      <c r="A2057">
        <v>338.67</v>
      </c>
      <c r="B2057" s="42">
        <v>27.73</v>
      </c>
      <c r="C2057">
        <v>37.56</v>
      </c>
      <c r="D2057">
        <v>37.619999999999997</v>
      </c>
      <c r="E2057">
        <v>31.84</v>
      </c>
      <c r="F2057">
        <v>71.900000000000006</v>
      </c>
      <c r="G2057">
        <v>83.62</v>
      </c>
      <c r="H2057">
        <v>88.78</v>
      </c>
      <c r="K2057" s="9">
        <f t="shared" si="216"/>
        <v>0</v>
      </c>
      <c r="L2057">
        <f t="shared" si="217"/>
        <v>0</v>
      </c>
      <c r="M2057">
        <f t="shared" si="218"/>
        <v>0</v>
      </c>
      <c r="N2057">
        <f t="shared" si="219"/>
        <v>-0.23000000000000398</v>
      </c>
      <c r="O2057">
        <f t="shared" si="220"/>
        <v>0</v>
      </c>
      <c r="P2057" s="10">
        <f t="shared" si="221"/>
        <v>-0.93999999999999773</v>
      </c>
    </row>
    <row r="2058" spans="1:16">
      <c r="A2058">
        <v>338.83</v>
      </c>
      <c r="B2058" s="42">
        <v>27.67</v>
      </c>
      <c r="C2058">
        <v>37.729999999999997</v>
      </c>
      <c r="D2058">
        <v>37.56</v>
      </c>
      <c r="E2058">
        <v>31.78</v>
      </c>
      <c r="F2058">
        <v>71.78</v>
      </c>
      <c r="G2058">
        <v>83.62</v>
      </c>
      <c r="H2058">
        <v>88.56</v>
      </c>
      <c r="K2058" s="9">
        <f t="shared" si="216"/>
        <v>-0.1699999999999946</v>
      </c>
      <c r="L2058">
        <f t="shared" si="217"/>
        <v>0</v>
      </c>
      <c r="M2058">
        <f t="shared" si="218"/>
        <v>0.33999999999999631</v>
      </c>
      <c r="N2058">
        <f t="shared" si="219"/>
        <v>0</v>
      </c>
      <c r="O2058">
        <f t="shared" si="220"/>
        <v>4.9999999999997158E-2</v>
      </c>
      <c r="P2058" s="10">
        <f t="shared" si="221"/>
        <v>-0.89000000000000057</v>
      </c>
    </row>
    <row r="2059" spans="1:16">
      <c r="A2059">
        <v>339</v>
      </c>
      <c r="B2059" s="42">
        <v>27.62</v>
      </c>
      <c r="C2059">
        <v>37.729999999999997</v>
      </c>
      <c r="D2059">
        <v>37.67</v>
      </c>
      <c r="E2059">
        <v>31.9</v>
      </c>
      <c r="F2059">
        <v>71.73</v>
      </c>
      <c r="G2059">
        <v>83.78</v>
      </c>
      <c r="H2059">
        <v>88.17</v>
      </c>
      <c r="K2059" s="9">
        <f t="shared" si="216"/>
        <v>-0.21999999999999886</v>
      </c>
      <c r="L2059">
        <f t="shared" si="217"/>
        <v>-0.21999999999999886</v>
      </c>
      <c r="M2059">
        <f t="shared" si="218"/>
        <v>0.16000000000000369</v>
      </c>
      <c r="N2059">
        <f t="shared" si="219"/>
        <v>0.10999999999999943</v>
      </c>
      <c r="O2059">
        <f t="shared" si="220"/>
        <v>-0.15999999999999659</v>
      </c>
      <c r="P2059" s="10">
        <f t="shared" si="221"/>
        <v>-0.93999999999999773</v>
      </c>
    </row>
    <row r="2060" spans="1:16">
      <c r="A2060">
        <v>339.17</v>
      </c>
      <c r="B2060" s="42">
        <v>27.51</v>
      </c>
      <c r="C2060">
        <v>37.56</v>
      </c>
      <c r="D2060">
        <v>37.619999999999997</v>
      </c>
      <c r="E2060">
        <v>31.84</v>
      </c>
      <c r="F2060">
        <v>71.67</v>
      </c>
      <c r="G2060">
        <v>83.62</v>
      </c>
      <c r="H2060">
        <v>87.84</v>
      </c>
      <c r="K2060" s="9">
        <f t="shared" si="216"/>
        <v>0</v>
      </c>
      <c r="L2060">
        <f t="shared" si="217"/>
        <v>-0.1699999999999946</v>
      </c>
      <c r="M2060">
        <f t="shared" si="218"/>
        <v>5.9999999999998721E-2</v>
      </c>
      <c r="N2060">
        <f t="shared" si="219"/>
        <v>0.17000000000000171</v>
      </c>
      <c r="O2060">
        <f t="shared" si="220"/>
        <v>-6.0000000000002274E-2</v>
      </c>
      <c r="P2060" s="10">
        <f t="shared" si="221"/>
        <v>-0.78000000000000114</v>
      </c>
    </row>
    <row r="2061" spans="1:16">
      <c r="A2061">
        <v>339.33</v>
      </c>
      <c r="B2061" s="42">
        <v>27.56</v>
      </c>
      <c r="C2061">
        <v>37.56</v>
      </c>
      <c r="D2061">
        <v>37.56</v>
      </c>
      <c r="E2061">
        <v>32.119999999999997</v>
      </c>
      <c r="F2061">
        <v>71.78</v>
      </c>
      <c r="G2061">
        <v>83.67</v>
      </c>
      <c r="H2061">
        <v>87.67</v>
      </c>
      <c r="K2061" s="9">
        <f t="shared" si="216"/>
        <v>5.9999999999995168E-2</v>
      </c>
      <c r="L2061">
        <f t="shared" si="217"/>
        <v>-5.0000000000004263E-2</v>
      </c>
      <c r="M2061">
        <f t="shared" si="218"/>
        <v>0</v>
      </c>
      <c r="N2061">
        <f t="shared" si="219"/>
        <v>-0.10999999999999943</v>
      </c>
      <c r="O2061">
        <f t="shared" si="220"/>
        <v>-0.21999999999999886</v>
      </c>
      <c r="P2061" s="10">
        <f t="shared" si="221"/>
        <v>-0.71999999999999886</v>
      </c>
    </row>
    <row r="2062" spans="1:16">
      <c r="A2062">
        <v>339.5</v>
      </c>
      <c r="B2062" s="42">
        <v>27.51</v>
      </c>
      <c r="C2062">
        <v>37.51</v>
      </c>
      <c r="D2062">
        <v>37.450000000000003</v>
      </c>
      <c r="E2062">
        <v>32.06</v>
      </c>
      <c r="F2062">
        <v>71.84</v>
      </c>
      <c r="G2062">
        <v>83.62</v>
      </c>
      <c r="H2062">
        <v>87.23</v>
      </c>
      <c r="K2062" s="9">
        <f t="shared" si="216"/>
        <v>0.16000000000000369</v>
      </c>
      <c r="L2062">
        <f t="shared" si="217"/>
        <v>0.21999999999999886</v>
      </c>
      <c r="M2062">
        <f t="shared" si="218"/>
        <v>-0.11000000000000298</v>
      </c>
      <c r="N2062">
        <f t="shared" si="219"/>
        <v>-0.10999999999999943</v>
      </c>
      <c r="O2062">
        <f t="shared" si="220"/>
        <v>0</v>
      </c>
      <c r="P2062" s="10">
        <f t="shared" si="221"/>
        <v>4.9999999999997158E-2</v>
      </c>
    </row>
    <row r="2063" spans="1:16">
      <c r="A2063">
        <v>339.67</v>
      </c>
      <c r="B2063" s="42">
        <v>27.51</v>
      </c>
      <c r="C2063">
        <v>37.56</v>
      </c>
      <c r="D2063">
        <v>37.450000000000003</v>
      </c>
      <c r="E2063">
        <v>31.9</v>
      </c>
      <c r="F2063">
        <v>71.84</v>
      </c>
      <c r="G2063">
        <v>83.56</v>
      </c>
      <c r="H2063">
        <v>87.06</v>
      </c>
      <c r="K2063" s="9">
        <f t="shared" si="216"/>
        <v>5.9999999999995168E-2</v>
      </c>
      <c r="L2063">
        <f t="shared" si="217"/>
        <v>0.10999999999999943</v>
      </c>
      <c r="M2063">
        <f t="shared" si="218"/>
        <v>0.27000000000000313</v>
      </c>
      <c r="N2063">
        <f t="shared" si="219"/>
        <v>-0.17000000000000171</v>
      </c>
      <c r="O2063">
        <f t="shared" si="220"/>
        <v>6.0000000000002274E-2</v>
      </c>
      <c r="P2063" s="10">
        <f t="shared" si="221"/>
        <v>0.21999999999999886</v>
      </c>
    </row>
    <row r="2064" spans="1:16">
      <c r="A2064">
        <v>339.83</v>
      </c>
      <c r="B2064" s="42">
        <v>27.51</v>
      </c>
      <c r="C2064">
        <v>37.619999999999997</v>
      </c>
      <c r="D2064">
        <v>37.51</v>
      </c>
      <c r="E2064">
        <v>32.119999999999997</v>
      </c>
      <c r="F2064">
        <v>71.67</v>
      </c>
      <c r="G2064">
        <v>83.45</v>
      </c>
      <c r="H2064">
        <v>86.95</v>
      </c>
      <c r="K2064" s="9">
        <f t="shared" si="216"/>
        <v>-5.9999999999995168E-2</v>
      </c>
      <c r="L2064">
        <f t="shared" si="217"/>
        <v>0.21999999999999886</v>
      </c>
      <c r="M2064">
        <f t="shared" si="218"/>
        <v>0.39000000000000057</v>
      </c>
      <c r="N2064">
        <f t="shared" si="219"/>
        <v>0.23000000000000398</v>
      </c>
      <c r="O2064">
        <f t="shared" si="220"/>
        <v>6.0000000000002274E-2</v>
      </c>
      <c r="P2064" s="10">
        <f t="shared" si="221"/>
        <v>0.39000000000000057</v>
      </c>
    </row>
    <row r="2065" spans="1:16">
      <c r="A2065">
        <v>340</v>
      </c>
      <c r="B2065" s="42">
        <v>27.4</v>
      </c>
      <c r="C2065">
        <v>37.67</v>
      </c>
      <c r="D2065">
        <v>37.67</v>
      </c>
      <c r="E2065">
        <v>31.95</v>
      </c>
      <c r="F2065">
        <v>71.73</v>
      </c>
      <c r="G2065">
        <v>83.62</v>
      </c>
      <c r="H2065">
        <v>87.28</v>
      </c>
      <c r="K2065" s="9">
        <f t="shared" si="216"/>
        <v>0.10999999999999943</v>
      </c>
      <c r="L2065">
        <f t="shared" si="217"/>
        <v>-5.0000000000004263E-2</v>
      </c>
      <c r="M2065">
        <f t="shared" si="218"/>
        <v>0.55999999999999872</v>
      </c>
      <c r="N2065">
        <f t="shared" si="219"/>
        <v>0.39000000000000057</v>
      </c>
      <c r="O2065">
        <f t="shared" si="220"/>
        <v>0</v>
      </c>
      <c r="P2065" s="10">
        <f t="shared" si="221"/>
        <v>0.17000000000000171</v>
      </c>
    </row>
    <row r="2066" spans="1:16">
      <c r="A2066">
        <v>340.17</v>
      </c>
      <c r="B2066" s="42">
        <v>27.45</v>
      </c>
      <c r="C2066">
        <v>37.619999999999997</v>
      </c>
      <c r="D2066">
        <v>37.56</v>
      </c>
      <c r="E2066">
        <v>32.17</v>
      </c>
      <c r="F2066">
        <v>71.67</v>
      </c>
      <c r="G2066">
        <v>83.62</v>
      </c>
      <c r="H2066">
        <v>87.28</v>
      </c>
      <c r="K2066" s="9">
        <f t="shared" si="216"/>
        <v>0</v>
      </c>
      <c r="L2066">
        <f t="shared" si="217"/>
        <v>0.10999999999999943</v>
      </c>
      <c r="M2066">
        <f t="shared" si="218"/>
        <v>0.22999999999999687</v>
      </c>
      <c r="N2066">
        <f t="shared" si="219"/>
        <v>0.39000000000000057</v>
      </c>
      <c r="O2066">
        <f t="shared" si="220"/>
        <v>-0.10999999999999943</v>
      </c>
      <c r="P2066" s="10">
        <f t="shared" si="221"/>
        <v>0.39000000000000057</v>
      </c>
    </row>
    <row r="2067" spans="1:16">
      <c r="A2067">
        <v>340.33</v>
      </c>
      <c r="B2067" s="42">
        <v>27.34</v>
      </c>
      <c r="C2067">
        <v>37.56</v>
      </c>
      <c r="D2067">
        <v>37.729999999999997</v>
      </c>
      <c r="E2067">
        <v>32.51</v>
      </c>
      <c r="F2067">
        <v>71.900000000000006</v>
      </c>
      <c r="G2067">
        <v>83.51</v>
      </c>
      <c r="H2067">
        <v>87.34</v>
      </c>
      <c r="K2067" s="9">
        <f t="shared" si="216"/>
        <v>0.21999999999999886</v>
      </c>
      <c r="L2067">
        <f t="shared" si="217"/>
        <v>-5.9999999999995168E-2</v>
      </c>
      <c r="M2067">
        <f t="shared" si="218"/>
        <v>-0.28000000000000114</v>
      </c>
      <c r="N2067">
        <f t="shared" si="219"/>
        <v>0</v>
      </c>
      <c r="O2067">
        <f t="shared" si="220"/>
        <v>0</v>
      </c>
      <c r="P2067" s="10">
        <f t="shared" si="221"/>
        <v>6.0000000000002274E-2</v>
      </c>
    </row>
    <row r="2068" spans="1:16">
      <c r="A2068">
        <v>340.5</v>
      </c>
      <c r="B2068" s="42">
        <v>27.34</v>
      </c>
      <c r="C2068">
        <v>37.78</v>
      </c>
      <c r="D2068">
        <v>37.619999999999997</v>
      </c>
      <c r="E2068">
        <v>32.51</v>
      </c>
      <c r="F2068">
        <v>72.12</v>
      </c>
      <c r="G2068">
        <v>83.62</v>
      </c>
      <c r="H2068">
        <v>87.45</v>
      </c>
      <c r="K2068" s="9">
        <f t="shared" si="216"/>
        <v>6.0000000000002274E-2</v>
      </c>
      <c r="L2068">
        <f t="shared" si="217"/>
        <v>5.0000000000004263E-2</v>
      </c>
      <c r="M2068">
        <f t="shared" si="218"/>
        <v>-0.39000000000000057</v>
      </c>
      <c r="N2068">
        <f t="shared" si="219"/>
        <v>-0.28000000000000114</v>
      </c>
      <c r="O2068">
        <f t="shared" si="220"/>
        <v>-0.17000000000000171</v>
      </c>
      <c r="P2068" s="10">
        <f t="shared" si="221"/>
        <v>0</v>
      </c>
    </row>
    <row r="2069" spans="1:16">
      <c r="A2069">
        <v>340.67</v>
      </c>
      <c r="B2069" s="42">
        <v>27.51</v>
      </c>
      <c r="C2069">
        <v>37.619999999999997</v>
      </c>
      <c r="D2069">
        <v>37.67</v>
      </c>
      <c r="E2069">
        <v>32.4</v>
      </c>
      <c r="F2069">
        <v>72.06</v>
      </c>
      <c r="G2069">
        <v>83.51</v>
      </c>
      <c r="H2069">
        <v>87.67</v>
      </c>
      <c r="K2069" s="9">
        <f t="shared" si="216"/>
        <v>0.22000000000000597</v>
      </c>
      <c r="L2069">
        <f t="shared" si="217"/>
        <v>5.9999999999995168E-2</v>
      </c>
      <c r="M2069">
        <f t="shared" si="218"/>
        <v>-0.33999999999999631</v>
      </c>
      <c r="N2069">
        <f t="shared" si="219"/>
        <v>-0.15999999999999659</v>
      </c>
      <c r="O2069">
        <f t="shared" si="220"/>
        <v>-0.10999999999999943</v>
      </c>
      <c r="P2069" s="10">
        <f t="shared" si="221"/>
        <v>-0.54999999999999716</v>
      </c>
    </row>
    <row r="2070" spans="1:16">
      <c r="A2070">
        <v>340.83</v>
      </c>
      <c r="B2070" s="42">
        <v>27.51</v>
      </c>
      <c r="C2070">
        <v>37.78</v>
      </c>
      <c r="D2070">
        <v>37.67</v>
      </c>
      <c r="E2070">
        <v>32.229999999999997</v>
      </c>
      <c r="F2070">
        <v>71.900000000000006</v>
      </c>
      <c r="G2070">
        <v>83.51</v>
      </c>
      <c r="H2070">
        <v>87.4</v>
      </c>
      <c r="K2070" s="9">
        <f t="shared" si="216"/>
        <v>0.11999999999999744</v>
      </c>
      <c r="L2070">
        <f t="shared" si="217"/>
        <v>5.9999999999995168E-2</v>
      </c>
      <c r="M2070">
        <f t="shared" si="218"/>
        <v>0</v>
      </c>
      <c r="N2070">
        <f t="shared" si="219"/>
        <v>0.21999999999999886</v>
      </c>
      <c r="O2070">
        <f t="shared" si="220"/>
        <v>-0.10999999999999943</v>
      </c>
      <c r="P2070" s="10">
        <f t="shared" si="221"/>
        <v>-0.34000000000000341</v>
      </c>
    </row>
    <row r="2071" spans="1:16">
      <c r="A2071">
        <v>341</v>
      </c>
      <c r="B2071" s="42">
        <v>27.67</v>
      </c>
      <c r="C2071">
        <v>37.840000000000003</v>
      </c>
      <c r="D2071">
        <v>37.67</v>
      </c>
      <c r="E2071">
        <v>32.119999999999997</v>
      </c>
      <c r="F2071">
        <v>71.84</v>
      </c>
      <c r="G2071">
        <v>83.45</v>
      </c>
      <c r="H2071">
        <v>87.45</v>
      </c>
      <c r="K2071" s="9">
        <f t="shared" si="216"/>
        <v>-0.39000000000000057</v>
      </c>
      <c r="L2071">
        <f t="shared" si="217"/>
        <v>-0.16000000000000369</v>
      </c>
      <c r="M2071">
        <f t="shared" si="218"/>
        <v>5.0000000000004263E-2</v>
      </c>
      <c r="N2071">
        <f t="shared" si="219"/>
        <v>0.39000000000000057</v>
      </c>
      <c r="O2071">
        <f t="shared" si="220"/>
        <v>-0.21999999999999886</v>
      </c>
      <c r="P2071" s="10">
        <f t="shared" si="221"/>
        <v>-0.39000000000000057</v>
      </c>
    </row>
    <row r="2072" spans="1:16">
      <c r="A2072">
        <v>341.17</v>
      </c>
      <c r="B2072" s="42">
        <v>27.67</v>
      </c>
      <c r="C2072">
        <v>37.840000000000003</v>
      </c>
      <c r="D2072">
        <v>37.729999999999997</v>
      </c>
      <c r="E2072">
        <v>32.06</v>
      </c>
      <c r="F2072">
        <v>71.900000000000006</v>
      </c>
      <c r="G2072">
        <v>83.4</v>
      </c>
      <c r="H2072">
        <v>87.12</v>
      </c>
      <c r="K2072" s="9">
        <f t="shared" si="216"/>
        <v>-0.39000000000000057</v>
      </c>
      <c r="L2072">
        <f t="shared" si="217"/>
        <v>-0.10999999999999943</v>
      </c>
      <c r="M2072">
        <f t="shared" si="218"/>
        <v>-0.16000000000000369</v>
      </c>
      <c r="N2072">
        <f t="shared" si="219"/>
        <v>0.21999999999999886</v>
      </c>
      <c r="O2072">
        <f t="shared" si="220"/>
        <v>-0.17000000000000171</v>
      </c>
      <c r="P2072" s="10">
        <f t="shared" si="221"/>
        <v>-0.21999999999999886</v>
      </c>
    </row>
    <row r="2073" spans="1:16">
      <c r="A2073">
        <v>341.33</v>
      </c>
      <c r="B2073" s="42">
        <v>27.73</v>
      </c>
      <c r="C2073">
        <v>37.9</v>
      </c>
      <c r="D2073">
        <v>37.729999999999997</v>
      </c>
      <c r="E2073">
        <v>32.229999999999997</v>
      </c>
      <c r="F2073">
        <v>72.12</v>
      </c>
      <c r="G2073">
        <v>83.4</v>
      </c>
      <c r="H2073">
        <v>87.06</v>
      </c>
      <c r="K2073" s="9">
        <f t="shared" ref="K2073:K2106" si="222">C2076-C2073</f>
        <v>-0.39000000000000057</v>
      </c>
      <c r="L2073">
        <f t="shared" ref="L2073:L2103" si="223">D2076-D2073</f>
        <v>-0.32999999999999829</v>
      </c>
      <c r="M2073">
        <f t="shared" ref="M2073:M2103" si="224">E2076-E2073</f>
        <v>-0.55999999999999517</v>
      </c>
      <c r="N2073">
        <f t="shared" ref="N2073:N2103" si="225">F2076-F2073</f>
        <v>0.10999999999999943</v>
      </c>
      <c r="O2073">
        <f t="shared" ref="O2073:O2103" si="226">G2076-G2073</f>
        <v>-0.12000000000000455</v>
      </c>
      <c r="P2073" s="10">
        <f t="shared" ref="P2073:P2103" si="227">H2076-H2073</f>
        <v>-0.28000000000000114</v>
      </c>
    </row>
    <row r="2074" spans="1:16">
      <c r="A2074">
        <v>341.5</v>
      </c>
      <c r="B2074" s="42">
        <v>27.73</v>
      </c>
      <c r="C2074">
        <v>37.450000000000003</v>
      </c>
      <c r="D2074">
        <v>37.51</v>
      </c>
      <c r="E2074">
        <v>32.17</v>
      </c>
      <c r="F2074">
        <v>72.23</v>
      </c>
      <c r="G2074">
        <v>83.23</v>
      </c>
      <c r="H2074">
        <v>87.06</v>
      </c>
      <c r="K2074" s="9">
        <f t="shared" si="222"/>
        <v>-5.0000000000004263E-2</v>
      </c>
      <c r="L2074">
        <f t="shared" si="223"/>
        <v>-0.10999999999999943</v>
      </c>
      <c r="M2074">
        <f t="shared" si="224"/>
        <v>-0.5</v>
      </c>
      <c r="N2074">
        <f t="shared" si="225"/>
        <v>-0.10999999999999943</v>
      </c>
      <c r="O2074">
        <f t="shared" si="226"/>
        <v>0</v>
      </c>
      <c r="P2074" s="10">
        <f t="shared" si="227"/>
        <v>-0.21999999999999886</v>
      </c>
    </row>
    <row r="2075" spans="1:16">
      <c r="A2075">
        <v>341.67</v>
      </c>
      <c r="B2075" s="42">
        <v>27.56</v>
      </c>
      <c r="C2075">
        <v>37.450000000000003</v>
      </c>
      <c r="D2075">
        <v>37.619999999999997</v>
      </c>
      <c r="E2075">
        <v>31.9</v>
      </c>
      <c r="F2075">
        <v>72.12</v>
      </c>
      <c r="G2075">
        <v>83.23</v>
      </c>
      <c r="H2075">
        <v>86.9</v>
      </c>
      <c r="K2075" s="9">
        <f t="shared" si="222"/>
        <v>-0.22000000000000597</v>
      </c>
      <c r="L2075">
        <f t="shared" si="223"/>
        <v>-0.5</v>
      </c>
      <c r="M2075">
        <f t="shared" si="224"/>
        <v>-0.22999999999999687</v>
      </c>
      <c r="N2075">
        <f t="shared" si="225"/>
        <v>-0.28000000000000114</v>
      </c>
      <c r="O2075">
        <f t="shared" si="226"/>
        <v>-0.17000000000000171</v>
      </c>
      <c r="P2075" s="10">
        <f t="shared" si="227"/>
        <v>0</v>
      </c>
    </row>
    <row r="2076" spans="1:16">
      <c r="A2076">
        <v>341.83</v>
      </c>
      <c r="B2076" s="42">
        <v>27.62</v>
      </c>
      <c r="C2076">
        <v>37.51</v>
      </c>
      <c r="D2076">
        <v>37.4</v>
      </c>
      <c r="E2076">
        <v>31.67</v>
      </c>
      <c r="F2076">
        <v>72.23</v>
      </c>
      <c r="G2076">
        <v>83.28</v>
      </c>
      <c r="H2076">
        <v>86.78</v>
      </c>
      <c r="K2076" s="9">
        <f t="shared" si="222"/>
        <v>-0.44999999999999574</v>
      </c>
      <c r="L2076">
        <f t="shared" si="223"/>
        <v>-0.33999999999999631</v>
      </c>
      <c r="M2076">
        <f t="shared" si="224"/>
        <v>-5.0000000000000711E-2</v>
      </c>
      <c r="N2076">
        <f t="shared" si="225"/>
        <v>-0.5</v>
      </c>
      <c r="O2076">
        <f t="shared" si="226"/>
        <v>-0.21999999999999886</v>
      </c>
      <c r="P2076" s="10">
        <f t="shared" si="227"/>
        <v>-0.26999999999999602</v>
      </c>
    </row>
    <row r="2077" spans="1:16">
      <c r="A2077">
        <v>342</v>
      </c>
      <c r="B2077" s="42">
        <v>27.56</v>
      </c>
      <c r="C2077">
        <v>37.4</v>
      </c>
      <c r="D2077">
        <v>37.4</v>
      </c>
      <c r="E2077">
        <v>31.67</v>
      </c>
      <c r="F2077">
        <v>72.12</v>
      </c>
      <c r="G2077">
        <v>83.23</v>
      </c>
      <c r="H2077">
        <v>86.84</v>
      </c>
      <c r="K2077" s="9">
        <f t="shared" si="222"/>
        <v>-0.44999999999999574</v>
      </c>
      <c r="L2077">
        <f t="shared" si="223"/>
        <v>-0.39000000000000057</v>
      </c>
      <c r="M2077">
        <f t="shared" si="224"/>
        <v>-0.22000000000000242</v>
      </c>
      <c r="N2077">
        <f t="shared" si="225"/>
        <v>-6.0000000000002274E-2</v>
      </c>
      <c r="O2077">
        <f t="shared" si="226"/>
        <v>-0.17000000000000171</v>
      </c>
      <c r="P2077" s="10">
        <f t="shared" si="227"/>
        <v>-0.32999999999999829</v>
      </c>
    </row>
    <row r="2078" spans="1:16">
      <c r="A2078">
        <v>342.17</v>
      </c>
      <c r="B2078" s="42">
        <v>27.62</v>
      </c>
      <c r="C2078">
        <v>37.229999999999997</v>
      </c>
      <c r="D2078">
        <v>37.119999999999997</v>
      </c>
      <c r="E2078">
        <v>31.67</v>
      </c>
      <c r="F2078">
        <v>71.84</v>
      </c>
      <c r="G2078">
        <v>83.06</v>
      </c>
      <c r="H2078">
        <v>86.9</v>
      </c>
      <c r="K2078" s="9">
        <f t="shared" si="222"/>
        <v>0</v>
      </c>
      <c r="L2078">
        <f t="shared" si="223"/>
        <v>0</v>
      </c>
      <c r="M2078">
        <f t="shared" si="224"/>
        <v>-0.44000000000000128</v>
      </c>
      <c r="N2078">
        <f t="shared" si="225"/>
        <v>0.17000000000000171</v>
      </c>
      <c r="O2078">
        <f t="shared" si="226"/>
        <v>0</v>
      </c>
      <c r="P2078" s="10">
        <f t="shared" si="227"/>
        <v>-0.39000000000000057</v>
      </c>
    </row>
    <row r="2079" spans="1:16">
      <c r="A2079">
        <v>342.33</v>
      </c>
      <c r="B2079" s="42">
        <v>27.51</v>
      </c>
      <c r="C2079">
        <v>37.06</v>
      </c>
      <c r="D2079">
        <v>37.06</v>
      </c>
      <c r="E2079">
        <v>31.62</v>
      </c>
      <c r="F2079">
        <v>71.73</v>
      </c>
      <c r="G2079">
        <v>83.06</v>
      </c>
      <c r="H2079">
        <v>86.51</v>
      </c>
      <c r="K2079" s="9">
        <f t="shared" si="222"/>
        <v>5.9999999999995168E-2</v>
      </c>
      <c r="L2079">
        <f t="shared" si="223"/>
        <v>5.9999999999995168E-2</v>
      </c>
      <c r="M2079">
        <f t="shared" si="224"/>
        <v>-0.44999999999999929</v>
      </c>
      <c r="N2079">
        <f t="shared" si="225"/>
        <v>0.39000000000000057</v>
      </c>
      <c r="O2079">
        <f t="shared" si="226"/>
        <v>0</v>
      </c>
      <c r="P2079" s="10">
        <f t="shared" si="227"/>
        <v>0.10999999999999943</v>
      </c>
    </row>
    <row r="2080" spans="1:16">
      <c r="A2080">
        <v>342.5</v>
      </c>
      <c r="B2080" s="42">
        <v>27.51</v>
      </c>
      <c r="C2080">
        <v>36.950000000000003</v>
      </c>
      <c r="D2080">
        <v>37.01</v>
      </c>
      <c r="E2080">
        <v>31.45</v>
      </c>
      <c r="F2080">
        <v>72.06</v>
      </c>
      <c r="G2080">
        <v>83.06</v>
      </c>
      <c r="H2080">
        <v>86.51</v>
      </c>
      <c r="K2080" s="9">
        <f t="shared" si="222"/>
        <v>5.9999999999995168E-2</v>
      </c>
      <c r="L2080">
        <f t="shared" si="223"/>
        <v>0.10999999999999943</v>
      </c>
      <c r="M2080">
        <f t="shared" si="224"/>
        <v>0.10999999999999943</v>
      </c>
      <c r="N2080">
        <f t="shared" si="225"/>
        <v>6.0000000000002274E-2</v>
      </c>
      <c r="O2080">
        <f t="shared" si="226"/>
        <v>0</v>
      </c>
      <c r="P2080" s="10">
        <f t="shared" si="227"/>
        <v>0</v>
      </c>
    </row>
    <row r="2081" spans="1:16">
      <c r="A2081">
        <v>342.67</v>
      </c>
      <c r="B2081" s="42">
        <v>27.34</v>
      </c>
      <c r="C2081">
        <v>37.229999999999997</v>
      </c>
      <c r="D2081">
        <v>37.119999999999997</v>
      </c>
      <c r="E2081">
        <v>31.23</v>
      </c>
      <c r="F2081">
        <v>72.010000000000005</v>
      </c>
      <c r="G2081">
        <v>83.06</v>
      </c>
      <c r="H2081">
        <v>86.51</v>
      </c>
      <c r="K2081" s="9">
        <f t="shared" si="222"/>
        <v>-0.10999999999999943</v>
      </c>
      <c r="L2081">
        <f t="shared" si="223"/>
        <v>-0.1699999999999946</v>
      </c>
      <c r="M2081">
        <f t="shared" si="224"/>
        <v>0.39000000000000057</v>
      </c>
      <c r="N2081">
        <f t="shared" si="225"/>
        <v>0.10999999999999943</v>
      </c>
      <c r="O2081">
        <f t="shared" si="226"/>
        <v>0</v>
      </c>
      <c r="P2081" s="10">
        <f t="shared" si="227"/>
        <v>-0.10999999999999943</v>
      </c>
    </row>
    <row r="2082" spans="1:16">
      <c r="A2082">
        <v>342.83</v>
      </c>
      <c r="B2082" s="42">
        <v>27.4</v>
      </c>
      <c r="C2082">
        <v>37.119999999999997</v>
      </c>
      <c r="D2082">
        <v>37.119999999999997</v>
      </c>
      <c r="E2082">
        <v>31.17</v>
      </c>
      <c r="F2082">
        <v>72.12</v>
      </c>
      <c r="G2082">
        <v>83.06</v>
      </c>
      <c r="H2082">
        <v>86.62</v>
      </c>
      <c r="K2082" s="9">
        <f t="shared" si="222"/>
        <v>-0.27999999999999403</v>
      </c>
      <c r="L2082">
        <f t="shared" si="223"/>
        <v>-0.21999999999999886</v>
      </c>
      <c r="M2082">
        <f t="shared" si="224"/>
        <v>0.5</v>
      </c>
      <c r="N2082">
        <f t="shared" si="225"/>
        <v>-6.0000000000002274E-2</v>
      </c>
      <c r="O2082">
        <f t="shared" si="226"/>
        <v>0</v>
      </c>
      <c r="P2082" s="10">
        <f t="shared" si="227"/>
        <v>-0.39000000000000057</v>
      </c>
    </row>
    <row r="2083" spans="1:16">
      <c r="A2083">
        <v>343</v>
      </c>
      <c r="B2083" s="42">
        <v>27.28</v>
      </c>
      <c r="C2083">
        <v>37.01</v>
      </c>
      <c r="D2083">
        <v>37.119999999999997</v>
      </c>
      <c r="E2083">
        <v>31.56</v>
      </c>
      <c r="F2083">
        <v>72.12</v>
      </c>
      <c r="G2083">
        <v>83.06</v>
      </c>
      <c r="H2083">
        <v>86.51</v>
      </c>
      <c r="K2083" s="9">
        <f t="shared" si="222"/>
        <v>0.10999999999999943</v>
      </c>
      <c r="L2083">
        <f t="shared" si="223"/>
        <v>-5.9999999999995168E-2</v>
      </c>
      <c r="M2083">
        <f t="shared" si="224"/>
        <v>0</v>
      </c>
      <c r="N2083">
        <f t="shared" si="225"/>
        <v>-0.28000000000000114</v>
      </c>
      <c r="O2083">
        <f t="shared" si="226"/>
        <v>0</v>
      </c>
      <c r="P2083" s="10">
        <f t="shared" si="227"/>
        <v>-0.23000000000000398</v>
      </c>
    </row>
    <row r="2084" spans="1:16">
      <c r="A2084">
        <v>343.17</v>
      </c>
      <c r="B2084" s="42">
        <v>27.56</v>
      </c>
      <c r="C2084">
        <v>37.119999999999997</v>
      </c>
      <c r="D2084">
        <v>36.950000000000003</v>
      </c>
      <c r="E2084">
        <v>31.62</v>
      </c>
      <c r="F2084">
        <v>72.12</v>
      </c>
      <c r="G2084">
        <v>83.06</v>
      </c>
      <c r="H2084">
        <v>86.4</v>
      </c>
      <c r="K2084" s="9">
        <f t="shared" si="222"/>
        <v>0.10999999999999943</v>
      </c>
      <c r="L2084">
        <f t="shared" si="223"/>
        <v>0</v>
      </c>
      <c r="M2084">
        <f t="shared" si="224"/>
        <v>-0.10999999999999943</v>
      </c>
      <c r="N2084">
        <f t="shared" si="225"/>
        <v>0.10999999999999943</v>
      </c>
      <c r="O2084">
        <f t="shared" si="226"/>
        <v>0.10999999999999943</v>
      </c>
      <c r="P2084" s="10">
        <f t="shared" si="227"/>
        <v>0.10999999999999943</v>
      </c>
    </row>
    <row r="2085" spans="1:16">
      <c r="A2085">
        <v>343.33</v>
      </c>
      <c r="B2085" s="42">
        <v>27.73</v>
      </c>
      <c r="C2085">
        <v>36.840000000000003</v>
      </c>
      <c r="D2085">
        <v>36.9</v>
      </c>
      <c r="E2085">
        <v>31.67</v>
      </c>
      <c r="F2085">
        <v>72.06</v>
      </c>
      <c r="G2085">
        <v>83.06</v>
      </c>
      <c r="H2085">
        <v>86.23</v>
      </c>
      <c r="K2085" s="9">
        <f t="shared" si="222"/>
        <v>0.10999999999999943</v>
      </c>
      <c r="L2085">
        <f t="shared" si="223"/>
        <v>0.10999999999999943</v>
      </c>
      <c r="M2085">
        <f t="shared" si="224"/>
        <v>-0.39000000000000057</v>
      </c>
      <c r="N2085">
        <f t="shared" si="225"/>
        <v>0.21999999999999886</v>
      </c>
      <c r="O2085">
        <f t="shared" si="226"/>
        <v>0.10999999999999943</v>
      </c>
      <c r="P2085" s="10">
        <f t="shared" si="227"/>
        <v>0.60999999999999943</v>
      </c>
    </row>
    <row r="2086" spans="1:16">
      <c r="A2086">
        <v>343.5</v>
      </c>
      <c r="B2086" s="42">
        <v>27.95</v>
      </c>
      <c r="C2086">
        <v>37.119999999999997</v>
      </c>
      <c r="D2086">
        <v>37.06</v>
      </c>
      <c r="E2086">
        <v>31.56</v>
      </c>
      <c r="F2086">
        <v>71.84</v>
      </c>
      <c r="G2086">
        <v>83.06</v>
      </c>
      <c r="H2086">
        <v>86.28</v>
      </c>
      <c r="K2086" s="9">
        <f t="shared" si="222"/>
        <v>-0.21999999999999886</v>
      </c>
      <c r="L2086">
        <f t="shared" si="223"/>
        <v>-0.3300000000000054</v>
      </c>
      <c r="M2086">
        <f t="shared" si="224"/>
        <v>-0.16000000000000014</v>
      </c>
      <c r="N2086">
        <f t="shared" si="225"/>
        <v>0.71999999999999886</v>
      </c>
      <c r="O2086">
        <f t="shared" si="226"/>
        <v>0.10999999999999943</v>
      </c>
      <c r="P2086" s="10">
        <f t="shared" si="227"/>
        <v>0.56000000000000227</v>
      </c>
    </row>
    <row r="2087" spans="1:16">
      <c r="A2087">
        <v>343.67</v>
      </c>
      <c r="B2087" s="42">
        <v>28.12</v>
      </c>
      <c r="C2087">
        <v>37.229999999999997</v>
      </c>
      <c r="D2087">
        <v>36.950000000000003</v>
      </c>
      <c r="E2087">
        <v>31.51</v>
      </c>
      <c r="F2087">
        <v>72.23</v>
      </c>
      <c r="G2087">
        <v>83.17</v>
      </c>
      <c r="H2087">
        <v>86.51</v>
      </c>
      <c r="K2087" s="9">
        <f t="shared" si="222"/>
        <v>-0.55999999999999517</v>
      </c>
      <c r="L2087">
        <f t="shared" si="223"/>
        <v>-0.17000000000000171</v>
      </c>
      <c r="M2087">
        <f t="shared" si="224"/>
        <v>-6.0000000000002274E-2</v>
      </c>
      <c r="N2087">
        <f t="shared" si="225"/>
        <v>0.32999999999999829</v>
      </c>
      <c r="O2087">
        <f t="shared" si="226"/>
        <v>6.0000000000002274E-2</v>
      </c>
      <c r="P2087" s="10">
        <f t="shared" si="227"/>
        <v>0.39000000000000057</v>
      </c>
    </row>
    <row r="2088" spans="1:16">
      <c r="A2088">
        <v>343.83</v>
      </c>
      <c r="B2088" s="42">
        <v>27.9</v>
      </c>
      <c r="C2088">
        <v>36.950000000000003</v>
      </c>
      <c r="D2088">
        <v>37.01</v>
      </c>
      <c r="E2088">
        <v>31.28</v>
      </c>
      <c r="F2088">
        <v>72.28</v>
      </c>
      <c r="G2088">
        <v>83.17</v>
      </c>
      <c r="H2088">
        <v>86.84</v>
      </c>
      <c r="K2088" s="9">
        <f t="shared" si="222"/>
        <v>-0.3300000000000054</v>
      </c>
      <c r="L2088">
        <f t="shared" si="223"/>
        <v>-0.39000000000000057</v>
      </c>
      <c r="M2088">
        <f t="shared" si="224"/>
        <v>0.23000000000000043</v>
      </c>
      <c r="N2088">
        <f t="shared" si="225"/>
        <v>0.34000000000000341</v>
      </c>
      <c r="O2088">
        <f t="shared" si="226"/>
        <v>0.10999999999999943</v>
      </c>
      <c r="P2088" s="10">
        <f t="shared" si="227"/>
        <v>0.17000000000000171</v>
      </c>
    </row>
    <row r="2089" spans="1:16">
      <c r="A2089">
        <v>344</v>
      </c>
      <c r="B2089" s="42">
        <v>27.84</v>
      </c>
      <c r="C2089">
        <v>36.9</v>
      </c>
      <c r="D2089">
        <v>36.729999999999997</v>
      </c>
      <c r="E2089">
        <v>31.4</v>
      </c>
      <c r="F2089">
        <v>72.56</v>
      </c>
      <c r="G2089">
        <v>83.17</v>
      </c>
      <c r="H2089">
        <v>86.84</v>
      </c>
      <c r="K2089" s="9">
        <f t="shared" si="222"/>
        <v>-0.33999999999999631</v>
      </c>
      <c r="L2089">
        <f t="shared" si="223"/>
        <v>-0.1699999999999946</v>
      </c>
      <c r="M2089">
        <f t="shared" si="224"/>
        <v>0.60999999999999943</v>
      </c>
      <c r="N2089">
        <f t="shared" si="225"/>
        <v>0</v>
      </c>
      <c r="O2089">
        <f t="shared" si="226"/>
        <v>0.10999999999999943</v>
      </c>
      <c r="P2089" s="10">
        <f t="shared" si="227"/>
        <v>-6.0000000000002274E-2</v>
      </c>
    </row>
    <row r="2090" spans="1:16">
      <c r="A2090">
        <v>344.17</v>
      </c>
      <c r="B2090" s="42">
        <v>27.51</v>
      </c>
      <c r="C2090">
        <v>36.67</v>
      </c>
      <c r="D2090">
        <v>36.78</v>
      </c>
      <c r="E2090">
        <v>31.45</v>
      </c>
      <c r="F2090">
        <v>72.56</v>
      </c>
      <c r="G2090">
        <v>83.23</v>
      </c>
      <c r="H2090">
        <v>86.9</v>
      </c>
      <c r="K2090" s="9">
        <f t="shared" si="222"/>
        <v>-0.32999999999999829</v>
      </c>
      <c r="L2090">
        <f t="shared" si="223"/>
        <v>-0.43999999999999773</v>
      </c>
      <c r="M2090">
        <f t="shared" si="224"/>
        <v>0.61000000000000298</v>
      </c>
      <c r="N2090">
        <f t="shared" si="225"/>
        <v>6.0000000000002274E-2</v>
      </c>
      <c r="O2090">
        <f t="shared" si="226"/>
        <v>4.9999999999997158E-2</v>
      </c>
      <c r="P2090" s="10">
        <f t="shared" si="227"/>
        <v>-0.17000000000000171</v>
      </c>
    </row>
    <row r="2091" spans="1:16">
      <c r="A2091">
        <v>344.33</v>
      </c>
      <c r="B2091" s="42">
        <v>27.45</v>
      </c>
      <c r="C2091">
        <v>36.619999999999997</v>
      </c>
      <c r="D2091">
        <v>36.619999999999997</v>
      </c>
      <c r="E2091">
        <v>31.51</v>
      </c>
      <c r="F2091">
        <v>72.62</v>
      </c>
      <c r="G2091">
        <v>83.28</v>
      </c>
      <c r="H2091">
        <v>87.01</v>
      </c>
      <c r="K2091" s="9">
        <f t="shared" si="222"/>
        <v>-0.27999999999999403</v>
      </c>
      <c r="L2091">
        <f t="shared" si="223"/>
        <v>0</v>
      </c>
      <c r="M2091">
        <f t="shared" si="224"/>
        <v>0.66000000000000014</v>
      </c>
      <c r="N2091">
        <f t="shared" si="225"/>
        <v>-6.0000000000002274E-2</v>
      </c>
      <c r="O2091">
        <f t="shared" si="226"/>
        <v>0</v>
      </c>
      <c r="P2091" s="10">
        <f t="shared" si="227"/>
        <v>4.9999999999997158E-2</v>
      </c>
    </row>
    <row r="2092" spans="1:16">
      <c r="A2092">
        <v>344.5</v>
      </c>
      <c r="B2092" s="42">
        <v>27.34</v>
      </c>
      <c r="C2092">
        <v>36.56</v>
      </c>
      <c r="D2092">
        <v>36.56</v>
      </c>
      <c r="E2092">
        <v>32.01</v>
      </c>
      <c r="F2092">
        <v>72.56</v>
      </c>
      <c r="G2092">
        <v>83.28</v>
      </c>
      <c r="H2092">
        <v>86.78</v>
      </c>
      <c r="K2092" s="9">
        <f t="shared" si="222"/>
        <v>-5.0000000000004263E-2</v>
      </c>
      <c r="L2092">
        <f t="shared" si="223"/>
        <v>-5.0000000000004263E-2</v>
      </c>
      <c r="M2092">
        <f t="shared" si="224"/>
        <v>0.10999999999999943</v>
      </c>
      <c r="N2092">
        <f t="shared" si="225"/>
        <v>-4.9999999999997158E-2</v>
      </c>
      <c r="O2092">
        <f t="shared" si="226"/>
        <v>0</v>
      </c>
      <c r="P2092" s="10">
        <f t="shared" si="227"/>
        <v>-0.15999999999999659</v>
      </c>
    </row>
    <row r="2093" spans="1:16">
      <c r="A2093">
        <v>344.67</v>
      </c>
      <c r="B2093" s="42">
        <v>27.34</v>
      </c>
      <c r="C2093">
        <v>36.340000000000003</v>
      </c>
      <c r="D2093">
        <v>36.340000000000003</v>
      </c>
      <c r="E2093">
        <v>32.06</v>
      </c>
      <c r="F2093">
        <v>72.62</v>
      </c>
      <c r="G2093">
        <v>83.28</v>
      </c>
      <c r="H2093">
        <v>86.73</v>
      </c>
      <c r="K2093" s="9">
        <f t="shared" si="222"/>
        <v>0.21999999999999886</v>
      </c>
      <c r="L2093">
        <f t="shared" si="223"/>
        <v>0</v>
      </c>
      <c r="M2093">
        <f t="shared" si="224"/>
        <v>-0.16000000000000369</v>
      </c>
      <c r="N2093">
        <f t="shared" si="225"/>
        <v>-0.21999999999999886</v>
      </c>
      <c r="O2093">
        <f t="shared" si="226"/>
        <v>-0.15999999999999659</v>
      </c>
      <c r="P2093" s="10">
        <f t="shared" si="227"/>
        <v>-0.10999999999999943</v>
      </c>
    </row>
    <row r="2094" spans="1:16">
      <c r="A2094">
        <v>344.83</v>
      </c>
      <c r="B2094" s="42">
        <v>27.12</v>
      </c>
      <c r="C2094">
        <v>36.340000000000003</v>
      </c>
      <c r="D2094">
        <v>36.619999999999997</v>
      </c>
      <c r="E2094">
        <v>32.17</v>
      </c>
      <c r="F2094">
        <v>72.56</v>
      </c>
      <c r="G2094">
        <v>83.28</v>
      </c>
      <c r="H2094">
        <v>87.06</v>
      </c>
      <c r="K2094" s="9">
        <f t="shared" si="222"/>
        <v>0.21999999999999886</v>
      </c>
      <c r="L2094">
        <f t="shared" si="223"/>
        <v>-0.27999999999999403</v>
      </c>
      <c r="M2094">
        <f t="shared" si="224"/>
        <v>-0.5</v>
      </c>
      <c r="N2094">
        <f t="shared" si="225"/>
        <v>-0.21999999999999886</v>
      </c>
      <c r="O2094">
        <f t="shared" si="226"/>
        <v>-0.15999999999999659</v>
      </c>
      <c r="P2094" s="10">
        <f t="shared" si="227"/>
        <v>-0.65999999999999659</v>
      </c>
    </row>
    <row r="2095" spans="1:16">
      <c r="A2095">
        <v>345</v>
      </c>
      <c r="B2095" s="42">
        <v>27.23</v>
      </c>
      <c r="C2095">
        <v>36.51</v>
      </c>
      <c r="D2095">
        <v>36.51</v>
      </c>
      <c r="E2095">
        <v>32.119999999999997</v>
      </c>
      <c r="F2095">
        <v>72.510000000000005</v>
      </c>
      <c r="G2095">
        <v>83.28</v>
      </c>
      <c r="H2095">
        <v>86.62</v>
      </c>
      <c r="K2095" s="9">
        <f t="shared" si="222"/>
        <v>0</v>
      </c>
      <c r="L2095">
        <f t="shared" si="223"/>
        <v>-0.10999999999999943</v>
      </c>
      <c r="M2095">
        <f t="shared" si="224"/>
        <v>-0.60999999999999588</v>
      </c>
      <c r="N2095">
        <f t="shared" si="225"/>
        <v>-0.45000000000000284</v>
      </c>
      <c r="O2095">
        <f t="shared" si="226"/>
        <v>-0.21999999999999886</v>
      </c>
      <c r="P2095" s="10">
        <f t="shared" si="227"/>
        <v>0.15999999999999659</v>
      </c>
    </row>
    <row r="2096" spans="1:16">
      <c r="A2096">
        <v>345.17</v>
      </c>
      <c r="B2096" s="42">
        <v>27.4</v>
      </c>
      <c r="C2096">
        <v>36.56</v>
      </c>
      <c r="D2096">
        <v>36.340000000000003</v>
      </c>
      <c r="E2096">
        <v>31.9</v>
      </c>
      <c r="F2096">
        <v>72.400000000000006</v>
      </c>
      <c r="G2096">
        <v>83.12</v>
      </c>
      <c r="H2096">
        <v>86.62</v>
      </c>
      <c r="K2096" s="9">
        <f t="shared" si="222"/>
        <v>5.9999999999995168E-2</v>
      </c>
      <c r="L2096">
        <f t="shared" si="223"/>
        <v>5.9999999999995168E-2</v>
      </c>
      <c r="M2096">
        <f t="shared" si="224"/>
        <v>-0.44999999999999929</v>
      </c>
      <c r="N2096">
        <f t="shared" si="225"/>
        <v>-6.0000000000002274E-2</v>
      </c>
      <c r="O2096">
        <f t="shared" si="226"/>
        <v>-0.10999999999999943</v>
      </c>
      <c r="P2096" s="10">
        <f t="shared" si="227"/>
        <v>0.15999999999999659</v>
      </c>
    </row>
    <row r="2097" spans="1:16">
      <c r="A2097">
        <v>345.33</v>
      </c>
      <c r="B2097" s="42">
        <v>27.4</v>
      </c>
      <c r="C2097">
        <v>36.56</v>
      </c>
      <c r="D2097">
        <v>36.340000000000003</v>
      </c>
      <c r="E2097">
        <v>31.67</v>
      </c>
      <c r="F2097">
        <v>72.34</v>
      </c>
      <c r="G2097">
        <v>83.12</v>
      </c>
      <c r="H2097">
        <v>86.4</v>
      </c>
      <c r="K2097" s="9">
        <f t="shared" si="222"/>
        <v>5.9999999999995168E-2</v>
      </c>
      <c r="L2097">
        <f t="shared" si="223"/>
        <v>0.21999999999999886</v>
      </c>
      <c r="M2097">
        <f t="shared" si="224"/>
        <v>-0.11000000000000298</v>
      </c>
      <c r="N2097">
        <f t="shared" si="225"/>
        <v>-0.10999999999999943</v>
      </c>
      <c r="O2097">
        <f t="shared" si="226"/>
        <v>-0.10999999999999943</v>
      </c>
      <c r="P2097" s="10">
        <f t="shared" si="227"/>
        <v>0.5</v>
      </c>
    </row>
    <row r="2098" spans="1:16">
      <c r="A2098">
        <v>345.5</v>
      </c>
      <c r="B2098" s="42">
        <v>27.17</v>
      </c>
      <c r="C2098">
        <v>36.51</v>
      </c>
      <c r="D2098">
        <v>36.4</v>
      </c>
      <c r="E2098">
        <v>31.51</v>
      </c>
      <c r="F2098">
        <v>72.06</v>
      </c>
      <c r="G2098">
        <v>83.06</v>
      </c>
      <c r="H2098">
        <v>86.78</v>
      </c>
      <c r="K2098" s="9">
        <f t="shared" si="222"/>
        <v>0.10999999999999943</v>
      </c>
      <c r="L2098">
        <f t="shared" si="223"/>
        <v>0.21999999999999886</v>
      </c>
      <c r="M2098">
        <f t="shared" si="224"/>
        <v>0</v>
      </c>
      <c r="N2098">
        <f t="shared" si="225"/>
        <v>0.34000000000000341</v>
      </c>
      <c r="O2098">
        <f t="shared" si="226"/>
        <v>-4.9999999999997158E-2</v>
      </c>
      <c r="P2098" s="10">
        <f t="shared" si="227"/>
        <v>0</v>
      </c>
    </row>
    <row r="2099" spans="1:16">
      <c r="A2099">
        <v>345.67</v>
      </c>
      <c r="B2099" s="42">
        <v>27.34</v>
      </c>
      <c r="C2099">
        <v>36.619999999999997</v>
      </c>
      <c r="D2099">
        <v>36.4</v>
      </c>
      <c r="E2099">
        <v>31.45</v>
      </c>
      <c r="F2099">
        <v>72.34</v>
      </c>
      <c r="G2099">
        <v>83.01</v>
      </c>
      <c r="H2099">
        <v>86.78</v>
      </c>
      <c r="K2099" s="9">
        <f t="shared" si="222"/>
        <v>-0.27999999999999403</v>
      </c>
      <c r="L2099">
        <f t="shared" si="223"/>
        <v>0.21999999999999886</v>
      </c>
      <c r="M2099">
        <f t="shared" si="224"/>
        <v>0.28000000000000114</v>
      </c>
      <c r="N2099">
        <f t="shared" si="225"/>
        <v>6.0000000000002274E-2</v>
      </c>
      <c r="O2099">
        <f t="shared" si="226"/>
        <v>-0.17000000000000171</v>
      </c>
      <c r="P2099" s="10">
        <f t="shared" si="227"/>
        <v>0.23000000000000398</v>
      </c>
    </row>
    <row r="2100" spans="1:16">
      <c r="A2100">
        <v>345.83</v>
      </c>
      <c r="B2100" s="42">
        <v>27.23</v>
      </c>
      <c r="C2100">
        <v>36.619999999999997</v>
      </c>
      <c r="D2100">
        <v>36.56</v>
      </c>
      <c r="E2100">
        <v>31.56</v>
      </c>
      <c r="F2100">
        <v>72.23</v>
      </c>
      <c r="G2100">
        <v>83.01</v>
      </c>
      <c r="H2100">
        <v>86.9</v>
      </c>
      <c r="K2100" s="9">
        <f t="shared" si="222"/>
        <v>-5.9999999999995168E-2</v>
      </c>
      <c r="L2100">
        <f t="shared" si="223"/>
        <v>0.10999999999999943</v>
      </c>
      <c r="M2100">
        <f t="shared" si="224"/>
        <v>0.22000000000000242</v>
      </c>
      <c r="N2100">
        <f t="shared" si="225"/>
        <v>0.32999999999999829</v>
      </c>
      <c r="O2100">
        <f t="shared" si="226"/>
        <v>-0.10999999999999943</v>
      </c>
      <c r="P2100" s="10">
        <f t="shared" si="227"/>
        <v>0.15999999999999659</v>
      </c>
    </row>
    <row r="2101" spans="1:16">
      <c r="A2101">
        <v>346</v>
      </c>
      <c r="B2101" s="42">
        <v>27.45</v>
      </c>
      <c r="C2101">
        <v>36.619999999999997</v>
      </c>
      <c r="D2101">
        <v>36.619999999999997</v>
      </c>
      <c r="E2101">
        <v>31.51</v>
      </c>
      <c r="F2101">
        <v>72.400000000000006</v>
      </c>
      <c r="G2101">
        <v>83.01</v>
      </c>
      <c r="H2101">
        <v>86.78</v>
      </c>
      <c r="K2101" s="9">
        <f t="shared" si="222"/>
        <v>0.16000000000000369</v>
      </c>
      <c r="L2101">
        <f t="shared" si="223"/>
        <v>0.16000000000000369</v>
      </c>
      <c r="M2101">
        <f t="shared" si="224"/>
        <v>0.43999999999999773</v>
      </c>
      <c r="N2101">
        <f t="shared" si="225"/>
        <v>-0.12000000000000455</v>
      </c>
      <c r="O2101">
        <f t="shared" si="226"/>
        <v>-0.10999999999999943</v>
      </c>
      <c r="P2101" s="10">
        <f t="shared" si="227"/>
        <v>0.5</v>
      </c>
    </row>
    <row r="2102" spans="1:16">
      <c r="A2102">
        <v>346.17</v>
      </c>
      <c r="B2102" s="42">
        <v>27.4</v>
      </c>
      <c r="C2102">
        <v>36.340000000000003</v>
      </c>
      <c r="D2102">
        <v>36.619999999999997</v>
      </c>
      <c r="E2102">
        <v>31.73</v>
      </c>
      <c r="F2102">
        <v>72.400000000000006</v>
      </c>
      <c r="G2102">
        <v>82.84</v>
      </c>
      <c r="H2102">
        <v>87.01</v>
      </c>
      <c r="K2102" s="9">
        <f t="shared" si="222"/>
        <v>0.27999999999999403</v>
      </c>
      <c r="L2102">
        <f t="shared" si="223"/>
        <v>0.22000000000000597</v>
      </c>
      <c r="M2102">
        <f t="shared" si="224"/>
        <v>0.10999999999999943</v>
      </c>
      <c r="N2102">
        <f t="shared" si="225"/>
        <v>-6.0000000000002274E-2</v>
      </c>
      <c r="O2102">
        <f t="shared" si="226"/>
        <v>0</v>
      </c>
      <c r="P2102" s="10">
        <f t="shared" si="227"/>
        <v>-0.17000000000000171</v>
      </c>
    </row>
    <row r="2103" spans="1:16">
      <c r="A2103">
        <v>346.33</v>
      </c>
      <c r="B2103" s="42">
        <v>27.56</v>
      </c>
      <c r="C2103">
        <v>36.56</v>
      </c>
      <c r="D2103">
        <v>36.67</v>
      </c>
      <c r="E2103">
        <v>31.78</v>
      </c>
      <c r="F2103">
        <v>72.56</v>
      </c>
      <c r="G2103">
        <v>82.9</v>
      </c>
      <c r="H2103">
        <v>87.06</v>
      </c>
      <c r="K2103" s="9">
        <f t="shared" si="222"/>
        <v>0.21999999999999886</v>
      </c>
      <c r="L2103">
        <f t="shared" si="223"/>
        <v>5.9999999999995168E-2</v>
      </c>
      <c r="M2103">
        <f t="shared" si="224"/>
        <v>0</v>
      </c>
      <c r="N2103">
        <f t="shared" si="225"/>
        <v>-0.21999999999999886</v>
      </c>
      <c r="O2103">
        <f t="shared" si="226"/>
        <v>0</v>
      </c>
      <c r="P2103" s="10">
        <f t="shared" si="227"/>
        <v>-0.28000000000000114</v>
      </c>
    </row>
    <row r="2104" spans="1:16">
      <c r="A2104">
        <v>346.5</v>
      </c>
      <c r="B2104" s="42">
        <v>27.56</v>
      </c>
      <c r="C2104">
        <v>36.78</v>
      </c>
      <c r="D2104">
        <v>36.78</v>
      </c>
      <c r="E2104">
        <v>31.95</v>
      </c>
      <c r="F2104">
        <v>72.28</v>
      </c>
      <c r="G2104">
        <v>82.9</v>
      </c>
      <c r="H2104">
        <v>87.28</v>
      </c>
      <c r="K2104" s="9">
        <f t="shared" si="222"/>
        <v>-36.78</v>
      </c>
      <c r="L2104">
        <f t="shared" ref="L2104:P2104" si="228">D2107-D2104</f>
        <v>-36.78</v>
      </c>
      <c r="M2104">
        <f t="shared" si="228"/>
        <v>-31.95</v>
      </c>
      <c r="N2104">
        <f t="shared" si="228"/>
        <v>-72.28</v>
      </c>
      <c r="O2104">
        <f t="shared" si="228"/>
        <v>-82.9</v>
      </c>
      <c r="P2104" s="10">
        <f t="shared" si="228"/>
        <v>-87.28</v>
      </c>
    </row>
    <row r="2105" spans="1:16">
      <c r="A2105">
        <v>346.67</v>
      </c>
      <c r="B2105" s="42">
        <v>27.73</v>
      </c>
      <c r="C2105">
        <v>36.619999999999997</v>
      </c>
      <c r="D2105">
        <v>36.840000000000003</v>
      </c>
      <c r="E2105">
        <v>31.84</v>
      </c>
      <c r="F2105">
        <v>72.34</v>
      </c>
      <c r="G2105">
        <v>82.84</v>
      </c>
      <c r="H2105">
        <v>86.84</v>
      </c>
      <c r="K2105" s="9">
        <f t="shared" si="222"/>
        <v>-36.619999999999997</v>
      </c>
      <c r="L2105">
        <f t="shared" ref="L2105:P2105" si="229">D2108-D2105</f>
        <v>-36.840000000000003</v>
      </c>
      <c r="M2105">
        <f t="shared" si="229"/>
        <v>-31.84</v>
      </c>
      <c r="N2105">
        <f t="shared" si="229"/>
        <v>-72.34</v>
      </c>
      <c r="O2105">
        <f t="shared" si="229"/>
        <v>-82.84</v>
      </c>
      <c r="P2105" s="10">
        <f t="shared" si="229"/>
        <v>-86.84</v>
      </c>
    </row>
    <row r="2106" spans="1:16">
      <c r="A2106">
        <v>346.83</v>
      </c>
      <c r="B2106" s="42">
        <v>27.73</v>
      </c>
      <c r="C2106">
        <v>36.78</v>
      </c>
      <c r="D2106">
        <v>36.729999999999997</v>
      </c>
      <c r="E2106">
        <v>31.78</v>
      </c>
      <c r="F2106">
        <v>72.34</v>
      </c>
      <c r="G2106">
        <v>82.9</v>
      </c>
      <c r="H2106">
        <v>86.78</v>
      </c>
      <c r="K2106" s="9">
        <f t="shared" si="222"/>
        <v>-36.78</v>
      </c>
      <c r="L2106">
        <f t="shared" ref="L2106:P2106" si="230">D2109-D2106</f>
        <v>-36.729999999999997</v>
      </c>
      <c r="M2106">
        <f t="shared" si="230"/>
        <v>-31.78</v>
      </c>
      <c r="N2106">
        <f t="shared" si="230"/>
        <v>-72.34</v>
      </c>
      <c r="O2106">
        <f t="shared" si="230"/>
        <v>-82.9</v>
      </c>
      <c r="P2106" s="10">
        <f t="shared" si="230"/>
        <v>-86.78</v>
      </c>
    </row>
  </sheetData>
  <mergeCells count="1">
    <mergeCell ref="M23:N23"/>
  </mergeCells>
  <pageMargins left="0.7" right="0.7" top="0.75" bottom="0.75" header="0.3" footer="0.3"/>
  <pageSetup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28FDC-BFA6-47A3-B916-2B7C3F3100E3}">
  <dimension ref="B2:AD178"/>
  <sheetViews>
    <sheetView workbookViewId="0">
      <selection activeCell="G11" sqref="G11"/>
    </sheetView>
  </sheetViews>
  <sheetFormatPr defaultRowHeight="15"/>
  <sheetData>
    <row r="2" spans="2:2">
      <c r="B2" t="s">
        <v>22</v>
      </c>
    </row>
    <row r="3" spans="2:2">
      <c r="B3" s="40" t="s">
        <v>193</v>
      </c>
    </row>
    <row r="4" spans="2:2">
      <c r="B4" t="s">
        <v>23</v>
      </c>
    </row>
    <row r="5" spans="2:2">
      <c r="B5" t="s">
        <v>212</v>
      </c>
    </row>
    <row r="7" spans="2:2">
      <c r="B7" t="s">
        <v>215</v>
      </c>
    </row>
    <row r="66" spans="4:4">
      <c r="D66" s="28"/>
    </row>
    <row r="176" spans="5:30">
      <c r="E176" s="28"/>
      <c r="F176" s="28"/>
      <c r="H176" s="28"/>
      <c r="I176" s="28"/>
      <c r="K176" s="28"/>
      <c r="L176" s="28"/>
      <c r="Q176" s="28"/>
      <c r="R176" s="28"/>
      <c r="T176" s="28"/>
      <c r="U176" s="28"/>
      <c r="W176" s="28"/>
      <c r="X176" s="28"/>
      <c r="Z176" s="28"/>
      <c r="AA176" s="28"/>
      <c r="AC176" s="28"/>
      <c r="AD176" s="28"/>
    </row>
    <row r="177" spans="5:30">
      <c r="E177" s="28"/>
      <c r="F177" s="28"/>
      <c r="H177" s="28"/>
      <c r="I177" s="28"/>
      <c r="K177" s="28"/>
      <c r="L177" s="28"/>
      <c r="Q177" s="28"/>
      <c r="R177" s="28"/>
      <c r="T177" s="28"/>
      <c r="U177" s="28"/>
      <c r="W177" s="28"/>
      <c r="X177" s="28"/>
      <c r="Z177" s="28"/>
      <c r="AA177" s="28"/>
      <c r="AC177" s="28"/>
      <c r="AD177" s="28"/>
    </row>
    <row r="178" spans="5:30">
      <c r="Q178" s="28"/>
      <c r="R178" s="28"/>
      <c r="T178" s="28"/>
      <c r="U178" s="28"/>
      <c r="W178" s="28"/>
      <c r="X178" s="28"/>
      <c r="Z178" s="28"/>
      <c r="AA178" s="28"/>
      <c r="AC178" s="28"/>
      <c r="AD178" s="28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Wave Contact Time</vt:lpstr>
      <vt:lpstr>Data</vt:lpstr>
      <vt:lpstr>Wave Contact Time (OLD formula)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Thanh Sang</dc:creator>
  <cp:lastModifiedBy>Ngoc Tran</cp:lastModifiedBy>
  <dcterms:created xsi:type="dcterms:W3CDTF">2026-03-18T04:25:42Z</dcterms:created>
  <dcterms:modified xsi:type="dcterms:W3CDTF">2026-04-03T06:21:22Z</dcterms:modified>
</cp:coreProperties>
</file>